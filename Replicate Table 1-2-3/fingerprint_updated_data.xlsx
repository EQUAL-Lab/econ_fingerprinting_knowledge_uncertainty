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occelli/Library/CloudStorage/GoogleDrive-martina.occelli.91@gmail.com/.shortcut-targets-by-id/1XN-Eddau4BBImyaRtKa43457fm29g3xU/Priority Setting/DNA fingerprinting_Project/!Manuscripts/!Whose bias - econ finger manuscript /!!Food Policy Submission/Replication code/"/>
    </mc:Choice>
  </mc:AlternateContent>
  <xr:revisionPtr revIDLastSave="0" documentId="13_ncr:1_{E30C9D69-5804-964D-BA2F-1E9B022183C9}" xr6:coauthVersionLast="47" xr6:coauthVersionMax="47" xr10:uidLastSave="{00000000-0000-0000-0000-000000000000}"/>
  <bookViews>
    <workbookView xWindow="0" yWindow="500" windowWidth="51200" windowHeight="28300" xr2:uid="{7986CDE2-FA1D-DE44-A962-7EF7219F4E97}"/>
  </bookViews>
  <sheets>
    <sheet name="Sheet1" sheetId="1" r:id="rId1"/>
    <sheet name="Code" sheetId="2" r:id="rId2"/>
  </sheets>
  <externalReferences>
    <externalReference r:id="rId3"/>
  </externalReferences>
  <definedNames>
    <definedName name="_xlnm._FilterDatabase" localSheetId="0" hidden="1">Sheet1!$S$1:$S$1150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2" i="1" l="1"/>
  <c r="BF2" i="1"/>
  <c r="V2" i="1"/>
  <c r="BH3" i="1"/>
  <c r="BI3" i="1"/>
  <c r="BJ3" i="1"/>
  <c r="BK3" i="1"/>
  <c r="BL3" i="1"/>
  <c r="BM3" i="1"/>
  <c r="BH4" i="1"/>
  <c r="BI4" i="1"/>
  <c r="BJ4" i="1"/>
  <c r="BK4" i="1"/>
  <c r="BL4" i="1"/>
  <c r="BM4" i="1"/>
  <c r="BH5" i="1"/>
  <c r="BI5" i="1"/>
  <c r="BJ5" i="1"/>
  <c r="BK5" i="1"/>
  <c r="BL5" i="1"/>
  <c r="BM5" i="1"/>
  <c r="BH6" i="1"/>
  <c r="BI6" i="1"/>
  <c r="BK6" i="1"/>
  <c r="BL6" i="1"/>
  <c r="BM6" i="1"/>
  <c r="BH7" i="1"/>
  <c r="BI7" i="1"/>
  <c r="BK7" i="1"/>
  <c r="BL7" i="1"/>
  <c r="BM7" i="1"/>
  <c r="BH8" i="1"/>
  <c r="BI8" i="1"/>
  <c r="BJ8" i="1"/>
  <c r="BK8" i="1"/>
  <c r="BL8" i="1"/>
  <c r="BM8" i="1"/>
  <c r="BH9" i="1"/>
  <c r="BI9" i="1"/>
  <c r="BJ9" i="1"/>
  <c r="BK9" i="1"/>
  <c r="BL9" i="1"/>
  <c r="BM9" i="1"/>
  <c r="BH10" i="1"/>
  <c r="BI10" i="1"/>
  <c r="BJ10" i="1"/>
  <c r="BK10" i="1"/>
  <c r="BL10" i="1"/>
  <c r="BM10" i="1"/>
  <c r="BH11" i="1"/>
  <c r="BI11" i="1"/>
  <c r="BJ11" i="1"/>
  <c r="BK11" i="1"/>
  <c r="BL11" i="1"/>
  <c r="BM11" i="1"/>
  <c r="BH12" i="1"/>
  <c r="BI12" i="1"/>
  <c r="BJ12" i="1"/>
  <c r="BK12" i="1"/>
  <c r="BL12" i="1"/>
  <c r="BM12" i="1"/>
  <c r="BH13" i="1"/>
  <c r="BI13" i="1"/>
  <c r="BK13" i="1"/>
  <c r="BL13" i="1"/>
  <c r="BM13" i="1"/>
  <c r="BH14" i="1"/>
  <c r="BI14" i="1"/>
  <c r="BK14" i="1"/>
  <c r="BL14" i="1"/>
  <c r="BM14" i="1"/>
  <c r="BH15" i="1"/>
  <c r="BI15" i="1"/>
  <c r="BJ15" i="1"/>
  <c r="BK15" i="1"/>
  <c r="BL15" i="1"/>
  <c r="BM15" i="1"/>
  <c r="BH16" i="1"/>
  <c r="BI16" i="1"/>
  <c r="BJ16" i="1"/>
  <c r="BK16" i="1"/>
  <c r="BL16" i="1"/>
  <c r="BM16" i="1"/>
  <c r="BH17" i="1"/>
  <c r="BI17" i="1"/>
  <c r="BK17" i="1"/>
  <c r="BL17" i="1"/>
  <c r="BM17" i="1"/>
  <c r="BH20" i="1"/>
  <c r="BI20" i="1"/>
  <c r="BK20" i="1"/>
  <c r="BL20" i="1"/>
  <c r="BM20" i="1"/>
  <c r="BH21" i="1"/>
  <c r="BI21" i="1"/>
  <c r="BK21" i="1"/>
  <c r="BL21" i="1"/>
  <c r="BM21" i="1"/>
  <c r="BH22" i="1"/>
  <c r="BI22" i="1"/>
  <c r="BJ22" i="1"/>
  <c r="BK22" i="1"/>
  <c r="BL22" i="1"/>
  <c r="BM22" i="1"/>
  <c r="BH23" i="1"/>
  <c r="BI23" i="1"/>
  <c r="BJ23" i="1"/>
  <c r="BK23" i="1"/>
  <c r="BL23" i="1"/>
  <c r="BM23" i="1"/>
  <c r="BH26" i="1"/>
  <c r="BI26" i="1"/>
  <c r="BJ26" i="1"/>
  <c r="BK26" i="1"/>
  <c r="BL26" i="1"/>
  <c r="BM26" i="1"/>
  <c r="BH27" i="1"/>
  <c r="BI27" i="1"/>
  <c r="BJ27" i="1"/>
  <c r="BK27" i="1"/>
  <c r="BL27" i="1"/>
  <c r="BM27" i="1"/>
  <c r="BH30" i="1"/>
  <c r="BI30" i="1"/>
  <c r="BK30" i="1"/>
  <c r="BL30" i="1"/>
  <c r="BM30" i="1"/>
  <c r="BH31" i="1"/>
  <c r="BI31" i="1"/>
  <c r="BK31" i="1"/>
  <c r="BL31" i="1"/>
  <c r="BM31" i="1"/>
  <c r="BH38" i="1"/>
  <c r="BI38" i="1"/>
  <c r="BJ38" i="1"/>
  <c r="BK38" i="1"/>
  <c r="BL38" i="1"/>
  <c r="BM38" i="1"/>
  <c r="BH39" i="1"/>
  <c r="BI39" i="1"/>
  <c r="BJ39" i="1"/>
  <c r="BK39" i="1"/>
  <c r="BL39" i="1"/>
  <c r="BM39" i="1"/>
  <c r="BH40" i="1"/>
  <c r="BI40" i="1"/>
  <c r="BJ40" i="1"/>
  <c r="BK40" i="1"/>
  <c r="BL40" i="1"/>
  <c r="BM40" i="1"/>
  <c r="BH41" i="1"/>
  <c r="BI41" i="1"/>
  <c r="BJ41" i="1"/>
  <c r="BK41" i="1"/>
  <c r="BL41" i="1"/>
  <c r="BM41" i="1"/>
  <c r="BH42" i="1"/>
  <c r="BI42" i="1"/>
  <c r="BJ42" i="1"/>
  <c r="BK42" i="1"/>
  <c r="BL42" i="1"/>
  <c r="BM42" i="1"/>
  <c r="BH43" i="1"/>
  <c r="BI43" i="1"/>
  <c r="BJ43" i="1"/>
  <c r="BK43" i="1"/>
  <c r="BL43" i="1"/>
  <c r="BM43" i="1"/>
  <c r="BH44" i="1"/>
  <c r="BI44" i="1"/>
  <c r="BJ44" i="1"/>
  <c r="BK44" i="1"/>
  <c r="BL44" i="1"/>
  <c r="BM44" i="1"/>
  <c r="BH45" i="1"/>
  <c r="BI45" i="1"/>
  <c r="BJ45" i="1"/>
  <c r="BK45" i="1"/>
  <c r="BL45" i="1"/>
  <c r="BM45" i="1"/>
  <c r="BH46" i="1"/>
  <c r="BI46" i="1"/>
  <c r="BJ46" i="1"/>
  <c r="BK46" i="1"/>
  <c r="BL46" i="1"/>
  <c r="BM46" i="1"/>
  <c r="BH47" i="1"/>
  <c r="BI47" i="1"/>
  <c r="BJ47" i="1"/>
  <c r="BK47" i="1"/>
  <c r="BL47" i="1"/>
  <c r="BM47" i="1"/>
  <c r="BH48" i="1"/>
  <c r="BI48" i="1"/>
  <c r="BJ48" i="1"/>
  <c r="BK48" i="1"/>
  <c r="BL48" i="1"/>
  <c r="BM48" i="1"/>
  <c r="BH49" i="1"/>
  <c r="BI49" i="1"/>
  <c r="BJ49" i="1"/>
  <c r="BK49" i="1"/>
  <c r="BL49" i="1"/>
  <c r="BM49" i="1"/>
  <c r="BH50" i="1"/>
  <c r="BI50" i="1"/>
  <c r="BJ50" i="1"/>
  <c r="BK50" i="1"/>
  <c r="BL50" i="1"/>
  <c r="BM50" i="1"/>
  <c r="BH51" i="1"/>
  <c r="BI51" i="1"/>
  <c r="BJ51" i="1"/>
  <c r="BK51" i="1"/>
  <c r="BL51" i="1"/>
  <c r="BM51" i="1"/>
  <c r="BH52" i="1"/>
  <c r="BI52" i="1"/>
  <c r="BJ52" i="1"/>
  <c r="BK52" i="1"/>
  <c r="BL52" i="1"/>
  <c r="BM52" i="1"/>
  <c r="BH53" i="1"/>
  <c r="BI53" i="1"/>
  <c r="BJ53" i="1"/>
  <c r="BK53" i="1"/>
  <c r="BL53" i="1"/>
  <c r="BM53" i="1"/>
  <c r="BH54" i="1"/>
  <c r="BI54" i="1"/>
  <c r="BJ54" i="1"/>
  <c r="BK54" i="1"/>
  <c r="BL54" i="1"/>
  <c r="BM54" i="1"/>
  <c r="BH55" i="1"/>
  <c r="BI55" i="1"/>
  <c r="BJ55" i="1"/>
  <c r="BK55" i="1"/>
  <c r="BL55" i="1"/>
  <c r="BM55" i="1"/>
  <c r="BH56" i="1"/>
  <c r="BI56" i="1"/>
  <c r="BJ56" i="1"/>
  <c r="BK56" i="1"/>
  <c r="BL56" i="1"/>
  <c r="BM56" i="1"/>
  <c r="BH57" i="1"/>
  <c r="BI57" i="1"/>
  <c r="BJ57" i="1"/>
  <c r="BK57" i="1"/>
  <c r="BL57" i="1"/>
  <c r="BM57" i="1"/>
  <c r="BH58" i="1"/>
  <c r="BI58" i="1"/>
  <c r="BJ58" i="1"/>
  <c r="BK58" i="1"/>
  <c r="BL58" i="1"/>
  <c r="BM58" i="1"/>
  <c r="BH59" i="1"/>
  <c r="BI59" i="1"/>
  <c r="BJ59" i="1"/>
  <c r="BK59" i="1"/>
  <c r="BL59" i="1"/>
  <c r="BM59" i="1"/>
  <c r="BH60" i="1"/>
  <c r="BI60" i="1"/>
  <c r="BJ60" i="1"/>
  <c r="BK60" i="1"/>
  <c r="BL60" i="1"/>
  <c r="BM60" i="1"/>
  <c r="BH61" i="1"/>
  <c r="BI61" i="1"/>
  <c r="BJ61" i="1"/>
  <c r="BK61" i="1"/>
  <c r="BL61" i="1"/>
  <c r="BM61" i="1"/>
  <c r="BH62" i="1"/>
  <c r="BI62" i="1"/>
  <c r="BJ62" i="1"/>
  <c r="BK62" i="1"/>
  <c r="BL62" i="1"/>
  <c r="BM62" i="1"/>
  <c r="BH63" i="1"/>
  <c r="BI63" i="1"/>
  <c r="BJ63" i="1"/>
  <c r="BK63" i="1"/>
  <c r="BL63" i="1"/>
  <c r="BM63" i="1"/>
  <c r="BH64" i="1"/>
  <c r="BI64" i="1"/>
  <c r="BJ64" i="1"/>
  <c r="BK64" i="1"/>
  <c r="BL64" i="1"/>
  <c r="BM64" i="1"/>
  <c r="BH65" i="1"/>
  <c r="BI65" i="1"/>
  <c r="BJ65" i="1"/>
  <c r="BK65" i="1"/>
  <c r="BL65" i="1"/>
  <c r="BM65" i="1"/>
  <c r="BH66" i="1"/>
  <c r="BI66" i="1"/>
  <c r="BJ66" i="1"/>
  <c r="BK66" i="1"/>
  <c r="BL66" i="1"/>
  <c r="BM66" i="1"/>
  <c r="BH67" i="1"/>
  <c r="BI67" i="1"/>
  <c r="BJ67" i="1"/>
  <c r="BK67" i="1"/>
  <c r="BL67" i="1"/>
  <c r="BM67" i="1"/>
  <c r="BH68" i="1"/>
  <c r="BI68" i="1"/>
  <c r="BJ68" i="1"/>
  <c r="BK68" i="1"/>
  <c r="BL68" i="1"/>
  <c r="BM68" i="1"/>
  <c r="BH69" i="1"/>
  <c r="BI69" i="1"/>
  <c r="BK69" i="1"/>
  <c r="BL69" i="1"/>
  <c r="BM69" i="1"/>
  <c r="BH70" i="1"/>
  <c r="BI70" i="1"/>
  <c r="BJ70" i="1"/>
  <c r="BK70" i="1"/>
  <c r="BL70" i="1"/>
  <c r="BM70" i="1"/>
  <c r="BH71" i="1"/>
  <c r="BI71" i="1"/>
  <c r="BJ71" i="1"/>
  <c r="BK71" i="1"/>
  <c r="BL71" i="1"/>
  <c r="BM71" i="1"/>
  <c r="BH72" i="1"/>
  <c r="BI72" i="1"/>
  <c r="BJ72" i="1"/>
  <c r="BK72" i="1"/>
  <c r="BL72" i="1"/>
  <c r="BM72" i="1"/>
  <c r="BH73" i="1"/>
  <c r="BI73" i="1"/>
  <c r="BJ73" i="1"/>
  <c r="BK73" i="1"/>
  <c r="BL73" i="1"/>
  <c r="BM73" i="1"/>
  <c r="BH74" i="1"/>
  <c r="BI74" i="1"/>
  <c r="BJ74" i="1"/>
  <c r="BK74" i="1"/>
  <c r="BL74" i="1"/>
  <c r="BM74" i="1"/>
  <c r="BH75" i="1"/>
  <c r="BI75" i="1"/>
  <c r="BJ75" i="1"/>
  <c r="BK75" i="1"/>
  <c r="BL75" i="1"/>
  <c r="BM75" i="1"/>
  <c r="BH76" i="1"/>
  <c r="BI76" i="1"/>
  <c r="BJ76" i="1"/>
  <c r="BK76" i="1"/>
  <c r="BL76" i="1"/>
  <c r="BM76" i="1"/>
  <c r="BH77" i="1"/>
  <c r="BI77" i="1"/>
  <c r="BJ77" i="1"/>
  <c r="BK77" i="1"/>
  <c r="BL77" i="1"/>
  <c r="BM77" i="1"/>
  <c r="BH78" i="1"/>
  <c r="BI78" i="1"/>
  <c r="BJ78" i="1"/>
  <c r="BK78" i="1"/>
  <c r="BL78" i="1"/>
  <c r="BM78" i="1"/>
  <c r="BH79" i="1"/>
  <c r="BI79" i="1"/>
  <c r="BJ79" i="1"/>
  <c r="BK79" i="1"/>
  <c r="BL79" i="1"/>
  <c r="BM79" i="1"/>
  <c r="BH80" i="1"/>
  <c r="BI80" i="1"/>
  <c r="BJ80" i="1"/>
  <c r="BK80" i="1"/>
  <c r="BL80" i="1"/>
  <c r="BM80" i="1"/>
  <c r="BH81" i="1"/>
  <c r="BI81" i="1"/>
  <c r="BJ81" i="1"/>
  <c r="BK81" i="1"/>
  <c r="BL81" i="1"/>
  <c r="BM81" i="1"/>
  <c r="BH82" i="1"/>
  <c r="BI82" i="1"/>
  <c r="BJ82" i="1"/>
  <c r="BK82" i="1"/>
  <c r="BL82" i="1"/>
  <c r="BM82" i="1"/>
  <c r="BH83" i="1"/>
  <c r="BI83" i="1"/>
  <c r="BJ83" i="1"/>
  <c r="BK83" i="1"/>
  <c r="BL83" i="1"/>
  <c r="BM83" i="1"/>
  <c r="BH84" i="1"/>
  <c r="BI84" i="1"/>
  <c r="BJ84" i="1"/>
  <c r="BK84" i="1"/>
  <c r="BL84" i="1"/>
  <c r="BM84" i="1"/>
  <c r="BH85" i="1"/>
  <c r="BI85" i="1"/>
  <c r="BJ85" i="1"/>
  <c r="BK85" i="1"/>
  <c r="BL85" i="1"/>
  <c r="BM85" i="1"/>
  <c r="BH86" i="1"/>
  <c r="BI86" i="1"/>
  <c r="BJ86" i="1"/>
  <c r="BK86" i="1"/>
  <c r="BL86" i="1"/>
  <c r="BM86" i="1"/>
  <c r="BH87" i="1"/>
  <c r="BI87" i="1"/>
  <c r="BJ87" i="1"/>
  <c r="BK87" i="1"/>
  <c r="BL87" i="1"/>
  <c r="BM87" i="1"/>
  <c r="BH88" i="1"/>
  <c r="BI88" i="1"/>
  <c r="BJ88" i="1"/>
  <c r="BK88" i="1"/>
  <c r="BL88" i="1"/>
  <c r="BM88" i="1"/>
  <c r="BH89" i="1"/>
  <c r="BI89" i="1"/>
  <c r="BJ89" i="1"/>
  <c r="BK89" i="1"/>
  <c r="BL89" i="1"/>
  <c r="BM89" i="1"/>
  <c r="BH90" i="1"/>
  <c r="BI90" i="1"/>
  <c r="BJ90" i="1"/>
  <c r="BK90" i="1"/>
  <c r="BL90" i="1"/>
  <c r="BM90" i="1"/>
  <c r="BH91" i="1"/>
  <c r="BI91" i="1"/>
  <c r="BJ91" i="1"/>
  <c r="BK91" i="1"/>
  <c r="BL91" i="1"/>
  <c r="BM91" i="1"/>
  <c r="BH92" i="1"/>
  <c r="BI92" i="1"/>
  <c r="BJ92" i="1"/>
  <c r="BK92" i="1"/>
  <c r="BL92" i="1"/>
  <c r="BM92" i="1"/>
  <c r="BH93" i="1"/>
  <c r="BI93" i="1"/>
  <c r="BK93" i="1"/>
  <c r="BL93" i="1"/>
  <c r="BM93" i="1"/>
  <c r="BH94" i="1"/>
  <c r="BI94" i="1"/>
  <c r="BK94" i="1"/>
  <c r="BL94" i="1"/>
  <c r="BM94" i="1"/>
  <c r="BH95" i="1"/>
  <c r="BI95" i="1"/>
  <c r="BJ95" i="1"/>
  <c r="BK95" i="1"/>
  <c r="BL95" i="1"/>
  <c r="BM95" i="1"/>
  <c r="BH96" i="1"/>
  <c r="BI96" i="1"/>
  <c r="BK96" i="1"/>
  <c r="BL96" i="1"/>
  <c r="BM96" i="1"/>
  <c r="BH97" i="1"/>
  <c r="BI97" i="1"/>
  <c r="BK97" i="1"/>
  <c r="BL97" i="1"/>
  <c r="BM97" i="1"/>
  <c r="BH98" i="1"/>
  <c r="BI98" i="1"/>
  <c r="BJ98" i="1"/>
  <c r="BK98" i="1"/>
  <c r="BL98" i="1"/>
  <c r="BM98" i="1"/>
  <c r="BH99" i="1"/>
  <c r="BI99" i="1"/>
  <c r="BJ99" i="1"/>
  <c r="BK99" i="1"/>
  <c r="BL99" i="1"/>
  <c r="BM99" i="1"/>
  <c r="BH100" i="1"/>
  <c r="BI100" i="1"/>
  <c r="BJ100" i="1"/>
  <c r="BK100" i="1"/>
  <c r="BL100" i="1"/>
  <c r="BM100" i="1"/>
  <c r="BH101" i="1"/>
  <c r="BI101" i="1"/>
  <c r="BJ101" i="1"/>
  <c r="BK101" i="1"/>
  <c r="BL101" i="1"/>
  <c r="BM101" i="1"/>
  <c r="BH102" i="1"/>
  <c r="BI102" i="1"/>
  <c r="BJ102" i="1"/>
  <c r="BK102" i="1"/>
  <c r="BL102" i="1"/>
  <c r="BM102" i="1"/>
  <c r="BH103" i="1"/>
  <c r="BI103" i="1"/>
  <c r="BJ103" i="1"/>
  <c r="BK103" i="1"/>
  <c r="BL103" i="1"/>
  <c r="BM103" i="1"/>
  <c r="BH104" i="1"/>
  <c r="BI104" i="1"/>
  <c r="BJ104" i="1"/>
  <c r="BK104" i="1"/>
  <c r="BL104" i="1"/>
  <c r="BM104" i="1"/>
  <c r="BH105" i="1"/>
  <c r="BI105" i="1"/>
  <c r="BJ105" i="1"/>
  <c r="BK105" i="1"/>
  <c r="BL105" i="1"/>
  <c r="BM105" i="1"/>
  <c r="BH106" i="1"/>
  <c r="BI106" i="1"/>
  <c r="BJ106" i="1"/>
  <c r="BK106" i="1"/>
  <c r="BL106" i="1"/>
  <c r="BM106" i="1"/>
  <c r="BH107" i="1"/>
  <c r="BI107" i="1"/>
  <c r="BJ107" i="1"/>
  <c r="BK107" i="1"/>
  <c r="BL107" i="1"/>
  <c r="BM107" i="1"/>
  <c r="BH108" i="1"/>
  <c r="BI108" i="1"/>
  <c r="BJ108" i="1"/>
  <c r="BK108" i="1"/>
  <c r="BL108" i="1"/>
  <c r="BM108" i="1"/>
  <c r="BH109" i="1"/>
  <c r="BI109" i="1"/>
  <c r="BJ109" i="1"/>
  <c r="BK109" i="1"/>
  <c r="BL109" i="1"/>
  <c r="BM109" i="1"/>
  <c r="BH110" i="1"/>
  <c r="BI110" i="1"/>
  <c r="BJ110" i="1"/>
  <c r="BK110" i="1"/>
  <c r="BL110" i="1"/>
  <c r="BM110" i="1"/>
  <c r="BH111" i="1"/>
  <c r="BI111" i="1"/>
  <c r="BJ111" i="1"/>
  <c r="BK111" i="1"/>
  <c r="BL111" i="1"/>
  <c r="BM111" i="1"/>
  <c r="BH112" i="1"/>
  <c r="BI112" i="1"/>
  <c r="BJ112" i="1"/>
  <c r="BK112" i="1"/>
  <c r="BL112" i="1"/>
  <c r="BM112" i="1"/>
  <c r="BH113" i="1"/>
  <c r="BI113" i="1"/>
  <c r="BJ113" i="1"/>
  <c r="BK113" i="1"/>
  <c r="BL113" i="1"/>
  <c r="BM113" i="1"/>
  <c r="BH114" i="1"/>
  <c r="BI114" i="1"/>
  <c r="BJ114" i="1"/>
  <c r="BK114" i="1"/>
  <c r="BL114" i="1"/>
  <c r="BM114" i="1"/>
  <c r="BH115" i="1"/>
  <c r="BI115" i="1"/>
  <c r="BJ115" i="1"/>
  <c r="BK115" i="1"/>
  <c r="BL115" i="1"/>
  <c r="BM115" i="1"/>
  <c r="BH116" i="1"/>
  <c r="BI116" i="1"/>
  <c r="BJ116" i="1"/>
  <c r="BK116" i="1"/>
  <c r="BL116" i="1"/>
  <c r="BM116" i="1"/>
  <c r="BH117" i="1"/>
  <c r="BI117" i="1"/>
  <c r="BJ117" i="1"/>
  <c r="BK117" i="1"/>
  <c r="BL117" i="1"/>
  <c r="BM117" i="1"/>
  <c r="BH118" i="1"/>
  <c r="BI118" i="1"/>
  <c r="BJ118" i="1"/>
  <c r="BK118" i="1"/>
  <c r="BL118" i="1"/>
  <c r="BM118" i="1"/>
  <c r="BH119" i="1"/>
  <c r="BI119" i="1"/>
  <c r="BJ119" i="1"/>
  <c r="BK119" i="1"/>
  <c r="BL119" i="1"/>
  <c r="BM119" i="1"/>
  <c r="BH122" i="1"/>
  <c r="BI122" i="1"/>
  <c r="BJ122" i="1"/>
  <c r="BK122" i="1"/>
  <c r="BL122" i="1"/>
  <c r="BM122" i="1"/>
  <c r="BH123" i="1"/>
  <c r="BI123" i="1"/>
  <c r="BJ123" i="1"/>
  <c r="BK123" i="1"/>
  <c r="BL123" i="1"/>
  <c r="BM123" i="1"/>
  <c r="BH124" i="1"/>
  <c r="BI124" i="1"/>
  <c r="BJ124" i="1"/>
  <c r="BK124" i="1"/>
  <c r="BL124" i="1"/>
  <c r="BM124" i="1"/>
  <c r="BH125" i="1"/>
  <c r="BI125" i="1"/>
  <c r="BJ125" i="1"/>
  <c r="BK125" i="1"/>
  <c r="BL125" i="1"/>
  <c r="BM125" i="1"/>
  <c r="BH126" i="1"/>
  <c r="BI126" i="1"/>
  <c r="BJ126" i="1"/>
  <c r="BK126" i="1"/>
  <c r="BL126" i="1"/>
  <c r="BM126" i="1"/>
  <c r="BH127" i="1"/>
  <c r="BI127" i="1"/>
  <c r="BJ127" i="1"/>
  <c r="BK127" i="1"/>
  <c r="BL127" i="1"/>
  <c r="BM127" i="1"/>
  <c r="BH128" i="1"/>
  <c r="BI128" i="1"/>
  <c r="BJ128" i="1"/>
  <c r="BK128" i="1"/>
  <c r="BL128" i="1"/>
  <c r="BM128" i="1"/>
  <c r="BH129" i="1"/>
  <c r="BI129" i="1"/>
  <c r="BJ129" i="1"/>
  <c r="BK129" i="1"/>
  <c r="BL129" i="1"/>
  <c r="BM129" i="1"/>
  <c r="BH130" i="1"/>
  <c r="BI130" i="1"/>
  <c r="BJ130" i="1"/>
  <c r="BK130" i="1"/>
  <c r="BL130" i="1"/>
  <c r="BM130" i="1"/>
  <c r="BH131" i="1"/>
  <c r="BI131" i="1"/>
  <c r="BJ131" i="1"/>
  <c r="BK131" i="1"/>
  <c r="BL131" i="1"/>
  <c r="BM131" i="1"/>
  <c r="BH132" i="1"/>
  <c r="BI132" i="1"/>
  <c r="BJ132" i="1"/>
  <c r="BK132" i="1"/>
  <c r="BL132" i="1"/>
  <c r="BM132" i="1"/>
  <c r="BH133" i="1"/>
  <c r="BI133" i="1"/>
  <c r="BJ133" i="1"/>
  <c r="BK133" i="1"/>
  <c r="BL133" i="1"/>
  <c r="BM133" i="1"/>
  <c r="BH134" i="1"/>
  <c r="BI134" i="1"/>
  <c r="BJ134" i="1"/>
  <c r="BK134" i="1"/>
  <c r="BL134" i="1"/>
  <c r="BM134" i="1"/>
  <c r="BH135" i="1"/>
  <c r="BI135" i="1"/>
  <c r="BJ135" i="1"/>
  <c r="BK135" i="1"/>
  <c r="BL135" i="1"/>
  <c r="BM135" i="1"/>
  <c r="BH136" i="1"/>
  <c r="BI136" i="1"/>
  <c r="BJ136" i="1"/>
  <c r="BK136" i="1"/>
  <c r="BL136" i="1"/>
  <c r="BM136" i="1"/>
  <c r="BH137" i="1"/>
  <c r="BI137" i="1"/>
  <c r="BK137" i="1"/>
  <c r="BL137" i="1"/>
  <c r="BM137" i="1"/>
  <c r="BH138" i="1"/>
  <c r="BI138" i="1"/>
  <c r="BJ138" i="1"/>
  <c r="BK138" i="1"/>
  <c r="BL138" i="1"/>
  <c r="BM138" i="1"/>
  <c r="BH139" i="1"/>
  <c r="BI139" i="1"/>
  <c r="BJ139" i="1"/>
  <c r="BK139" i="1"/>
  <c r="BL139" i="1"/>
  <c r="BM139" i="1"/>
  <c r="BH140" i="1"/>
  <c r="BI140" i="1"/>
  <c r="BJ140" i="1"/>
  <c r="BK140" i="1"/>
  <c r="BL140" i="1"/>
  <c r="BM140" i="1"/>
  <c r="BH141" i="1"/>
  <c r="BI141" i="1"/>
  <c r="BK141" i="1"/>
  <c r="BL141" i="1"/>
  <c r="BM141" i="1"/>
  <c r="BH142" i="1"/>
  <c r="BI142" i="1"/>
  <c r="BK142" i="1"/>
  <c r="BL142" i="1"/>
  <c r="BM142" i="1"/>
  <c r="BH143" i="1"/>
  <c r="BI143" i="1"/>
  <c r="BK143" i="1"/>
  <c r="BL143" i="1"/>
  <c r="BM143" i="1"/>
  <c r="BH144" i="1"/>
  <c r="BI144" i="1"/>
  <c r="BK144" i="1"/>
  <c r="BL144" i="1"/>
  <c r="BM144" i="1"/>
  <c r="BH145" i="1"/>
  <c r="BI145" i="1"/>
  <c r="BK145" i="1"/>
  <c r="BL145" i="1"/>
  <c r="BM145" i="1"/>
  <c r="BH146" i="1"/>
  <c r="BI146" i="1"/>
  <c r="BK146" i="1"/>
  <c r="BL146" i="1"/>
  <c r="BM146" i="1"/>
  <c r="BH147" i="1"/>
  <c r="BI147" i="1"/>
  <c r="BJ147" i="1"/>
  <c r="BK147" i="1"/>
  <c r="BL147" i="1"/>
  <c r="BM147" i="1"/>
  <c r="BH148" i="1"/>
  <c r="BI148" i="1"/>
  <c r="BJ148" i="1"/>
  <c r="BK148" i="1"/>
  <c r="BL148" i="1"/>
  <c r="BM148" i="1"/>
  <c r="BH149" i="1"/>
  <c r="BI149" i="1"/>
  <c r="BJ149" i="1"/>
  <c r="BK149" i="1"/>
  <c r="BL149" i="1"/>
  <c r="BM149" i="1"/>
  <c r="BH153" i="1"/>
  <c r="BI153" i="1"/>
  <c r="BK153" i="1"/>
  <c r="BL153" i="1"/>
  <c r="BM153" i="1"/>
  <c r="BH154" i="1"/>
  <c r="BI154" i="1"/>
  <c r="BK154" i="1"/>
  <c r="BL154" i="1"/>
  <c r="BM154" i="1"/>
  <c r="BH155" i="1"/>
  <c r="BI155" i="1"/>
  <c r="BK155" i="1"/>
  <c r="BL155" i="1"/>
  <c r="BM155" i="1"/>
  <c r="BH156" i="1"/>
  <c r="BI156" i="1"/>
  <c r="BK156" i="1"/>
  <c r="BL156" i="1"/>
  <c r="BM156" i="1"/>
  <c r="BH157" i="1"/>
  <c r="BI157" i="1"/>
  <c r="BJ157" i="1"/>
  <c r="BK157" i="1"/>
  <c r="BL157" i="1"/>
  <c r="BM157" i="1"/>
  <c r="BH158" i="1"/>
  <c r="BI158" i="1"/>
  <c r="BJ158" i="1"/>
  <c r="BK158" i="1"/>
  <c r="BL158" i="1"/>
  <c r="BM158" i="1"/>
  <c r="BH159" i="1"/>
  <c r="BI159" i="1"/>
  <c r="BJ159" i="1"/>
  <c r="BK159" i="1"/>
  <c r="BL159" i="1"/>
  <c r="BM159" i="1"/>
  <c r="BH160" i="1"/>
  <c r="BI160" i="1"/>
  <c r="BJ160" i="1"/>
  <c r="BK160" i="1"/>
  <c r="BL160" i="1"/>
  <c r="BM160" i="1"/>
  <c r="BH161" i="1"/>
  <c r="BI161" i="1"/>
  <c r="BJ161" i="1"/>
  <c r="BK161" i="1"/>
  <c r="BL161" i="1"/>
  <c r="BM161" i="1"/>
  <c r="BH164" i="1"/>
  <c r="BI164" i="1"/>
  <c r="BJ164" i="1"/>
  <c r="BK164" i="1"/>
  <c r="BL164" i="1"/>
  <c r="BM164" i="1"/>
  <c r="BH165" i="1"/>
  <c r="BI165" i="1"/>
  <c r="BJ165" i="1"/>
  <c r="BK165" i="1"/>
  <c r="BL165" i="1"/>
  <c r="BM165" i="1"/>
  <c r="BH166" i="1"/>
  <c r="BI166" i="1"/>
  <c r="BJ166" i="1"/>
  <c r="BK166" i="1"/>
  <c r="BL166" i="1"/>
  <c r="BM166" i="1"/>
  <c r="BH167" i="1"/>
  <c r="BI167" i="1"/>
  <c r="BJ167" i="1"/>
  <c r="BK167" i="1"/>
  <c r="BL167" i="1"/>
  <c r="BM167" i="1"/>
  <c r="BH168" i="1"/>
  <c r="BI168" i="1"/>
  <c r="BJ168" i="1"/>
  <c r="BK168" i="1"/>
  <c r="BL168" i="1"/>
  <c r="BM168" i="1"/>
  <c r="BH169" i="1"/>
  <c r="BI169" i="1"/>
  <c r="BJ169" i="1"/>
  <c r="BK169" i="1"/>
  <c r="BL169" i="1"/>
  <c r="BM169" i="1"/>
  <c r="BH170" i="1"/>
  <c r="BI170" i="1"/>
  <c r="BJ170" i="1"/>
  <c r="BK170" i="1"/>
  <c r="BL170" i="1"/>
  <c r="BM170" i="1"/>
  <c r="BH171" i="1"/>
  <c r="BI171" i="1"/>
  <c r="BJ171" i="1"/>
  <c r="BK171" i="1"/>
  <c r="BL171" i="1"/>
  <c r="BM171" i="1"/>
  <c r="BH172" i="1"/>
  <c r="BI172" i="1"/>
  <c r="BJ172" i="1"/>
  <c r="BK172" i="1"/>
  <c r="BL172" i="1"/>
  <c r="BM172" i="1"/>
  <c r="BH173" i="1"/>
  <c r="BI173" i="1"/>
  <c r="BK173" i="1"/>
  <c r="BL173" i="1"/>
  <c r="BM173" i="1"/>
  <c r="BH174" i="1"/>
  <c r="BI174" i="1"/>
  <c r="BK174" i="1"/>
  <c r="BL174" i="1"/>
  <c r="BM174" i="1"/>
  <c r="BH175" i="1"/>
  <c r="BI175" i="1"/>
  <c r="BJ175" i="1"/>
  <c r="BK175" i="1"/>
  <c r="BL175" i="1"/>
  <c r="BM175" i="1"/>
  <c r="BH176" i="1"/>
  <c r="BI176" i="1"/>
  <c r="BJ176" i="1"/>
  <c r="BK176" i="1"/>
  <c r="BL176" i="1"/>
  <c r="BM176" i="1"/>
  <c r="BH177" i="1"/>
  <c r="BI177" i="1"/>
  <c r="BK177" i="1"/>
  <c r="BL177" i="1"/>
  <c r="BM177" i="1"/>
  <c r="BH178" i="1"/>
  <c r="BI178" i="1"/>
  <c r="BK178" i="1"/>
  <c r="BL178" i="1"/>
  <c r="BM178" i="1"/>
  <c r="BH179" i="1"/>
  <c r="BI179" i="1"/>
  <c r="BJ179" i="1"/>
  <c r="BK179" i="1"/>
  <c r="BL179" i="1"/>
  <c r="BM179" i="1"/>
  <c r="BH180" i="1"/>
  <c r="BI180" i="1"/>
  <c r="BJ180" i="1"/>
  <c r="BK180" i="1"/>
  <c r="BL180" i="1"/>
  <c r="BM180" i="1"/>
  <c r="BH181" i="1"/>
  <c r="BI181" i="1"/>
  <c r="BJ181" i="1"/>
  <c r="BK181" i="1"/>
  <c r="BL181" i="1"/>
  <c r="BM181" i="1"/>
  <c r="BH182" i="1"/>
  <c r="BI182" i="1"/>
  <c r="BJ182" i="1"/>
  <c r="BK182" i="1"/>
  <c r="BL182" i="1"/>
  <c r="BM182" i="1"/>
  <c r="BH183" i="1"/>
  <c r="BI183" i="1"/>
  <c r="BJ183" i="1"/>
  <c r="BK183" i="1"/>
  <c r="BL183" i="1"/>
  <c r="BM183" i="1"/>
  <c r="BH184" i="1"/>
  <c r="BI184" i="1"/>
  <c r="BJ184" i="1"/>
  <c r="BK184" i="1"/>
  <c r="BL184" i="1"/>
  <c r="BM184" i="1"/>
  <c r="BH185" i="1"/>
  <c r="BI185" i="1"/>
  <c r="BK185" i="1"/>
  <c r="BL185" i="1"/>
  <c r="BM185" i="1"/>
  <c r="BH186" i="1"/>
  <c r="BI186" i="1"/>
  <c r="BJ186" i="1"/>
  <c r="BK186" i="1"/>
  <c r="BL186" i="1"/>
  <c r="BM186" i="1"/>
  <c r="BH187" i="1"/>
  <c r="BI187" i="1"/>
  <c r="BJ187" i="1"/>
  <c r="BK187" i="1"/>
  <c r="BL187" i="1"/>
  <c r="BM187" i="1"/>
  <c r="BH188" i="1"/>
  <c r="BI188" i="1"/>
  <c r="BJ188" i="1"/>
  <c r="BK188" i="1"/>
  <c r="BL188" i="1"/>
  <c r="BM188" i="1"/>
  <c r="BH189" i="1"/>
  <c r="BI189" i="1"/>
  <c r="BJ189" i="1"/>
  <c r="BK189" i="1"/>
  <c r="BL189" i="1"/>
  <c r="BM189" i="1"/>
  <c r="BH190" i="1"/>
  <c r="BI190" i="1"/>
  <c r="BJ190" i="1"/>
  <c r="BK190" i="1"/>
  <c r="BL190" i="1"/>
  <c r="BM190" i="1"/>
  <c r="BH191" i="1"/>
  <c r="BI191" i="1"/>
  <c r="BJ191" i="1"/>
  <c r="BK191" i="1"/>
  <c r="BL191" i="1"/>
  <c r="BM191" i="1"/>
  <c r="BH192" i="1"/>
  <c r="BI192" i="1"/>
  <c r="BK192" i="1"/>
  <c r="BL192" i="1"/>
  <c r="BM192" i="1"/>
  <c r="BH193" i="1"/>
  <c r="BI193" i="1"/>
  <c r="BK193" i="1"/>
  <c r="BL193" i="1"/>
  <c r="BM193" i="1"/>
  <c r="BH194" i="1"/>
  <c r="BI194" i="1"/>
  <c r="BK194" i="1"/>
  <c r="BL194" i="1"/>
  <c r="BM194" i="1"/>
  <c r="BH195" i="1"/>
  <c r="BI195" i="1"/>
  <c r="BK195" i="1"/>
  <c r="BL195" i="1"/>
  <c r="BM195" i="1"/>
  <c r="BH196" i="1"/>
  <c r="BI196" i="1"/>
  <c r="BJ196" i="1"/>
  <c r="BK196" i="1"/>
  <c r="BL196" i="1"/>
  <c r="BM196" i="1"/>
  <c r="BH197" i="1"/>
  <c r="BI197" i="1"/>
  <c r="BJ197" i="1"/>
  <c r="BK197" i="1"/>
  <c r="BL197" i="1"/>
  <c r="BM197" i="1"/>
  <c r="BH198" i="1"/>
  <c r="BI198" i="1"/>
  <c r="BJ198" i="1"/>
  <c r="BK198" i="1"/>
  <c r="BL198" i="1"/>
  <c r="BM198" i="1"/>
  <c r="BH199" i="1"/>
  <c r="BI199" i="1"/>
  <c r="BJ199" i="1"/>
  <c r="BK199" i="1"/>
  <c r="BL199" i="1"/>
  <c r="BM199" i="1"/>
  <c r="BH200" i="1"/>
  <c r="BI200" i="1"/>
  <c r="BK200" i="1"/>
  <c r="BL200" i="1"/>
  <c r="BM200" i="1"/>
  <c r="BH201" i="1"/>
  <c r="BI201" i="1"/>
  <c r="BK201" i="1"/>
  <c r="BL201" i="1"/>
  <c r="BM201" i="1"/>
  <c r="BH202" i="1"/>
  <c r="BI202" i="1"/>
  <c r="BK202" i="1"/>
  <c r="BL202" i="1"/>
  <c r="BM202" i="1"/>
  <c r="BH206" i="1"/>
  <c r="BI206" i="1"/>
  <c r="BJ206" i="1"/>
  <c r="BK206" i="1"/>
  <c r="BL206" i="1"/>
  <c r="BM206" i="1"/>
  <c r="BH207" i="1"/>
  <c r="BI207" i="1"/>
  <c r="BJ207" i="1"/>
  <c r="BK207" i="1"/>
  <c r="BL207" i="1"/>
  <c r="BM207" i="1"/>
  <c r="BH208" i="1"/>
  <c r="BI208" i="1"/>
  <c r="BK208" i="1"/>
  <c r="BL208" i="1"/>
  <c r="BM208" i="1"/>
  <c r="BH209" i="1"/>
  <c r="BI209" i="1"/>
  <c r="BK209" i="1"/>
  <c r="BL209" i="1"/>
  <c r="BM209" i="1"/>
  <c r="BH210" i="1"/>
  <c r="BI210" i="1"/>
  <c r="BK210" i="1"/>
  <c r="BL210" i="1"/>
  <c r="BM210" i="1"/>
  <c r="BH211" i="1"/>
  <c r="BI211" i="1"/>
  <c r="BK211" i="1"/>
  <c r="BL211" i="1"/>
  <c r="BM211" i="1"/>
  <c r="BH212" i="1"/>
  <c r="BI212" i="1"/>
  <c r="BK212" i="1"/>
  <c r="BL212" i="1"/>
  <c r="BM212" i="1"/>
  <c r="BH213" i="1"/>
  <c r="BI213" i="1"/>
  <c r="BJ213" i="1"/>
  <c r="BK213" i="1"/>
  <c r="BL213" i="1"/>
  <c r="BM213" i="1"/>
  <c r="BH214" i="1"/>
  <c r="BI214" i="1"/>
  <c r="BJ214" i="1"/>
  <c r="BK214" i="1"/>
  <c r="BL214" i="1"/>
  <c r="BM214" i="1"/>
  <c r="BH215" i="1"/>
  <c r="BI215" i="1"/>
  <c r="BJ215" i="1"/>
  <c r="BK215" i="1"/>
  <c r="BL215" i="1"/>
  <c r="BM215" i="1"/>
  <c r="BH216" i="1"/>
  <c r="BI216" i="1"/>
  <c r="BK216" i="1"/>
  <c r="BL216" i="1"/>
  <c r="BM216" i="1"/>
  <c r="BH217" i="1"/>
  <c r="BI217" i="1"/>
  <c r="BK217" i="1"/>
  <c r="BL217" i="1"/>
  <c r="BM217" i="1"/>
  <c r="BH218" i="1"/>
  <c r="BI218" i="1"/>
  <c r="BK218" i="1"/>
  <c r="BL218" i="1"/>
  <c r="BM218" i="1"/>
  <c r="BH219" i="1"/>
  <c r="BI219" i="1"/>
  <c r="BK219" i="1"/>
  <c r="BL219" i="1"/>
  <c r="BM219" i="1"/>
  <c r="BH220" i="1"/>
  <c r="BI220" i="1"/>
  <c r="BK220" i="1"/>
  <c r="BL220" i="1"/>
  <c r="BM220" i="1"/>
  <c r="BH221" i="1"/>
  <c r="BI221" i="1"/>
  <c r="BK221" i="1"/>
  <c r="BL221" i="1"/>
  <c r="BM221" i="1"/>
  <c r="BH222" i="1"/>
  <c r="BI222" i="1"/>
  <c r="BK222" i="1"/>
  <c r="BL222" i="1"/>
  <c r="BM222" i="1"/>
  <c r="BH223" i="1"/>
  <c r="BI223" i="1"/>
  <c r="BK223" i="1"/>
  <c r="BL223" i="1"/>
  <c r="BM223" i="1"/>
  <c r="BH224" i="1"/>
  <c r="BI224" i="1"/>
  <c r="BJ224" i="1"/>
  <c r="BK224" i="1"/>
  <c r="BL224" i="1"/>
  <c r="BM224" i="1"/>
  <c r="BH225" i="1"/>
  <c r="BI225" i="1"/>
  <c r="BJ225" i="1"/>
  <c r="BK225" i="1"/>
  <c r="BL225" i="1"/>
  <c r="BM225" i="1"/>
  <c r="BH226" i="1"/>
  <c r="BI226" i="1"/>
  <c r="BJ226" i="1"/>
  <c r="BK226" i="1"/>
  <c r="BL226" i="1"/>
  <c r="BM226" i="1"/>
  <c r="BH227" i="1"/>
  <c r="BI227" i="1"/>
  <c r="BJ227" i="1"/>
  <c r="BK227" i="1"/>
  <c r="BL227" i="1"/>
  <c r="BM227" i="1"/>
  <c r="BH228" i="1"/>
  <c r="BI228" i="1"/>
  <c r="BJ228" i="1"/>
  <c r="BK228" i="1"/>
  <c r="BL228" i="1"/>
  <c r="BM228" i="1"/>
  <c r="BH229" i="1"/>
  <c r="BI229" i="1"/>
  <c r="BJ229" i="1"/>
  <c r="BK229" i="1"/>
  <c r="BL229" i="1"/>
  <c r="BM229" i="1"/>
  <c r="BH233" i="1"/>
  <c r="BI233" i="1"/>
  <c r="BJ233" i="1"/>
  <c r="BK233" i="1"/>
  <c r="BL233" i="1"/>
  <c r="BM233" i="1"/>
  <c r="BH234" i="1"/>
  <c r="BI234" i="1"/>
  <c r="BJ234" i="1"/>
  <c r="BK234" i="1"/>
  <c r="BL234" i="1"/>
  <c r="BM234" i="1"/>
  <c r="BH235" i="1"/>
  <c r="BI235" i="1"/>
  <c r="BJ235" i="1"/>
  <c r="BK235" i="1"/>
  <c r="BL235" i="1"/>
  <c r="BM235" i="1"/>
  <c r="BH236" i="1"/>
  <c r="BI236" i="1"/>
  <c r="BJ236" i="1"/>
  <c r="BK236" i="1"/>
  <c r="BL236" i="1"/>
  <c r="BM236" i="1"/>
  <c r="BH237" i="1"/>
  <c r="BI237" i="1"/>
  <c r="BJ237" i="1"/>
  <c r="BK237" i="1"/>
  <c r="BL237" i="1"/>
  <c r="BM237" i="1"/>
  <c r="BH238" i="1"/>
  <c r="BI238" i="1"/>
  <c r="BJ238" i="1"/>
  <c r="BK238" i="1"/>
  <c r="BL238" i="1"/>
  <c r="BM238" i="1"/>
  <c r="BH244" i="1"/>
  <c r="BI244" i="1"/>
  <c r="BJ244" i="1"/>
  <c r="BK244" i="1"/>
  <c r="BL244" i="1"/>
  <c r="BM244" i="1"/>
  <c r="BH245" i="1"/>
  <c r="BI245" i="1"/>
  <c r="BJ245" i="1"/>
  <c r="BK245" i="1"/>
  <c r="BL245" i="1"/>
  <c r="BM245" i="1"/>
  <c r="BH246" i="1"/>
  <c r="BI246" i="1"/>
  <c r="BK246" i="1"/>
  <c r="BL246" i="1"/>
  <c r="BM246" i="1"/>
  <c r="BH247" i="1"/>
  <c r="BI247" i="1"/>
  <c r="BK247" i="1"/>
  <c r="BL247" i="1"/>
  <c r="BM247" i="1"/>
  <c r="BH248" i="1"/>
  <c r="BI248" i="1"/>
  <c r="BJ248" i="1"/>
  <c r="BK248" i="1"/>
  <c r="BL248" i="1"/>
  <c r="BM248" i="1"/>
  <c r="BH249" i="1"/>
  <c r="BI249" i="1"/>
  <c r="BJ249" i="1"/>
  <c r="BK249" i="1"/>
  <c r="BL249" i="1"/>
  <c r="BM249" i="1"/>
  <c r="BH250" i="1"/>
  <c r="BI250" i="1"/>
  <c r="BJ250" i="1"/>
  <c r="BK250" i="1"/>
  <c r="BL250" i="1"/>
  <c r="BM250" i="1"/>
  <c r="BH251" i="1"/>
  <c r="BI251" i="1"/>
  <c r="BJ251" i="1"/>
  <c r="BK251" i="1"/>
  <c r="BL251" i="1"/>
  <c r="BM251" i="1"/>
  <c r="BH252" i="1"/>
  <c r="BI252" i="1"/>
  <c r="BJ252" i="1"/>
  <c r="BK252" i="1"/>
  <c r="BL252" i="1"/>
  <c r="BM252" i="1"/>
  <c r="BH253" i="1"/>
  <c r="BI253" i="1"/>
  <c r="BK253" i="1"/>
  <c r="BL253" i="1"/>
  <c r="BM253" i="1"/>
  <c r="BH254" i="1"/>
  <c r="BI254" i="1"/>
  <c r="BK254" i="1"/>
  <c r="BL254" i="1"/>
  <c r="BM254" i="1"/>
  <c r="BH255" i="1"/>
  <c r="BI255" i="1"/>
  <c r="BK255" i="1"/>
  <c r="BL255" i="1"/>
  <c r="BM255" i="1"/>
  <c r="BH256" i="1"/>
  <c r="BI256" i="1"/>
  <c r="BJ256" i="1"/>
  <c r="BK256" i="1"/>
  <c r="BL256" i="1"/>
  <c r="BM256" i="1"/>
  <c r="BH257" i="1"/>
  <c r="BI257" i="1"/>
  <c r="BJ257" i="1"/>
  <c r="BK257" i="1"/>
  <c r="BL257" i="1"/>
  <c r="BM257" i="1"/>
  <c r="BH259" i="1"/>
  <c r="BI259" i="1"/>
  <c r="BJ259" i="1"/>
  <c r="BK259" i="1"/>
  <c r="BL259" i="1"/>
  <c r="BM259" i="1"/>
  <c r="BH260" i="1"/>
  <c r="BI260" i="1"/>
  <c r="BJ260" i="1"/>
  <c r="BK260" i="1"/>
  <c r="BL260" i="1"/>
  <c r="BM260" i="1"/>
  <c r="BH261" i="1"/>
  <c r="BI261" i="1"/>
  <c r="BJ261" i="1"/>
  <c r="BK261" i="1"/>
  <c r="BL261" i="1"/>
  <c r="BM261" i="1"/>
  <c r="BH262" i="1"/>
  <c r="BI262" i="1"/>
  <c r="BJ262" i="1"/>
  <c r="BK262" i="1"/>
  <c r="BL262" i="1"/>
  <c r="BM262" i="1"/>
  <c r="BH263" i="1"/>
  <c r="BI263" i="1"/>
  <c r="BJ263" i="1"/>
  <c r="BK263" i="1"/>
  <c r="BL263" i="1"/>
  <c r="BM263" i="1"/>
  <c r="BH264" i="1"/>
  <c r="BI264" i="1"/>
  <c r="BJ264" i="1"/>
  <c r="BK264" i="1"/>
  <c r="BL264" i="1"/>
  <c r="BM264" i="1"/>
  <c r="BH265" i="1"/>
  <c r="BI265" i="1"/>
  <c r="BJ265" i="1"/>
  <c r="BK265" i="1"/>
  <c r="BL265" i="1"/>
  <c r="BM265" i="1"/>
  <c r="BH266" i="1"/>
  <c r="BI266" i="1"/>
  <c r="BJ266" i="1"/>
  <c r="BK266" i="1"/>
  <c r="BL266" i="1"/>
  <c r="BM266" i="1"/>
  <c r="BH271" i="1"/>
  <c r="BI271" i="1"/>
  <c r="BJ271" i="1"/>
  <c r="BK271" i="1"/>
  <c r="BL271" i="1"/>
  <c r="BM271" i="1"/>
  <c r="BH273" i="1"/>
  <c r="BI273" i="1"/>
  <c r="BJ273" i="1"/>
  <c r="BK273" i="1"/>
  <c r="BL273" i="1"/>
  <c r="BM273" i="1"/>
  <c r="BH274" i="1"/>
  <c r="BI274" i="1"/>
  <c r="BJ274" i="1"/>
  <c r="BK274" i="1"/>
  <c r="BL274" i="1"/>
  <c r="BM274" i="1"/>
  <c r="BH275" i="1"/>
  <c r="BI275" i="1"/>
  <c r="BK275" i="1"/>
  <c r="BL275" i="1"/>
  <c r="BM275" i="1"/>
  <c r="BH276" i="1"/>
  <c r="BI276" i="1"/>
  <c r="BK276" i="1"/>
  <c r="BL276" i="1"/>
  <c r="BM276" i="1"/>
  <c r="BH277" i="1"/>
  <c r="BI277" i="1"/>
  <c r="BK277" i="1"/>
  <c r="BL277" i="1"/>
  <c r="BM277" i="1"/>
  <c r="BH278" i="1"/>
  <c r="BI278" i="1"/>
  <c r="BJ278" i="1"/>
  <c r="BK278" i="1"/>
  <c r="BL278" i="1"/>
  <c r="BM278" i="1"/>
  <c r="BH279" i="1"/>
  <c r="BI279" i="1"/>
  <c r="BJ279" i="1"/>
  <c r="BK279" i="1"/>
  <c r="BL279" i="1"/>
  <c r="BM279" i="1"/>
  <c r="BH280" i="1"/>
  <c r="BI280" i="1"/>
  <c r="BJ280" i="1"/>
  <c r="BK280" i="1"/>
  <c r="BL280" i="1"/>
  <c r="BM280" i="1"/>
  <c r="BH281" i="1"/>
  <c r="BI281" i="1"/>
  <c r="BJ281" i="1"/>
  <c r="BK281" i="1"/>
  <c r="BL281" i="1"/>
  <c r="BM281" i="1"/>
  <c r="BH282" i="1"/>
  <c r="BI282" i="1"/>
  <c r="BJ282" i="1"/>
  <c r="BK282" i="1"/>
  <c r="BL282" i="1"/>
  <c r="BM282" i="1"/>
  <c r="BH283" i="1"/>
  <c r="BI283" i="1"/>
  <c r="BJ283" i="1"/>
  <c r="BK283" i="1"/>
  <c r="BL283" i="1"/>
  <c r="BM283" i="1"/>
  <c r="BH284" i="1"/>
  <c r="BI284" i="1"/>
  <c r="BK284" i="1"/>
  <c r="BL284" i="1"/>
  <c r="BM284" i="1"/>
  <c r="BH285" i="1"/>
  <c r="BI285" i="1"/>
  <c r="BK285" i="1"/>
  <c r="BL285" i="1"/>
  <c r="BM285" i="1"/>
  <c r="BH286" i="1"/>
  <c r="BI286" i="1"/>
  <c r="BJ286" i="1"/>
  <c r="BK286" i="1"/>
  <c r="BL286" i="1"/>
  <c r="BM286" i="1"/>
  <c r="BH287" i="1"/>
  <c r="BI287" i="1"/>
  <c r="BJ287" i="1"/>
  <c r="BK287" i="1"/>
  <c r="BL287" i="1"/>
  <c r="BM287" i="1"/>
  <c r="BH288" i="1"/>
  <c r="BI288" i="1"/>
  <c r="BJ288" i="1"/>
  <c r="BK288" i="1"/>
  <c r="BL288" i="1"/>
  <c r="BM288" i="1"/>
  <c r="BH289" i="1"/>
  <c r="BI289" i="1"/>
  <c r="BJ289" i="1"/>
  <c r="BK289" i="1"/>
  <c r="BL289" i="1"/>
  <c r="BM289" i="1"/>
  <c r="BH290" i="1"/>
  <c r="BI290" i="1"/>
  <c r="BJ290" i="1"/>
  <c r="BK290" i="1"/>
  <c r="BL290" i="1"/>
  <c r="BM290" i="1"/>
  <c r="BH291" i="1"/>
  <c r="BI291" i="1"/>
  <c r="BJ291" i="1"/>
  <c r="BK291" i="1"/>
  <c r="BL291" i="1"/>
  <c r="BM291" i="1"/>
  <c r="BH292" i="1"/>
  <c r="BI292" i="1"/>
  <c r="BJ292" i="1"/>
  <c r="BK292" i="1"/>
  <c r="BL292" i="1"/>
  <c r="BM292" i="1"/>
  <c r="BH293" i="1"/>
  <c r="BI293" i="1"/>
  <c r="BJ293" i="1"/>
  <c r="BK293" i="1"/>
  <c r="BL293" i="1"/>
  <c r="BM293" i="1"/>
  <c r="BH294" i="1"/>
  <c r="BI294" i="1"/>
  <c r="BJ294" i="1"/>
  <c r="BK294" i="1"/>
  <c r="BL294" i="1"/>
  <c r="BM294" i="1"/>
  <c r="BH295" i="1"/>
  <c r="BI295" i="1"/>
  <c r="BJ295" i="1"/>
  <c r="BK295" i="1"/>
  <c r="BL295" i="1"/>
  <c r="BM295" i="1"/>
  <c r="BH296" i="1"/>
  <c r="BI296" i="1"/>
  <c r="BJ296" i="1"/>
  <c r="BK296" i="1"/>
  <c r="BL296" i="1"/>
  <c r="BM296" i="1"/>
  <c r="BH297" i="1"/>
  <c r="BI297" i="1"/>
  <c r="BJ297" i="1"/>
  <c r="BK297" i="1"/>
  <c r="BL297" i="1"/>
  <c r="BM297" i="1"/>
  <c r="BH298" i="1"/>
  <c r="BI298" i="1"/>
  <c r="BJ298" i="1"/>
  <c r="BK298" i="1"/>
  <c r="BL298" i="1"/>
  <c r="BM298" i="1"/>
  <c r="BH299" i="1"/>
  <c r="BI299" i="1"/>
  <c r="BJ299" i="1"/>
  <c r="BK299" i="1"/>
  <c r="BL299" i="1"/>
  <c r="BM299" i="1"/>
  <c r="BH300" i="1"/>
  <c r="BI300" i="1"/>
  <c r="BJ300" i="1"/>
  <c r="BK300" i="1"/>
  <c r="BL300" i="1"/>
  <c r="BM300" i="1"/>
  <c r="BH301" i="1"/>
  <c r="BI301" i="1"/>
  <c r="BJ301" i="1"/>
  <c r="BK301" i="1"/>
  <c r="BL301" i="1"/>
  <c r="BM301" i="1"/>
  <c r="BH302" i="1"/>
  <c r="BI302" i="1"/>
  <c r="BJ302" i="1"/>
  <c r="BK302" i="1"/>
  <c r="BL302" i="1"/>
  <c r="BM302" i="1"/>
  <c r="BH303" i="1"/>
  <c r="BI303" i="1"/>
  <c r="BJ303" i="1"/>
  <c r="BK303" i="1"/>
  <c r="BL303" i="1"/>
  <c r="BM303" i="1"/>
  <c r="BH304" i="1"/>
  <c r="BI304" i="1"/>
  <c r="BJ304" i="1"/>
  <c r="BK304" i="1"/>
  <c r="BL304" i="1"/>
  <c r="BM304" i="1"/>
  <c r="BH305" i="1"/>
  <c r="BI305" i="1"/>
  <c r="BJ305" i="1"/>
  <c r="BK305" i="1"/>
  <c r="BL305" i="1"/>
  <c r="BM305" i="1"/>
  <c r="BH306" i="1"/>
  <c r="BI306" i="1"/>
  <c r="BJ306" i="1"/>
  <c r="BK306" i="1"/>
  <c r="BL306" i="1"/>
  <c r="BM306" i="1"/>
  <c r="BH308" i="1"/>
  <c r="BI308" i="1"/>
  <c r="BK308" i="1"/>
  <c r="BL308" i="1"/>
  <c r="BM308" i="1"/>
  <c r="BH309" i="1"/>
  <c r="BI309" i="1"/>
  <c r="BK309" i="1"/>
  <c r="BL309" i="1"/>
  <c r="BM309" i="1"/>
  <c r="BH310" i="1"/>
  <c r="BI310" i="1"/>
  <c r="BK310" i="1"/>
  <c r="BL310" i="1"/>
  <c r="BM310" i="1"/>
  <c r="BH311" i="1"/>
  <c r="BI311" i="1"/>
  <c r="BK311" i="1"/>
  <c r="BL311" i="1"/>
  <c r="BM311" i="1"/>
  <c r="BH312" i="1"/>
  <c r="BI312" i="1"/>
  <c r="BJ312" i="1"/>
  <c r="BK312" i="1"/>
  <c r="BL312" i="1"/>
  <c r="BM312" i="1"/>
  <c r="BH313" i="1"/>
  <c r="BI313" i="1"/>
  <c r="BJ313" i="1"/>
  <c r="BK313" i="1"/>
  <c r="BL313" i="1"/>
  <c r="BM313" i="1"/>
  <c r="BH314" i="1"/>
  <c r="BI314" i="1"/>
  <c r="BK314" i="1"/>
  <c r="BL314" i="1"/>
  <c r="BM314" i="1"/>
  <c r="BH316" i="1"/>
  <c r="BI316" i="1"/>
  <c r="BJ316" i="1"/>
  <c r="BK316" i="1"/>
  <c r="BL316" i="1"/>
  <c r="BM316" i="1"/>
  <c r="BH317" i="1"/>
  <c r="BI317" i="1"/>
  <c r="BJ317" i="1"/>
  <c r="BK317" i="1"/>
  <c r="BL317" i="1"/>
  <c r="BM317" i="1"/>
  <c r="BH321" i="1"/>
  <c r="BI321" i="1"/>
  <c r="BJ321" i="1"/>
  <c r="BK321" i="1"/>
  <c r="BL321" i="1"/>
  <c r="BM321" i="1"/>
  <c r="BH325" i="1"/>
  <c r="BI325" i="1"/>
  <c r="BJ325" i="1"/>
  <c r="BK325" i="1"/>
  <c r="BL325" i="1"/>
  <c r="BM325" i="1"/>
  <c r="BH326" i="1"/>
  <c r="BI326" i="1"/>
  <c r="BJ326" i="1"/>
  <c r="BK326" i="1"/>
  <c r="BL326" i="1"/>
  <c r="BM326" i="1"/>
  <c r="BH327" i="1"/>
  <c r="BI327" i="1"/>
  <c r="BJ327" i="1"/>
  <c r="BK327" i="1"/>
  <c r="BL327" i="1"/>
  <c r="BM327" i="1"/>
  <c r="BH328" i="1"/>
  <c r="BI328" i="1"/>
  <c r="BJ328" i="1"/>
  <c r="BK328" i="1"/>
  <c r="BL328" i="1"/>
  <c r="BM328" i="1"/>
  <c r="BH329" i="1"/>
  <c r="BI329" i="1"/>
  <c r="BJ329" i="1"/>
  <c r="BK329" i="1"/>
  <c r="BL329" i="1"/>
  <c r="BM329" i="1"/>
  <c r="BH330" i="1"/>
  <c r="BI330" i="1"/>
  <c r="BJ330" i="1"/>
  <c r="BK330" i="1"/>
  <c r="BL330" i="1"/>
  <c r="BM330" i="1"/>
  <c r="BH331" i="1"/>
  <c r="BI331" i="1"/>
  <c r="BJ331" i="1"/>
  <c r="BK331" i="1"/>
  <c r="BL331" i="1"/>
  <c r="BM331" i="1"/>
  <c r="BH332" i="1"/>
  <c r="BI332" i="1"/>
  <c r="BJ332" i="1"/>
  <c r="BK332" i="1"/>
  <c r="BL332" i="1"/>
  <c r="BM332" i="1"/>
  <c r="BH333" i="1"/>
  <c r="BI333" i="1"/>
  <c r="BJ333" i="1"/>
  <c r="BK333" i="1"/>
  <c r="BL333" i="1"/>
  <c r="BM333" i="1"/>
  <c r="BH335" i="1"/>
  <c r="BI335" i="1"/>
  <c r="BK335" i="1"/>
  <c r="BL335" i="1"/>
  <c r="BM335" i="1"/>
  <c r="BH336" i="1"/>
  <c r="BI336" i="1"/>
  <c r="BK336" i="1"/>
  <c r="BL336" i="1"/>
  <c r="BM336" i="1"/>
  <c r="BH337" i="1"/>
  <c r="BI337" i="1"/>
  <c r="BJ337" i="1"/>
  <c r="BK337" i="1"/>
  <c r="BL337" i="1"/>
  <c r="BM337" i="1"/>
  <c r="BH338" i="1"/>
  <c r="BI338" i="1"/>
  <c r="BJ338" i="1"/>
  <c r="BK338" i="1"/>
  <c r="BL338" i="1"/>
  <c r="BM338" i="1"/>
  <c r="BH339" i="1"/>
  <c r="BI339" i="1"/>
  <c r="BK339" i="1"/>
  <c r="BL339" i="1"/>
  <c r="BM339" i="1"/>
  <c r="BH340" i="1"/>
  <c r="BI340" i="1"/>
  <c r="BK340" i="1"/>
  <c r="BL340" i="1"/>
  <c r="BM340" i="1"/>
  <c r="BH341" i="1"/>
  <c r="BI341" i="1"/>
  <c r="BK341" i="1"/>
  <c r="BL341" i="1"/>
  <c r="BM341" i="1"/>
  <c r="BH342" i="1"/>
  <c r="BI342" i="1"/>
  <c r="BK342" i="1"/>
  <c r="BL342" i="1"/>
  <c r="BM342" i="1"/>
  <c r="BH343" i="1"/>
  <c r="BI343" i="1"/>
  <c r="BJ343" i="1"/>
  <c r="BK343" i="1"/>
  <c r="BL343" i="1"/>
  <c r="BM343" i="1"/>
  <c r="BH344" i="1"/>
  <c r="BI344" i="1"/>
  <c r="BJ344" i="1"/>
  <c r="BK344" i="1"/>
  <c r="BL344" i="1"/>
  <c r="BM344" i="1"/>
  <c r="BH345" i="1"/>
  <c r="BI345" i="1"/>
  <c r="BJ345" i="1"/>
  <c r="BK345" i="1"/>
  <c r="BL345" i="1"/>
  <c r="BM345" i="1"/>
  <c r="BH346" i="1"/>
  <c r="BI346" i="1"/>
  <c r="BK346" i="1"/>
  <c r="BL346" i="1"/>
  <c r="BM346" i="1"/>
  <c r="BH347" i="1"/>
  <c r="BI347" i="1"/>
  <c r="BJ347" i="1"/>
  <c r="BK347" i="1"/>
  <c r="BL347" i="1"/>
  <c r="BM347" i="1"/>
  <c r="BH348" i="1"/>
  <c r="BI348" i="1"/>
  <c r="BJ348" i="1"/>
  <c r="BK348" i="1"/>
  <c r="BL348" i="1"/>
  <c r="BM348" i="1"/>
  <c r="BH349" i="1"/>
  <c r="BI349" i="1"/>
  <c r="BJ349" i="1"/>
  <c r="BK349" i="1"/>
  <c r="BL349" i="1"/>
  <c r="BM349" i="1"/>
  <c r="BH350" i="1"/>
  <c r="BI350" i="1"/>
  <c r="BJ350" i="1"/>
  <c r="BK350" i="1"/>
  <c r="BL350" i="1"/>
  <c r="BM350" i="1"/>
  <c r="BH351" i="1"/>
  <c r="BI351" i="1"/>
  <c r="BK351" i="1"/>
  <c r="BL351" i="1"/>
  <c r="BM351" i="1"/>
  <c r="BH352" i="1"/>
  <c r="BI352" i="1"/>
  <c r="BJ352" i="1"/>
  <c r="BK352" i="1"/>
  <c r="BL352" i="1"/>
  <c r="BM352" i="1"/>
  <c r="BH353" i="1"/>
  <c r="BI353" i="1"/>
  <c r="BJ353" i="1"/>
  <c r="BK353" i="1"/>
  <c r="BL353" i="1"/>
  <c r="BM353" i="1"/>
  <c r="BH354" i="1"/>
  <c r="BI354" i="1"/>
  <c r="BJ354" i="1"/>
  <c r="BK354" i="1"/>
  <c r="BL354" i="1"/>
  <c r="BM354" i="1"/>
  <c r="BH356" i="1"/>
  <c r="BI356" i="1"/>
  <c r="BJ356" i="1"/>
  <c r="BK356" i="1"/>
  <c r="BL356" i="1"/>
  <c r="BM356" i="1"/>
  <c r="BH357" i="1"/>
  <c r="BI357" i="1"/>
  <c r="BJ357" i="1"/>
  <c r="BK357" i="1"/>
  <c r="BL357" i="1"/>
  <c r="BM357" i="1"/>
  <c r="BH358" i="1"/>
  <c r="BI358" i="1"/>
  <c r="BJ358" i="1"/>
  <c r="BK358" i="1"/>
  <c r="BL358" i="1"/>
  <c r="BM358" i="1"/>
  <c r="BH359" i="1"/>
  <c r="BI359" i="1"/>
  <c r="BJ359" i="1"/>
  <c r="BK359" i="1"/>
  <c r="BL359" i="1"/>
  <c r="BM359" i="1"/>
  <c r="BH360" i="1"/>
  <c r="BI360" i="1"/>
  <c r="BJ360" i="1"/>
  <c r="BK360" i="1"/>
  <c r="BL360" i="1"/>
  <c r="BM360" i="1"/>
  <c r="BH361" i="1"/>
  <c r="BI361" i="1"/>
  <c r="BJ361" i="1"/>
  <c r="BK361" i="1"/>
  <c r="BL361" i="1"/>
  <c r="BM361" i="1"/>
  <c r="BH362" i="1"/>
  <c r="BI362" i="1"/>
  <c r="BJ362" i="1"/>
  <c r="BK362" i="1"/>
  <c r="BL362" i="1"/>
  <c r="BM362" i="1"/>
  <c r="BH363" i="1"/>
  <c r="BI363" i="1"/>
  <c r="BJ363" i="1"/>
  <c r="BK363" i="1"/>
  <c r="BL363" i="1"/>
  <c r="BM363" i="1"/>
  <c r="BH364" i="1"/>
  <c r="BI364" i="1"/>
  <c r="BJ364" i="1"/>
  <c r="BK364" i="1"/>
  <c r="BL364" i="1"/>
  <c r="BM364" i="1"/>
  <c r="BH365" i="1"/>
  <c r="BI365" i="1"/>
  <c r="BJ365" i="1"/>
  <c r="BK365" i="1"/>
  <c r="BL365" i="1"/>
  <c r="BM365" i="1"/>
  <c r="BH366" i="1"/>
  <c r="BI366" i="1"/>
  <c r="BJ366" i="1"/>
  <c r="BK366" i="1"/>
  <c r="BL366" i="1"/>
  <c r="BM366" i="1"/>
  <c r="BH367" i="1"/>
  <c r="BI367" i="1"/>
  <c r="BJ367" i="1"/>
  <c r="BK367" i="1"/>
  <c r="BL367" i="1"/>
  <c r="BM367" i="1"/>
  <c r="BH368" i="1"/>
  <c r="BI368" i="1"/>
  <c r="BJ368" i="1"/>
  <c r="BK368" i="1"/>
  <c r="BL368" i="1"/>
  <c r="BM368" i="1"/>
  <c r="BH369" i="1"/>
  <c r="BI369" i="1"/>
  <c r="BJ369" i="1"/>
  <c r="BK369" i="1"/>
  <c r="BL369" i="1"/>
  <c r="BM369" i="1"/>
  <c r="BH370" i="1"/>
  <c r="BI370" i="1"/>
  <c r="BJ370" i="1"/>
  <c r="BK370" i="1"/>
  <c r="BL370" i="1"/>
  <c r="BM370" i="1"/>
  <c r="BH371" i="1"/>
  <c r="BI371" i="1"/>
  <c r="BJ371" i="1"/>
  <c r="BK371" i="1"/>
  <c r="BL371" i="1"/>
  <c r="BM371" i="1"/>
  <c r="BH372" i="1"/>
  <c r="BI372" i="1"/>
  <c r="BJ372" i="1"/>
  <c r="BK372" i="1"/>
  <c r="BL372" i="1"/>
  <c r="BM372" i="1"/>
  <c r="BH373" i="1"/>
  <c r="BI373" i="1"/>
  <c r="BJ373" i="1"/>
  <c r="BK373" i="1"/>
  <c r="BL373" i="1"/>
  <c r="BM373" i="1"/>
  <c r="BH374" i="1"/>
  <c r="BI374" i="1"/>
  <c r="BJ374" i="1"/>
  <c r="BK374" i="1"/>
  <c r="BL374" i="1"/>
  <c r="BM374" i="1"/>
  <c r="BH375" i="1"/>
  <c r="BI375" i="1"/>
  <c r="BJ375" i="1"/>
  <c r="BK375" i="1"/>
  <c r="BL375" i="1"/>
  <c r="BM375" i="1"/>
  <c r="BH376" i="1"/>
  <c r="BI376" i="1"/>
  <c r="BJ376" i="1"/>
  <c r="BK376" i="1"/>
  <c r="BL376" i="1"/>
  <c r="BM376" i="1"/>
  <c r="BH377" i="1"/>
  <c r="BI377" i="1"/>
  <c r="BJ377" i="1"/>
  <c r="BK377" i="1"/>
  <c r="BL377" i="1"/>
  <c r="BM377" i="1"/>
  <c r="BH378" i="1"/>
  <c r="BI378" i="1"/>
  <c r="BJ378" i="1"/>
  <c r="BK378" i="1"/>
  <c r="BL378" i="1"/>
  <c r="BM378" i="1"/>
  <c r="BH379" i="1"/>
  <c r="BI379" i="1"/>
  <c r="BJ379" i="1"/>
  <c r="BK379" i="1"/>
  <c r="BL379" i="1"/>
  <c r="BM379" i="1"/>
  <c r="BH380" i="1"/>
  <c r="BI380" i="1"/>
  <c r="BJ380" i="1"/>
  <c r="BK380" i="1"/>
  <c r="BL380" i="1"/>
  <c r="BM380" i="1"/>
  <c r="BH383" i="1"/>
  <c r="BI383" i="1"/>
  <c r="BJ383" i="1"/>
  <c r="BK383" i="1"/>
  <c r="BL383" i="1"/>
  <c r="BM383" i="1"/>
  <c r="BH384" i="1"/>
  <c r="BI384" i="1"/>
  <c r="BJ384" i="1"/>
  <c r="BK384" i="1"/>
  <c r="BL384" i="1"/>
  <c r="BM384" i="1"/>
  <c r="BH385" i="1"/>
  <c r="BI385" i="1"/>
  <c r="BK385" i="1"/>
  <c r="BL385" i="1"/>
  <c r="BM385" i="1"/>
  <c r="BH390" i="1"/>
  <c r="BI390" i="1"/>
  <c r="BK390" i="1"/>
  <c r="BL390" i="1"/>
  <c r="BM390" i="1"/>
  <c r="BH391" i="1"/>
  <c r="BI391" i="1"/>
  <c r="BK391" i="1"/>
  <c r="BL391" i="1"/>
  <c r="BM391" i="1"/>
  <c r="BH392" i="1"/>
  <c r="BI392" i="1"/>
  <c r="BJ392" i="1"/>
  <c r="BK392" i="1"/>
  <c r="BL392" i="1"/>
  <c r="BM392" i="1"/>
  <c r="BH393" i="1"/>
  <c r="BI393" i="1"/>
  <c r="BJ393" i="1"/>
  <c r="BK393" i="1"/>
  <c r="BL393" i="1"/>
  <c r="BM393" i="1"/>
  <c r="BH394" i="1"/>
  <c r="BI394" i="1"/>
  <c r="BJ394" i="1"/>
  <c r="BK394" i="1"/>
  <c r="BL394" i="1"/>
  <c r="BM394" i="1"/>
  <c r="BH395" i="1"/>
  <c r="BI395" i="1"/>
  <c r="BJ395" i="1"/>
  <c r="BK395" i="1"/>
  <c r="BL395" i="1"/>
  <c r="BM395" i="1"/>
  <c r="BH396" i="1"/>
  <c r="BI396" i="1"/>
  <c r="BJ396" i="1"/>
  <c r="BK396" i="1"/>
  <c r="BL396" i="1"/>
  <c r="BM396" i="1"/>
  <c r="BH397" i="1"/>
  <c r="BI397" i="1"/>
  <c r="BJ397" i="1"/>
  <c r="BK397" i="1"/>
  <c r="BL397" i="1"/>
  <c r="BM397" i="1"/>
  <c r="BH398" i="1"/>
  <c r="BI398" i="1"/>
  <c r="BK398" i="1"/>
  <c r="BL398" i="1"/>
  <c r="BM398" i="1"/>
  <c r="BH399" i="1"/>
  <c r="BI399" i="1"/>
  <c r="BK399" i="1"/>
  <c r="BL399" i="1"/>
  <c r="BM399" i="1"/>
  <c r="BH405" i="1"/>
  <c r="BI405" i="1"/>
  <c r="BJ405" i="1"/>
  <c r="BK405" i="1"/>
  <c r="BL405" i="1"/>
  <c r="BM405" i="1"/>
  <c r="BH406" i="1"/>
  <c r="BI406" i="1"/>
  <c r="BJ406" i="1"/>
  <c r="BK406" i="1"/>
  <c r="BL406" i="1"/>
  <c r="BM406" i="1"/>
  <c r="BH407" i="1"/>
  <c r="BI407" i="1"/>
  <c r="BJ407" i="1"/>
  <c r="BK407" i="1"/>
  <c r="BL407" i="1"/>
  <c r="BM407" i="1"/>
  <c r="BH408" i="1"/>
  <c r="BI408" i="1"/>
  <c r="BJ408" i="1"/>
  <c r="BK408" i="1"/>
  <c r="BL408" i="1"/>
  <c r="BM408" i="1"/>
  <c r="BH409" i="1"/>
  <c r="BI409" i="1"/>
  <c r="BJ409" i="1"/>
  <c r="BK409" i="1"/>
  <c r="BL409" i="1"/>
  <c r="BM409" i="1"/>
  <c r="BH410" i="1"/>
  <c r="BI410" i="1"/>
  <c r="BJ410" i="1"/>
  <c r="BK410" i="1"/>
  <c r="BL410" i="1"/>
  <c r="BM410" i="1"/>
  <c r="BH411" i="1"/>
  <c r="BI411" i="1"/>
  <c r="BK411" i="1"/>
  <c r="BL411" i="1"/>
  <c r="BM411" i="1"/>
  <c r="BH412" i="1"/>
  <c r="BI412" i="1"/>
  <c r="BK412" i="1"/>
  <c r="BL412" i="1"/>
  <c r="BM412" i="1"/>
  <c r="BH414" i="1"/>
  <c r="BI414" i="1"/>
  <c r="BJ414" i="1"/>
  <c r="BK414" i="1"/>
  <c r="BL414" i="1"/>
  <c r="BM414" i="1"/>
  <c r="BH415" i="1"/>
  <c r="BI415" i="1"/>
  <c r="BJ415" i="1"/>
  <c r="BK415" i="1"/>
  <c r="BL415" i="1"/>
  <c r="BM415" i="1"/>
  <c r="BH416" i="1"/>
  <c r="BI416" i="1"/>
  <c r="BJ416" i="1"/>
  <c r="BK416" i="1"/>
  <c r="BL416" i="1"/>
  <c r="BM416" i="1"/>
  <c r="BH417" i="1"/>
  <c r="BI417" i="1"/>
  <c r="BJ417" i="1"/>
  <c r="BK417" i="1"/>
  <c r="BL417" i="1"/>
  <c r="BM417" i="1"/>
  <c r="BH418" i="1"/>
  <c r="BI418" i="1"/>
  <c r="BK418" i="1"/>
  <c r="BL418" i="1"/>
  <c r="BM418" i="1"/>
  <c r="BH419" i="1"/>
  <c r="BI419" i="1"/>
  <c r="BK419" i="1"/>
  <c r="BL419" i="1"/>
  <c r="BM419" i="1"/>
  <c r="BH420" i="1"/>
  <c r="BI420" i="1"/>
  <c r="BJ420" i="1"/>
  <c r="BK420" i="1"/>
  <c r="BL420" i="1"/>
  <c r="BM420" i="1"/>
  <c r="BH421" i="1"/>
  <c r="BI421" i="1"/>
  <c r="BJ421" i="1"/>
  <c r="BK421" i="1"/>
  <c r="BL421" i="1"/>
  <c r="BM421" i="1"/>
  <c r="BH422" i="1"/>
  <c r="BI422" i="1"/>
  <c r="BJ422" i="1"/>
  <c r="BK422" i="1"/>
  <c r="BL422" i="1"/>
  <c r="BM422" i="1"/>
  <c r="BH423" i="1"/>
  <c r="BI423" i="1"/>
  <c r="BJ423" i="1"/>
  <c r="BK423" i="1"/>
  <c r="BL423" i="1"/>
  <c r="BM423" i="1"/>
  <c r="BH424" i="1"/>
  <c r="BI424" i="1"/>
  <c r="BJ424" i="1"/>
  <c r="BK424" i="1"/>
  <c r="BL424" i="1"/>
  <c r="BM424" i="1"/>
  <c r="BH425" i="1"/>
  <c r="BI425" i="1"/>
  <c r="BK425" i="1"/>
  <c r="BL425" i="1"/>
  <c r="BM425" i="1"/>
  <c r="BH426" i="1"/>
  <c r="BI426" i="1"/>
  <c r="BK426" i="1"/>
  <c r="BL426" i="1"/>
  <c r="BM426" i="1"/>
  <c r="BH427" i="1"/>
  <c r="BI427" i="1"/>
  <c r="BJ427" i="1"/>
  <c r="BK427" i="1"/>
  <c r="BL427" i="1"/>
  <c r="BM427" i="1"/>
  <c r="BH428" i="1"/>
  <c r="BI428" i="1"/>
  <c r="BJ428" i="1"/>
  <c r="BK428" i="1"/>
  <c r="BL428" i="1"/>
  <c r="BM428" i="1"/>
  <c r="BH429" i="1"/>
  <c r="BI429" i="1"/>
  <c r="BJ429" i="1"/>
  <c r="BK429" i="1"/>
  <c r="BL429" i="1"/>
  <c r="BM429" i="1"/>
  <c r="BH430" i="1"/>
  <c r="BI430" i="1"/>
  <c r="BJ430" i="1"/>
  <c r="BK430" i="1"/>
  <c r="BL430" i="1"/>
  <c r="BM430" i="1"/>
  <c r="BH431" i="1"/>
  <c r="BI431" i="1"/>
  <c r="BJ431" i="1"/>
  <c r="BK431" i="1"/>
  <c r="BL431" i="1"/>
  <c r="BM431" i="1"/>
  <c r="BH432" i="1"/>
  <c r="BI432" i="1"/>
  <c r="BJ432" i="1"/>
  <c r="BK432" i="1"/>
  <c r="BL432" i="1"/>
  <c r="BM432" i="1"/>
  <c r="BH435" i="1"/>
  <c r="BI435" i="1"/>
  <c r="BJ435" i="1"/>
  <c r="BK435" i="1"/>
  <c r="BL435" i="1"/>
  <c r="BM435" i="1"/>
  <c r="BH437" i="1"/>
  <c r="BI437" i="1"/>
  <c r="BJ437" i="1"/>
  <c r="BK437" i="1"/>
  <c r="BL437" i="1"/>
  <c r="BM437" i="1"/>
  <c r="BH438" i="1"/>
  <c r="BI438" i="1"/>
  <c r="BK438" i="1"/>
  <c r="BL438" i="1"/>
  <c r="BM438" i="1"/>
  <c r="BH439" i="1"/>
  <c r="BI439" i="1"/>
  <c r="BK439" i="1"/>
  <c r="BL439" i="1"/>
  <c r="BM439" i="1"/>
  <c r="BH440" i="1"/>
  <c r="BI440" i="1"/>
  <c r="BK440" i="1"/>
  <c r="BL440" i="1"/>
  <c r="BM440" i="1"/>
  <c r="BH441" i="1"/>
  <c r="BI441" i="1"/>
  <c r="BJ441" i="1"/>
  <c r="BK441" i="1"/>
  <c r="BL441" i="1"/>
  <c r="BM441" i="1"/>
  <c r="BH442" i="1"/>
  <c r="BI442" i="1"/>
  <c r="BJ442" i="1"/>
  <c r="BK442" i="1"/>
  <c r="BL442" i="1"/>
  <c r="BM442" i="1"/>
  <c r="BH443" i="1"/>
  <c r="BI443" i="1"/>
  <c r="BJ443" i="1"/>
  <c r="BK443" i="1"/>
  <c r="BL443" i="1"/>
  <c r="BM443" i="1"/>
  <c r="BH444" i="1"/>
  <c r="BI444" i="1"/>
  <c r="BJ444" i="1"/>
  <c r="BK444" i="1"/>
  <c r="BL444" i="1"/>
  <c r="BM444" i="1"/>
  <c r="BH445" i="1"/>
  <c r="BI445" i="1"/>
  <c r="BJ445" i="1"/>
  <c r="BK445" i="1"/>
  <c r="BL445" i="1"/>
  <c r="BM445" i="1"/>
  <c r="BH446" i="1"/>
  <c r="BI446" i="1"/>
  <c r="BJ446" i="1"/>
  <c r="BK446" i="1"/>
  <c r="BL446" i="1"/>
  <c r="BM446" i="1"/>
  <c r="BH447" i="1"/>
  <c r="BI447" i="1"/>
  <c r="BJ447" i="1"/>
  <c r="BK447" i="1"/>
  <c r="BL447" i="1"/>
  <c r="BM447" i="1"/>
  <c r="BH448" i="1"/>
  <c r="BI448" i="1"/>
  <c r="BJ448" i="1"/>
  <c r="BK448" i="1"/>
  <c r="BL448" i="1"/>
  <c r="BM448" i="1"/>
  <c r="BH449" i="1"/>
  <c r="BI449" i="1"/>
  <c r="BK449" i="1"/>
  <c r="BL449" i="1"/>
  <c r="BM449" i="1"/>
  <c r="BH450" i="1"/>
  <c r="BI450" i="1"/>
  <c r="BK450" i="1"/>
  <c r="BL450" i="1"/>
  <c r="BM450" i="1"/>
  <c r="BH451" i="1"/>
  <c r="BI451" i="1"/>
  <c r="BK451" i="1"/>
  <c r="BL451" i="1"/>
  <c r="BM451" i="1"/>
  <c r="BH452" i="1"/>
  <c r="BI452" i="1"/>
  <c r="BK452" i="1"/>
  <c r="BL452" i="1"/>
  <c r="BM452" i="1"/>
  <c r="BH453" i="1"/>
  <c r="BI453" i="1"/>
  <c r="BK453" i="1"/>
  <c r="BL453" i="1"/>
  <c r="BM453" i="1"/>
  <c r="BH454" i="1"/>
  <c r="BI454" i="1"/>
  <c r="BK454" i="1"/>
  <c r="BL454" i="1"/>
  <c r="BM454" i="1"/>
  <c r="BH455" i="1"/>
  <c r="BI455" i="1"/>
  <c r="BK455" i="1"/>
  <c r="BL455" i="1"/>
  <c r="BM455" i="1"/>
  <c r="BH456" i="1"/>
  <c r="BI456" i="1"/>
  <c r="BJ456" i="1"/>
  <c r="BK456" i="1"/>
  <c r="BL456" i="1"/>
  <c r="BM456" i="1"/>
  <c r="BH457" i="1"/>
  <c r="BI457" i="1"/>
  <c r="BJ457" i="1"/>
  <c r="BK457" i="1"/>
  <c r="BL457" i="1"/>
  <c r="BM457" i="1"/>
  <c r="BH458" i="1"/>
  <c r="BI458" i="1"/>
  <c r="BJ458" i="1"/>
  <c r="BK458" i="1"/>
  <c r="BL458" i="1"/>
  <c r="BM458" i="1"/>
  <c r="BH459" i="1"/>
  <c r="BI459" i="1"/>
  <c r="BJ459" i="1"/>
  <c r="BK459" i="1"/>
  <c r="BL459" i="1"/>
  <c r="BM459" i="1"/>
  <c r="BH460" i="1"/>
  <c r="BI460" i="1"/>
  <c r="BJ460" i="1"/>
  <c r="BK460" i="1"/>
  <c r="BL460" i="1"/>
  <c r="BM460" i="1"/>
  <c r="BH461" i="1"/>
  <c r="BI461" i="1"/>
  <c r="BJ461" i="1"/>
  <c r="BK461" i="1"/>
  <c r="BL461" i="1"/>
  <c r="BM461" i="1"/>
  <c r="BH462" i="1"/>
  <c r="BI462" i="1"/>
  <c r="BJ462" i="1"/>
  <c r="BK462" i="1"/>
  <c r="BL462" i="1"/>
  <c r="BM462" i="1"/>
  <c r="BH463" i="1"/>
  <c r="BI463" i="1"/>
  <c r="BJ463" i="1"/>
  <c r="BK463" i="1"/>
  <c r="BL463" i="1"/>
  <c r="BM463" i="1"/>
  <c r="BH464" i="1"/>
  <c r="BI464" i="1"/>
  <c r="BJ464" i="1"/>
  <c r="BK464" i="1"/>
  <c r="BL464" i="1"/>
  <c r="BM464" i="1"/>
  <c r="BH465" i="1"/>
  <c r="BI465" i="1"/>
  <c r="BJ465" i="1"/>
  <c r="BK465" i="1"/>
  <c r="BL465" i="1"/>
  <c r="BM465" i="1"/>
  <c r="BH466" i="1"/>
  <c r="BI466" i="1"/>
  <c r="BJ466" i="1"/>
  <c r="BK466" i="1"/>
  <c r="BL466" i="1"/>
  <c r="BM466" i="1"/>
  <c r="BH467" i="1"/>
  <c r="BI467" i="1"/>
  <c r="BJ467" i="1"/>
  <c r="BK467" i="1"/>
  <c r="BL467" i="1"/>
  <c r="BM467" i="1"/>
  <c r="BH468" i="1"/>
  <c r="BI468" i="1"/>
  <c r="BJ468" i="1"/>
  <c r="BK468" i="1"/>
  <c r="BL468" i="1"/>
  <c r="BM468" i="1"/>
  <c r="BH469" i="1"/>
  <c r="BI469" i="1"/>
  <c r="BK469" i="1"/>
  <c r="BL469" i="1"/>
  <c r="BM469" i="1"/>
  <c r="BH470" i="1"/>
  <c r="BI470" i="1"/>
  <c r="BK470" i="1"/>
  <c r="BL470" i="1"/>
  <c r="BM470" i="1"/>
  <c r="BH471" i="1"/>
  <c r="BI471" i="1"/>
  <c r="BJ471" i="1"/>
  <c r="BK471" i="1"/>
  <c r="BL471" i="1"/>
  <c r="BM471" i="1"/>
  <c r="BH472" i="1"/>
  <c r="BI472" i="1"/>
  <c r="BJ472" i="1"/>
  <c r="BK472" i="1"/>
  <c r="BL472" i="1"/>
  <c r="BM472" i="1"/>
  <c r="BH473" i="1"/>
  <c r="BI473" i="1"/>
  <c r="BJ473" i="1"/>
  <c r="BK473" i="1"/>
  <c r="BL473" i="1"/>
  <c r="BM473" i="1"/>
  <c r="BH474" i="1"/>
  <c r="BI474" i="1"/>
  <c r="BJ474" i="1"/>
  <c r="BK474" i="1"/>
  <c r="BL474" i="1"/>
  <c r="BM474" i="1"/>
  <c r="BH475" i="1"/>
  <c r="BI475" i="1"/>
  <c r="BJ475" i="1"/>
  <c r="BK475" i="1"/>
  <c r="BL475" i="1"/>
  <c r="BM475" i="1"/>
  <c r="BH476" i="1"/>
  <c r="BI476" i="1"/>
  <c r="BJ476" i="1"/>
  <c r="BK476" i="1"/>
  <c r="BL476" i="1"/>
  <c r="BM476" i="1"/>
  <c r="BH477" i="1"/>
  <c r="BI477" i="1"/>
  <c r="BJ477" i="1"/>
  <c r="BK477" i="1"/>
  <c r="BL477" i="1"/>
  <c r="BM477" i="1"/>
  <c r="BH478" i="1"/>
  <c r="BI478" i="1"/>
  <c r="BJ478" i="1"/>
  <c r="BK478" i="1"/>
  <c r="BL478" i="1"/>
  <c r="BM478" i="1"/>
  <c r="BH479" i="1"/>
  <c r="BI479" i="1"/>
  <c r="BJ479" i="1"/>
  <c r="BK479" i="1"/>
  <c r="BL479" i="1"/>
  <c r="BM479" i="1"/>
  <c r="BH480" i="1"/>
  <c r="BI480" i="1"/>
  <c r="BJ480" i="1"/>
  <c r="BK480" i="1"/>
  <c r="BL480" i="1"/>
  <c r="BM480" i="1"/>
  <c r="BH481" i="1"/>
  <c r="BI481" i="1"/>
  <c r="BJ481" i="1"/>
  <c r="BK481" i="1"/>
  <c r="BL481" i="1"/>
  <c r="BM481" i="1"/>
  <c r="BH482" i="1"/>
  <c r="BI482" i="1"/>
  <c r="BJ482" i="1"/>
  <c r="BK482" i="1"/>
  <c r="BL482" i="1"/>
  <c r="BM482" i="1"/>
  <c r="BH483" i="1"/>
  <c r="BI483" i="1"/>
  <c r="BJ483" i="1"/>
  <c r="BK483" i="1"/>
  <c r="BL483" i="1"/>
  <c r="BM483" i="1"/>
  <c r="BH485" i="1"/>
  <c r="BI485" i="1"/>
  <c r="BJ485" i="1"/>
  <c r="BK485" i="1"/>
  <c r="BL485" i="1"/>
  <c r="BM485" i="1"/>
  <c r="BH487" i="1"/>
  <c r="BI487" i="1"/>
  <c r="BJ487" i="1"/>
  <c r="BK487" i="1"/>
  <c r="BL487" i="1"/>
  <c r="BM487" i="1"/>
  <c r="BH488" i="1"/>
  <c r="BI488" i="1"/>
  <c r="BJ488" i="1"/>
  <c r="BK488" i="1"/>
  <c r="BL488" i="1"/>
  <c r="BM488" i="1"/>
  <c r="BH489" i="1"/>
  <c r="BI489" i="1"/>
  <c r="BJ489" i="1"/>
  <c r="BK489" i="1"/>
  <c r="BL489" i="1"/>
  <c r="BM489" i="1"/>
  <c r="BH490" i="1"/>
  <c r="BI490" i="1"/>
  <c r="BK490" i="1"/>
  <c r="BL490" i="1"/>
  <c r="BM490" i="1"/>
  <c r="BH491" i="1"/>
  <c r="BI491" i="1"/>
  <c r="BK491" i="1"/>
  <c r="BL491" i="1"/>
  <c r="BM491" i="1"/>
  <c r="BH494" i="1"/>
  <c r="BI494" i="1"/>
  <c r="BJ494" i="1"/>
  <c r="BK494" i="1"/>
  <c r="BL494" i="1"/>
  <c r="BM494" i="1"/>
  <c r="BH495" i="1"/>
  <c r="BI495" i="1"/>
  <c r="BJ495" i="1"/>
  <c r="BK495" i="1"/>
  <c r="BL495" i="1"/>
  <c r="BM495" i="1"/>
  <c r="BH497" i="1"/>
  <c r="BI497" i="1"/>
  <c r="BK497" i="1"/>
  <c r="BL497" i="1"/>
  <c r="BM497" i="1"/>
  <c r="BH498" i="1"/>
  <c r="BI498" i="1"/>
  <c r="BK498" i="1"/>
  <c r="BL498" i="1"/>
  <c r="BM498" i="1"/>
  <c r="BH499" i="1"/>
  <c r="BI499" i="1"/>
  <c r="BK499" i="1"/>
  <c r="BL499" i="1"/>
  <c r="BM499" i="1"/>
  <c r="BH500" i="1"/>
  <c r="BI500" i="1"/>
  <c r="BJ500" i="1"/>
  <c r="BK500" i="1"/>
  <c r="BL500" i="1"/>
  <c r="BM500" i="1"/>
  <c r="BH501" i="1"/>
  <c r="BI501" i="1"/>
  <c r="BJ501" i="1"/>
  <c r="BK501" i="1"/>
  <c r="BL501" i="1"/>
  <c r="BM501" i="1"/>
  <c r="BH502" i="1"/>
  <c r="BI502" i="1"/>
  <c r="BJ502" i="1"/>
  <c r="BK502" i="1"/>
  <c r="BL502" i="1"/>
  <c r="BM502" i="1"/>
  <c r="BH503" i="1"/>
  <c r="BI503" i="1"/>
  <c r="BJ503" i="1"/>
  <c r="BK503" i="1"/>
  <c r="BL503" i="1"/>
  <c r="BM503" i="1"/>
  <c r="BH505" i="1"/>
  <c r="BI505" i="1"/>
  <c r="BJ505" i="1"/>
  <c r="BK505" i="1"/>
  <c r="BL505" i="1"/>
  <c r="BM505" i="1"/>
  <c r="BH506" i="1"/>
  <c r="BI506" i="1"/>
  <c r="BJ506" i="1"/>
  <c r="BK506" i="1"/>
  <c r="BL506" i="1"/>
  <c r="BM506" i="1"/>
  <c r="BH507" i="1"/>
  <c r="BI507" i="1"/>
  <c r="BJ507" i="1"/>
  <c r="BK507" i="1"/>
  <c r="BL507" i="1"/>
  <c r="BM507" i="1"/>
  <c r="BH508" i="1"/>
  <c r="BI508" i="1"/>
  <c r="BJ508" i="1"/>
  <c r="BK508" i="1"/>
  <c r="BL508" i="1"/>
  <c r="BM508" i="1"/>
  <c r="BH509" i="1"/>
  <c r="BI509" i="1"/>
  <c r="BK509" i="1"/>
  <c r="BL509" i="1"/>
  <c r="BM509" i="1"/>
  <c r="BH510" i="1"/>
  <c r="BI510" i="1"/>
  <c r="BK510" i="1"/>
  <c r="BL510" i="1"/>
  <c r="BM510" i="1"/>
  <c r="BH511" i="1"/>
  <c r="BI511" i="1"/>
  <c r="BJ511" i="1"/>
  <c r="BK511" i="1"/>
  <c r="BL511" i="1"/>
  <c r="BM511" i="1"/>
  <c r="BH512" i="1"/>
  <c r="BI512" i="1"/>
  <c r="BK512" i="1"/>
  <c r="BL512" i="1"/>
  <c r="BM512" i="1"/>
  <c r="BH513" i="1"/>
  <c r="BI513" i="1"/>
  <c r="BJ513" i="1"/>
  <c r="BK513" i="1"/>
  <c r="BL513" i="1"/>
  <c r="BM513" i="1"/>
  <c r="BH514" i="1"/>
  <c r="BI514" i="1"/>
  <c r="BJ514" i="1"/>
  <c r="BK514" i="1"/>
  <c r="BL514" i="1"/>
  <c r="BM514" i="1"/>
  <c r="BH515" i="1"/>
  <c r="BI515" i="1"/>
  <c r="BJ515" i="1"/>
  <c r="BK515" i="1"/>
  <c r="BL515" i="1"/>
  <c r="BM515" i="1"/>
  <c r="BH516" i="1"/>
  <c r="BI516" i="1"/>
  <c r="BJ516" i="1"/>
  <c r="BK516" i="1"/>
  <c r="BL516" i="1"/>
  <c r="BM516" i="1"/>
  <c r="BH517" i="1"/>
  <c r="BI517" i="1"/>
  <c r="BJ517" i="1"/>
  <c r="BK517" i="1"/>
  <c r="BL517" i="1"/>
  <c r="BM517" i="1"/>
  <c r="BH518" i="1"/>
  <c r="BI518" i="1"/>
  <c r="BJ518" i="1"/>
  <c r="BK518" i="1"/>
  <c r="BL518" i="1"/>
  <c r="BM518" i="1"/>
  <c r="BH519" i="1"/>
  <c r="BI519" i="1"/>
  <c r="BJ519" i="1"/>
  <c r="BK519" i="1"/>
  <c r="BL519" i="1"/>
  <c r="BM519" i="1"/>
  <c r="BH520" i="1"/>
  <c r="BI520" i="1"/>
  <c r="BJ520" i="1"/>
  <c r="BK520" i="1"/>
  <c r="BL520" i="1"/>
  <c r="BM520" i="1"/>
  <c r="BH521" i="1"/>
  <c r="BI521" i="1"/>
  <c r="BK521" i="1"/>
  <c r="BL521" i="1"/>
  <c r="BM521" i="1"/>
  <c r="BH522" i="1"/>
  <c r="BI522" i="1"/>
  <c r="BK522" i="1"/>
  <c r="BL522" i="1"/>
  <c r="BM522" i="1"/>
  <c r="BH523" i="1"/>
  <c r="BI523" i="1"/>
  <c r="BJ523" i="1"/>
  <c r="BK523" i="1"/>
  <c r="BL523" i="1"/>
  <c r="BM523" i="1"/>
  <c r="BH524" i="1"/>
  <c r="BI524" i="1"/>
  <c r="BJ524" i="1"/>
  <c r="BK524" i="1"/>
  <c r="BL524" i="1"/>
  <c r="BM524" i="1"/>
  <c r="BH525" i="1"/>
  <c r="BI525" i="1"/>
  <c r="BK525" i="1"/>
  <c r="BL525" i="1"/>
  <c r="BM525" i="1"/>
  <c r="BH526" i="1"/>
  <c r="BI526" i="1"/>
  <c r="BK526" i="1"/>
  <c r="BL526" i="1"/>
  <c r="BM526" i="1"/>
  <c r="BH527" i="1"/>
  <c r="BI527" i="1"/>
  <c r="BJ527" i="1"/>
  <c r="BK527" i="1"/>
  <c r="BL527" i="1"/>
  <c r="BM527" i="1"/>
  <c r="BH528" i="1"/>
  <c r="BI528" i="1"/>
  <c r="BJ528" i="1"/>
  <c r="BK528" i="1"/>
  <c r="BL528" i="1"/>
  <c r="BM528" i="1"/>
  <c r="BH529" i="1"/>
  <c r="BI529" i="1"/>
  <c r="BJ529" i="1"/>
  <c r="BK529" i="1"/>
  <c r="BL529" i="1"/>
  <c r="BM529" i="1"/>
  <c r="BH530" i="1"/>
  <c r="BI530" i="1"/>
  <c r="BJ530" i="1"/>
  <c r="BK530" i="1"/>
  <c r="BL530" i="1"/>
  <c r="BM530" i="1"/>
  <c r="BH531" i="1"/>
  <c r="BI531" i="1"/>
  <c r="BJ531" i="1"/>
  <c r="BK531" i="1"/>
  <c r="BL531" i="1"/>
  <c r="BM531" i="1"/>
  <c r="BH532" i="1"/>
  <c r="BI532" i="1"/>
  <c r="BJ532" i="1"/>
  <c r="BK532" i="1"/>
  <c r="BL532" i="1"/>
  <c r="BM532" i="1"/>
  <c r="BH533" i="1"/>
  <c r="BI533" i="1"/>
  <c r="BJ533" i="1"/>
  <c r="BK533" i="1"/>
  <c r="BL533" i="1"/>
  <c r="BM533" i="1"/>
  <c r="BH534" i="1"/>
  <c r="BI534" i="1"/>
  <c r="BJ534" i="1"/>
  <c r="BK534" i="1"/>
  <c r="BL534" i="1"/>
  <c r="BM534" i="1"/>
  <c r="BH535" i="1"/>
  <c r="BI535" i="1"/>
  <c r="BJ535" i="1"/>
  <c r="BK535" i="1"/>
  <c r="BL535" i="1"/>
  <c r="BM535" i="1"/>
  <c r="BH536" i="1"/>
  <c r="BI536" i="1"/>
  <c r="BJ536" i="1"/>
  <c r="BK536" i="1"/>
  <c r="BL536" i="1"/>
  <c r="BM536" i="1"/>
  <c r="BH537" i="1"/>
  <c r="BI537" i="1"/>
  <c r="BJ537" i="1"/>
  <c r="BK537" i="1"/>
  <c r="BL537" i="1"/>
  <c r="BM537" i="1"/>
  <c r="BH538" i="1"/>
  <c r="BI538" i="1"/>
  <c r="BJ538" i="1"/>
  <c r="BK538" i="1"/>
  <c r="BL538" i="1"/>
  <c r="BM538" i="1"/>
  <c r="BH539" i="1"/>
  <c r="BI539" i="1"/>
  <c r="BJ539" i="1"/>
  <c r="BK539" i="1"/>
  <c r="BL539" i="1"/>
  <c r="BM539" i="1"/>
  <c r="BH540" i="1"/>
  <c r="BI540" i="1"/>
  <c r="BJ540" i="1"/>
  <c r="BK540" i="1"/>
  <c r="BL540" i="1"/>
  <c r="BM540" i="1"/>
  <c r="BH541" i="1"/>
  <c r="BI541" i="1"/>
  <c r="BJ541" i="1"/>
  <c r="BK541" i="1"/>
  <c r="BL541" i="1"/>
  <c r="BM541" i="1"/>
  <c r="BH542" i="1"/>
  <c r="BI542" i="1"/>
  <c r="BJ542" i="1"/>
  <c r="BK542" i="1"/>
  <c r="BL542" i="1"/>
  <c r="BM542" i="1"/>
  <c r="BH543" i="1"/>
  <c r="BI543" i="1"/>
  <c r="BJ543" i="1"/>
  <c r="BK543" i="1"/>
  <c r="BL543" i="1"/>
  <c r="BM543" i="1"/>
  <c r="BH544" i="1"/>
  <c r="BI544" i="1"/>
  <c r="BJ544" i="1"/>
  <c r="BK544" i="1"/>
  <c r="BL544" i="1"/>
  <c r="BM544" i="1"/>
  <c r="BH545" i="1"/>
  <c r="BI545" i="1"/>
  <c r="BJ545" i="1"/>
  <c r="BK545" i="1"/>
  <c r="BL545" i="1"/>
  <c r="BM545" i="1"/>
  <c r="BH546" i="1"/>
  <c r="BI546" i="1"/>
  <c r="BK546" i="1"/>
  <c r="BL546" i="1"/>
  <c r="BM546" i="1"/>
  <c r="BH547" i="1"/>
  <c r="BI547" i="1"/>
  <c r="BK547" i="1"/>
  <c r="BL547" i="1"/>
  <c r="BM547" i="1"/>
  <c r="BH548" i="1"/>
  <c r="BI548" i="1"/>
  <c r="BK548" i="1"/>
  <c r="BL548" i="1"/>
  <c r="BM548" i="1"/>
  <c r="BH549" i="1"/>
  <c r="BI549" i="1"/>
  <c r="BJ549" i="1"/>
  <c r="BK549" i="1"/>
  <c r="BL549" i="1"/>
  <c r="BM549" i="1"/>
  <c r="BH550" i="1"/>
  <c r="BI550" i="1"/>
  <c r="BJ550" i="1"/>
  <c r="BK550" i="1"/>
  <c r="BL550" i="1"/>
  <c r="BM550" i="1"/>
  <c r="BH551" i="1"/>
  <c r="BI551" i="1"/>
  <c r="BJ551" i="1"/>
  <c r="BK551" i="1"/>
  <c r="BL551" i="1"/>
  <c r="BM551" i="1"/>
  <c r="BH552" i="1"/>
  <c r="BI552" i="1"/>
  <c r="BJ552" i="1"/>
  <c r="BK552" i="1"/>
  <c r="BL552" i="1"/>
  <c r="BM552" i="1"/>
  <c r="BH553" i="1"/>
  <c r="BI553" i="1"/>
  <c r="BJ553" i="1"/>
  <c r="BK553" i="1"/>
  <c r="BL553" i="1"/>
  <c r="BM553" i="1"/>
  <c r="BH554" i="1"/>
  <c r="BI554" i="1"/>
  <c r="BJ554" i="1"/>
  <c r="BK554" i="1"/>
  <c r="BL554" i="1"/>
  <c r="BM554" i="1"/>
  <c r="BH555" i="1"/>
  <c r="BI555" i="1"/>
  <c r="BJ555" i="1"/>
  <c r="BK555" i="1"/>
  <c r="BL555" i="1"/>
  <c r="BM555" i="1"/>
  <c r="BH556" i="1"/>
  <c r="BI556" i="1"/>
  <c r="BJ556" i="1"/>
  <c r="BK556" i="1"/>
  <c r="BL556" i="1"/>
  <c r="BM556" i="1"/>
  <c r="BH557" i="1"/>
  <c r="BI557" i="1"/>
  <c r="BJ557" i="1"/>
  <c r="BK557" i="1"/>
  <c r="BL557" i="1"/>
  <c r="BM557" i="1"/>
  <c r="BH558" i="1"/>
  <c r="BI558" i="1"/>
  <c r="BJ558" i="1"/>
  <c r="BK558" i="1"/>
  <c r="BL558" i="1"/>
  <c r="BM558" i="1"/>
  <c r="BH559" i="1"/>
  <c r="BI559" i="1"/>
  <c r="BJ559" i="1"/>
  <c r="BK559" i="1"/>
  <c r="BL559" i="1"/>
  <c r="BM559" i="1"/>
  <c r="BH560" i="1"/>
  <c r="BI560" i="1"/>
  <c r="BJ560" i="1"/>
  <c r="BK560" i="1"/>
  <c r="BL560" i="1"/>
  <c r="BM560" i="1"/>
  <c r="BH561" i="1"/>
  <c r="BI561" i="1"/>
  <c r="BJ561" i="1"/>
  <c r="BK561" i="1"/>
  <c r="BL561" i="1"/>
  <c r="BM561" i="1"/>
  <c r="BH562" i="1"/>
  <c r="BI562" i="1"/>
  <c r="BJ562" i="1"/>
  <c r="BK562" i="1"/>
  <c r="BL562" i="1"/>
  <c r="BM562" i="1"/>
  <c r="BH563" i="1"/>
  <c r="BI563" i="1"/>
  <c r="BJ563" i="1"/>
  <c r="BK563" i="1"/>
  <c r="BL563" i="1"/>
  <c r="BM563" i="1"/>
  <c r="BH564" i="1"/>
  <c r="BI564" i="1"/>
  <c r="BK564" i="1"/>
  <c r="BL564" i="1"/>
  <c r="BM564" i="1"/>
  <c r="BH565" i="1"/>
  <c r="BI565" i="1"/>
  <c r="BJ565" i="1"/>
  <c r="BK565" i="1"/>
  <c r="BL565" i="1"/>
  <c r="BM565" i="1"/>
  <c r="BH566" i="1"/>
  <c r="BI566" i="1"/>
  <c r="BJ566" i="1"/>
  <c r="BK566" i="1"/>
  <c r="BL566" i="1"/>
  <c r="BM566" i="1"/>
  <c r="BH567" i="1"/>
  <c r="BI567" i="1"/>
  <c r="BJ567" i="1"/>
  <c r="BK567" i="1"/>
  <c r="BL567" i="1"/>
  <c r="BM567" i="1"/>
  <c r="BH568" i="1"/>
  <c r="BI568" i="1"/>
  <c r="BJ568" i="1"/>
  <c r="BK568" i="1"/>
  <c r="BL568" i="1"/>
  <c r="BM568" i="1"/>
  <c r="BH569" i="1"/>
  <c r="BI569" i="1"/>
  <c r="BJ569" i="1"/>
  <c r="BK569" i="1"/>
  <c r="BL569" i="1"/>
  <c r="BM569" i="1"/>
  <c r="BH570" i="1"/>
  <c r="BI570" i="1"/>
  <c r="BJ570" i="1"/>
  <c r="BK570" i="1"/>
  <c r="BL570" i="1"/>
  <c r="BM570" i="1"/>
  <c r="BH571" i="1"/>
  <c r="BI571" i="1"/>
  <c r="BJ571" i="1"/>
  <c r="BK571" i="1"/>
  <c r="BL571" i="1"/>
  <c r="BM571" i="1"/>
  <c r="BH572" i="1"/>
  <c r="BI572" i="1"/>
  <c r="BJ572" i="1"/>
  <c r="BK572" i="1"/>
  <c r="BL572" i="1"/>
  <c r="BM572" i="1"/>
  <c r="BH573" i="1"/>
  <c r="BI573" i="1"/>
  <c r="BK573" i="1"/>
  <c r="BL573" i="1"/>
  <c r="BM573" i="1"/>
  <c r="BH574" i="1"/>
  <c r="BI574" i="1"/>
  <c r="BJ574" i="1"/>
  <c r="BK574" i="1"/>
  <c r="BL574" i="1"/>
  <c r="BM574" i="1"/>
  <c r="BH575" i="1"/>
  <c r="BI575" i="1"/>
  <c r="BJ575" i="1"/>
  <c r="BK575" i="1"/>
  <c r="BL575" i="1"/>
  <c r="BM575" i="1"/>
  <c r="BH576" i="1"/>
  <c r="BI576" i="1"/>
  <c r="BJ576" i="1"/>
  <c r="BK576" i="1"/>
  <c r="BL576" i="1"/>
  <c r="BM576" i="1"/>
  <c r="BH577" i="1"/>
  <c r="BI577" i="1"/>
  <c r="BJ577" i="1"/>
  <c r="BK577" i="1"/>
  <c r="BL577" i="1"/>
  <c r="BM577" i="1"/>
  <c r="BH578" i="1"/>
  <c r="BI578" i="1"/>
  <c r="BJ578" i="1"/>
  <c r="BK578" i="1"/>
  <c r="BL578" i="1"/>
  <c r="BM578" i="1"/>
  <c r="BH579" i="1"/>
  <c r="BI579" i="1"/>
  <c r="BJ579" i="1"/>
  <c r="BK579" i="1"/>
  <c r="BL579" i="1"/>
  <c r="BM579" i="1"/>
  <c r="BH580" i="1"/>
  <c r="BI580" i="1"/>
  <c r="BJ580" i="1"/>
  <c r="BK580" i="1"/>
  <c r="BL580" i="1"/>
  <c r="BM580" i="1"/>
  <c r="BH581" i="1"/>
  <c r="BI581" i="1"/>
  <c r="BJ581" i="1"/>
  <c r="BK581" i="1"/>
  <c r="BL581" i="1"/>
  <c r="BM581" i="1"/>
  <c r="BH582" i="1"/>
  <c r="BI582" i="1"/>
  <c r="BJ582" i="1"/>
  <c r="BK582" i="1"/>
  <c r="BL582" i="1"/>
  <c r="BM582" i="1"/>
  <c r="BH583" i="1"/>
  <c r="BI583" i="1"/>
  <c r="BJ583" i="1"/>
  <c r="BK583" i="1"/>
  <c r="BL583" i="1"/>
  <c r="BM583" i="1"/>
  <c r="BH584" i="1"/>
  <c r="BI584" i="1"/>
  <c r="BJ584" i="1"/>
  <c r="BK584" i="1"/>
  <c r="BL584" i="1"/>
  <c r="BM584" i="1"/>
  <c r="BH585" i="1"/>
  <c r="BI585" i="1"/>
  <c r="BJ585" i="1"/>
  <c r="BK585" i="1"/>
  <c r="BL585" i="1"/>
  <c r="BM585" i="1"/>
  <c r="BH586" i="1"/>
  <c r="BI586" i="1"/>
  <c r="BJ586" i="1"/>
  <c r="BK586" i="1"/>
  <c r="BL586" i="1"/>
  <c r="BM586" i="1"/>
  <c r="BH587" i="1"/>
  <c r="BI587" i="1"/>
  <c r="BK587" i="1"/>
  <c r="BL587" i="1"/>
  <c r="BM587" i="1"/>
  <c r="BH588" i="1"/>
  <c r="BI588" i="1"/>
  <c r="BK588" i="1"/>
  <c r="BL588" i="1"/>
  <c r="BM588" i="1"/>
  <c r="BH589" i="1"/>
  <c r="BI589" i="1"/>
  <c r="BK589" i="1"/>
  <c r="BL589" i="1"/>
  <c r="BM589" i="1"/>
  <c r="BH590" i="1"/>
  <c r="BI590" i="1"/>
  <c r="BK590" i="1"/>
  <c r="BL590" i="1"/>
  <c r="BM590" i="1"/>
  <c r="BH591" i="1"/>
  <c r="BI591" i="1"/>
  <c r="BK591" i="1"/>
  <c r="BL591" i="1"/>
  <c r="BM591" i="1"/>
  <c r="BH592" i="1"/>
  <c r="BI592" i="1"/>
  <c r="BJ592" i="1"/>
  <c r="BK592" i="1"/>
  <c r="BL592" i="1"/>
  <c r="BM592" i="1"/>
  <c r="BH593" i="1"/>
  <c r="BI593" i="1"/>
  <c r="BJ593" i="1"/>
  <c r="BK593" i="1"/>
  <c r="BL593" i="1"/>
  <c r="BM593" i="1"/>
  <c r="BH594" i="1"/>
  <c r="BI594" i="1"/>
  <c r="BJ594" i="1"/>
  <c r="BK594" i="1"/>
  <c r="BL594" i="1"/>
  <c r="BM594" i="1"/>
  <c r="BH595" i="1"/>
  <c r="BI595" i="1"/>
  <c r="BJ595" i="1"/>
  <c r="BK595" i="1"/>
  <c r="BL595" i="1"/>
  <c r="BM595" i="1"/>
  <c r="BH596" i="1"/>
  <c r="BI596" i="1"/>
  <c r="BJ596" i="1"/>
  <c r="BK596" i="1"/>
  <c r="BL596" i="1"/>
  <c r="BM596" i="1"/>
  <c r="BH597" i="1"/>
  <c r="BI597" i="1"/>
  <c r="BJ597" i="1"/>
  <c r="BK597" i="1"/>
  <c r="BL597" i="1"/>
  <c r="BM597" i="1"/>
  <c r="BH598" i="1"/>
  <c r="BI598" i="1"/>
  <c r="BJ598" i="1"/>
  <c r="BK598" i="1"/>
  <c r="BL598" i="1"/>
  <c r="BM598" i="1"/>
  <c r="BH599" i="1"/>
  <c r="BI599" i="1"/>
  <c r="BJ599" i="1"/>
  <c r="BK599" i="1"/>
  <c r="BL599" i="1"/>
  <c r="BM599" i="1"/>
  <c r="BH600" i="1"/>
  <c r="BI600" i="1"/>
  <c r="BJ600" i="1"/>
  <c r="BK600" i="1"/>
  <c r="BL600" i="1"/>
  <c r="BM600" i="1"/>
  <c r="BH601" i="1"/>
  <c r="BI601" i="1"/>
  <c r="BJ601" i="1"/>
  <c r="BK601" i="1"/>
  <c r="BL601" i="1"/>
  <c r="BM601" i="1"/>
  <c r="BH602" i="1"/>
  <c r="BI602" i="1"/>
  <c r="BJ602" i="1"/>
  <c r="BK602" i="1"/>
  <c r="BL602" i="1"/>
  <c r="BM602" i="1"/>
  <c r="BH603" i="1"/>
  <c r="BI603" i="1"/>
  <c r="BJ603" i="1"/>
  <c r="BK603" i="1"/>
  <c r="BL603" i="1"/>
  <c r="BM603" i="1"/>
  <c r="BH604" i="1"/>
  <c r="BI604" i="1"/>
  <c r="BJ604" i="1"/>
  <c r="BK604" i="1"/>
  <c r="BL604" i="1"/>
  <c r="BM604" i="1"/>
  <c r="BH605" i="1"/>
  <c r="BI605" i="1"/>
  <c r="BK605" i="1"/>
  <c r="BL605" i="1"/>
  <c r="BM605" i="1"/>
  <c r="BH606" i="1"/>
  <c r="BI606" i="1"/>
  <c r="BK606" i="1"/>
  <c r="BL606" i="1"/>
  <c r="BM606" i="1"/>
  <c r="BH607" i="1"/>
  <c r="BI607" i="1"/>
  <c r="BJ607" i="1"/>
  <c r="BK607" i="1"/>
  <c r="BL607" i="1"/>
  <c r="BM607" i="1"/>
  <c r="BH608" i="1"/>
  <c r="BI608" i="1"/>
  <c r="BJ608" i="1"/>
  <c r="BK608" i="1"/>
  <c r="BL608" i="1"/>
  <c r="BM608" i="1"/>
  <c r="BH609" i="1"/>
  <c r="BI609" i="1"/>
  <c r="BJ609" i="1"/>
  <c r="BK609" i="1"/>
  <c r="BL609" i="1"/>
  <c r="BM609" i="1"/>
  <c r="BH610" i="1"/>
  <c r="BI610" i="1"/>
  <c r="BJ610" i="1"/>
  <c r="BK610" i="1"/>
  <c r="BL610" i="1"/>
  <c r="BM610" i="1"/>
  <c r="BH611" i="1"/>
  <c r="BI611" i="1"/>
  <c r="BJ611" i="1"/>
  <c r="BK611" i="1"/>
  <c r="BL611" i="1"/>
  <c r="BM611" i="1"/>
  <c r="BH612" i="1"/>
  <c r="BI612" i="1"/>
  <c r="BJ612" i="1"/>
  <c r="BK612" i="1"/>
  <c r="BL612" i="1"/>
  <c r="BM612" i="1"/>
  <c r="BH613" i="1"/>
  <c r="BI613" i="1"/>
  <c r="BJ613" i="1"/>
  <c r="BK613" i="1"/>
  <c r="BL613" i="1"/>
  <c r="BM613" i="1"/>
  <c r="BH614" i="1"/>
  <c r="BI614" i="1"/>
  <c r="BJ614" i="1"/>
  <c r="BK614" i="1"/>
  <c r="BL614" i="1"/>
  <c r="BM614" i="1"/>
  <c r="BH615" i="1"/>
  <c r="BI615" i="1"/>
  <c r="BJ615" i="1"/>
  <c r="BK615" i="1"/>
  <c r="BL615" i="1"/>
  <c r="BM615" i="1"/>
  <c r="BH616" i="1"/>
  <c r="BI616" i="1"/>
  <c r="BJ616" i="1"/>
  <c r="BK616" i="1"/>
  <c r="BL616" i="1"/>
  <c r="BM616" i="1"/>
  <c r="BH617" i="1"/>
  <c r="BI617" i="1"/>
  <c r="BJ617" i="1"/>
  <c r="BK617" i="1"/>
  <c r="BL617" i="1"/>
  <c r="BM617" i="1"/>
  <c r="BH618" i="1"/>
  <c r="BI618" i="1"/>
  <c r="BK618" i="1"/>
  <c r="BL618" i="1"/>
  <c r="BM618" i="1"/>
  <c r="BH619" i="1"/>
  <c r="BI619" i="1"/>
  <c r="BK619" i="1"/>
  <c r="BL619" i="1"/>
  <c r="BM619" i="1"/>
  <c r="BH620" i="1"/>
  <c r="BI620" i="1"/>
  <c r="BJ620" i="1"/>
  <c r="BK620" i="1"/>
  <c r="BL620" i="1"/>
  <c r="BM620" i="1"/>
  <c r="BH621" i="1"/>
  <c r="BI621" i="1"/>
  <c r="BJ621" i="1"/>
  <c r="BK621" i="1"/>
  <c r="BL621" i="1"/>
  <c r="BM621" i="1"/>
  <c r="BH622" i="1"/>
  <c r="BI622" i="1"/>
  <c r="BJ622" i="1"/>
  <c r="BK622" i="1"/>
  <c r="BL622" i="1"/>
  <c r="BM622" i="1"/>
  <c r="BH623" i="1"/>
  <c r="BI623" i="1"/>
  <c r="BJ623" i="1"/>
  <c r="BK623" i="1"/>
  <c r="BL623" i="1"/>
  <c r="BM623" i="1"/>
  <c r="BH624" i="1"/>
  <c r="BI624" i="1"/>
  <c r="BJ624" i="1"/>
  <c r="BK624" i="1"/>
  <c r="BL624" i="1"/>
  <c r="BM624" i="1"/>
  <c r="BH625" i="1"/>
  <c r="BI625" i="1"/>
  <c r="BJ625" i="1"/>
  <c r="BK625" i="1"/>
  <c r="BL625" i="1"/>
  <c r="BM625" i="1"/>
  <c r="BH626" i="1"/>
  <c r="BI626" i="1"/>
  <c r="BJ626" i="1"/>
  <c r="BK626" i="1"/>
  <c r="BL626" i="1"/>
  <c r="BM626" i="1"/>
  <c r="BH627" i="1"/>
  <c r="BI627" i="1"/>
  <c r="BJ627" i="1"/>
  <c r="BK627" i="1"/>
  <c r="BL627" i="1"/>
  <c r="BM627" i="1"/>
  <c r="BH628" i="1"/>
  <c r="BI628" i="1"/>
  <c r="BJ628" i="1"/>
  <c r="BK628" i="1"/>
  <c r="BL628" i="1"/>
  <c r="BM628" i="1"/>
  <c r="BH629" i="1"/>
  <c r="BI629" i="1"/>
  <c r="BJ629" i="1"/>
  <c r="BK629" i="1"/>
  <c r="BL629" i="1"/>
  <c r="BM629" i="1"/>
  <c r="BH630" i="1"/>
  <c r="BI630" i="1"/>
  <c r="BJ630" i="1"/>
  <c r="BK630" i="1"/>
  <c r="BL630" i="1"/>
  <c r="BM630" i="1"/>
  <c r="BH631" i="1"/>
  <c r="BI631" i="1"/>
  <c r="BJ631" i="1"/>
  <c r="BK631" i="1"/>
  <c r="BL631" i="1"/>
  <c r="BM631" i="1"/>
  <c r="BH632" i="1"/>
  <c r="BI632" i="1"/>
  <c r="BJ632" i="1"/>
  <c r="BK632" i="1"/>
  <c r="BL632" i="1"/>
  <c r="BM632" i="1"/>
  <c r="BH633" i="1"/>
  <c r="BI633" i="1"/>
  <c r="BJ633" i="1"/>
  <c r="BK633" i="1"/>
  <c r="BL633" i="1"/>
  <c r="BM633" i="1"/>
  <c r="BH634" i="1"/>
  <c r="BI634" i="1"/>
  <c r="BJ634" i="1"/>
  <c r="BK634" i="1"/>
  <c r="BL634" i="1"/>
  <c r="BM634" i="1"/>
  <c r="BH635" i="1"/>
  <c r="BI635" i="1"/>
  <c r="BJ635" i="1"/>
  <c r="BK635" i="1"/>
  <c r="BL635" i="1"/>
  <c r="BM635" i="1"/>
  <c r="BH636" i="1"/>
  <c r="BI636" i="1"/>
  <c r="BJ636" i="1"/>
  <c r="BK636" i="1"/>
  <c r="BL636" i="1"/>
  <c r="BM636" i="1"/>
  <c r="BH637" i="1"/>
  <c r="BI637" i="1"/>
  <c r="BJ637" i="1"/>
  <c r="BK637" i="1"/>
  <c r="BL637" i="1"/>
  <c r="BM637" i="1"/>
  <c r="BH638" i="1"/>
  <c r="BI638" i="1"/>
  <c r="BJ638" i="1"/>
  <c r="BK638" i="1"/>
  <c r="BL638" i="1"/>
  <c r="BM638" i="1"/>
  <c r="BH639" i="1"/>
  <c r="BI639" i="1"/>
  <c r="BJ639" i="1"/>
  <c r="BK639" i="1"/>
  <c r="BL639" i="1"/>
  <c r="BM639" i="1"/>
  <c r="BH640" i="1"/>
  <c r="BI640" i="1"/>
  <c r="BJ640" i="1"/>
  <c r="BK640" i="1"/>
  <c r="BL640" i="1"/>
  <c r="BM640" i="1"/>
  <c r="BH641" i="1"/>
  <c r="BI641" i="1"/>
  <c r="BJ641" i="1"/>
  <c r="BK641" i="1"/>
  <c r="BL641" i="1"/>
  <c r="BM641" i="1"/>
  <c r="BH642" i="1"/>
  <c r="BI642" i="1"/>
  <c r="BJ642" i="1"/>
  <c r="BK642" i="1"/>
  <c r="BL642" i="1"/>
  <c r="BM642" i="1"/>
  <c r="BH643" i="1"/>
  <c r="BI643" i="1"/>
  <c r="BJ643" i="1"/>
  <c r="BK643" i="1"/>
  <c r="BL643" i="1"/>
  <c r="BM643" i="1"/>
  <c r="BH644" i="1"/>
  <c r="BI644" i="1"/>
  <c r="BJ644" i="1"/>
  <c r="BK644" i="1"/>
  <c r="BL644" i="1"/>
  <c r="BM644" i="1"/>
  <c r="BH645" i="1"/>
  <c r="BI645" i="1"/>
  <c r="BJ645" i="1"/>
  <c r="BK645" i="1"/>
  <c r="BL645" i="1"/>
  <c r="BM645" i="1"/>
  <c r="BH646" i="1"/>
  <c r="BI646" i="1"/>
  <c r="BJ646" i="1"/>
  <c r="BK646" i="1"/>
  <c r="BL646" i="1"/>
  <c r="BM646" i="1"/>
  <c r="BH647" i="1"/>
  <c r="BI647" i="1"/>
  <c r="BJ647" i="1"/>
  <c r="BK647" i="1"/>
  <c r="BL647" i="1"/>
  <c r="BM647" i="1"/>
  <c r="BH648" i="1"/>
  <c r="BI648" i="1"/>
  <c r="BJ648" i="1"/>
  <c r="BK648" i="1"/>
  <c r="BL648" i="1"/>
  <c r="BM648" i="1"/>
  <c r="BH649" i="1"/>
  <c r="BI649" i="1"/>
  <c r="BJ649" i="1"/>
  <c r="BK649" i="1"/>
  <c r="BL649" i="1"/>
  <c r="BM649" i="1"/>
  <c r="BH650" i="1"/>
  <c r="BI650" i="1"/>
  <c r="BJ650" i="1"/>
  <c r="BK650" i="1"/>
  <c r="BL650" i="1"/>
  <c r="BM650" i="1"/>
  <c r="BH651" i="1"/>
  <c r="BI651" i="1"/>
  <c r="BJ651" i="1"/>
  <c r="BK651" i="1"/>
  <c r="BL651" i="1"/>
  <c r="BM651" i="1"/>
  <c r="BH652" i="1"/>
  <c r="BI652" i="1"/>
  <c r="BJ652" i="1"/>
  <c r="BK652" i="1"/>
  <c r="BL652" i="1"/>
  <c r="BM652" i="1"/>
  <c r="BH653" i="1"/>
  <c r="BI653" i="1"/>
  <c r="BJ653" i="1"/>
  <c r="BK653" i="1"/>
  <c r="BL653" i="1"/>
  <c r="BM653" i="1"/>
  <c r="BH654" i="1"/>
  <c r="BI654" i="1"/>
  <c r="BJ654" i="1"/>
  <c r="BK654" i="1"/>
  <c r="BL654" i="1"/>
  <c r="BM654" i="1"/>
  <c r="BH655" i="1"/>
  <c r="BI655" i="1"/>
  <c r="BK655" i="1"/>
  <c r="BL655" i="1"/>
  <c r="BM655" i="1"/>
  <c r="BH657" i="1"/>
  <c r="BI657" i="1"/>
  <c r="BJ657" i="1"/>
  <c r="BK657" i="1"/>
  <c r="BL657" i="1"/>
  <c r="BM657" i="1"/>
  <c r="BH658" i="1"/>
  <c r="BI658" i="1"/>
  <c r="BK658" i="1"/>
  <c r="BL658" i="1"/>
  <c r="BM658" i="1"/>
  <c r="BH659" i="1"/>
  <c r="BI659" i="1"/>
  <c r="BK659" i="1"/>
  <c r="BL659" i="1"/>
  <c r="BM659" i="1"/>
  <c r="BH661" i="1"/>
  <c r="BI661" i="1"/>
  <c r="BK661" i="1"/>
  <c r="BL661" i="1"/>
  <c r="BM661" i="1"/>
  <c r="BH662" i="1"/>
  <c r="BI662" i="1"/>
  <c r="BK662" i="1"/>
  <c r="BL662" i="1"/>
  <c r="BM662" i="1"/>
  <c r="BH663" i="1"/>
  <c r="BI663" i="1"/>
  <c r="BJ663" i="1"/>
  <c r="BK663" i="1"/>
  <c r="BL663" i="1"/>
  <c r="BM663" i="1"/>
  <c r="BH664" i="1"/>
  <c r="BI664" i="1"/>
  <c r="BJ664" i="1"/>
  <c r="BK664" i="1"/>
  <c r="BL664" i="1"/>
  <c r="BM664" i="1"/>
  <c r="BH665" i="1"/>
  <c r="BI665" i="1"/>
  <c r="BJ665" i="1"/>
  <c r="BK665" i="1"/>
  <c r="BL665" i="1"/>
  <c r="BM665" i="1"/>
  <c r="BH666" i="1"/>
  <c r="BI666" i="1"/>
  <c r="BJ666" i="1"/>
  <c r="BK666" i="1"/>
  <c r="BL666" i="1"/>
  <c r="BM666" i="1"/>
  <c r="BH667" i="1"/>
  <c r="BI667" i="1"/>
  <c r="BJ667" i="1"/>
  <c r="BK667" i="1"/>
  <c r="BL667" i="1"/>
  <c r="BM667" i="1"/>
  <c r="BH668" i="1"/>
  <c r="BI668" i="1"/>
  <c r="BJ668" i="1"/>
  <c r="BK668" i="1"/>
  <c r="BL668" i="1"/>
  <c r="BM668" i="1"/>
  <c r="BH670" i="1"/>
  <c r="BI670" i="1"/>
  <c r="BJ670" i="1"/>
  <c r="BK670" i="1"/>
  <c r="BL670" i="1"/>
  <c r="BM670" i="1"/>
  <c r="BH671" i="1"/>
  <c r="BI671" i="1"/>
  <c r="BJ671" i="1"/>
  <c r="BK671" i="1"/>
  <c r="BL671" i="1"/>
  <c r="BM671" i="1"/>
  <c r="BH672" i="1"/>
  <c r="BI672" i="1"/>
  <c r="BJ672" i="1"/>
  <c r="BK672" i="1"/>
  <c r="BL672" i="1"/>
  <c r="BM672" i="1"/>
  <c r="BH673" i="1"/>
  <c r="BI673" i="1"/>
  <c r="BJ673" i="1"/>
  <c r="BK673" i="1"/>
  <c r="BL673" i="1"/>
  <c r="BM673" i="1"/>
  <c r="BH674" i="1"/>
  <c r="BI674" i="1"/>
  <c r="BJ674" i="1"/>
  <c r="BK674" i="1"/>
  <c r="BL674" i="1"/>
  <c r="BM674" i="1"/>
  <c r="BH675" i="1"/>
  <c r="BI675" i="1"/>
  <c r="BJ675" i="1"/>
  <c r="BK675" i="1"/>
  <c r="BL675" i="1"/>
  <c r="BM675" i="1"/>
  <c r="BH676" i="1"/>
  <c r="BI676" i="1"/>
  <c r="BJ676" i="1"/>
  <c r="BK676" i="1"/>
  <c r="BL676" i="1"/>
  <c r="BM676" i="1"/>
  <c r="BH677" i="1"/>
  <c r="BI677" i="1"/>
  <c r="BJ677" i="1"/>
  <c r="BK677" i="1"/>
  <c r="BL677" i="1"/>
  <c r="BM677" i="1"/>
  <c r="BH678" i="1"/>
  <c r="BI678" i="1"/>
  <c r="BJ678" i="1"/>
  <c r="BK678" i="1"/>
  <c r="BL678" i="1"/>
  <c r="BM678" i="1"/>
  <c r="BH679" i="1"/>
  <c r="BI679" i="1"/>
  <c r="BJ679" i="1"/>
  <c r="BK679" i="1"/>
  <c r="BL679" i="1"/>
  <c r="BM679" i="1"/>
  <c r="BH680" i="1"/>
  <c r="BI680" i="1"/>
  <c r="BJ680" i="1"/>
  <c r="BK680" i="1"/>
  <c r="BL680" i="1"/>
  <c r="BM680" i="1"/>
  <c r="BH681" i="1"/>
  <c r="BI681" i="1"/>
  <c r="BJ681" i="1"/>
  <c r="BK681" i="1"/>
  <c r="BL681" i="1"/>
  <c r="BM681" i="1"/>
  <c r="BH683" i="1"/>
  <c r="BI683" i="1"/>
  <c r="BJ683" i="1"/>
  <c r="BK683" i="1"/>
  <c r="BL683" i="1"/>
  <c r="BM683" i="1"/>
  <c r="BH684" i="1"/>
  <c r="BI684" i="1"/>
  <c r="BJ684" i="1"/>
  <c r="BK684" i="1"/>
  <c r="BL684" i="1"/>
  <c r="BM684" i="1"/>
  <c r="BH685" i="1"/>
  <c r="BI685" i="1"/>
  <c r="BJ685" i="1"/>
  <c r="BK685" i="1"/>
  <c r="BL685" i="1"/>
  <c r="BM685" i="1"/>
  <c r="BH686" i="1"/>
  <c r="BI686" i="1"/>
  <c r="BJ686" i="1"/>
  <c r="BK686" i="1"/>
  <c r="BL686" i="1"/>
  <c r="BM686" i="1"/>
  <c r="BH687" i="1"/>
  <c r="BI687" i="1"/>
  <c r="BJ687" i="1"/>
  <c r="BK687" i="1"/>
  <c r="BL687" i="1"/>
  <c r="BM687" i="1"/>
  <c r="BH688" i="1"/>
  <c r="BI688" i="1"/>
  <c r="BJ688" i="1"/>
  <c r="BK688" i="1"/>
  <c r="BL688" i="1"/>
  <c r="BM688" i="1"/>
  <c r="BH689" i="1"/>
  <c r="BI689" i="1"/>
  <c r="BJ689" i="1"/>
  <c r="BK689" i="1"/>
  <c r="BL689" i="1"/>
  <c r="BM689" i="1"/>
  <c r="BH690" i="1"/>
  <c r="BI690" i="1"/>
  <c r="BJ690" i="1"/>
  <c r="BK690" i="1"/>
  <c r="BL690" i="1"/>
  <c r="BM690" i="1"/>
  <c r="BH691" i="1"/>
  <c r="BI691" i="1"/>
  <c r="BJ691" i="1"/>
  <c r="BK691" i="1"/>
  <c r="BL691" i="1"/>
  <c r="BM691" i="1"/>
  <c r="BH692" i="1"/>
  <c r="BI692" i="1"/>
  <c r="BJ692" i="1"/>
  <c r="BK692" i="1"/>
  <c r="BL692" i="1"/>
  <c r="BM692" i="1"/>
  <c r="BH693" i="1"/>
  <c r="BI693" i="1"/>
  <c r="BJ693" i="1"/>
  <c r="BK693" i="1"/>
  <c r="BL693" i="1"/>
  <c r="BM693" i="1"/>
  <c r="BH694" i="1"/>
  <c r="BI694" i="1"/>
  <c r="BJ694" i="1"/>
  <c r="BK694" i="1"/>
  <c r="BL694" i="1"/>
  <c r="BM694" i="1"/>
  <c r="BH695" i="1"/>
  <c r="BI695" i="1"/>
  <c r="BJ695" i="1"/>
  <c r="BK695" i="1"/>
  <c r="BL695" i="1"/>
  <c r="BM695" i="1"/>
  <c r="BH696" i="1"/>
  <c r="BI696" i="1"/>
  <c r="BJ696" i="1"/>
  <c r="BK696" i="1"/>
  <c r="BL696" i="1"/>
  <c r="BM696" i="1"/>
  <c r="BH697" i="1"/>
  <c r="BI697" i="1"/>
  <c r="BJ697" i="1"/>
  <c r="BK697" i="1"/>
  <c r="BL697" i="1"/>
  <c r="BM697" i="1"/>
  <c r="BH698" i="1"/>
  <c r="BI698" i="1"/>
  <c r="BJ698" i="1"/>
  <c r="BK698" i="1"/>
  <c r="BL698" i="1"/>
  <c r="BM698" i="1"/>
  <c r="BH699" i="1"/>
  <c r="BI699" i="1"/>
  <c r="BJ699" i="1"/>
  <c r="BK699" i="1"/>
  <c r="BL699" i="1"/>
  <c r="BM699" i="1"/>
  <c r="BH702" i="1"/>
  <c r="BI702" i="1"/>
  <c r="BJ702" i="1"/>
  <c r="BK702" i="1"/>
  <c r="BL702" i="1"/>
  <c r="BM702" i="1"/>
  <c r="BH703" i="1"/>
  <c r="BI703" i="1"/>
  <c r="BJ703" i="1"/>
  <c r="BK703" i="1"/>
  <c r="BL703" i="1"/>
  <c r="BM703" i="1"/>
  <c r="BH704" i="1"/>
  <c r="BI704" i="1"/>
  <c r="BJ704" i="1"/>
  <c r="BK704" i="1"/>
  <c r="BL704" i="1"/>
  <c r="BM704" i="1"/>
  <c r="BH705" i="1"/>
  <c r="BI705" i="1"/>
  <c r="BJ705" i="1"/>
  <c r="BK705" i="1"/>
  <c r="BL705" i="1"/>
  <c r="BM705" i="1"/>
  <c r="BH706" i="1"/>
  <c r="BI706" i="1"/>
  <c r="BJ706" i="1"/>
  <c r="BK706" i="1"/>
  <c r="BL706" i="1"/>
  <c r="BM706" i="1"/>
  <c r="BH707" i="1"/>
  <c r="BI707" i="1"/>
  <c r="BJ707" i="1"/>
  <c r="BK707" i="1"/>
  <c r="BL707" i="1"/>
  <c r="BM707" i="1"/>
  <c r="BH708" i="1"/>
  <c r="BI708" i="1"/>
  <c r="BJ708" i="1"/>
  <c r="BK708" i="1"/>
  <c r="BL708" i="1"/>
  <c r="BM708" i="1"/>
  <c r="BH709" i="1"/>
  <c r="BI709" i="1"/>
  <c r="BJ709" i="1"/>
  <c r="BK709" i="1"/>
  <c r="BL709" i="1"/>
  <c r="BM709" i="1"/>
  <c r="BH710" i="1"/>
  <c r="BI710" i="1"/>
  <c r="BJ710" i="1"/>
  <c r="BK710" i="1"/>
  <c r="BL710" i="1"/>
  <c r="BM710" i="1"/>
  <c r="BH711" i="1"/>
  <c r="BI711" i="1"/>
  <c r="BJ711" i="1"/>
  <c r="BK711" i="1"/>
  <c r="BL711" i="1"/>
  <c r="BM711" i="1"/>
  <c r="BH712" i="1"/>
  <c r="BI712" i="1"/>
  <c r="BJ712" i="1"/>
  <c r="BK712" i="1"/>
  <c r="BL712" i="1"/>
  <c r="BM712" i="1"/>
  <c r="BH713" i="1"/>
  <c r="BI713" i="1"/>
  <c r="BJ713" i="1"/>
  <c r="BK713" i="1"/>
  <c r="BL713" i="1"/>
  <c r="BM713" i="1"/>
  <c r="BH714" i="1"/>
  <c r="BI714" i="1"/>
  <c r="BJ714" i="1"/>
  <c r="BK714" i="1"/>
  <c r="BL714" i="1"/>
  <c r="BM714" i="1"/>
  <c r="BH715" i="1"/>
  <c r="BI715" i="1"/>
  <c r="BJ715" i="1"/>
  <c r="BK715" i="1"/>
  <c r="BL715" i="1"/>
  <c r="BM715" i="1"/>
  <c r="BH716" i="1"/>
  <c r="BI716" i="1"/>
  <c r="BJ716" i="1"/>
  <c r="BK716" i="1"/>
  <c r="BL716" i="1"/>
  <c r="BM716" i="1"/>
  <c r="BH717" i="1"/>
  <c r="BI717" i="1"/>
  <c r="BJ717" i="1"/>
  <c r="BK717" i="1"/>
  <c r="BL717" i="1"/>
  <c r="BM717" i="1"/>
  <c r="BH718" i="1"/>
  <c r="BI718" i="1"/>
  <c r="BJ718" i="1"/>
  <c r="BK718" i="1"/>
  <c r="BL718" i="1"/>
  <c r="BM718" i="1"/>
  <c r="BH719" i="1"/>
  <c r="BI719" i="1"/>
  <c r="BJ719" i="1"/>
  <c r="BK719" i="1"/>
  <c r="BL719" i="1"/>
  <c r="BM719" i="1"/>
  <c r="BH720" i="1"/>
  <c r="BI720" i="1"/>
  <c r="BK720" i="1"/>
  <c r="BL720" i="1"/>
  <c r="BM720" i="1"/>
  <c r="BH721" i="1"/>
  <c r="BI721" i="1"/>
  <c r="BK721" i="1"/>
  <c r="BL721" i="1"/>
  <c r="BM721" i="1"/>
  <c r="BH722" i="1"/>
  <c r="BI722" i="1"/>
  <c r="BJ722" i="1"/>
  <c r="BK722" i="1"/>
  <c r="BL722" i="1"/>
  <c r="BM722" i="1"/>
  <c r="BH723" i="1"/>
  <c r="BI723" i="1"/>
  <c r="BJ723" i="1"/>
  <c r="BK723" i="1"/>
  <c r="BL723" i="1"/>
  <c r="BM723" i="1"/>
  <c r="BH724" i="1"/>
  <c r="BI724" i="1"/>
  <c r="BJ724" i="1"/>
  <c r="BK724" i="1"/>
  <c r="BL724" i="1"/>
  <c r="BM724" i="1"/>
  <c r="BH725" i="1"/>
  <c r="BI725" i="1"/>
  <c r="BJ725" i="1"/>
  <c r="BK725" i="1"/>
  <c r="BL725" i="1"/>
  <c r="BM725" i="1"/>
  <c r="BH726" i="1"/>
  <c r="BI726" i="1"/>
  <c r="BJ726" i="1"/>
  <c r="BK726" i="1"/>
  <c r="BL726" i="1"/>
  <c r="BM726" i="1"/>
  <c r="BH727" i="1"/>
  <c r="BI727" i="1"/>
  <c r="BJ727" i="1"/>
  <c r="BK727" i="1"/>
  <c r="BL727" i="1"/>
  <c r="BM727" i="1"/>
  <c r="BH728" i="1"/>
  <c r="BI728" i="1"/>
  <c r="BJ728" i="1"/>
  <c r="BK728" i="1"/>
  <c r="BL728" i="1"/>
  <c r="BM728" i="1"/>
  <c r="BH729" i="1"/>
  <c r="BI729" i="1"/>
  <c r="BJ729" i="1"/>
  <c r="BK729" i="1"/>
  <c r="BL729" i="1"/>
  <c r="BM729" i="1"/>
  <c r="BH730" i="1"/>
  <c r="BI730" i="1"/>
  <c r="BJ730" i="1"/>
  <c r="BK730" i="1"/>
  <c r="BL730" i="1"/>
  <c r="BM730" i="1"/>
  <c r="BH731" i="1"/>
  <c r="BI731" i="1"/>
  <c r="BJ731" i="1"/>
  <c r="BK731" i="1"/>
  <c r="BL731" i="1"/>
  <c r="BM731" i="1"/>
  <c r="BH732" i="1"/>
  <c r="BI732" i="1"/>
  <c r="BJ732" i="1"/>
  <c r="BK732" i="1"/>
  <c r="BL732" i="1"/>
  <c r="BM732" i="1"/>
  <c r="BH733" i="1"/>
  <c r="BI733" i="1"/>
  <c r="BJ733" i="1"/>
  <c r="BK733" i="1"/>
  <c r="BL733" i="1"/>
  <c r="BM733" i="1"/>
  <c r="BH734" i="1"/>
  <c r="BI734" i="1"/>
  <c r="BJ734" i="1"/>
  <c r="BK734" i="1"/>
  <c r="BL734" i="1"/>
  <c r="BM734" i="1"/>
  <c r="BH735" i="1"/>
  <c r="BI735" i="1"/>
  <c r="BJ735" i="1"/>
  <c r="BK735" i="1"/>
  <c r="BL735" i="1"/>
  <c r="BM735" i="1"/>
  <c r="BH736" i="1"/>
  <c r="BI736" i="1"/>
  <c r="BJ736" i="1"/>
  <c r="BK736" i="1"/>
  <c r="BL736" i="1"/>
  <c r="BM736" i="1"/>
  <c r="BH737" i="1"/>
  <c r="BI737" i="1"/>
  <c r="BK737" i="1"/>
  <c r="BL737" i="1"/>
  <c r="BM737" i="1"/>
  <c r="BH738" i="1"/>
  <c r="BI738" i="1"/>
  <c r="BK738" i="1"/>
  <c r="BL738" i="1"/>
  <c r="BM738" i="1"/>
  <c r="BH739" i="1"/>
  <c r="BI739" i="1"/>
  <c r="BJ739" i="1"/>
  <c r="BK739" i="1"/>
  <c r="BL739" i="1"/>
  <c r="BM739" i="1"/>
  <c r="BH740" i="1"/>
  <c r="BI740" i="1"/>
  <c r="BJ740" i="1"/>
  <c r="BK740" i="1"/>
  <c r="BL740" i="1"/>
  <c r="BM740" i="1"/>
  <c r="BH741" i="1"/>
  <c r="BI741" i="1"/>
  <c r="BK741" i="1"/>
  <c r="BL741" i="1"/>
  <c r="BM741" i="1"/>
  <c r="BH742" i="1"/>
  <c r="BI742" i="1"/>
  <c r="BJ742" i="1"/>
  <c r="BK742" i="1"/>
  <c r="BL742" i="1"/>
  <c r="BM742" i="1"/>
  <c r="BH743" i="1"/>
  <c r="BI743" i="1"/>
  <c r="BJ743" i="1"/>
  <c r="BK743" i="1"/>
  <c r="BL743" i="1"/>
  <c r="BM743" i="1"/>
  <c r="BH746" i="1"/>
  <c r="BI746" i="1"/>
  <c r="BJ746" i="1"/>
  <c r="BK746" i="1"/>
  <c r="BL746" i="1"/>
  <c r="BM746" i="1"/>
  <c r="BH747" i="1"/>
  <c r="BI747" i="1"/>
  <c r="BJ747" i="1"/>
  <c r="BK747" i="1"/>
  <c r="BL747" i="1"/>
  <c r="BM747" i="1"/>
  <c r="BH748" i="1"/>
  <c r="BI748" i="1"/>
  <c r="BJ748" i="1"/>
  <c r="BK748" i="1"/>
  <c r="BL748" i="1"/>
  <c r="BM748" i="1"/>
  <c r="BH749" i="1"/>
  <c r="BI749" i="1"/>
  <c r="BJ749" i="1"/>
  <c r="BK749" i="1"/>
  <c r="BL749" i="1"/>
  <c r="BM749" i="1"/>
  <c r="BH750" i="1"/>
  <c r="BI750" i="1"/>
  <c r="BJ750" i="1"/>
  <c r="BK750" i="1"/>
  <c r="BL750" i="1"/>
  <c r="BM750" i="1"/>
  <c r="BH751" i="1"/>
  <c r="BI751" i="1"/>
  <c r="BJ751" i="1"/>
  <c r="BK751" i="1"/>
  <c r="BL751" i="1"/>
  <c r="BM751" i="1"/>
  <c r="BH752" i="1"/>
  <c r="BI752" i="1"/>
  <c r="BJ752" i="1"/>
  <c r="BK752" i="1"/>
  <c r="BL752" i="1"/>
  <c r="BM752" i="1"/>
  <c r="BH753" i="1"/>
  <c r="BI753" i="1"/>
  <c r="BJ753" i="1"/>
  <c r="BK753" i="1"/>
  <c r="BL753" i="1"/>
  <c r="BM753" i="1"/>
  <c r="BH754" i="1"/>
  <c r="BI754" i="1"/>
  <c r="BJ754" i="1"/>
  <c r="BK754" i="1"/>
  <c r="BL754" i="1"/>
  <c r="BM754" i="1"/>
  <c r="BH755" i="1"/>
  <c r="BI755" i="1"/>
  <c r="BJ755" i="1"/>
  <c r="BK755" i="1"/>
  <c r="BL755" i="1"/>
  <c r="BM755" i="1"/>
  <c r="BH756" i="1"/>
  <c r="BI756" i="1"/>
  <c r="BK756" i="1"/>
  <c r="BL756" i="1"/>
  <c r="BM756" i="1"/>
  <c r="BH757" i="1"/>
  <c r="BI757" i="1"/>
  <c r="BK757" i="1"/>
  <c r="BL757" i="1"/>
  <c r="BM757" i="1"/>
  <c r="BH758" i="1"/>
  <c r="BI758" i="1"/>
  <c r="BJ758" i="1"/>
  <c r="BK758" i="1"/>
  <c r="BL758" i="1"/>
  <c r="BM758" i="1"/>
  <c r="BH759" i="1"/>
  <c r="BI759" i="1"/>
  <c r="BJ759" i="1"/>
  <c r="BK759" i="1"/>
  <c r="BL759" i="1"/>
  <c r="BM759" i="1"/>
  <c r="BH760" i="1"/>
  <c r="BI760" i="1"/>
  <c r="BJ760" i="1"/>
  <c r="BK760" i="1"/>
  <c r="BL760" i="1"/>
  <c r="BM760" i="1"/>
  <c r="BH761" i="1"/>
  <c r="BI761" i="1"/>
  <c r="BJ761" i="1"/>
  <c r="BK761" i="1"/>
  <c r="BL761" i="1"/>
  <c r="BM761" i="1"/>
  <c r="BH762" i="1"/>
  <c r="BI762" i="1"/>
  <c r="BJ762" i="1"/>
  <c r="BK762" i="1"/>
  <c r="BL762" i="1"/>
  <c r="BM762" i="1"/>
  <c r="BH763" i="1"/>
  <c r="BI763" i="1"/>
  <c r="BJ763" i="1"/>
  <c r="BK763" i="1"/>
  <c r="BL763" i="1"/>
  <c r="BM763" i="1"/>
  <c r="BH764" i="1"/>
  <c r="BI764" i="1"/>
  <c r="BJ764" i="1"/>
  <c r="BK764" i="1"/>
  <c r="BL764" i="1"/>
  <c r="BM764" i="1"/>
  <c r="BH765" i="1"/>
  <c r="BI765" i="1"/>
  <c r="BJ765" i="1"/>
  <c r="BK765" i="1"/>
  <c r="BL765" i="1"/>
  <c r="BM765" i="1"/>
  <c r="BH766" i="1"/>
  <c r="BI766" i="1"/>
  <c r="BJ766" i="1"/>
  <c r="BK766" i="1"/>
  <c r="BL766" i="1"/>
  <c r="BM766" i="1"/>
  <c r="BH767" i="1"/>
  <c r="BI767" i="1"/>
  <c r="BJ767" i="1"/>
  <c r="BK767" i="1"/>
  <c r="BL767" i="1"/>
  <c r="BM767" i="1"/>
  <c r="BH768" i="1"/>
  <c r="BI768" i="1"/>
  <c r="BJ768" i="1"/>
  <c r="BK768" i="1"/>
  <c r="BL768" i="1"/>
  <c r="BM768" i="1"/>
  <c r="BH770" i="1"/>
  <c r="BI770" i="1"/>
  <c r="BJ770" i="1"/>
  <c r="BK770" i="1"/>
  <c r="BL770" i="1"/>
  <c r="BM770" i="1"/>
  <c r="BH771" i="1"/>
  <c r="BI771" i="1"/>
  <c r="BJ771" i="1"/>
  <c r="BK771" i="1"/>
  <c r="BL771" i="1"/>
  <c r="BM771" i="1"/>
  <c r="BH772" i="1"/>
  <c r="BI772" i="1"/>
  <c r="BJ772" i="1"/>
  <c r="BK772" i="1"/>
  <c r="BL772" i="1"/>
  <c r="BM772" i="1"/>
  <c r="BH773" i="1"/>
  <c r="BI773" i="1"/>
  <c r="BJ773" i="1"/>
  <c r="BK773" i="1"/>
  <c r="BL773" i="1"/>
  <c r="BM773" i="1"/>
  <c r="BH774" i="1"/>
  <c r="BI774" i="1"/>
  <c r="BK774" i="1"/>
  <c r="BL774" i="1"/>
  <c r="BM774" i="1"/>
  <c r="BH775" i="1"/>
  <c r="BI775" i="1"/>
  <c r="BK775" i="1"/>
  <c r="BL775" i="1"/>
  <c r="BM775" i="1"/>
  <c r="BH776" i="1"/>
  <c r="BI776" i="1"/>
  <c r="BJ776" i="1"/>
  <c r="BK776" i="1"/>
  <c r="BL776" i="1"/>
  <c r="BM776" i="1"/>
  <c r="BH777" i="1"/>
  <c r="BI777" i="1"/>
  <c r="BJ777" i="1"/>
  <c r="BK777" i="1"/>
  <c r="BL777" i="1"/>
  <c r="BM777" i="1"/>
  <c r="BH778" i="1"/>
  <c r="BI778" i="1"/>
  <c r="BJ778" i="1"/>
  <c r="BK778" i="1"/>
  <c r="BL778" i="1"/>
  <c r="BM778" i="1"/>
  <c r="BH780" i="1"/>
  <c r="BI780" i="1"/>
  <c r="BJ780" i="1"/>
  <c r="BK780" i="1"/>
  <c r="BL780" i="1"/>
  <c r="BM780" i="1"/>
  <c r="BH781" i="1"/>
  <c r="BI781" i="1"/>
  <c r="BJ781" i="1"/>
  <c r="BK781" i="1"/>
  <c r="BL781" i="1"/>
  <c r="BM781" i="1"/>
  <c r="BH782" i="1"/>
  <c r="BI782" i="1"/>
  <c r="BJ782" i="1"/>
  <c r="BK782" i="1"/>
  <c r="BL782" i="1"/>
  <c r="BM782" i="1"/>
  <c r="BH783" i="1"/>
  <c r="BI783" i="1"/>
  <c r="BJ783" i="1"/>
  <c r="BK783" i="1"/>
  <c r="BL783" i="1"/>
  <c r="BM783" i="1"/>
  <c r="BH786" i="1"/>
  <c r="BI786" i="1"/>
  <c r="BJ786" i="1"/>
  <c r="BK786" i="1"/>
  <c r="BL786" i="1"/>
  <c r="BM786" i="1"/>
  <c r="BH787" i="1"/>
  <c r="BI787" i="1"/>
  <c r="BJ787" i="1"/>
  <c r="BK787" i="1"/>
  <c r="BL787" i="1"/>
  <c r="BM787" i="1"/>
  <c r="BH788" i="1"/>
  <c r="BI788" i="1"/>
  <c r="BJ788" i="1"/>
  <c r="BK788" i="1"/>
  <c r="BL788" i="1"/>
  <c r="BM788" i="1"/>
  <c r="BH789" i="1"/>
  <c r="BI789" i="1"/>
  <c r="BJ789" i="1"/>
  <c r="BK789" i="1"/>
  <c r="BL789" i="1"/>
  <c r="BM789" i="1"/>
  <c r="BH790" i="1"/>
  <c r="BI790" i="1"/>
  <c r="BJ790" i="1"/>
  <c r="BK790" i="1"/>
  <c r="BL790" i="1"/>
  <c r="BM790" i="1"/>
  <c r="BH791" i="1"/>
  <c r="BI791" i="1"/>
  <c r="BJ791" i="1"/>
  <c r="BK791" i="1"/>
  <c r="BL791" i="1"/>
  <c r="BM791" i="1"/>
  <c r="BH792" i="1"/>
  <c r="BI792" i="1"/>
  <c r="BJ792" i="1"/>
  <c r="BK792" i="1"/>
  <c r="BL792" i="1"/>
  <c r="BM792" i="1"/>
  <c r="BH794" i="1"/>
  <c r="BI794" i="1"/>
  <c r="BJ794" i="1"/>
  <c r="BK794" i="1"/>
  <c r="BL794" i="1"/>
  <c r="BM794" i="1"/>
  <c r="BH795" i="1"/>
  <c r="BI795" i="1"/>
  <c r="BJ795" i="1"/>
  <c r="BK795" i="1"/>
  <c r="BL795" i="1"/>
  <c r="BM795" i="1"/>
  <c r="BH796" i="1"/>
  <c r="BI796" i="1"/>
  <c r="BJ796" i="1"/>
  <c r="BK796" i="1"/>
  <c r="BL796" i="1"/>
  <c r="BM796" i="1"/>
  <c r="BH797" i="1"/>
  <c r="BI797" i="1"/>
  <c r="BJ797" i="1"/>
  <c r="BK797" i="1"/>
  <c r="BL797" i="1"/>
  <c r="BM797" i="1"/>
  <c r="BH798" i="1"/>
  <c r="BI798" i="1"/>
  <c r="BJ798" i="1"/>
  <c r="BK798" i="1"/>
  <c r="BL798" i="1"/>
  <c r="BM798" i="1"/>
  <c r="BH799" i="1"/>
  <c r="BI799" i="1"/>
  <c r="BK799" i="1"/>
  <c r="BL799" i="1"/>
  <c r="BM799" i="1"/>
  <c r="BH800" i="1"/>
  <c r="BI800" i="1"/>
  <c r="BK800" i="1"/>
  <c r="BL800" i="1"/>
  <c r="BM800" i="1"/>
  <c r="BH801" i="1"/>
  <c r="BI801" i="1"/>
  <c r="BJ801" i="1"/>
  <c r="BK801" i="1"/>
  <c r="BL801" i="1"/>
  <c r="BM801" i="1"/>
  <c r="BH802" i="1"/>
  <c r="BI802" i="1"/>
  <c r="BJ802" i="1"/>
  <c r="BK802" i="1"/>
  <c r="BL802" i="1"/>
  <c r="BM802" i="1"/>
  <c r="BH803" i="1"/>
  <c r="BI803" i="1"/>
  <c r="BJ803" i="1"/>
  <c r="BK803" i="1"/>
  <c r="BL803" i="1"/>
  <c r="BM803" i="1"/>
  <c r="BH804" i="1"/>
  <c r="BI804" i="1"/>
  <c r="BJ804" i="1"/>
  <c r="BK804" i="1"/>
  <c r="BL804" i="1"/>
  <c r="BM804" i="1"/>
  <c r="BH805" i="1"/>
  <c r="BI805" i="1"/>
  <c r="BJ805" i="1"/>
  <c r="BK805" i="1"/>
  <c r="BL805" i="1"/>
  <c r="BM805" i="1"/>
  <c r="BH806" i="1"/>
  <c r="BI806" i="1"/>
  <c r="BJ806" i="1"/>
  <c r="BK806" i="1"/>
  <c r="BL806" i="1"/>
  <c r="BM806" i="1"/>
  <c r="BH807" i="1"/>
  <c r="BI807" i="1"/>
  <c r="BJ807" i="1"/>
  <c r="BK807" i="1"/>
  <c r="BL807" i="1"/>
  <c r="BM807" i="1"/>
  <c r="BH808" i="1"/>
  <c r="BI808" i="1"/>
  <c r="BJ808" i="1"/>
  <c r="BK808" i="1"/>
  <c r="BL808" i="1"/>
  <c r="BM808" i="1"/>
  <c r="BH809" i="1"/>
  <c r="BI809" i="1"/>
  <c r="BJ809" i="1"/>
  <c r="BK809" i="1"/>
  <c r="BL809" i="1"/>
  <c r="BM809" i="1"/>
  <c r="BH810" i="1"/>
  <c r="BI810" i="1"/>
  <c r="BJ810" i="1"/>
  <c r="BK810" i="1"/>
  <c r="BL810" i="1"/>
  <c r="BM810" i="1"/>
  <c r="BH811" i="1"/>
  <c r="BI811" i="1"/>
  <c r="BJ811" i="1"/>
  <c r="BK811" i="1"/>
  <c r="BL811" i="1"/>
  <c r="BM811" i="1"/>
  <c r="BH812" i="1"/>
  <c r="BI812" i="1"/>
  <c r="BK812" i="1"/>
  <c r="BL812" i="1"/>
  <c r="BM812" i="1"/>
  <c r="BH813" i="1"/>
  <c r="BI813" i="1"/>
  <c r="BK813" i="1"/>
  <c r="BL813" i="1"/>
  <c r="BM813" i="1"/>
  <c r="BH814" i="1"/>
  <c r="BI814" i="1"/>
  <c r="BJ814" i="1"/>
  <c r="BK814" i="1"/>
  <c r="BL814" i="1"/>
  <c r="BM814" i="1"/>
  <c r="BH815" i="1"/>
  <c r="BI815" i="1"/>
  <c r="BJ815" i="1"/>
  <c r="BK815" i="1"/>
  <c r="BL815" i="1"/>
  <c r="BM815" i="1"/>
  <c r="BH816" i="1"/>
  <c r="BI816" i="1"/>
  <c r="BJ816" i="1"/>
  <c r="BK816" i="1"/>
  <c r="BL816" i="1"/>
  <c r="BM816" i="1"/>
  <c r="BH817" i="1"/>
  <c r="BI817" i="1"/>
  <c r="BJ817" i="1"/>
  <c r="BK817" i="1"/>
  <c r="BL817" i="1"/>
  <c r="BM817" i="1"/>
  <c r="BH818" i="1"/>
  <c r="BI818" i="1"/>
  <c r="BJ818" i="1"/>
  <c r="BK818" i="1"/>
  <c r="BL818" i="1"/>
  <c r="BM818" i="1"/>
  <c r="BH820" i="1"/>
  <c r="BI820" i="1"/>
  <c r="BJ820" i="1"/>
  <c r="BK820" i="1"/>
  <c r="BL820" i="1"/>
  <c r="BM820" i="1"/>
  <c r="BH821" i="1"/>
  <c r="BI821" i="1"/>
  <c r="BJ821" i="1"/>
  <c r="BK821" i="1"/>
  <c r="BL821" i="1"/>
  <c r="BM821" i="1"/>
  <c r="BH822" i="1"/>
  <c r="BI822" i="1"/>
  <c r="BJ822" i="1"/>
  <c r="BK822" i="1"/>
  <c r="BL822" i="1"/>
  <c r="BM822" i="1"/>
  <c r="BH823" i="1"/>
  <c r="BI823" i="1"/>
  <c r="BJ823" i="1"/>
  <c r="BK823" i="1"/>
  <c r="BL823" i="1"/>
  <c r="BM823" i="1"/>
  <c r="BH824" i="1"/>
  <c r="BI824" i="1"/>
  <c r="BJ824" i="1"/>
  <c r="BK824" i="1"/>
  <c r="BL824" i="1"/>
  <c r="BM824" i="1"/>
  <c r="BH825" i="1"/>
  <c r="BI825" i="1"/>
  <c r="BJ825" i="1"/>
  <c r="BK825" i="1"/>
  <c r="BL825" i="1"/>
  <c r="BM825" i="1"/>
  <c r="BH826" i="1"/>
  <c r="BI826" i="1"/>
  <c r="BJ826" i="1"/>
  <c r="BK826" i="1"/>
  <c r="BL826" i="1"/>
  <c r="BM826" i="1"/>
  <c r="BH827" i="1"/>
  <c r="BI827" i="1"/>
  <c r="BJ827" i="1"/>
  <c r="BK827" i="1"/>
  <c r="BL827" i="1"/>
  <c r="BM827" i="1"/>
  <c r="BH828" i="1"/>
  <c r="BI828" i="1"/>
  <c r="BJ828" i="1"/>
  <c r="BK828" i="1"/>
  <c r="BL828" i="1"/>
  <c r="BM828" i="1"/>
  <c r="BH829" i="1"/>
  <c r="BI829" i="1"/>
  <c r="BJ829" i="1"/>
  <c r="BK829" i="1"/>
  <c r="BL829" i="1"/>
  <c r="BM829" i="1"/>
  <c r="BH830" i="1"/>
  <c r="BI830" i="1"/>
  <c r="BJ830" i="1"/>
  <c r="BK830" i="1"/>
  <c r="BL830" i="1"/>
  <c r="BM830" i="1"/>
  <c r="BH831" i="1"/>
  <c r="BI831" i="1"/>
  <c r="BJ831" i="1"/>
  <c r="BK831" i="1"/>
  <c r="BL831" i="1"/>
  <c r="BM831" i="1"/>
  <c r="BH832" i="1"/>
  <c r="BI832" i="1"/>
  <c r="BJ832" i="1"/>
  <c r="BK832" i="1"/>
  <c r="BL832" i="1"/>
  <c r="BM832" i="1"/>
  <c r="BH833" i="1"/>
  <c r="BI833" i="1"/>
  <c r="BJ833" i="1"/>
  <c r="BK833" i="1"/>
  <c r="BL833" i="1"/>
  <c r="BM833" i="1"/>
  <c r="BH834" i="1"/>
  <c r="BI834" i="1"/>
  <c r="BJ834" i="1"/>
  <c r="BK834" i="1"/>
  <c r="BL834" i="1"/>
  <c r="BM834" i="1"/>
  <c r="BH835" i="1"/>
  <c r="BI835" i="1"/>
  <c r="BJ835" i="1"/>
  <c r="BK835" i="1"/>
  <c r="BL835" i="1"/>
  <c r="BM835" i="1"/>
  <c r="BH836" i="1"/>
  <c r="BI836" i="1"/>
  <c r="BJ836" i="1"/>
  <c r="BK836" i="1"/>
  <c r="BL836" i="1"/>
  <c r="BM836" i="1"/>
  <c r="BH838" i="1"/>
  <c r="BI838" i="1"/>
  <c r="BK838" i="1"/>
  <c r="BL838" i="1"/>
  <c r="BM838" i="1"/>
  <c r="BH839" i="1"/>
  <c r="BI839" i="1"/>
  <c r="BJ839" i="1"/>
  <c r="BK839" i="1"/>
  <c r="BL839" i="1"/>
  <c r="BM839" i="1"/>
  <c r="BH841" i="1"/>
  <c r="BI841" i="1"/>
  <c r="BJ841" i="1"/>
  <c r="BK841" i="1"/>
  <c r="BL841" i="1"/>
  <c r="BM841" i="1"/>
  <c r="BH842" i="1"/>
  <c r="BI842" i="1"/>
  <c r="BK842" i="1"/>
  <c r="BL842" i="1"/>
  <c r="BM842" i="1"/>
  <c r="BH843" i="1"/>
  <c r="BI843" i="1"/>
  <c r="BJ843" i="1"/>
  <c r="BK843" i="1"/>
  <c r="BL843" i="1"/>
  <c r="BM843" i="1"/>
  <c r="BH844" i="1"/>
  <c r="BI844" i="1"/>
  <c r="BJ844" i="1"/>
  <c r="BK844" i="1"/>
  <c r="BL844" i="1"/>
  <c r="BM844" i="1"/>
  <c r="BH845" i="1"/>
  <c r="BI845" i="1"/>
  <c r="BK845" i="1"/>
  <c r="BL845" i="1"/>
  <c r="BM845" i="1"/>
  <c r="BH846" i="1"/>
  <c r="BI846" i="1"/>
  <c r="BJ846" i="1"/>
  <c r="BK846" i="1"/>
  <c r="BL846" i="1"/>
  <c r="BM846" i="1"/>
  <c r="BH847" i="1"/>
  <c r="BI847" i="1"/>
  <c r="BK847" i="1"/>
  <c r="BL847" i="1"/>
  <c r="BM847" i="1"/>
  <c r="BH848" i="1"/>
  <c r="BI848" i="1"/>
  <c r="BK848" i="1"/>
  <c r="BL848" i="1"/>
  <c r="BM848" i="1"/>
  <c r="BH849" i="1"/>
  <c r="BI849" i="1"/>
  <c r="BK849" i="1"/>
  <c r="BL849" i="1"/>
  <c r="BM849" i="1"/>
  <c r="BH850" i="1"/>
  <c r="BI850" i="1"/>
  <c r="BK850" i="1"/>
  <c r="BL850" i="1"/>
  <c r="BM850" i="1"/>
  <c r="BH851" i="1"/>
  <c r="BI851" i="1"/>
  <c r="BK851" i="1"/>
  <c r="BL851" i="1"/>
  <c r="BM851" i="1"/>
  <c r="BH852" i="1"/>
  <c r="BI852" i="1"/>
  <c r="BJ852" i="1"/>
  <c r="BK852" i="1"/>
  <c r="BL852" i="1"/>
  <c r="BM852" i="1"/>
  <c r="BH853" i="1"/>
  <c r="BI853" i="1"/>
  <c r="BJ853" i="1"/>
  <c r="BK853" i="1"/>
  <c r="BL853" i="1"/>
  <c r="BM853" i="1"/>
  <c r="BH854" i="1"/>
  <c r="BI854" i="1"/>
  <c r="BJ854" i="1"/>
  <c r="BK854" i="1"/>
  <c r="BL854" i="1"/>
  <c r="BM854" i="1"/>
  <c r="BH855" i="1"/>
  <c r="BI855" i="1"/>
  <c r="BJ855" i="1"/>
  <c r="BK855" i="1"/>
  <c r="BL855" i="1"/>
  <c r="BM855" i="1"/>
  <c r="BH856" i="1"/>
  <c r="BI856" i="1"/>
  <c r="BJ856" i="1"/>
  <c r="BK856" i="1"/>
  <c r="BL856" i="1"/>
  <c r="BM856" i="1"/>
  <c r="BH857" i="1"/>
  <c r="BI857" i="1"/>
  <c r="BK857" i="1"/>
  <c r="BL857" i="1"/>
  <c r="BM857" i="1"/>
  <c r="BH858" i="1"/>
  <c r="BI858" i="1"/>
  <c r="BJ858" i="1"/>
  <c r="BK858" i="1"/>
  <c r="BL858" i="1"/>
  <c r="BM858" i="1"/>
  <c r="BH859" i="1"/>
  <c r="BI859" i="1"/>
  <c r="BJ859" i="1"/>
  <c r="BK859" i="1"/>
  <c r="BL859" i="1"/>
  <c r="BM859" i="1"/>
  <c r="BH860" i="1"/>
  <c r="BI860" i="1"/>
  <c r="BJ860" i="1"/>
  <c r="BK860" i="1"/>
  <c r="BL860" i="1"/>
  <c r="BM860" i="1"/>
  <c r="BH861" i="1"/>
  <c r="BI861" i="1"/>
  <c r="BJ861" i="1"/>
  <c r="BK861" i="1"/>
  <c r="BL861" i="1"/>
  <c r="BM861" i="1"/>
  <c r="BH862" i="1"/>
  <c r="BI862" i="1"/>
  <c r="BJ862" i="1"/>
  <c r="BK862" i="1"/>
  <c r="BL862" i="1"/>
  <c r="BM862" i="1"/>
  <c r="BH863" i="1"/>
  <c r="BI863" i="1"/>
  <c r="BJ863" i="1"/>
  <c r="BK863" i="1"/>
  <c r="BL863" i="1"/>
  <c r="BM863" i="1"/>
  <c r="BH864" i="1"/>
  <c r="BI864" i="1"/>
  <c r="BJ864" i="1"/>
  <c r="BK864" i="1"/>
  <c r="BL864" i="1"/>
  <c r="BM864" i="1"/>
  <c r="BH865" i="1"/>
  <c r="BI865" i="1"/>
  <c r="BJ865" i="1"/>
  <c r="BK865" i="1"/>
  <c r="BL865" i="1"/>
  <c r="BM865" i="1"/>
  <c r="BH867" i="1"/>
  <c r="BI867" i="1"/>
  <c r="BJ867" i="1"/>
  <c r="BK867" i="1"/>
  <c r="BL867" i="1"/>
  <c r="BM867" i="1"/>
  <c r="BH868" i="1"/>
  <c r="BI868" i="1"/>
  <c r="BJ868" i="1"/>
  <c r="BK868" i="1"/>
  <c r="BL868" i="1"/>
  <c r="BM868" i="1"/>
  <c r="BH869" i="1"/>
  <c r="BI869" i="1"/>
  <c r="BK869" i="1"/>
  <c r="BL869" i="1"/>
  <c r="BM869" i="1"/>
  <c r="BH870" i="1"/>
  <c r="BI870" i="1"/>
  <c r="BK870" i="1"/>
  <c r="BL870" i="1"/>
  <c r="BM870" i="1"/>
  <c r="BH872" i="1"/>
  <c r="BI872" i="1"/>
  <c r="BJ872" i="1"/>
  <c r="BK872" i="1"/>
  <c r="BL872" i="1"/>
  <c r="BM872" i="1"/>
  <c r="BH873" i="1"/>
  <c r="BI873" i="1"/>
  <c r="BJ873" i="1"/>
  <c r="BK873" i="1"/>
  <c r="BL873" i="1"/>
  <c r="BM873" i="1"/>
  <c r="BH874" i="1"/>
  <c r="BI874" i="1"/>
  <c r="BJ874" i="1"/>
  <c r="BK874" i="1"/>
  <c r="BL874" i="1"/>
  <c r="BM874" i="1"/>
  <c r="BH875" i="1"/>
  <c r="BI875" i="1"/>
  <c r="BJ875" i="1"/>
  <c r="BK875" i="1"/>
  <c r="BL875" i="1"/>
  <c r="BM875" i="1"/>
  <c r="BH876" i="1"/>
  <c r="BI876" i="1"/>
  <c r="BJ876" i="1"/>
  <c r="BK876" i="1"/>
  <c r="BL876" i="1"/>
  <c r="BM876" i="1"/>
  <c r="BH877" i="1"/>
  <c r="BI877" i="1"/>
  <c r="BK877" i="1"/>
  <c r="BL877" i="1"/>
  <c r="BM877" i="1"/>
  <c r="BH878" i="1"/>
  <c r="BI878" i="1"/>
  <c r="BK878" i="1"/>
  <c r="BL878" i="1"/>
  <c r="BM878" i="1"/>
  <c r="BH879" i="1"/>
  <c r="BI879" i="1"/>
  <c r="BJ879" i="1"/>
  <c r="BK879" i="1"/>
  <c r="BL879" i="1"/>
  <c r="BM879" i="1"/>
  <c r="BH880" i="1"/>
  <c r="BI880" i="1"/>
  <c r="BJ880" i="1"/>
  <c r="BK880" i="1"/>
  <c r="BL880" i="1"/>
  <c r="BM880" i="1"/>
  <c r="BH881" i="1"/>
  <c r="BI881" i="1"/>
  <c r="BJ881" i="1"/>
  <c r="BK881" i="1"/>
  <c r="BL881" i="1"/>
  <c r="BM881" i="1"/>
  <c r="BH882" i="1"/>
  <c r="BI882" i="1"/>
  <c r="BJ882" i="1"/>
  <c r="BK882" i="1"/>
  <c r="BL882" i="1"/>
  <c r="BM882" i="1"/>
  <c r="BH883" i="1"/>
  <c r="BI883" i="1"/>
  <c r="BJ883" i="1"/>
  <c r="BK883" i="1"/>
  <c r="BL883" i="1"/>
  <c r="BM883" i="1"/>
  <c r="BH884" i="1"/>
  <c r="BI884" i="1"/>
  <c r="BJ884" i="1"/>
  <c r="BK884" i="1"/>
  <c r="BL884" i="1"/>
  <c r="BM884" i="1"/>
  <c r="BH885" i="1"/>
  <c r="BI885" i="1"/>
  <c r="BJ885" i="1"/>
  <c r="BK885" i="1"/>
  <c r="BL885" i="1"/>
  <c r="BM885" i="1"/>
  <c r="BH886" i="1"/>
  <c r="BI886" i="1"/>
  <c r="BJ886" i="1"/>
  <c r="BK886" i="1"/>
  <c r="BL886" i="1"/>
  <c r="BM886" i="1"/>
  <c r="BH887" i="1"/>
  <c r="BI887" i="1"/>
  <c r="BJ887" i="1"/>
  <c r="BK887" i="1"/>
  <c r="BL887" i="1"/>
  <c r="BM887" i="1"/>
  <c r="BH888" i="1"/>
  <c r="BI888" i="1"/>
  <c r="BJ888" i="1"/>
  <c r="BK888" i="1"/>
  <c r="BL888" i="1"/>
  <c r="BM888" i="1"/>
  <c r="BH890" i="1"/>
  <c r="BI890" i="1"/>
  <c r="BJ890" i="1"/>
  <c r="BK890" i="1"/>
  <c r="BL890" i="1"/>
  <c r="BM890" i="1"/>
  <c r="BH893" i="1"/>
  <c r="BI893" i="1"/>
  <c r="BJ893" i="1"/>
  <c r="BK893" i="1"/>
  <c r="BL893" i="1"/>
  <c r="BM893" i="1"/>
  <c r="BH894" i="1"/>
  <c r="BI894" i="1"/>
  <c r="BK894" i="1"/>
  <c r="BL894" i="1"/>
  <c r="BM894" i="1"/>
  <c r="BH895" i="1"/>
  <c r="BI895" i="1"/>
  <c r="BK895" i="1"/>
  <c r="BL895" i="1"/>
  <c r="BM895" i="1"/>
  <c r="BH896" i="1"/>
  <c r="BI896" i="1"/>
  <c r="BK896" i="1"/>
  <c r="BL896" i="1"/>
  <c r="BM896" i="1"/>
  <c r="BH897" i="1"/>
  <c r="BI897" i="1"/>
  <c r="BK897" i="1"/>
  <c r="BL897" i="1"/>
  <c r="BM897" i="1"/>
  <c r="BH898" i="1"/>
  <c r="BI898" i="1"/>
  <c r="BJ898" i="1"/>
  <c r="BK898" i="1"/>
  <c r="BL898" i="1"/>
  <c r="BM898" i="1"/>
  <c r="BH899" i="1"/>
  <c r="BI899" i="1"/>
  <c r="BJ899" i="1"/>
  <c r="BK899" i="1"/>
  <c r="BL899" i="1"/>
  <c r="BM899" i="1"/>
  <c r="BH900" i="1"/>
  <c r="BI900" i="1"/>
  <c r="BJ900" i="1"/>
  <c r="BK900" i="1"/>
  <c r="BL900" i="1"/>
  <c r="BM900" i="1"/>
  <c r="BH901" i="1"/>
  <c r="BI901" i="1"/>
  <c r="BK901" i="1"/>
  <c r="BL901" i="1"/>
  <c r="BM901" i="1"/>
  <c r="BH902" i="1"/>
  <c r="BI902" i="1"/>
  <c r="BK902" i="1"/>
  <c r="BL902" i="1"/>
  <c r="BM902" i="1"/>
  <c r="BH903" i="1"/>
  <c r="BI903" i="1"/>
  <c r="BJ903" i="1"/>
  <c r="BK903" i="1"/>
  <c r="BL903" i="1"/>
  <c r="BM903" i="1"/>
  <c r="BH904" i="1"/>
  <c r="BI904" i="1"/>
  <c r="BK904" i="1"/>
  <c r="BL904" i="1"/>
  <c r="BM904" i="1"/>
  <c r="BH905" i="1"/>
  <c r="BI905" i="1"/>
  <c r="BK905" i="1"/>
  <c r="BL905" i="1"/>
  <c r="BM905" i="1"/>
  <c r="BH906" i="1"/>
  <c r="BI906" i="1"/>
  <c r="BK906" i="1"/>
  <c r="BL906" i="1"/>
  <c r="BM906" i="1"/>
  <c r="BH907" i="1"/>
  <c r="BI907" i="1"/>
  <c r="BJ907" i="1"/>
  <c r="BK907" i="1"/>
  <c r="BL907" i="1"/>
  <c r="BM907" i="1"/>
  <c r="BH908" i="1"/>
  <c r="BI908" i="1"/>
  <c r="BJ908" i="1"/>
  <c r="BK908" i="1"/>
  <c r="BL908" i="1"/>
  <c r="BM908" i="1"/>
  <c r="BH909" i="1"/>
  <c r="BI909" i="1"/>
  <c r="BJ909" i="1"/>
  <c r="BK909" i="1"/>
  <c r="BL909" i="1"/>
  <c r="BM909" i="1"/>
  <c r="BH910" i="1"/>
  <c r="BI910" i="1"/>
  <c r="BJ910" i="1"/>
  <c r="BK910" i="1"/>
  <c r="BL910" i="1"/>
  <c r="BM910" i="1"/>
  <c r="BH911" i="1"/>
  <c r="BI911" i="1"/>
  <c r="BJ911" i="1"/>
  <c r="BK911" i="1"/>
  <c r="BL911" i="1"/>
  <c r="BM911" i="1"/>
  <c r="BH912" i="1"/>
  <c r="BI912" i="1"/>
  <c r="BJ912" i="1"/>
  <c r="BK912" i="1"/>
  <c r="BL912" i="1"/>
  <c r="BM912" i="1"/>
  <c r="BH915" i="1"/>
  <c r="BI915" i="1"/>
  <c r="BK915" i="1"/>
  <c r="BL915" i="1"/>
  <c r="BM915" i="1"/>
  <c r="BH916" i="1"/>
  <c r="BI916" i="1"/>
  <c r="BK916" i="1"/>
  <c r="BL916" i="1"/>
  <c r="BM916" i="1"/>
  <c r="BH917" i="1"/>
  <c r="BI917" i="1"/>
  <c r="BK917" i="1"/>
  <c r="BL917" i="1"/>
  <c r="BM917" i="1"/>
  <c r="BH918" i="1"/>
  <c r="BI918" i="1"/>
  <c r="BK918" i="1"/>
  <c r="BL918" i="1"/>
  <c r="BM918" i="1"/>
  <c r="BH919" i="1"/>
  <c r="BI919" i="1"/>
  <c r="BK919" i="1"/>
  <c r="BL919" i="1"/>
  <c r="BM919" i="1"/>
  <c r="BH920" i="1"/>
  <c r="BI920" i="1"/>
  <c r="BK920" i="1"/>
  <c r="BL920" i="1"/>
  <c r="BM920" i="1"/>
  <c r="BH921" i="1"/>
  <c r="BI921" i="1"/>
  <c r="BJ921" i="1"/>
  <c r="BK921" i="1"/>
  <c r="BL921" i="1"/>
  <c r="BM921" i="1"/>
  <c r="BH922" i="1"/>
  <c r="BI922" i="1"/>
  <c r="BJ922" i="1"/>
  <c r="BK922" i="1"/>
  <c r="BL922" i="1"/>
  <c r="BM922" i="1"/>
  <c r="BH923" i="1"/>
  <c r="BI923" i="1"/>
  <c r="BJ923" i="1"/>
  <c r="BK923" i="1"/>
  <c r="BL923" i="1"/>
  <c r="BM923" i="1"/>
  <c r="BH924" i="1"/>
  <c r="BI924" i="1"/>
  <c r="BJ924" i="1"/>
  <c r="BK924" i="1"/>
  <c r="BL924" i="1"/>
  <c r="BM924" i="1"/>
  <c r="BH925" i="1"/>
  <c r="BI925" i="1"/>
  <c r="BJ925" i="1"/>
  <c r="BK925" i="1"/>
  <c r="BL925" i="1"/>
  <c r="BM925" i="1"/>
  <c r="BH926" i="1"/>
  <c r="BI926" i="1"/>
  <c r="BJ926" i="1"/>
  <c r="BK926" i="1"/>
  <c r="BL926" i="1"/>
  <c r="BM926" i="1"/>
  <c r="BH927" i="1"/>
  <c r="BI927" i="1"/>
  <c r="BJ927" i="1"/>
  <c r="BK927" i="1"/>
  <c r="BL927" i="1"/>
  <c r="BM927" i="1"/>
  <c r="BH929" i="1"/>
  <c r="BI929" i="1"/>
  <c r="BJ929" i="1"/>
  <c r="BK929" i="1"/>
  <c r="BL929" i="1"/>
  <c r="BM929" i="1"/>
  <c r="BH930" i="1"/>
  <c r="BI930" i="1"/>
  <c r="BJ930" i="1"/>
  <c r="BK930" i="1"/>
  <c r="BL930" i="1"/>
  <c r="BM930" i="1"/>
  <c r="BH931" i="1"/>
  <c r="BI931" i="1"/>
  <c r="BJ931" i="1"/>
  <c r="BK931" i="1"/>
  <c r="BL931" i="1"/>
  <c r="BM931" i="1"/>
  <c r="BH932" i="1"/>
  <c r="BI932" i="1"/>
  <c r="BJ932" i="1"/>
  <c r="BK932" i="1"/>
  <c r="BL932" i="1"/>
  <c r="BM932" i="1"/>
  <c r="BH934" i="1"/>
  <c r="BI934" i="1"/>
  <c r="BJ934" i="1"/>
  <c r="BK934" i="1"/>
  <c r="BL934" i="1"/>
  <c r="BM934" i="1"/>
  <c r="BH935" i="1"/>
  <c r="BI935" i="1"/>
  <c r="BJ935" i="1"/>
  <c r="BK935" i="1"/>
  <c r="BL935" i="1"/>
  <c r="BM935" i="1"/>
  <c r="BH936" i="1"/>
  <c r="BI936" i="1"/>
  <c r="BJ936" i="1"/>
  <c r="BK936" i="1"/>
  <c r="BL936" i="1"/>
  <c r="BM936" i="1"/>
  <c r="BH937" i="1"/>
  <c r="BI937" i="1"/>
  <c r="BJ937" i="1"/>
  <c r="BK937" i="1"/>
  <c r="BL937" i="1"/>
  <c r="BM937" i="1"/>
  <c r="BH938" i="1"/>
  <c r="BI938" i="1"/>
  <c r="BJ938" i="1"/>
  <c r="BK938" i="1"/>
  <c r="BL938" i="1"/>
  <c r="BM938" i="1"/>
  <c r="BH939" i="1"/>
  <c r="BI939" i="1"/>
  <c r="BJ939" i="1"/>
  <c r="BK939" i="1"/>
  <c r="BL939" i="1"/>
  <c r="BM939" i="1"/>
  <c r="BH940" i="1"/>
  <c r="BI940" i="1"/>
  <c r="BJ940" i="1"/>
  <c r="BK940" i="1"/>
  <c r="BL940" i="1"/>
  <c r="BM940" i="1"/>
  <c r="BH941" i="1"/>
  <c r="BI941" i="1"/>
  <c r="BJ941" i="1"/>
  <c r="BK941" i="1"/>
  <c r="BL941" i="1"/>
  <c r="BM941" i="1"/>
  <c r="BH942" i="1"/>
  <c r="BI942" i="1"/>
  <c r="BJ942" i="1"/>
  <c r="BK942" i="1"/>
  <c r="BL942" i="1"/>
  <c r="BM942" i="1"/>
  <c r="BH943" i="1"/>
  <c r="BI943" i="1"/>
  <c r="BJ943" i="1"/>
  <c r="BK943" i="1"/>
  <c r="BL943" i="1"/>
  <c r="BM943" i="1"/>
  <c r="BH944" i="1"/>
  <c r="BI944" i="1"/>
  <c r="BJ944" i="1"/>
  <c r="BK944" i="1"/>
  <c r="BL944" i="1"/>
  <c r="BM944" i="1"/>
  <c r="BH945" i="1"/>
  <c r="BI945" i="1"/>
  <c r="BJ945" i="1"/>
  <c r="BK945" i="1"/>
  <c r="BL945" i="1"/>
  <c r="BM945" i="1"/>
  <c r="BH947" i="1"/>
  <c r="BI947" i="1"/>
  <c r="BJ947" i="1"/>
  <c r="BK947" i="1"/>
  <c r="BL947" i="1"/>
  <c r="BM947" i="1"/>
  <c r="BH948" i="1"/>
  <c r="BI948" i="1"/>
  <c r="BJ948" i="1"/>
  <c r="BK948" i="1"/>
  <c r="BL948" i="1"/>
  <c r="BM948" i="1"/>
  <c r="BH949" i="1"/>
  <c r="BI949" i="1"/>
  <c r="BJ949" i="1"/>
  <c r="BK949" i="1"/>
  <c r="BL949" i="1"/>
  <c r="BM949" i="1"/>
  <c r="BH950" i="1"/>
  <c r="BI950" i="1"/>
  <c r="BJ950" i="1"/>
  <c r="BK950" i="1"/>
  <c r="BL950" i="1"/>
  <c r="BM950" i="1"/>
  <c r="BH952" i="1"/>
  <c r="BI952" i="1"/>
  <c r="BJ952" i="1"/>
  <c r="BK952" i="1"/>
  <c r="BL952" i="1"/>
  <c r="BM952" i="1"/>
  <c r="BH953" i="1"/>
  <c r="BI953" i="1"/>
  <c r="BJ953" i="1"/>
  <c r="BK953" i="1"/>
  <c r="BL953" i="1"/>
  <c r="BM953" i="1"/>
  <c r="BH954" i="1"/>
  <c r="BI954" i="1"/>
  <c r="BJ954" i="1"/>
  <c r="BK954" i="1"/>
  <c r="BL954" i="1"/>
  <c r="BM954" i="1"/>
  <c r="BH955" i="1"/>
  <c r="BI955" i="1"/>
  <c r="BK955" i="1"/>
  <c r="BL955" i="1"/>
  <c r="BM955" i="1"/>
  <c r="BH956" i="1"/>
  <c r="BI956" i="1"/>
  <c r="BK956" i="1"/>
  <c r="BL956" i="1"/>
  <c r="BM956" i="1"/>
  <c r="BH957" i="1"/>
  <c r="BI957" i="1"/>
  <c r="BJ957" i="1"/>
  <c r="BK957" i="1"/>
  <c r="BL957" i="1"/>
  <c r="BM957" i="1"/>
  <c r="BH958" i="1"/>
  <c r="BI958" i="1"/>
  <c r="BJ958" i="1"/>
  <c r="BK958" i="1"/>
  <c r="BL958" i="1"/>
  <c r="BM958" i="1"/>
  <c r="BH959" i="1"/>
  <c r="BI959" i="1"/>
  <c r="BK959" i="1"/>
  <c r="BL959" i="1"/>
  <c r="BM959" i="1"/>
  <c r="BH960" i="1"/>
  <c r="BI960" i="1"/>
  <c r="BJ960" i="1"/>
  <c r="BK960" i="1"/>
  <c r="BL960" i="1"/>
  <c r="BM960" i="1"/>
  <c r="BH961" i="1"/>
  <c r="BI961" i="1"/>
  <c r="BJ961" i="1"/>
  <c r="BK961" i="1"/>
  <c r="BL961" i="1"/>
  <c r="BM961" i="1"/>
  <c r="BH962" i="1"/>
  <c r="BI962" i="1"/>
  <c r="BJ962" i="1"/>
  <c r="BK962" i="1"/>
  <c r="BL962" i="1"/>
  <c r="BM962" i="1"/>
  <c r="BH963" i="1"/>
  <c r="BI963" i="1"/>
  <c r="BJ963" i="1"/>
  <c r="BK963" i="1"/>
  <c r="BL963" i="1"/>
  <c r="BM963" i="1"/>
  <c r="BH964" i="1"/>
  <c r="BI964" i="1"/>
  <c r="BJ964" i="1"/>
  <c r="BK964" i="1"/>
  <c r="BL964" i="1"/>
  <c r="BM964" i="1"/>
  <c r="BH965" i="1"/>
  <c r="BI965" i="1"/>
  <c r="BJ965" i="1"/>
  <c r="BK965" i="1"/>
  <c r="BL965" i="1"/>
  <c r="BM965" i="1"/>
  <c r="BH966" i="1"/>
  <c r="BI966" i="1"/>
  <c r="BJ966" i="1"/>
  <c r="BK966" i="1"/>
  <c r="BL966" i="1"/>
  <c r="BM966" i="1"/>
  <c r="BH967" i="1"/>
  <c r="BI967" i="1"/>
  <c r="BJ967" i="1"/>
  <c r="BK967" i="1"/>
  <c r="BL967" i="1"/>
  <c r="BM967" i="1"/>
  <c r="BH968" i="1"/>
  <c r="BI968" i="1"/>
  <c r="BJ968" i="1"/>
  <c r="BK968" i="1"/>
  <c r="BL968" i="1"/>
  <c r="BM968" i="1"/>
  <c r="BH969" i="1"/>
  <c r="BI969" i="1"/>
  <c r="BJ969" i="1"/>
  <c r="BK969" i="1"/>
  <c r="BL969" i="1"/>
  <c r="BM969" i="1"/>
  <c r="BH970" i="1"/>
  <c r="BI970" i="1"/>
  <c r="BJ970" i="1"/>
  <c r="BK970" i="1"/>
  <c r="BL970" i="1"/>
  <c r="BM970" i="1"/>
  <c r="BH971" i="1"/>
  <c r="BI971" i="1"/>
  <c r="BJ971" i="1"/>
  <c r="BK971" i="1"/>
  <c r="BL971" i="1"/>
  <c r="BM971" i="1"/>
  <c r="BH972" i="1"/>
  <c r="BI972" i="1"/>
  <c r="BJ972" i="1"/>
  <c r="BK972" i="1"/>
  <c r="BL972" i="1"/>
  <c r="BM972" i="1"/>
  <c r="BH973" i="1"/>
  <c r="BI973" i="1"/>
  <c r="BJ973" i="1"/>
  <c r="BK973" i="1"/>
  <c r="BL973" i="1"/>
  <c r="BM973" i="1"/>
  <c r="BH974" i="1"/>
  <c r="BI974" i="1"/>
  <c r="BJ974" i="1"/>
  <c r="BK974" i="1"/>
  <c r="BL974" i="1"/>
  <c r="BM974" i="1"/>
  <c r="BH975" i="1"/>
  <c r="BI975" i="1"/>
  <c r="BJ975" i="1"/>
  <c r="BK975" i="1"/>
  <c r="BL975" i="1"/>
  <c r="BM975" i="1"/>
  <c r="BH976" i="1"/>
  <c r="BI976" i="1"/>
  <c r="BJ976" i="1"/>
  <c r="BK976" i="1"/>
  <c r="BL976" i="1"/>
  <c r="BM976" i="1"/>
  <c r="BH977" i="1"/>
  <c r="BI977" i="1"/>
  <c r="BJ977" i="1"/>
  <c r="BK977" i="1"/>
  <c r="BL977" i="1"/>
  <c r="BM977" i="1"/>
  <c r="BH978" i="1"/>
  <c r="BI978" i="1"/>
  <c r="BJ978" i="1"/>
  <c r="BK978" i="1"/>
  <c r="BL978" i="1"/>
  <c r="BM978" i="1"/>
  <c r="BH979" i="1"/>
  <c r="BI979" i="1"/>
  <c r="BJ979" i="1"/>
  <c r="BK979" i="1"/>
  <c r="BL979" i="1"/>
  <c r="BM979" i="1"/>
  <c r="BH980" i="1"/>
  <c r="BI980" i="1"/>
  <c r="BJ980" i="1"/>
  <c r="BK980" i="1"/>
  <c r="BL980" i="1"/>
  <c r="BM980" i="1"/>
  <c r="BH981" i="1"/>
  <c r="BI981" i="1"/>
  <c r="BJ981" i="1"/>
  <c r="BK981" i="1"/>
  <c r="BL981" i="1"/>
  <c r="BM981" i="1"/>
  <c r="BH982" i="1"/>
  <c r="BI982" i="1"/>
  <c r="BJ982" i="1"/>
  <c r="BK982" i="1"/>
  <c r="BL982" i="1"/>
  <c r="BM982" i="1"/>
  <c r="BH983" i="1"/>
  <c r="BI983" i="1"/>
  <c r="BJ983" i="1"/>
  <c r="BK983" i="1"/>
  <c r="BL983" i="1"/>
  <c r="BM983" i="1"/>
  <c r="BH984" i="1"/>
  <c r="BI984" i="1"/>
  <c r="BJ984" i="1"/>
  <c r="BK984" i="1"/>
  <c r="BL984" i="1"/>
  <c r="BM984" i="1"/>
  <c r="BH985" i="1"/>
  <c r="BI985" i="1"/>
  <c r="BJ985" i="1"/>
  <c r="BK985" i="1"/>
  <c r="BL985" i="1"/>
  <c r="BM985" i="1"/>
  <c r="BH986" i="1"/>
  <c r="BI986" i="1"/>
  <c r="BJ986" i="1"/>
  <c r="BK986" i="1"/>
  <c r="BL986" i="1"/>
  <c r="BM986" i="1"/>
  <c r="BH987" i="1"/>
  <c r="BI987" i="1"/>
  <c r="BJ987" i="1"/>
  <c r="BK987" i="1"/>
  <c r="BL987" i="1"/>
  <c r="BM987" i="1"/>
  <c r="BH988" i="1"/>
  <c r="BI988" i="1"/>
  <c r="BJ988" i="1"/>
  <c r="BK988" i="1"/>
  <c r="BL988" i="1"/>
  <c r="BM988" i="1"/>
  <c r="BH989" i="1"/>
  <c r="BI989" i="1"/>
  <c r="BJ989" i="1"/>
  <c r="BK989" i="1"/>
  <c r="BL989" i="1"/>
  <c r="BM989" i="1"/>
  <c r="BH990" i="1"/>
  <c r="BI990" i="1"/>
  <c r="BJ990" i="1"/>
  <c r="BK990" i="1"/>
  <c r="BL990" i="1"/>
  <c r="BM990" i="1"/>
  <c r="BH991" i="1"/>
  <c r="BI991" i="1"/>
  <c r="BJ991" i="1"/>
  <c r="BK991" i="1"/>
  <c r="BL991" i="1"/>
  <c r="BM991" i="1"/>
  <c r="BH992" i="1"/>
  <c r="BI992" i="1"/>
  <c r="BJ992" i="1"/>
  <c r="BK992" i="1"/>
  <c r="BL992" i="1"/>
  <c r="BM992" i="1"/>
  <c r="BH993" i="1"/>
  <c r="BI993" i="1"/>
  <c r="BK993" i="1"/>
  <c r="BL993" i="1"/>
  <c r="BM993" i="1"/>
  <c r="BH994" i="1"/>
  <c r="BI994" i="1"/>
  <c r="BJ994" i="1"/>
  <c r="BK994" i="1"/>
  <c r="BL994" i="1"/>
  <c r="BM994" i="1"/>
  <c r="BH995" i="1"/>
  <c r="BI995" i="1"/>
  <c r="BJ995" i="1"/>
  <c r="BK995" i="1"/>
  <c r="BL995" i="1"/>
  <c r="BM995" i="1"/>
  <c r="BH996" i="1"/>
  <c r="BI996" i="1"/>
  <c r="BJ996" i="1"/>
  <c r="BK996" i="1"/>
  <c r="BL996" i="1"/>
  <c r="BM996" i="1"/>
  <c r="BH997" i="1"/>
  <c r="BI997" i="1"/>
  <c r="BJ997" i="1"/>
  <c r="BK997" i="1"/>
  <c r="BL997" i="1"/>
  <c r="BM997" i="1"/>
  <c r="BH998" i="1"/>
  <c r="BI998" i="1"/>
  <c r="BK998" i="1"/>
  <c r="BL998" i="1"/>
  <c r="BM998" i="1"/>
  <c r="BH999" i="1"/>
  <c r="BI999" i="1"/>
  <c r="BK999" i="1"/>
  <c r="BL999" i="1"/>
  <c r="BM999" i="1"/>
  <c r="BH1000" i="1"/>
  <c r="BI1000" i="1"/>
  <c r="BJ1000" i="1"/>
  <c r="BK1000" i="1"/>
  <c r="BL1000" i="1"/>
  <c r="BM1000" i="1"/>
  <c r="BH1001" i="1"/>
  <c r="BI1001" i="1"/>
  <c r="BJ1001" i="1"/>
  <c r="BK1001" i="1"/>
  <c r="BL1001" i="1"/>
  <c r="BM1001" i="1"/>
  <c r="BH1002" i="1"/>
  <c r="BI1002" i="1"/>
  <c r="BJ1002" i="1"/>
  <c r="BK1002" i="1"/>
  <c r="BL1002" i="1"/>
  <c r="BM1002" i="1"/>
  <c r="BH1003" i="1"/>
  <c r="BI1003" i="1"/>
  <c r="BJ1003" i="1"/>
  <c r="BK1003" i="1"/>
  <c r="BL1003" i="1"/>
  <c r="BM1003" i="1"/>
  <c r="BH1005" i="1"/>
  <c r="BI1005" i="1"/>
  <c r="BJ1005" i="1"/>
  <c r="BK1005" i="1"/>
  <c r="BL1005" i="1"/>
  <c r="BM1005" i="1"/>
  <c r="BH1006" i="1"/>
  <c r="BI1006" i="1"/>
  <c r="BJ1006" i="1"/>
  <c r="BK1006" i="1"/>
  <c r="BL1006" i="1"/>
  <c r="BM1006" i="1"/>
  <c r="BH1007" i="1"/>
  <c r="BI1007" i="1"/>
  <c r="BJ1007" i="1"/>
  <c r="BK1007" i="1"/>
  <c r="BL1007" i="1"/>
  <c r="BM1007" i="1"/>
  <c r="BH1008" i="1"/>
  <c r="BI1008" i="1"/>
  <c r="BJ1008" i="1"/>
  <c r="BK1008" i="1"/>
  <c r="BL1008" i="1"/>
  <c r="BM1008" i="1"/>
  <c r="BH1009" i="1"/>
  <c r="BI1009" i="1"/>
  <c r="BJ1009" i="1"/>
  <c r="BK1009" i="1"/>
  <c r="BL1009" i="1"/>
  <c r="BM1009" i="1"/>
  <c r="BH1010" i="1"/>
  <c r="BI1010" i="1"/>
  <c r="BK1010" i="1"/>
  <c r="BL1010" i="1"/>
  <c r="BM1010" i="1"/>
  <c r="BH1011" i="1"/>
  <c r="BI1011" i="1"/>
  <c r="BK1011" i="1"/>
  <c r="BL1011" i="1"/>
  <c r="BM1011" i="1"/>
  <c r="BH1012" i="1"/>
  <c r="BI1012" i="1"/>
  <c r="BJ1012" i="1"/>
  <c r="BK1012" i="1"/>
  <c r="BL1012" i="1"/>
  <c r="BM1012" i="1"/>
  <c r="BH1013" i="1"/>
  <c r="BI1013" i="1"/>
  <c r="BJ1013" i="1"/>
  <c r="BK1013" i="1"/>
  <c r="BL1013" i="1"/>
  <c r="BM1013" i="1"/>
  <c r="BH1014" i="1"/>
  <c r="BI1014" i="1"/>
  <c r="BJ1014" i="1"/>
  <c r="BK1014" i="1"/>
  <c r="BL1014" i="1"/>
  <c r="BM1014" i="1"/>
  <c r="BH1015" i="1"/>
  <c r="BI1015" i="1"/>
  <c r="BJ1015" i="1"/>
  <c r="BK1015" i="1"/>
  <c r="BL1015" i="1"/>
  <c r="BM1015" i="1"/>
  <c r="BH1016" i="1"/>
  <c r="BI1016" i="1"/>
  <c r="BJ1016" i="1"/>
  <c r="BK1016" i="1"/>
  <c r="BL1016" i="1"/>
  <c r="BM1016" i="1"/>
  <c r="BH1017" i="1"/>
  <c r="BI1017" i="1"/>
  <c r="BJ1017" i="1"/>
  <c r="BK1017" i="1"/>
  <c r="BL1017" i="1"/>
  <c r="BM1017" i="1"/>
  <c r="BH1018" i="1"/>
  <c r="BI1018" i="1"/>
  <c r="BJ1018" i="1"/>
  <c r="BK1018" i="1"/>
  <c r="BL1018" i="1"/>
  <c r="BM1018" i="1"/>
  <c r="BH1019" i="1"/>
  <c r="BI1019" i="1"/>
  <c r="BJ1019" i="1"/>
  <c r="BK1019" i="1"/>
  <c r="BL1019" i="1"/>
  <c r="BM1019" i="1"/>
  <c r="BH1020" i="1"/>
  <c r="BI1020" i="1"/>
  <c r="BJ1020" i="1"/>
  <c r="BK1020" i="1"/>
  <c r="BL1020" i="1"/>
  <c r="BM1020" i="1"/>
  <c r="BH1021" i="1"/>
  <c r="BI1021" i="1"/>
  <c r="BJ1021" i="1"/>
  <c r="BK1021" i="1"/>
  <c r="BL1021" i="1"/>
  <c r="BM1021" i="1"/>
  <c r="BH1022" i="1"/>
  <c r="BI1022" i="1"/>
  <c r="BJ1022" i="1"/>
  <c r="BK1022" i="1"/>
  <c r="BL1022" i="1"/>
  <c r="BM1022" i="1"/>
  <c r="BH1023" i="1"/>
  <c r="BI1023" i="1"/>
  <c r="BJ1023" i="1"/>
  <c r="BK1023" i="1"/>
  <c r="BL1023" i="1"/>
  <c r="BM1023" i="1"/>
  <c r="BH1024" i="1"/>
  <c r="BI1024" i="1"/>
  <c r="BJ1024" i="1"/>
  <c r="BK1024" i="1"/>
  <c r="BL1024" i="1"/>
  <c r="BM1024" i="1"/>
  <c r="BH1025" i="1"/>
  <c r="BI1025" i="1"/>
  <c r="BJ1025" i="1"/>
  <c r="BK1025" i="1"/>
  <c r="BL1025" i="1"/>
  <c r="BM1025" i="1"/>
  <c r="BH1026" i="1"/>
  <c r="BI1026" i="1"/>
  <c r="BJ1026" i="1"/>
  <c r="BK1026" i="1"/>
  <c r="BL1026" i="1"/>
  <c r="BM1026" i="1"/>
  <c r="BH1027" i="1"/>
  <c r="BI1027" i="1"/>
  <c r="BJ1027" i="1"/>
  <c r="BK1027" i="1"/>
  <c r="BL1027" i="1"/>
  <c r="BM1027" i="1"/>
  <c r="BH1028" i="1"/>
  <c r="BI1028" i="1"/>
  <c r="BJ1028" i="1"/>
  <c r="BK1028" i="1"/>
  <c r="BL1028" i="1"/>
  <c r="BM1028" i="1"/>
  <c r="BH1029" i="1"/>
  <c r="BI1029" i="1"/>
  <c r="BJ1029" i="1"/>
  <c r="BK1029" i="1"/>
  <c r="BL1029" i="1"/>
  <c r="BM1029" i="1"/>
  <c r="BH1030" i="1"/>
  <c r="BI1030" i="1"/>
  <c r="BK1030" i="1"/>
  <c r="BL1030" i="1"/>
  <c r="BM1030" i="1"/>
  <c r="BH1031" i="1"/>
  <c r="BI1031" i="1"/>
  <c r="BK1031" i="1"/>
  <c r="BL1031" i="1"/>
  <c r="BM1031" i="1"/>
  <c r="BH1032" i="1"/>
  <c r="BI1032" i="1"/>
  <c r="BJ1032" i="1"/>
  <c r="BK1032" i="1"/>
  <c r="BL1032" i="1"/>
  <c r="BM1032" i="1"/>
  <c r="BH1033" i="1"/>
  <c r="BI1033" i="1"/>
  <c r="BJ1033" i="1"/>
  <c r="BK1033" i="1"/>
  <c r="BL1033" i="1"/>
  <c r="BM1033" i="1"/>
  <c r="BH1034" i="1"/>
  <c r="BI1034" i="1"/>
  <c r="BJ1034" i="1"/>
  <c r="BK1034" i="1"/>
  <c r="BL1034" i="1"/>
  <c r="BM1034" i="1"/>
  <c r="BH1035" i="1"/>
  <c r="BI1035" i="1"/>
  <c r="BJ1035" i="1"/>
  <c r="BK1035" i="1"/>
  <c r="BL1035" i="1"/>
  <c r="BM1035" i="1"/>
  <c r="BH1036" i="1"/>
  <c r="BI1036" i="1"/>
  <c r="BJ1036" i="1"/>
  <c r="BK1036" i="1"/>
  <c r="BL1036" i="1"/>
  <c r="BM1036" i="1"/>
  <c r="BH1037" i="1"/>
  <c r="BI1037" i="1"/>
  <c r="BJ1037" i="1"/>
  <c r="BK1037" i="1"/>
  <c r="BL1037" i="1"/>
  <c r="BM1037" i="1"/>
  <c r="BH1038" i="1"/>
  <c r="BI1038" i="1"/>
  <c r="BJ1038" i="1"/>
  <c r="BK1038" i="1"/>
  <c r="BL1038" i="1"/>
  <c r="BM1038" i="1"/>
  <c r="BH1039" i="1"/>
  <c r="BI1039" i="1"/>
  <c r="BJ1039" i="1"/>
  <c r="BK1039" i="1"/>
  <c r="BL1039" i="1"/>
  <c r="BM1039" i="1"/>
  <c r="BH1040" i="1"/>
  <c r="BI1040" i="1"/>
  <c r="BJ1040" i="1"/>
  <c r="BK1040" i="1"/>
  <c r="BL1040" i="1"/>
  <c r="BM1040" i="1"/>
  <c r="BH1041" i="1"/>
  <c r="BI1041" i="1"/>
  <c r="BJ1041" i="1"/>
  <c r="BK1041" i="1"/>
  <c r="BL1041" i="1"/>
  <c r="BM1041" i="1"/>
  <c r="BH1042" i="1"/>
  <c r="BI1042" i="1"/>
  <c r="BJ1042" i="1"/>
  <c r="BK1042" i="1"/>
  <c r="BL1042" i="1"/>
  <c r="BM1042" i="1"/>
  <c r="BH1043" i="1"/>
  <c r="BI1043" i="1"/>
  <c r="BJ1043" i="1"/>
  <c r="BK1043" i="1"/>
  <c r="BL1043" i="1"/>
  <c r="BM1043" i="1"/>
  <c r="BH1044" i="1"/>
  <c r="BI1044" i="1"/>
  <c r="BJ1044" i="1"/>
  <c r="BK1044" i="1"/>
  <c r="BL1044" i="1"/>
  <c r="BM1044" i="1"/>
  <c r="BH1045" i="1"/>
  <c r="BI1045" i="1"/>
  <c r="BJ1045" i="1"/>
  <c r="BK1045" i="1"/>
  <c r="BL1045" i="1"/>
  <c r="BM1045" i="1"/>
  <c r="BH1046" i="1"/>
  <c r="BI1046" i="1"/>
  <c r="BJ1046" i="1"/>
  <c r="BK1046" i="1"/>
  <c r="BL1046" i="1"/>
  <c r="BM1046" i="1"/>
  <c r="BH1047" i="1"/>
  <c r="BI1047" i="1"/>
  <c r="BJ1047" i="1"/>
  <c r="BK1047" i="1"/>
  <c r="BL1047" i="1"/>
  <c r="BM1047" i="1"/>
  <c r="BH1048" i="1"/>
  <c r="BI1048" i="1"/>
  <c r="BJ1048" i="1"/>
  <c r="BK1048" i="1"/>
  <c r="BL1048" i="1"/>
  <c r="BM1048" i="1"/>
  <c r="BH1050" i="1"/>
  <c r="BI1050" i="1"/>
  <c r="BJ1050" i="1"/>
  <c r="BK1050" i="1"/>
  <c r="BL1050" i="1"/>
  <c r="BM1050" i="1"/>
  <c r="BH1051" i="1"/>
  <c r="BI1051" i="1"/>
  <c r="BJ1051" i="1"/>
  <c r="BK1051" i="1"/>
  <c r="BL1051" i="1"/>
  <c r="BM1051" i="1"/>
  <c r="BH1052" i="1"/>
  <c r="BI1052" i="1"/>
  <c r="BJ1052" i="1"/>
  <c r="BK1052" i="1"/>
  <c r="BL1052" i="1"/>
  <c r="BM1052" i="1"/>
  <c r="BH1053" i="1"/>
  <c r="BI1053" i="1"/>
  <c r="BJ1053" i="1"/>
  <c r="BK1053" i="1"/>
  <c r="BL1053" i="1"/>
  <c r="BM1053" i="1"/>
  <c r="BH1054" i="1"/>
  <c r="BI1054" i="1"/>
  <c r="BJ1054" i="1"/>
  <c r="BK1054" i="1"/>
  <c r="BL1054" i="1"/>
  <c r="BM1054" i="1"/>
  <c r="BH1055" i="1"/>
  <c r="BI1055" i="1"/>
  <c r="BJ1055" i="1"/>
  <c r="BK1055" i="1"/>
  <c r="BL1055" i="1"/>
  <c r="BM1055" i="1"/>
  <c r="BH1056" i="1"/>
  <c r="BI1056" i="1"/>
  <c r="BK1056" i="1"/>
  <c r="BL1056" i="1"/>
  <c r="BM1056" i="1"/>
  <c r="BH1057" i="1"/>
  <c r="BI1057" i="1"/>
  <c r="BK1057" i="1"/>
  <c r="BL1057" i="1"/>
  <c r="BM1057" i="1"/>
  <c r="BH1058" i="1"/>
  <c r="BI1058" i="1"/>
  <c r="BK1058" i="1"/>
  <c r="BL1058" i="1"/>
  <c r="BM1058" i="1"/>
  <c r="BH1059" i="1"/>
  <c r="BI1059" i="1"/>
  <c r="BK1059" i="1"/>
  <c r="BL1059" i="1"/>
  <c r="BM1059" i="1"/>
  <c r="BH1060" i="1"/>
  <c r="BI1060" i="1"/>
  <c r="BJ1060" i="1"/>
  <c r="BK1060" i="1"/>
  <c r="BL1060" i="1"/>
  <c r="BM1060" i="1"/>
  <c r="BH1061" i="1"/>
  <c r="BI1061" i="1"/>
  <c r="BJ1061" i="1"/>
  <c r="BK1061" i="1"/>
  <c r="BL1061" i="1"/>
  <c r="BM1061" i="1"/>
  <c r="BH1062" i="1"/>
  <c r="BI1062" i="1"/>
  <c r="BJ1062" i="1"/>
  <c r="BK1062" i="1"/>
  <c r="BL1062" i="1"/>
  <c r="BM1062" i="1"/>
  <c r="BH1063" i="1"/>
  <c r="BI1063" i="1"/>
  <c r="BJ1063" i="1"/>
  <c r="BK1063" i="1"/>
  <c r="BL1063" i="1"/>
  <c r="BM1063" i="1"/>
  <c r="BH1064" i="1"/>
  <c r="BI1064" i="1"/>
  <c r="BJ1064" i="1"/>
  <c r="BK1064" i="1"/>
  <c r="BL1064" i="1"/>
  <c r="BM1064" i="1"/>
  <c r="BH1065" i="1"/>
  <c r="BI1065" i="1"/>
  <c r="BJ1065" i="1"/>
  <c r="BK1065" i="1"/>
  <c r="BL1065" i="1"/>
  <c r="BM1065" i="1"/>
  <c r="BH1066" i="1"/>
  <c r="BI1066" i="1"/>
  <c r="BJ1066" i="1"/>
  <c r="BK1066" i="1"/>
  <c r="BL1066" i="1"/>
  <c r="BM1066" i="1"/>
  <c r="BH1067" i="1"/>
  <c r="BI1067" i="1"/>
  <c r="BJ1067" i="1"/>
  <c r="BK1067" i="1"/>
  <c r="BL1067" i="1"/>
  <c r="BM1067" i="1"/>
  <c r="BH1068" i="1"/>
  <c r="BI1068" i="1"/>
  <c r="BJ1068" i="1"/>
  <c r="BK1068" i="1"/>
  <c r="BL1068" i="1"/>
  <c r="BM1068" i="1"/>
  <c r="BH1069" i="1"/>
  <c r="BI1069" i="1"/>
  <c r="BJ1069" i="1"/>
  <c r="BK1069" i="1"/>
  <c r="BL1069" i="1"/>
  <c r="BM1069" i="1"/>
  <c r="BH1070" i="1"/>
  <c r="BI1070" i="1"/>
  <c r="BJ1070" i="1"/>
  <c r="BK1070" i="1"/>
  <c r="BL1070" i="1"/>
  <c r="BM1070" i="1"/>
  <c r="BH1071" i="1"/>
  <c r="BI1071" i="1"/>
  <c r="BJ1071" i="1"/>
  <c r="BK1071" i="1"/>
  <c r="BL1071" i="1"/>
  <c r="BM1071" i="1"/>
  <c r="BH1072" i="1"/>
  <c r="BI1072" i="1"/>
  <c r="BJ1072" i="1"/>
  <c r="BK1072" i="1"/>
  <c r="BL1072" i="1"/>
  <c r="BM1072" i="1"/>
  <c r="BH1073" i="1"/>
  <c r="BI1073" i="1"/>
  <c r="BJ1073" i="1"/>
  <c r="BK1073" i="1"/>
  <c r="BL1073" i="1"/>
  <c r="BM1073" i="1"/>
  <c r="BH1074" i="1"/>
  <c r="BI1074" i="1"/>
  <c r="BJ1074" i="1"/>
  <c r="BK1074" i="1"/>
  <c r="BL1074" i="1"/>
  <c r="BM1074" i="1"/>
  <c r="BH1075" i="1"/>
  <c r="BI1075" i="1"/>
  <c r="BJ1075" i="1"/>
  <c r="BK1075" i="1"/>
  <c r="BL1075" i="1"/>
  <c r="BM1075" i="1"/>
  <c r="BH1076" i="1"/>
  <c r="BI1076" i="1"/>
  <c r="BJ1076" i="1"/>
  <c r="BK1076" i="1"/>
  <c r="BL1076" i="1"/>
  <c r="BM1076" i="1"/>
  <c r="BH1077" i="1"/>
  <c r="BI1077" i="1"/>
  <c r="BJ1077" i="1"/>
  <c r="BK1077" i="1"/>
  <c r="BL1077" i="1"/>
  <c r="BM1077" i="1"/>
  <c r="BH1079" i="1"/>
  <c r="BI1079" i="1"/>
  <c r="BJ1079" i="1"/>
  <c r="BK1079" i="1"/>
  <c r="BL1079" i="1"/>
  <c r="BM1079" i="1"/>
  <c r="BH1080" i="1"/>
  <c r="BI1080" i="1"/>
  <c r="BJ1080" i="1"/>
  <c r="BK1080" i="1"/>
  <c r="BL1080" i="1"/>
  <c r="BM1080" i="1"/>
  <c r="BH1082" i="1"/>
  <c r="BI1082" i="1"/>
  <c r="BK1082" i="1"/>
  <c r="BL1082" i="1"/>
  <c r="BM1082" i="1"/>
  <c r="BH1083" i="1"/>
  <c r="BI1083" i="1"/>
  <c r="BK1083" i="1"/>
  <c r="BL1083" i="1"/>
  <c r="BM1083" i="1"/>
  <c r="BH1084" i="1"/>
  <c r="BI1084" i="1"/>
  <c r="BJ1084" i="1"/>
  <c r="BK1084" i="1"/>
  <c r="BL1084" i="1"/>
  <c r="BM1084" i="1"/>
  <c r="BH1085" i="1"/>
  <c r="BI1085" i="1"/>
  <c r="BJ1085" i="1"/>
  <c r="BK1085" i="1"/>
  <c r="BL1085" i="1"/>
  <c r="BM1085" i="1"/>
  <c r="BH1086" i="1"/>
  <c r="BI1086" i="1"/>
  <c r="BK1086" i="1"/>
  <c r="BL1086" i="1"/>
  <c r="BM1086" i="1"/>
  <c r="BH1087" i="1"/>
  <c r="BI1087" i="1"/>
  <c r="BK1087" i="1"/>
  <c r="BL1087" i="1"/>
  <c r="BM1087" i="1"/>
  <c r="BH1088" i="1"/>
  <c r="BI1088" i="1"/>
  <c r="BK1088" i="1"/>
  <c r="BL1088" i="1"/>
  <c r="BM1088" i="1"/>
  <c r="BH1089" i="1"/>
  <c r="BI1089" i="1"/>
  <c r="BJ1089" i="1"/>
  <c r="BK1089" i="1"/>
  <c r="BL1089" i="1"/>
  <c r="BM1089" i="1"/>
  <c r="BH1090" i="1"/>
  <c r="BI1090" i="1"/>
  <c r="BJ1090" i="1"/>
  <c r="BK1090" i="1"/>
  <c r="BL1090" i="1"/>
  <c r="BM1090" i="1"/>
  <c r="BH1091" i="1"/>
  <c r="BI1091" i="1"/>
  <c r="BJ1091" i="1"/>
  <c r="BK1091" i="1"/>
  <c r="BL1091" i="1"/>
  <c r="BM1091" i="1"/>
  <c r="BH1092" i="1"/>
  <c r="BI1092" i="1"/>
  <c r="BJ1092" i="1"/>
  <c r="BK1092" i="1"/>
  <c r="BL1092" i="1"/>
  <c r="BM1092" i="1"/>
  <c r="BH1093" i="1"/>
  <c r="BI1093" i="1"/>
  <c r="BJ1093" i="1"/>
  <c r="BK1093" i="1"/>
  <c r="BL1093" i="1"/>
  <c r="BM1093" i="1"/>
  <c r="BH1094" i="1"/>
  <c r="BI1094" i="1"/>
  <c r="BJ1094" i="1"/>
  <c r="BK1094" i="1"/>
  <c r="BL1094" i="1"/>
  <c r="BM1094" i="1"/>
  <c r="BH1095" i="1"/>
  <c r="BI1095" i="1"/>
  <c r="BJ1095" i="1"/>
  <c r="BK1095" i="1"/>
  <c r="BL1095" i="1"/>
  <c r="BM1095" i="1"/>
  <c r="BH1096" i="1"/>
  <c r="BI1096" i="1"/>
  <c r="BJ1096" i="1"/>
  <c r="BK1096" i="1"/>
  <c r="BL1096" i="1"/>
  <c r="BM1096" i="1"/>
  <c r="BH1097" i="1"/>
  <c r="BI1097" i="1"/>
  <c r="BJ1097" i="1"/>
  <c r="BK1097" i="1"/>
  <c r="BL1097" i="1"/>
  <c r="BM1097" i="1"/>
  <c r="BH1098" i="1"/>
  <c r="BI1098" i="1"/>
  <c r="BJ1098" i="1"/>
  <c r="BK1098" i="1"/>
  <c r="BL1098" i="1"/>
  <c r="BM1098" i="1"/>
  <c r="BH1099" i="1"/>
  <c r="BI1099" i="1"/>
  <c r="BJ1099" i="1"/>
  <c r="BK1099" i="1"/>
  <c r="BL1099" i="1"/>
  <c r="BM1099" i="1"/>
  <c r="BH1100" i="1"/>
  <c r="BI1100" i="1"/>
  <c r="BJ1100" i="1"/>
  <c r="BK1100" i="1"/>
  <c r="BL1100" i="1"/>
  <c r="BM1100" i="1"/>
  <c r="BH1101" i="1"/>
  <c r="BI1101" i="1"/>
  <c r="BJ1101" i="1"/>
  <c r="BK1101" i="1"/>
  <c r="BL1101" i="1"/>
  <c r="BM1101" i="1"/>
  <c r="BH1102" i="1"/>
  <c r="BI1102" i="1"/>
  <c r="BJ1102" i="1"/>
  <c r="BK1102" i="1"/>
  <c r="BL1102" i="1"/>
  <c r="BM1102" i="1"/>
  <c r="BH1103" i="1"/>
  <c r="BI1103" i="1"/>
  <c r="BJ1103" i="1"/>
  <c r="BK1103" i="1"/>
  <c r="BL1103" i="1"/>
  <c r="BM1103" i="1"/>
  <c r="BH1104" i="1"/>
  <c r="BI1104" i="1"/>
  <c r="BJ1104" i="1"/>
  <c r="BK1104" i="1"/>
  <c r="BL1104" i="1"/>
  <c r="BM1104" i="1"/>
  <c r="BH1105" i="1"/>
  <c r="BI1105" i="1"/>
  <c r="BJ1105" i="1"/>
  <c r="BK1105" i="1"/>
  <c r="BL1105" i="1"/>
  <c r="BM1105" i="1"/>
  <c r="BH1106" i="1"/>
  <c r="BI1106" i="1"/>
  <c r="BJ1106" i="1"/>
  <c r="BK1106" i="1"/>
  <c r="BL1106" i="1"/>
  <c r="BM1106" i="1"/>
  <c r="BH1107" i="1"/>
  <c r="BI1107" i="1"/>
  <c r="BJ1107" i="1"/>
  <c r="BK1107" i="1"/>
  <c r="BL1107" i="1"/>
  <c r="BM1107" i="1"/>
  <c r="BH1108" i="1"/>
  <c r="BI1108" i="1"/>
  <c r="BJ1108" i="1"/>
  <c r="BK1108" i="1"/>
  <c r="BL1108" i="1"/>
  <c r="BM1108" i="1"/>
  <c r="BH1109" i="1"/>
  <c r="BI1109" i="1"/>
  <c r="BJ1109" i="1"/>
  <c r="BK1109" i="1"/>
  <c r="BL1109" i="1"/>
  <c r="BM1109" i="1"/>
  <c r="BH1110" i="1"/>
  <c r="BI1110" i="1"/>
  <c r="BJ1110" i="1"/>
  <c r="BK1110" i="1"/>
  <c r="BL1110" i="1"/>
  <c r="BM1110" i="1"/>
  <c r="BH1111" i="1"/>
  <c r="BI1111" i="1"/>
  <c r="BJ1111" i="1"/>
  <c r="BK1111" i="1"/>
  <c r="BL1111" i="1"/>
  <c r="BM1111" i="1"/>
  <c r="BH1112" i="1"/>
  <c r="BI1112" i="1"/>
  <c r="BJ1112" i="1"/>
  <c r="BK1112" i="1"/>
  <c r="BL1112" i="1"/>
  <c r="BM1112" i="1"/>
  <c r="BH1113" i="1"/>
  <c r="BI1113" i="1"/>
  <c r="BJ1113" i="1"/>
  <c r="BK1113" i="1"/>
  <c r="BL1113" i="1"/>
  <c r="BM1113" i="1"/>
  <c r="BH1114" i="1"/>
  <c r="BI1114" i="1"/>
  <c r="BJ1114" i="1"/>
  <c r="BK1114" i="1"/>
  <c r="BL1114" i="1"/>
  <c r="BM1114" i="1"/>
  <c r="BH1115" i="1"/>
  <c r="BI1115" i="1"/>
  <c r="BJ1115" i="1"/>
  <c r="BK1115" i="1"/>
  <c r="BL1115" i="1"/>
  <c r="BM1115" i="1"/>
  <c r="BH1116" i="1"/>
  <c r="BI1116" i="1"/>
  <c r="BJ1116" i="1"/>
  <c r="BK1116" i="1"/>
  <c r="BL1116" i="1"/>
  <c r="BM1116" i="1"/>
  <c r="BH1117" i="1"/>
  <c r="BI1117" i="1"/>
  <c r="BJ1117" i="1"/>
  <c r="BK1117" i="1"/>
  <c r="BL1117" i="1"/>
  <c r="BM1117" i="1"/>
  <c r="BH1118" i="1"/>
  <c r="BI1118" i="1"/>
  <c r="BJ1118" i="1"/>
  <c r="BK1118" i="1"/>
  <c r="BL1118" i="1"/>
  <c r="BM1118" i="1"/>
  <c r="BH1119" i="1"/>
  <c r="BI1119" i="1"/>
  <c r="BJ1119" i="1"/>
  <c r="BK1119" i="1"/>
  <c r="BL1119" i="1"/>
  <c r="BM1119" i="1"/>
  <c r="BH1120" i="1"/>
  <c r="BI1120" i="1"/>
  <c r="BJ1120" i="1"/>
  <c r="BK1120" i="1"/>
  <c r="BL1120" i="1"/>
  <c r="BM1120" i="1"/>
  <c r="BH1121" i="1"/>
  <c r="BI1121" i="1"/>
  <c r="BJ1121" i="1"/>
  <c r="BK1121" i="1"/>
  <c r="BL1121" i="1"/>
  <c r="BM1121" i="1"/>
  <c r="BH1122" i="1"/>
  <c r="BI1122" i="1"/>
  <c r="BJ1122" i="1"/>
  <c r="BK1122" i="1"/>
  <c r="BL1122" i="1"/>
  <c r="BM1122" i="1"/>
  <c r="BH1123" i="1"/>
  <c r="BI1123" i="1"/>
  <c r="BJ1123" i="1"/>
  <c r="BK1123" i="1"/>
  <c r="BL1123" i="1"/>
  <c r="BM1123" i="1"/>
  <c r="BH1124" i="1"/>
  <c r="BI1124" i="1"/>
  <c r="BJ1124" i="1"/>
  <c r="BK1124" i="1"/>
  <c r="BL1124" i="1"/>
  <c r="BM1124" i="1"/>
  <c r="BH1125" i="1"/>
  <c r="BI1125" i="1"/>
  <c r="BJ1125" i="1"/>
  <c r="BK1125" i="1"/>
  <c r="BL1125" i="1"/>
  <c r="BM1125" i="1"/>
  <c r="BH1126" i="1"/>
  <c r="BI1126" i="1"/>
  <c r="BJ1126" i="1"/>
  <c r="BK1126" i="1"/>
  <c r="BL1126" i="1"/>
  <c r="BM1126" i="1"/>
  <c r="BH1127" i="1"/>
  <c r="BI1127" i="1"/>
  <c r="BJ1127" i="1"/>
  <c r="BK1127" i="1"/>
  <c r="BL1127" i="1"/>
  <c r="BM1127" i="1"/>
  <c r="BH1128" i="1"/>
  <c r="BI1128" i="1"/>
  <c r="BJ1128" i="1"/>
  <c r="BK1128" i="1"/>
  <c r="BL1128" i="1"/>
  <c r="BM1128" i="1"/>
  <c r="BH1129" i="1"/>
  <c r="BI1129" i="1"/>
  <c r="BJ1129" i="1"/>
  <c r="BK1129" i="1"/>
  <c r="BL1129" i="1"/>
  <c r="BM1129" i="1"/>
  <c r="BH1130" i="1"/>
  <c r="BI1130" i="1"/>
  <c r="BJ1130" i="1"/>
  <c r="BK1130" i="1"/>
  <c r="BL1130" i="1"/>
  <c r="BM1130" i="1"/>
  <c r="BH1131" i="1"/>
  <c r="BI1131" i="1"/>
  <c r="BJ1131" i="1"/>
  <c r="BK1131" i="1"/>
  <c r="BL1131" i="1"/>
  <c r="BM1131" i="1"/>
  <c r="BH1132" i="1"/>
  <c r="BI1132" i="1"/>
  <c r="BJ1132" i="1"/>
  <c r="BK1132" i="1"/>
  <c r="BL1132" i="1"/>
  <c r="BM1132" i="1"/>
  <c r="BH1133" i="1"/>
  <c r="BI1133" i="1"/>
  <c r="BJ1133" i="1"/>
  <c r="BK1133" i="1"/>
  <c r="BL1133" i="1"/>
  <c r="BM1133" i="1"/>
  <c r="BH1134" i="1"/>
  <c r="BI1134" i="1"/>
  <c r="BK1134" i="1"/>
  <c r="BL1134" i="1"/>
  <c r="BM1134" i="1"/>
  <c r="BH1136" i="1"/>
  <c r="BI1136" i="1"/>
  <c r="BJ1136" i="1"/>
  <c r="BK1136" i="1"/>
  <c r="BL1136" i="1"/>
  <c r="BM1136" i="1"/>
  <c r="BH1137" i="1"/>
  <c r="BI1137" i="1"/>
  <c r="BJ1137" i="1"/>
  <c r="BK1137" i="1"/>
  <c r="BL1137" i="1"/>
  <c r="BM1137" i="1"/>
  <c r="BH1138" i="1"/>
  <c r="BI1138" i="1"/>
  <c r="BJ1138" i="1"/>
  <c r="BK1138" i="1"/>
  <c r="BL1138" i="1"/>
  <c r="BM1138" i="1"/>
  <c r="BH1139" i="1"/>
  <c r="BI1139" i="1"/>
  <c r="BJ1139" i="1"/>
  <c r="BK1139" i="1"/>
  <c r="BL1139" i="1"/>
  <c r="BM1139" i="1"/>
  <c r="BH1140" i="1"/>
  <c r="BI1140" i="1"/>
  <c r="BJ1140" i="1"/>
  <c r="BK1140" i="1"/>
  <c r="BL1140" i="1"/>
  <c r="BM1140" i="1"/>
  <c r="BH1141" i="1"/>
  <c r="BI1141" i="1"/>
  <c r="BJ1141" i="1"/>
  <c r="BK1141" i="1"/>
  <c r="BL1141" i="1"/>
  <c r="BM1141" i="1"/>
  <c r="BH1142" i="1"/>
  <c r="BI1142" i="1"/>
  <c r="BJ1142" i="1"/>
  <c r="BK1142" i="1"/>
  <c r="BL1142" i="1"/>
  <c r="BM1142" i="1"/>
  <c r="BH1143" i="1"/>
  <c r="BI1143" i="1"/>
  <c r="BJ1143" i="1"/>
  <c r="BK1143" i="1"/>
  <c r="BL1143" i="1"/>
  <c r="BM1143" i="1"/>
  <c r="BH1144" i="1"/>
  <c r="BI1144" i="1"/>
  <c r="BJ1144" i="1"/>
  <c r="BK1144" i="1"/>
  <c r="BL1144" i="1"/>
  <c r="BM1144" i="1"/>
  <c r="BH1145" i="1"/>
  <c r="BI1145" i="1"/>
  <c r="BJ1145" i="1"/>
  <c r="BK1145" i="1"/>
  <c r="BL1145" i="1"/>
  <c r="BM1145" i="1"/>
  <c r="BH1146" i="1"/>
  <c r="BI1146" i="1"/>
  <c r="BJ1146" i="1"/>
  <c r="BK1146" i="1"/>
  <c r="BL1146" i="1"/>
  <c r="BM1146" i="1"/>
  <c r="BH1147" i="1"/>
  <c r="BI1147" i="1"/>
  <c r="BJ1147" i="1"/>
  <c r="BK1147" i="1"/>
  <c r="BL1147" i="1"/>
  <c r="BM1147" i="1"/>
  <c r="BH1148" i="1"/>
  <c r="BI1148" i="1"/>
  <c r="BJ1148" i="1"/>
  <c r="BK1148" i="1"/>
  <c r="BL1148" i="1"/>
  <c r="BM1148" i="1"/>
  <c r="BH1149" i="1"/>
  <c r="BI1149" i="1"/>
  <c r="BJ1149" i="1"/>
  <c r="BK1149" i="1"/>
  <c r="BL1149" i="1"/>
  <c r="BM1149" i="1"/>
  <c r="BM2" i="1"/>
  <c r="BL2" i="1"/>
  <c r="BK2" i="1"/>
  <c r="BJ2" i="1"/>
  <c r="BI2" i="1"/>
  <c r="BH2" i="1"/>
  <c r="BG3" i="1"/>
  <c r="BG4" i="1"/>
  <c r="BG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G238" i="1"/>
  <c r="BG239" i="1"/>
  <c r="BG240" i="1"/>
  <c r="BG241" i="1"/>
  <c r="BG242" i="1"/>
  <c r="BG243" i="1"/>
  <c r="BG244" i="1"/>
  <c r="BG245" i="1"/>
  <c r="BG246" i="1"/>
  <c r="BG247" i="1"/>
  <c r="BG248" i="1"/>
  <c r="BG249" i="1"/>
  <c r="BG250" i="1"/>
  <c r="BG251" i="1"/>
  <c r="BG252" i="1"/>
  <c r="BG253" i="1"/>
  <c r="BG254" i="1"/>
  <c r="BG255" i="1"/>
  <c r="BG256" i="1"/>
  <c r="BG257" i="1"/>
  <c r="BG258" i="1"/>
  <c r="BG259" i="1"/>
  <c r="BG260" i="1"/>
  <c r="BG261" i="1"/>
  <c r="BG262" i="1"/>
  <c r="BG263" i="1"/>
  <c r="BG264" i="1"/>
  <c r="BG265" i="1"/>
  <c r="BG266" i="1"/>
  <c r="BG267" i="1"/>
  <c r="BG268" i="1"/>
  <c r="BG269" i="1"/>
  <c r="BG270" i="1"/>
  <c r="BG271" i="1"/>
  <c r="BG272" i="1"/>
  <c r="BG273" i="1"/>
  <c r="BG274" i="1"/>
  <c r="BG275" i="1"/>
  <c r="BG276" i="1"/>
  <c r="BG277" i="1"/>
  <c r="BG278" i="1"/>
  <c r="BG279" i="1"/>
  <c r="BG280" i="1"/>
  <c r="BG281" i="1"/>
  <c r="BG282" i="1"/>
  <c r="BG283" i="1"/>
  <c r="BG284" i="1"/>
  <c r="BG285" i="1"/>
  <c r="BG286" i="1"/>
  <c r="BG287" i="1"/>
  <c r="BG288" i="1"/>
  <c r="BG289" i="1"/>
  <c r="BG290" i="1"/>
  <c r="BG291" i="1"/>
  <c r="BG292" i="1"/>
  <c r="BG293" i="1"/>
  <c r="BG294" i="1"/>
  <c r="BG295" i="1"/>
  <c r="BG296" i="1"/>
  <c r="BG297" i="1"/>
  <c r="BG298" i="1"/>
  <c r="BG299" i="1"/>
  <c r="BG300" i="1"/>
  <c r="BG301" i="1"/>
  <c r="BG302" i="1"/>
  <c r="BG303" i="1"/>
  <c r="BG304" i="1"/>
  <c r="BG305" i="1"/>
  <c r="BG306" i="1"/>
  <c r="BG307" i="1"/>
  <c r="BG308" i="1"/>
  <c r="BG309" i="1"/>
  <c r="BG310" i="1"/>
  <c r="BG311" i="1"/>
  <c r="BG312" i="1"/>
  <c r="BG313" i="1"/>
  <c r="BG314" i="1"/>
  <c r="BG315" i="1"/>
  <c r="BG316" i="1"/>
  <c r="BG317" i="1"/>
  <c r="BG318" i="1"/>
  <c r="BG319" i="1"/>
  <c r="BG320" i="1"/>
  <c r="BG321" i="1"/>
  <c r="BG322" i="1"/>
  <c r="BG323" i="1"/>
  <c r="BG324" i="1"/>
  <c r="BG325" i="1"/>
  <c r="BG326" i="1"/>
  <c r="BG327" i="1"/>
  <c r="BG328" i="1"/>
  <c r="BG329" i="1"/>
  <c r="BG330" i="1"/>
  <c r="BG331" i="1"/>
  <c r="BG332" i="1"/>
  <c r="BG333" i="1"/>
  <c r="BG334" i="1"/>
  <c r="BG335" i="1"/>
  <c r="BG336" i="1"/>
  <c r="BG337" i="1"/>
  <c r="BG338" i="1"/>
  <c r="BG339" i="1"/>
  <c r="BG340" i="1"/>
  <c r="BG341" i="1"/>
  <c r="BG342" i="1"/>
  <c r="BG343" i="1"/>
  <c r="BG344" i="1"/>
  <c r="BG345" i="1"/>
  <c r="BG346" i="1"/>
  <c r="BG347" i="1"/>
  <c r="BG348" i="1"/>
  <c r="BG349" i="1"/>
  <c r="BG350" i="1"/>
  <c r="BG351" i="1"/>
  <c r="BG352" i="1"/>
  <c r="BG353" i="1"/>
  <c r="BG354" i="1"/>
  <c r="BG355" i="1"/>
  <c r="BG356" i="1"/>
  <c r="BG357" i="1"/>
  <c r="BG358" i="1"/>
  <c r="BG359" i="1"/>
  <c r="BG360" i="1"/>
  <c r="BG361" i="1"/>
  <c r="BG362" i="1"/>
  <c r="BG363" i="1"/>
  <c r="BG364" i="1"/>
  <c r="BG365" i="1"/>
  <c r="BG366" i="1"/>
  <c r="BG367" i="1"/>
  <c r="BG368" i="1"/>
  <c r="BG369" i="1"/>
  <c r="BG370" i="1"/>
  <c r="BG371" i="1"/>
  <c r="BG372" i="1"/>
  <c r="BG373" i="1"/>
  <c r="BG374" i="1"/>
  <c r="BG375" i="1"/>
  <c r="BG376" i="1"/>
  <c r="BG377" i="1"/>
  <c r="BG378" i="1"/>
  <c r="BG379" i="1"/>
  <c r="BG380" i="1"/>
  <c r="BG381" i="1"/>
  <c r="BG382" i="1"/>
  <c r="BG383" i="1"/>
  <c r="BG384" i="1"/>
  <c r="BG385" i="1"/>
  <c r="BG386" i="1"/>
  <c r="BG387" i="1"/>
  <c r="BG388" i="1"/>
  <c r="BG389" i="1"/>
  <c r="BG390" i="1"/>
  <c r="BG391" i="1"/>
  <c r="BG392" i="1"/>
  <c r="BG393" i="1"/>
  <c r="BG394" i="1"/>
  <c r="BG395" i="1"/>
  <c r="BG396" i="1"/>
  <c r="BG397" i="1"/>
  <c r="BG398" i="1"/>
  <c r="BG399" i="1"/>
  <c r="BG400" i="1"/>
  <c r="BG401" i="1"/>
  <c r="BG402" i="1"/>
  <c r="BG403" i="1"/>
  <c r="BG404" i="1"/>
  <c r="BG405" i="1"/>
  <c r="BG406" i="1"/>
  <c r="BG407" i="1"/>
  <c r="BG408" i="1"/>
  <c r="BG409" i="1"/>
  <c r="BG410" i="1"/>
  <c r="BG411" i="1"/>
  <c r="BG412" i="1"/>
  <c r="BG413" i="1"/>
  <c r="BG414" i="1"/>
  <c r="BG415" i="1"/>
  <c r="BG416" i="1"/>
  <c r="BG417" i="1"/>
  <c r="BG418" i="1"/>
  <c r="BG419" i="1"/>
  <c r="BG420" i="1"/>
  <c r="BG421" i="1"/>
  <c r="BG422" i="1"/>
  <c r="BG423" i="1"/>
  <c r="BG424" i="1"/>
  <c r="BG425" i="1"/>
  <c r="BG426" i="1"/>
  <c r="BG427" i="1"/>
  <c r="BG428" i="1"/>
  <c r="BG429" i="1"/>
  <c r="BG430" i="1"/>
  <c r="BG431" i="1"/>
  <c r="BG432" i="1"/>
  <c r="BG433" i="1"/>
  <c r="BG434" i="1"/>
  <c r="BG435" i="1"/>
  <c r="BG436" i="1"/>
  <c r="BG437" i="1"/>
  <c r="BG438" i="1"/>
  <c r="BG439" i="1"/>
  <c r="BG440" i="1"/>
  <c r="BG441" i="1"/>
  <c r="BG442" i="1"/>
  <c r="BG443" i="1"/>
  <c r="BG444" i="1"/>
  <c r="BG445" i="1"/>
  <c r="BG446" i="1"/>
  <c r="BG447" i="1"/>
  <c r="BG448" i="1"/>
  <c r="BG449" i="1"/>
  <c r="BG450" i="1"/>
  <c r="BG451" i="1"/>
  <c r="BG452" i="1"/>
  <c r="BG453" i="1"/>
  <c r="BG454" i="1"/>
  <c r="BG455" i="1"/>
  <c r="BG456" i="1"/>
  <c r="BG457" i="1"/>
  <c r="BG458" i="1"/>
  <c r="BG459" i="1"/>
  <c r="BG460" i="1"/>
  <c r="BG461" i="1"/>
  <c r="BG462" i="1"/>
  <c r="BG463" i="1"/>
  <c r="BG464" i="1"/>
  <c r="BG465" i="1"/>
  <c r="BG466" i="1"/>
  <c r="BG467" i="1"/>
  <c r="BG468" i="1"/>
  <c r="BG469" i="1"/>
  <c r="BG470" i="1"/>
  <c r="BG471" i="1"/>
  <c r="BG472" i="1"/>
  <c r="BG473" i="1"/>
  <c r="BG474" i="1"/>
  <c r="BG475" i="1"/>
  <c r="BG476" i="1"/>
  <c r="BG477" i="1"/>
  <c r="BG478" i="1"/>
  <c r="BG479" i="1"/>
  <c r="BG480" i="1"/>
  <c r="BG481" i="1"/>
  <c r="BG482" i="1"/>
  <c r="BG483" i="1"/>
  <c r="BG484" i="1"/>
  <c r="BG485" i="1"/>
  <c r="BG486" i="1"/>
  <c r="BG487" i="1"/>
  <c r="BG488" i="1"/>
  <c r="BG489" i="1"/>
  <c r="BG490" i="1"/>
  <c r="BG491" i="1"/>
  <c r="BG492" i="1"/>
  <c r="BG493" i="1"/>
  <c r="BG494" i="1"/>
  <c r="BG495" i="1"/>
  <c r="BG496" i="1"/>
  <c r="BG497" i="1"/>
  <c r="BG498" i="1"/>
  <c r="BG499" i="1"/>
  <c r="BG500" i="1"/>
  <c r="BG501" i="1"/>
  <c r="BG502" i="1"/>
  <c r="BG503" i="1"/>
  <c r="BG504" i="1"/>
  <c r="BG505" i="1"/>
  <c r="BG506" i="1"/>
  <c r="BG507" i="1"/>
  <c r="BG508" i="1"/>
  <c r="BG509" i="1"/>
  <c r="BG510" i="1"/>
  <c r="BG511" i="1"/>
  <c r="BG512" i="1"/>
  <c r="BG513" i="1"/>
  <c r="BG514" i="1"/>
  <c r="BG515" i="1"/>
  <c r="BG516" i="1"/>
  <c r="BG517" i="1"/>
  <c r="BG518" i="1"/>
  <c r="BG519" i="1"/>
  <c r="BG520" i="1"/>
  <c r="BG521" i="1"/>
  <c r="BG522" i="1"/>
  <c r="BG523" i="1"/>
  <c r="BG524" i="1"/>
  <c r="BG525" i="1"/>
  <c r="BG526" i="1"/>
  <c r="BG527" i="1"/>
  <c r="BG528" i="1"/>
  <c r="BG529" i="1"/>
  <c r="BG530" i="1"/>
  <c r="BG531" i="1"/>
  <c r="BG532" i="1"/>
  <c r="BG533" i="1"/>
  <c r="BG534" i="1"/>
  <c r="BG535" i="1"/>
  <c r="BG536" i="1"/>
  <c r="BG537" i="1"/>
  <c r="BG538" i="1"/>
  <c r="BG539" i="1"/>
  <c r="BG540" i="1"/>
  <c r="BG541" i="1"/>
  <c r="BG542" i="1"/>
  <c r="BG543" i="1"/>
  <c r="BG544" i="1"/>
  <c r="BG545" i="1"/>
  <c r="BG546" i="1"/>
  <c r="BG547" i="1"/>
  <c r="BG548" i="1"/>
  <c r="BG549" i="1"/>
  <c r="BG550" i="1"/>
  <c r="BG551" i="1"/>
  <c r="BG552" i="1"/>
  <c r="BG553" i="1"/>
  <c r="BG554" i="1"/>
  <c r="BG555" i="1"/>
  <c r="BG556" i="1"/>
  <c r="BG557" i="1"/>
  <c r="BG558" i="1"/>
  <c r="BG559" i="1"/>
  <c r="BG560" i="1"/>
  <c r="BG561" i="1"/>
  <c r="BG562" i="1"/>
  <c r="BG563" i="1"/>
  <c r="BG564" i="1"/>
  <c r="BG565" i="1"/>
  <c r="BG566" i="1"/>
  <c r="BG567" i="1"/>
  <c r="BG568" i="1"/>
  <c r="BG569" i="1"/>
  <c r="BG570" i="1"/>
  <c r="BG571" i="1"/>
  <c r="BG572" i="1"/>
  <c r="BG573" i="1"/>
  <c r="BG574" i="1"/>
  <c r="BG575" i="1"/>
  <c r="BG576" i="1"/>
  <c r="BG577" i="1"/>
  <c r="BG578" i="1"/>
  <c r="BG579" i="1"/>
  <c r="BG580" i="1"/>
  <c r="BG581" i="1"/>
  <c r="BG582" i="1"/>
  <c r="BG583" i="1"/>
  <c r="BG584" i="1"/>
  <c r="BG585" i="1"/>
  <c r="BG586" i="1"/>
  <c r="BG587" i="1"/>
  <c r="BG588" i="1"/>
  <c r="BG589" i="1"/>
  <c r="BG590" i="1"/>
  <c r="BG591" i="1"/>
  <c r="BG592" i="1"/>
  <c r="BG593" i="1"/>
  <c r="BG594" i="1"/>
  <c r="BG595" i="1"/>
  <c r="BG596" i="1"/>
  <c r="BG597" i="1"/>
  <c r="BG598" i="1"/>
  <c r="BG599" i="1"/>
  <c r="BG600" i="1"/>
  <c r="BG601" i="1"/>
  <c r="BG602" i="1"/>
  <c r="BG603" i="1"/>
  <c r="BG604" i="1"/>
  <c r="BG605" i="1"/>
  <c r="BG606" i="1"/>
  <c r="BG607" i="1"/>
  <c r="BG608" i="1"/>
  <c r="BG609" i="1"/>
  <c r="BG610" i="1"/>
  <c r="BG611" i="1"/>
  <c r="BG612" i="1"/>
  <c r="BG613" i="1"/>
  <c r="BG614" i="1"/>
  <c r="BG615" i="1"/>
  <c r="BG616" i="1"/>
  <c r="BG617" i="1"/>
  <c r="BG618" i="1"/>
  <c r="BG619" i="1"/>
  <c r="BG620" i="1"/>
  <c r="BG621" i="1"/>
  <c r="BG622" i="1"/>
  <c r="BG623" i="1"/>
  <c r="BG624" i="1"/>
  <c r="BG625" i="1"/>
  <c r="BG626" i="1"/>
  <c r="BG627" i="1"/>
  <c r="BG628" i="1"/>
  <c r="BG629" i="1"/>
  <c r="BG630" i="1"/>
  <c r="BG631" i="1"/>
  <c r="BG632" i="1"/>
  <c r="BG633" i="1"/>
  <c r="BG634" i="1"/>
  <c r="BG635" i="1"/>
  <c r="BG636" i="1"/>
  <c r="BG637" i="1"/>
  <c r="BG638" i="1"/>
  <c r="BG639" i="1"/>
  <c r="BG640" i="1"/>
  <c r="BG641" i="1"/>
  <c r="BG642" i="1"/>
  <c r="BG643" i="1"/>
  <c r="BG644" i="1"/>
  <c r="BG645" i="1"/>
  <c r="BG646" i="1"/>
  <c r="BG647" i="1"/>
  <c r="BG648" i="1"/>
  <c r="BG649" i="1"/>
  <c r="BG650" i="1"/>
  <c r="BG651" i="1"/>
  <c r="BG652" i="1"/>
  <c r="BG653" i="1"/>
  <c r="BG654" i="1"/>
  <c r="BG655" i="1"/>
  <c r="BG656" i="1"/>
  <c r="BG657" i="1"/>
  <c r="BG658" i="1"/>
  <c r="BG659" i="1"/>
  <c r="BG660" i="1"/>
  <c r="BG661" i="1"/>
  <c r="BG662" i="1"/>
  <c r="BG663" i="1"/>
  <c r="BG664" i="1"/>
  <c r="BG665" i="1"/>
  <c r="BG666" i="1"/>
  <c r="BG667" i="1"/>
  <c r="BG668" i="1"/>
  <c r="BG669" i="1"/>
  <c r="BG670" i="1"/>
  <c r="BG671" i="1"/>
  <c r="BG672" i="1"/>
  <c r="BG673" i="1"/>
  <c r="BG674" i="1"/>
  <c r="BG675" i="1"/>
  <c r="BG676" i="1"/>
  <c r="BG677" i="1"/>
  <c r="BG678" i="1"/>
  <c r="BG679" i="1"/>
  <c r="BG680" i="1"/>
  <c r="BG681" i="1"/>
  <c r="BG682" i="1"/>
  <c r="BG683" i="1"/>
  <c r="BG684" i="1"/>
  <c r="BG685" i="1"/>
  <c r="BG686" i="1"/>
  <c r="BG687" i="1"/>
  <c r="BG688" i="1"/>
  <c r="BG689" i="1"/>
  <c r="BG690" i="1"/>
  <c r="BG691" i="1"/>
  <c r="BG692" i="1"/>
  <c r="BG693" i="1"/>
  <c r="BG694" i="1"/>
  <c r="BG695" i="1"/>
  <c r="BG696" i="1"/>
  <c r="BG697" i="1"/>
  <c r="BG698" i="1"/>
  <c r="BG699" i="1"/>
  <c r="BG700" i="1"/>
  <c r="BG701" i="1"/>
  <c r="BG702" i="1"/>
  <c r="BG703" i="1"/>
  <c r="BG704" i="1"/>
  <c r="BG705" i="1"/>
  <c r="BG706" i="1"/>
  <c r="BG707" i="1"/>
  <c r="BG708" i="1"/>
  <c r="BG709" i="1"/>
  <c r="BG710" i="1"/>
  <c r="BG711" i="1"/>
  <c r="BG712" i="1"/>
  <c r="BG713" i="1"/>
  <c r="BG714" i="1"/>
  <c r="BG715" i="1"/>
  <c r="BG716" i="1"/>
  <c r="BG717" i="1"/>
  <c r="BG718" i="1"/>
  <c r="BG719" i="1"/>
  <c r="BG720" i="1"/>
  <c r="BG721" i="1"/>
  <c r="BG722" i="1"/>
  <c r="BG723" i="1"/>
  <c r="BG724" i="1"/>
  <c r="BG725" i="1"/>
  <c r="BG726" i="1"/>
  <c r="BG727" i="1"/>
  <c r="BG728" i="1"/>
  <c r="BG729" i="1"/>
  <c r="BG730" i="1"/>
  <c r="BG731" i="1"/>
  <c r="BG732" i="1"/>
  <c r="BG733" i="1"/>
  <c r="BG734" i="1"/>
  <c r="BG735" i="1"/>
  <c r="BG736" i="1"/>
  <c r="BG737" i="1"/>
  <c r="BG738" i="1"/>
  <c r="BG739" i="1"/>
  <c r="BG740" i="1"/>
  <c r="BG741" i="1"/>
  <c r="BG742" i="1"/>
  <c r="BG743" i="1"/>
  <c r="BG744" i="1"/>
  <c r="BG745" i="1"/>
  <c r="BG746" i="1"/>
  <c r="BG747" i="1"/>
  <c r="BG748" i="1"/>
  <c r="BG749" i="1"/>
  <c r="BG750" i="1"/>
  <c r="BG751" i="1"/>
  <c r="BG752" i="1"/>
  <c r="BG753" i="1"/>
  <c r="BG754" i="1"/>
  <c r="BG755" i="1"/>
  <c r="BG756" i="1"/>
  <c r="BG757" i="1"/>
  <c r="BG758" i="1"/>
  <c r="BG759" i="1"/>
  <c r="BG760" i="1"/>
  <c r="BG761" i="1"/>
  <c r="BG762" i="1"/>
  <c r="BG763" i="1"/>
  <c r="BG764" i="1"/>
  <c r="BG765" i="1"/>
  <c r="BG766" i="1"/>
  <c r="BG767" i="1"/>
  <c r="BG768" i="1"/>
  <c r="BG769" i="1"/>
  <c r="BG770" i="1"/>
  <c r="BG771" i="1"/>
  <c r="BG772" i="1"/>
  <c r="BG773" i="1"/>
  <c r="BG774" i="1"/>
  <c r="BG775" i="1"/>
  <c r="BG776" i="1"/>
  <c r="BG777" i="1"/>
  <c r="BG778" i="1"/>
  <c r="BG779" i="1"/>
  <c r="BG780" i="1"/>
  <c r="BG781" i="1"/>
  <c r="BG782" i="1"/>
  <c r="BG783" i="1"/>
  <c r="BG784" i="1"/>
  <c r="BG785" i="1"/>
  <c r="BG786" i="1"/>
  <c r="BG787" i="1"/>
  <c r="BG788" i="1"/>
  <c r="BG789" i="1"/>
  <c r="BG790" i="1"/>
  <c r="BG791" i="1"/>
  <c r="BG792" i="1"/>
  <c r="BG793" i="1"/>
  <c r="BG794" i="1"/>
  <c r="BG795" i="1"/>
  <c r="BG796" i="1"/>
  <c r="BG797" i="1"/>
  <c r="BG798" i="1"/>
  <c r="BG799" i="1"/>
  <c r="BG800" i="1"/>
  <c r="BG801" i="1"/>
  <c r="BG802" i="1"/>
  <c r="BG803" i="1"/>
  <c r="BG804" i="1"/>
  <c r="BG805" i="1"/>
  <c r="BG806" i="1"/>
  <c r="BG807" i="1"/>
  <c r="BG808" i="1"/>
  <c r="BG809" i="1"/>
  <c r="BG810" i="1"/>
  <c r="BG811" i="1"/>
  <c r="BG812" i="1"/>
  <c r="BG813" i="1"/>
  <c r="BG814" i="1"/>
  <c r="BG815" i="1"/>
  <c r="BG816" i="1"/>
  <c r="BG817" i="1"/>
  <c r="BG818" i="1"/>
  <c r="BG819" i="1"/>
  <c r="BG820" i="1"/>
  <c r="BG821" i="1"/>
  <c r="BG822" i="1"/>
  <c r="BG823" i="1"/>
  <c r="BG824" i="1"/>
  <c r="BG825" i="1"/>
  <c r="BG826" i="1"/>
  <c r="BG827" i="1"/>
  <c r="BG828" i="1"/>
  <c r="BG829" i="1"/>
  <c r="BG830" i="1"/>
  <c r="BG831" i="1"/>
  <c r="BG832" i="1"/>
  <c r="BG833" i="1"/>
  <c r="BG834" i="1"/>
  <c r="BG835" i="1"/>
  <c r="BG836" i="1"/>
  <c r="BG837" i="1"/>
  <c r="BG838" i="1"/>
  <c r="BG839" i="1"/>
  <c r="BG840" i="1"/>
  <c r="BG841" i="1"/>
  <c r="BG842" i="1"/>
  <c r="BG843" i="1"/>
  <c r="BG844" i="1"/>
  <c r="BG845" i="1"/>
  <c r="BG846" i="1"/>
  <c r="BG847" i="1"/>
  <c r="BG848" i="1"/>
  <c r="BG849" i="1"/>
  <c r="BG850" i="1"/>
  <c r="BG851" i="1"/>
  <c r="BG852" i="1"/>
  <c r="BG853" i="1"/>
  <c r="BG854" i="1"/>
  <c r="BG855" i="1"/>
  <c r="BG856" i="1"/>
  <c r="BG857" i="1"/>
  <c r="BG858" i="1"/>
  <c r="BG859" i="1"/>
  <c r="BG860" i="1"/>
  <c r="BG861" i="1"/>
  <c r="BG862" i="1"/>
  <c r="BG863" i="1"/>
  <c r="BG864" i="1"/>
  <c r="BG865" i="1"/>
  <c r="BG866" i="1"/>
  <c r="BG867" i="1"/>
  <c r="BG868" i="1"/>
  <c r="BG869" i="1"/>
  <c r="BG870" i="1"/>
  <c r="BG871" i="1"/>
  <c r="BG872" i="1"/>
  <c r="BG873" i="1"/>
  <c r="BG874" i="1"/>
  <c r="BG875" i="1"/>
  <c r="BG876" i="1"/>
  <c r="BG877" i="1"/>
  <c r="BG878" i="1"/>
  <c r="BG879" i="1"/>
  <c r="BG880" i="1"/>
  <c r="BG881" i="1"/>
  <c r="BG882" i="1"/>
  <c r="BG883" i="1"/>
  <c r="BG884" i="1"/>
  <c r="BG885" i="1"/>
  <c r="BG886" i="1"/>
  <c r="BG887" i="1"/>
  <c r="BG888" i="1"/>
  <c r="BG889" i="1"/>
  <c r="BG890" i="1"/>
  <c r="BG891" i="1"/>
  <c r="BG892" i="1"/>
  <c r="BG893" i="1"/>
  <c r="BG894" i="1"/>
  <c r="BG895" i="1"/>
  <c r="BG896" i="1"/>
  <c r="BG897" i="1"/>
  <c r="BG898" i="1"/>
  <c r="BG899" i="1"/>
  <c r="BG900" i="1"/>
  <c r="BG901" i="1"/>
  <c r="BG902" i="1"/>
  <c r="BG903" i="1"/>
  <c r="BG904" i="1"/>
  <c r="BG905" i="1"/>
  <c r="BG906" i="1"/>
  <c r="BG907" i="1"/>
  <c r="BG908" i="1"/>
  <c r="BG909" i="1"/>
  <c r="BG910" i="1"/>
  <c r="BG911" i="1"/>
  <c r="BG912" i="1"/>
  <c r="BG913" i="1"/>
  <c r="BG914" i="1"/>
  <c r="BG915" i="1"/>
  <c r="BG916" i="1"/>
  <c r="BG917" i="1"/>
  <c r="BG918" i="1"/>
  <c r="BG919" i="1"/>
  <c r="BG920" i="1"/>
  <c r="BG921" i="1"/>
  <c r="BG922" i="1"/>
  <c r="BG923" i="1"/>
  <c r="BG924" i="1"/>
  <c r="BG925" i="1"/>
  <c r="BG926" i="1"/>
  <c r="BG927" i="1"/>
  <c r="BG928" i="1"/>
  <c r="BG929" i="1"/>
  <c r="BG930" i="1"/>
  <c r="BG931" i="1"/>
  <c r="BG932" i="1"/>
  <c r="BG933" i="1"/>
  <c r="BG934" i="1"/>
  <c r="BG935" i="1"/>
  <c r="BG936" i="1"/>
  <c r="BG937" i="1"/>
  <c r="BG938" i="1"/>
  <c r="BG939" i="1"/>
  <c r="BG940" i="1"/>
  <c r="BG941" i="1"/>
  <c r="BG942" i="1"/>
  <c r="BG943" i="1"/>
  <c r="BG944" i="1"/>
  <c r="BG945" i="1"/>
  <c r="BG946" i="1"/>
  <c r="BG947" i="1"/>
  <c r="BG948" i="1"/>
  <c r="BG949" i="1"/>
  <c r="BG950" i="1"/>
  <c r="BG951" i="1"/>
  <c r="BG952" i="1"/>
  <c r="BG953" i="1"/>
  <c r="BG954" i="1"/>
  <c r="BG955" i="1"/>
  <c r="BG956" i="1"/>
  <c r="BG957" i="1"/>
  <c r="BG958" i="1"/>
  <c r="BG959" i="1"/>
  <c r="BG960" i="1"/>
  <c r="BG961" i="1"/>
  <c r="BG962" i="1"/>
  <c r="BG963" i="1"/>
  <c r="BG964" i="1"/>
  <c r="BG965" i="1"/>
  <c r="BG966" i="1"/>
  <c r="BG967" i="1"/>
  <c r="BG968" i="1"/>
  <c r="BG969" i="1"/>
  <c r="BG970" i="1"/>
  <c r="BG971" i="1"/>
  <c r="BG972" i="1"/>
  <c r="BG973" i="1"/>
  <c r="BG974" i="1"/>
  <c r="BG975" i="1"/>
  <c r="BG976" i="1"/>
  <c r="BG977" i="1"/>
  <c r="BG978" i="1"/>
  <c r="BG979" i="1"/>
  <c r="BG980" i="1"/>
  <c r="BG981" i="1"/>
  <c r="BG982" i="1"/>
  <c r="BG983" i="1"/>
  <c r="BG984" i="1"/>
  <c r="BG985" i="1"/>
  <c r="BG986" i="1"/>
  <c r="BG987" i="1"/>
  <c r="BG988" i="1"/>
  <c r="BG989" i="1"/>
  <c r="BG990" i="1"/>
  <c r="BG991" i="1"/>
  <c r="BG992" i="1"/>
  <c r="BG993" i="1"/>
  <c r="BG994" i="1"/>
  <c r="BG995" i="1"/>
  <c r="BG996" i="1"/>
  <c r="BG997" i="1"/>
  <c r="BG998" i="1"/>
  <c r="BG999" i="1"/>
  <c r="BG1000" i="1"/>
  <c r="BG1001" i="1"/>
  <c r="BG1002" i="1"/>
  <c r="BG1003" i="1"/>
  <c r="BG1004" i="1"/>
  <c r="BG1005" i="1"/>
  <c r="BG1006" i="1"/>
  <c r="BG1007" i="1"/>
  <c r="BG1008" i="1"/>
  <c r="BG1009" i="1"/>
  <c r="BG1010" i="1"/>
  <c r="BG1011" i="1"/>
  <c r="BG1012" i="1"/>
  <c r="BG1013" i="1"/>
  <c r="BG1014" i="1"/>
  <c r="BG1015" i="1"/>
  <c r="BG1016" i="1"/>
  <c r="BG1017" i="1"/>
  <c r="BG1018" i="1"/>
  <c r="BG1019" i="1"/>
  <c r="BG1020" i="1"/>
  <c r="BG1021" i="1"/>
  <c r="BG1022" i="1"/>
  <c r="BG1023" i="1"/>
  <c r="BG1024" i="1"/>
  <c r="BG1025" i="1"/>
  <c r="BG1026" i="1"/>
  <c r="BG1027" i="1"/>
  <c r="BG1028" i="1"/>
  <c r="BG1029" i="1"/>
  <c r="BG1030" i="1"/>
  <c r="BG1031" i="1"/>
  <c r="BG1032" i="1"/>
  <c r="BG1033" i="1"/>
  <c r="BG1034" i="1"/>
  <c r="BG1035" i="1"/>
  <c r="BG1036" i="1"/>
  <c r="BG1037" i="1"/>
  <c r="BG1038" i="1"/>
  <c r="BG1039" i="1"/>
  <c r="BG1040" i="1"/>
  <c r="BG1041" i="1"/>
  <c r="BG1042" i="1"/>
  <c r="BG1043" i="1"/>
  <c r="BG1044" i="1"/>
  <c r="BG1045" i="1"/>
  <c r="BG1046" i="1"/>
  <c r="BG1047" i="1"/>
  <c r="BG1048" i="1"/>
  <c r="BG1049" i="1"/>
  <c r="BG1050" i="1"/>
  <c r="BG1051" i="1"/>
  <c r="BG1052" i="1"/>
  <c r="BG1053" i="1"/>
  <c r="BG1054" i="1"/>
  <c r="BG1055" i="1"/>
  <c r="BG1056" i="1"/>
  <c r="BG1057" i="1"/>
  <c r="BG1058" i="1"/>
  <c r="BG1059" i="1"/>
  <c r="BG1060" i="1"/>
  <c r="BG1061" i="1"/>
  <c r="BG1062" i="1"/>
  <c r="BG1063" i="1"/>
  <c r="BG1064" i="1"/>
  <c r="BG1065" i="1"/>
  <c r="BG1066" i="1"/>
  <c r="BG1067" i="1"/>
  <c r="BG1068" i="1"/>
  <c r="BG1069" i="1"/>
  <c r="BG1070" i="1"/>
  <c r="BG1071" i="1"/>
  <c r="BG1072" i="1"/>
  <c r="BG1073" i="1"/>
  <c r="BG1074" i="1"/>
  <c r="BG1075" i="1"/>
  <c r="BG1076" i="1"/>
  <c r="BG1077" i="1"/>
  <c r="BG1078" i="1"/>
  <c r="BG1079" i="1"/>
  <c r="BG1080" i="1"/>
  <c r="BG1081" i="1"/>
  <c r="BG1082" i="1"/>
  <c r="BG1083" i="1"/>
  <c r="BG1084" i="1"/>
  <c r="BG1085" i="1"/>
  <c r="BG1086" i="1"/>
  <c r="BG1087" i="1"/>
  <c r="BG1088" i="1"/>
  <c r="BG1089" i="1"/>
  <c r="BG1090" i="1"/>
  <c r="BG1091" i="1"/>
  <c r="BG1092" i="1"/>
  <c r="BG1093" i="1"/>
  <c r="BG1094" i="1"/>
  <c r="BG1095" i="1"/>
  <c r="BG1096" i="1"/>
  <c r="BG1097" i="1"/>
  <c r="BG1098" i="1"/>
  <c r="BG1099" i="1"/>
  <c r="BG1100" i="1"/>
  <c r="BG1101" i="1"/>
  <c r="BG1102" i="1"/>
  <c r="BG1103" i="1"/>
  <c r="BG1104" i="1"/>
  <c r="BG1105" i="1"/>
  <c r="BG1106" i="1"/>
  <c r="BG1107" i="1"/>
  <c r="BG1108" i="1"/>
  <c r="BG1109" i="1"/>
  <c r="BG1110" i="1"/>
  <c r="BG1111" i="1"/>
  <c r="BG1112" i="1"/>
  <c r="BG1113" i="1"/>
  <c r="BG1114" i="1"/>
  <c r="BG1115" i="1"/>
  <c r="BG1116" i="1"/>
  <c r="BG1117" i="1"/>
  <c r="BG1118" i="1"/>
  <c r="BG1119" i="1"/>
  <c r="BG1120" i="1"/>
  <c r="BG1121" i="1"/>
  <c r="BG1122" i="1"/>
  <c r="BG1123" i="1"/>
  <c r="BG1124" i="1"/>
  <c r="BG1125" i="1"/>
  <c r="BG1126" i="1"/>
  <c r="BG1127" i="1"/>
  <c r="BG1128" i="1"/>
  <c r="BG1129" i="1"/>
  <c r="BG1130" i="1"/>
  <c r="BG1131" i="1"/>
  <c r="BG1132" i="1"/>
  <c r="BG1133" i="1"/>
  <c r="BG1134" i="1"/>
  <c r="BG1135" i="1"/>
  <c r="BG1136" i="1"/>
  <c r="BG1137" i="1"/>
  <c r="BG1138" i="1"/>
  <c r="BG1139" i="1"/>
  <c r="BG1140" i="1"/>
  <c r="BG1141" i="1"/>
  <c r="BG1142" i="1"/>
  <c r="BG1143" i="1"/>
  <c r="BG1144" i="1"/>
  <c r="BG1145" i="1"/>
  <c r="BG1146" i="1"/>
  <c r="BG1147" i="1"/>
  <c r="BG1148" i="1"/>
  <c r="BG1149" i="1"/>
  <c r="AJ781" i="1"/>
  <c r="AI781" i="1" s="1"/>
  <c r="AH781" i="1" s="1"/>
  <c r="AJ831" i="1"/>
  <c r="AI831" i="1" s="1"/>
  <c r="AH831" i="1" s="1"/>
  <c r="AI911" i="1"/>
  <c r="AI793" i="1"/>
  <c r="AH793" i="1" s="1"/>
  <c r="BF3" i="1"/>
  <c r="BF4" i="1"/>
  <c r="BF5" i="1"/>
  <c r="BF6" i="1"/>
  <c r="BF7" i="1"/>
  <c r="BF8" i="1"/>
  <c r="BF9" i="1"/>
  <c r="BF10" i="1"/>
  <c r="BF11" i="1"/>
  <c r="BF12" i="1"/>
  <c r="BF13" i="1"/>
  <c r="BF14" i="1"/>
  <c r="BF15" i="1"/>
  <c r="BF16" i="1"/>
  <c r="BF17" i="1"/>
  <c r="BF18" i="1"/>
  <c r="BF19" i="1"/>
  <c r="BF20" i="1"/>
  <c r="BF21" i="1"/>
  <c r="BF22" i="1"/>
  <c r="BF23" i="1"/>
  <c r="BF24" i="1"/>
  <c r="BF25" i="1"/>
  <c r="BF26" i="1"/>
  <c r="BF27" i="1"/>
  <c r="BF28" i="1"/>
  <c r="BF29" i="1"/>
  <c r="BF30" i="1"/>
  <c r="BF31" i="1"/>
  <c r="BF32" i="1"/>
  <c r="BF33" i="1"/>
  <c r="BF34" i="1"/>
  <c r="BF35" i="1"/>
  <c r="BF36" i="1"/>
  <c r="BF37" i="1"/>
  <c r="BF38" i="1"/>
  <c r="BF39" i="1"/>
  <c r="BF40" i="1"/>
  <c r="BF41" i="1"/>
  <c r="BF42" i="1"/>
  <c r="BF43" i="1"/>
  <c r="BF44" i="1"/>
  <c r="BF45" i="1"/>
  <c r="BF46" i="1"/>
  <c r="BF47" i="1"/>
  <c r="BF48" i="1"/>
  <c r="BF49" i="1"/>
  <c r="BF50" i="1"/>
  <c r="BF51" i="1"/>
  <c r="BF52" i="1"/>
  <c r="BF53" i="1"/>
  <c r="BF54" i="1"/>
  <c r="BF55" i="1"/>
  <c r="BF56" i="1"/>
  <c r="BF57" i="1"/>
  <c r="BF58" i="1"/>
  <c r="BF59" i="1"/>
  <c r="BF60" i="1"/>
  <c r="BF61" i="1"/>
  <c r="BF62" i="1"/>
  <c r="BF63" i="1"/>
  <c r="BF64" i="1"/>
  <c r="BF65" i="1"/>
  <c r="BF66" i="1"/>
  <c r="BF67" i="1"/>
  <c r="BF68" i="1"/>
  <c r="BF69" i="1"/>
  <c r="BF70" i="1"/>
  <c r="BF71" i="1"/>
  <c r="BF72" i="1"/>
  <c r="BF73" i="1"/>
  <c r="BF74" i="1"/>
  <c r="BF75"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1" i="1"/>
  <c r="BF102" i="1"/>
  <c r="BF103" i="1"/>
  <c r="BF104" i="1"/>
  <c r="BF105" i="1"/>
  <c r="BF106" i="1"/>
  <c r="BF107" i="1"/>
  <c r="BF108" i="1"/>
  <c r="BF109" i="1"/>
  <c r="BF110" i="1"/>
  <c r="BF111" i="1"/>
  <c r="BF112" i="1"/>
  <c r="BF113" i="1"/>
  <c r="BF114" i="1"/>
  <c r="BF115" i="1"/>
  <c r="BF116" i="1"/>
  <c r="BF117" i="1"/>
  <c r="BF118" i="1"/>
  <c r="BF119" i="1"/>
  <c r="BF120" i="1"/>
  <c r="BF121" i="1"/>
  <c r="BF122" i="1"/>
  <c r="BF123" i="1"/>
  <c r="BF124" i="1"/>
  <c r="BF125" i="1"/>
  <c r="BF126" i="1"/>
  <c r="BF127" i="1"/>
  <c r="BF128" i="1"/>
  <c r="BF129" i="1"/>
  <c r="BF130" i="1"/>
  <c r="BF131" i="1"/>
  <c r="BF132" i="1"/>
  <c r="BF133" i="1"/>
  <c r="BF134" i="1"/>
  <c r="BF135" i="1"/>
  <c r="BF136" i="1"/>
  <c r="BF137" i="1"/>
  <c r="BF138" i="1"/>
  <c r="BF139" i="1"/>
  <c r="BF140" i="1"/>
  <c r="BF141" i="1"/>
  <c r="BF142" i="1"/>
  <c r="BF143" i="1"/>
  <c r="BF144" i="1"/>
  <c r="BF145" i="1"/>
  <c r="BF146" i="1"/>
  <c r="BF147" i="1"/>
  <c r="BF148" i="1"/>
  <c r="BF149" i="1"/>
  <c r="BF150" i="1"/>
  <c r="BF151" i="1"/>
  <c r="BF152" i="1"/>
  <c r="BF153" i="1"/>
  <c r="BF154" i="1"/>
  <c r="BF155" i="1"/>
  <c r="BF156" i="1"/>
  <c r="BF157" i="1"/>
  <c r="BF158" i="1"/>
  <c r="BF159" i="1"/>
  <c r="BF160" i="1"/>
  <c r="BF161" i="1"/>
  <c r="BF162" i="1"/>
  <c r="BF163" i="1"/>
  <c r="BF164" i="1"/>
  <c r="BF165" i="1"/>
  <c r="BF166" i="1"/>
  <c r="BF167" i="1"/>
  <c r="BF168" i="1"/>
  <c r="BF169" i="1"/>
  <c r="BF170" i="1"/>
  <c r="BF171" i="1"/>
  <c r="BF172" i="1"/>
  <c r="BF173" i="1"/>
  <c r="BF174" i="1"/>
  <c r="BF175" i="1"/>
  <c r="BF176" i="1"/>
  <c r="BF177" i="1"/>
  <c r="BF178" i="1"/>
  <c r="BF179" i="1"/>
  <c r="BF180" i="1"/>
  <c r="BF181" i="1"/>
  <c r="BF182" i="1"/>
  <c r="BF183" i="1"/>
  <c r="BF184" i="1"/>
  <c r="BF185" i="1"/>
  <c r="BF186" i="1"/>
  <c r="BF187" i="1"/>
  <c r="BF188" i="1"/>
  <c r="BF189" i="1"/>
  <c r="BF190" i="1"/>
  <c r="BF191" i="1"/>
  <c r="BF192" i="1"/>
  <c r="BF193" i="1"/>
  <c r="BF194" i="1"/>
  <c r="BF195" i="1"/>
  <c r="BF196" i="1"/>
  <c r="BF197" i="1"/>
  <c r="BF198" i="1"/>
  <c r="BF199" i="1"/>
  <c r="BF200" i="1"/>
  <c r="BF201" i="1"/>
  <c r="BF202" i="1"/>
  <c r="BF203" i="1"/>
  <c r="BF204" i="1"/>
  <c r="BF205" i="1"/>
  <c r="BF206" i="1"/>
  <c r="BF207" i="1"/>
  <c r="BF208" i="1"/>
  <c r="BF209" i="1"/>
  <c r="BF210" i="1"/>
  <c r="BF211" i="1"/>
  <c r="BF212" i="1"/>
  <c r="BF213" i="1"/>
  <c r="BF214" i="1"/>
  <c r="BF215" i="1"/>
  <c r="BF216" i="1"/>
  <c r="BF217" i="1"/>
  <c r="BF218" i="1"/>
  <c r="BF219" i="1"/>
  <c r="BF220" i="1"/>
  <c r="BF221" i="1"/>
  <c r="BF222" i="1"/>
  <c r="BF223" i="1"/>
  <c r="BF224" i="1"/>
  <c r="BF225" i="1"/>
  <c r="BF226" i="1"/>
  <c r="BF227" i="1"/>
  <c r="BF228" i="1"/>
  <c r="BF229" i="1"/>
  <c r="BF230" i="1"/>
  <c r="BF231" i="1"/>
  <c r="BF232" i="1"/>
  <c r="BF233" i="1"/>
  <c r="BF234" i="1"/>
  <c r="BF235" i="1"/>
  <c r="BF236" i="1"/>
  <c r="BF237" i="1"/>
  <c r="BF238" i="1"/>
  <c r="BF239" i="1"/>
  <c r="BF240" i="1"/>
  <c r="BF241" i="1"/>
  <c r="BF242" i="1"/>
  <c r="BF243" i="1"/>
  <c r="BF244" i="1"/>
  <c r="BF245" i="1"/>
  <c r="BF246" i="1"/>
  <c r="BF247" i="1"/>
  <c r="BF248" i="1"/>
  <c r="BF249" i="1"/>
  <c r="BF250" i="1"/>
  <c r="BF251" i="1"/>
  <c r="BF252" i="1"/>
  <c r="BF253" i="1"/>
  <c r="BF254" i="1"/>
  <c r="BF255" i="1"/>
  <c r="BF256" i="1"/>
  <c r="BF257" i="1"/>
  <c r="BF258" i="1"/>
  <c r="BF259" i="1"/>
  <c r="BF260" i="1"/>
  <c r="BF261" i="1"/>
  <c r="BF262" i="1"/>
  <c r="BF263" i="1"/>
  <c r="BF264" i="1"/>
  <c r="BF265" i="1"/>
  <c r="BF266" i="1"/>
  <c r="BF267" i="1"/>
  <c r="BF268" i="1"/>
  <c r="BF269" i="1"/>
  <c r="BF270" i="1"/>
  <c r="BF271" i="1"/>
  <c r="BF272" i="1"/>
  <c r="BF273" i="1"/>
  <c r="BF274" i="1"/>
  <c r="BF275" i="1"/>
  <c r="BF276" i="1"/>
  <c r="BF277" i="1"/>
  <c r="BF278" i="1"/>
  <c r="BF279" i="1"/>
  <c r="BF280" i="1"/>
  <c r="BF281" i="1"/>
  <c r="BF282" i="1"/>
  <c r="BF283" i="1"/>
  <c r="BF284" i="1"/>
  <c r="BF285" i="1"/>
  <c r="BF286" i="1"/>
  <c r="BF287" i="1"/>
  <c r="BF288" i="1"/>
  <c r="BF289" i="1"/>
  <c r="BF290" i="1"/>
  <c r="BF291" i="1"/>
  <c r="BF292" i="1"/>
  <c r="BF293" i="1"/>
  <c r="BF294" i="1"/>
  <c r="BF295" i="1"/>
  <c r="BF296" i="1"/>
  <c r="BF297" i="1"/>
  <c r="BF298" i="1"/>
  <c r="BF299" i="1"/>
  <c r="BF300" i="1"/>
  <c r="BF301" i="1"/>
  <c r="BF302" i="1"/>
  <c r="BF303" i="1"/>
  <c r="BF304" i="1"/>
  <c r="BF305" i="1"/>
  <c r="BF306" i="1"/>
  <c r="BF307" i="1"/>
  <c r="BF308" i="1"/>
  <c r="BF309" i="1"/>
  <c r="BF310" i="1"/>
  <c r="BF311" i="1"/>
  <c r="BF312" i="1"/>
  <c r="BF313" i="1"/>
  <c r="BF314" i="1"/>
  <c r="BF315" i="1"/>
  <c r="BF316" i="1"/>
  <c r="BF317" i="1"/>
  <c r="BF318" i="1"/>
  <c r="BF319" i="1"/>
  <c r="BF320" i="1"/>
  <c r="BF321" i="1"/>
  <c r="BF322" i="1"/>
  <c r="BF323" i="1"/>
  <c r="BF324" i="1"/>
  <c r="BF325" i="1"/>
  <c r="BF326" i="1"/>
  <c r="BF327" i="1"/>
  <c r="BF328" i="1"/>
  <c r="BF329" i="1"/>
  <c r="BF330" i="1"/>
  <c r="BF331" i="1"/>
  <c r="BF332" i="1"/>
  <c r="BF333" i="1"/>
  <c r="BF334" i="1"/>
  <c r="BF335" i="1"/>
  <c r="BF336" i="1"/>
  <c r="BF337" i="1"/>
  <c r="BF338" i="1"/>
  <c r="BF339" i="1"/>
  <c r="BF340" i="1"/>
  <c r="BF341" i="1"/>
  <c r="BF342" i="1"/>
  <c r="BF343" i="1"/>
  <c r="BF344" i="1"/>
  <c r="BF345" i="1"/>
  <c r="BF346" i="1"/>
  <c r="BF347" i="1"/>
  <c r="BF348" i="1"/>
  <c r="BF349" i="1"/>
  <c r="BF350" i="1"/>
  <c r="BF351" i="1"/>
  <c r="BF352" i="1"/>
  <c r="BF353" i="1"/>
  <c r="BF354" i="1"/>
  <c r="BF355" i="1"/>
  <c r="BF356" i="1"/>
  <c r="BF357" i="1"/>
  <c r="BF358" i="1"/>
  <c r="BF359" i="1"/>
  <c r="BF360" i="1"/>
  <c r="BF361" i="1"/>
  <c r="BF362" i="1"/>
  <c r="BF363" i="1"/>
  <c r="BF364" i="1"/>
  <c r="BF365" i="1"/>
  <c r="BF366" i="1"/>
  <c r="BF367" i="1"/>
  <c r="BF368" i="1"/>
  <c r="BF369" i="1"/>
  <c r="BF370" i="1"/>
  <c r="BF371" i="1"/>
  <c r="BF372" i="1"/>
  <c r="BF373" i="1"/>
  <c r="BF374" i="1"/>
  <c r="BF375" i="1"/>
  <c r="BF376" i="1"/>
  <c r="BF377" i="1"/>
  <c r="BF378" i="1"/>
  <c r="BF379" i="1"/>
  <c r="BF380" i="1"/>
  <c r="BF381" i="1"/>
  <c r="BF382" i="1"/>
  <c r="BF383" i="1"/>
  <c r="BF384" i="1"/>
  <c r="BF385" i="1"/>
  <c r="BF386" i="1"/>
  <c r="BF387" i="1"/>
  <c r="BF388" i="1"/>
  <c r="BF389" i="1"/>
  <c r="BF390" i="1"/>
  <c r="BF391" i="1"/>
  <c r="BF392" i="1"/>
  <c r="BF393" i="1"/>
  <c r="BF394" i="1"/>
  <c r="BF395" i="1"/>
  <c r="BF396" i="1"/>
  <c r="BF397" i="1"/>
  <c r="BF398" i="1"/>
  <c r="BF399" i="1"/>
  <c r="BF400" i="1"/>
  <c r="BF401" i="1"/>
  <c r="BF402" i="1"/>
  <c r="BF403" i="1"/>
  <c r="BF404" i="1"/>
  <c r="BF405" i="1"/>
  <c r="BF406" i="1"/>
  <c r="BF407" i="1"/>
  <c r="BF408" i="1"/>
  <c r="BF409" i="1"/>
  <c r="BF410" i="1"/>
  <c r="BF411" i="1"/>
  <c r="BF412" i="1"/>
  <c r="BF413" i="1"/>
  <c r="BF414" i="1"/>
  <c r="BF415" i="1"/>
  <c r="BF416" i="1"/>
  <c r="BF417" i="1"/>
  <c r="BF418" i="1"/>
  <c r="BF419" i="1"/>
  <c r="BF420" i="1"/>
  <c r="BF421" i="1"/>
  <c r="BF422" i="1"/>
  <c r="BF423" i="1"/>
  <c r="BF424" i="1"/>
  <c r="BF425" i="1"/>
  <c r="BF426" i="1"/>
  <c r="BF427" i="1"/>
  <c r="BF428" i="1"/>
  <c r="BF429" i="1"/>
  <c r="BF430" i="1"/>
  <c r="BF431" i="1"/>
  <c r="BF432" i="1"/>
  <c r="BF433" i="1"/>
  <c r="BF434" i="1"/>
  <c r="BF435" i="1"/>
  <c r="BF436" i="1"/>
  <c r="BF437" i="1"/>
  <c r="BF438" i="1"/>
  <c r="BF439" i="1"/>
  <c r="BF440" i="1"/>
  <c r="BF441" i="1"/>
  <c r="BF442" i="1"/>
  <c r="BF443" i="1"/>
  <c r="BF444" i="1"/>
  <c r="BF445" i="1"/>
  <c r="BF446" i="1"/>
  <c r="BF447" i="1"/>
  <c r="BF448" i="1"/>
  <c r="BF449" i="1"/>
  <c r="BF450" i="1"/>
  <c r="BF451" i="1"/>
  <c r="BF452" i="1"/>
  <c r="BF453" i="1"/>
  <c r="BF454" i="1"/>
  <c r="BF455" i="1"/>
  <c r="BF456" i="1"/>
  <c r="BF457" i="1"/>
  <c r="BF458" i="1"/>
  <c r="BF459" i="1"/>
  <c r="BF460" i="1"/>
  <c r="BF461" i="1"/>
  <c r="BF462" i="1"/>
  <c r="BF463" i="1"/>
  <c r="BF464" i="1"/>
  <c r="BF465" i="1"/>
  <c r="BF466" i="1"/>
  <c r="BF467" i="1"/>
  <c r="BF468" i="1"/>
  <c r="BF469" i="1"/>
  <c r="BF470" i="1"/>
  <c r="BF471" i="1"/>
  <c r="BF472" i="1"/>
  <c r="BF473" i="1"/>
  <c r="BF474" i="1"/>
  <c r="BF475" i="1"/>
  <c r="BF476" i="1"/>
  <c r="BF477" i="1"/>
  <c r="BF478" i="1"/>
  <c r="BF479" i="1"/>
  <c r="BF480" i="1"/>
  <c r="BF481" i="1"/>
  <c r="BF482" i="1"/>
  <c r="BF483" i="1"/>
  <c r="BF484" i="1"/>
  <c r="BF485" i="1"/>
  <c r="BF486" i="1"/>
  <c r="BF487" i="1"/>
  <c r="BF488" i="1"/>
  <c r="BF489" i="1"/>
  <c r="BF490" i="1"/>
  <c r="BF491" i="1"/>
  <c r="BF492" i="1"/>
  <c r="BF493" i="1"/>
  <c r="BF494" i="1"/>
  <c r="BF495" i="1"/>
  <c r="BF496" i="1"/>
  <c r="BF497" i="1"/>
  <c r="BF498" i="1"/>
  <c r="BF499" i="1"/>
  <c r="BF500" i="1"/>
  <c r="BF501" i="1"/>
  <c r="BF502" i="1"/>
  <c r="BF503" i="1"/>
  <c r="BF504" i="1"/>
  <c r="BF505" i="1"/>
  <c r="BF506" i="1"/>
  <c r="BF507" i="1"/>
  <c r="BF508" i="1"/>
  <c r="BF509" i="1"/>
  <c r="BF510" i="1"/>
  <c r="BF511" i="1"/>
  <c r="BF512" i="1"/>
  <c r="BF513" i="1"/>
  <c r="BF514" i="1"/>
  <c r="BF515" i="1"/>
  <c r="BF516" i="1"/>
  <c r="BF517" i="1"/>
  <c r="BF518" i="1"/>
  <c r="BF519" i="1"/>
  <c r="BF520" i="1"/>
  <c r="BF521" i="1"/>
  <c r="BF522" i="1"/>
  <c r="BF523" i="1"/>
  <c r="BF524" i="1"/>
  <c r="BF525" i="1"/>
  <c r="BF526" i="1"/>
  <c r="BF527" i="1"/>
  <c r="BF528" i="1"/>
  <c r="BF529" i="1"/>
  <c r="BF530" i="1"/>
  <c r="BF531" i="1"/>
  <c r="BF532" i="1"/>
  <c r="BF533" i="1"/>
  <c r="BF534" i="1"/>
  <c r="BF535" i="1"/>
  <c r="BF536" i="1"/>
  <c r="BF537" i="1"/>
  <c r="BF538" i="1"/>
  <c r="BF539" i="1"/>
  <c r="BF540" i="1"/>
  <c r="BF541" i="1"/>
  <c r="BF542" i="1"/>
  <c r="BF543" i="1"/>
  <c r="BF544" i="1"/>
  <c r="BF545" i="1"/>
  <c r="BF546" i="1"/>
  <c r="BF547" i="1"/>
  <c r="BF548" i="1"/>
  <c r="BF549" i="1"/>
  <c r="BF550" i="1"/>
  <c r="BF551" i="1"/>
  <c r="BF552" i="1"/>
  <c r="BF553" i="1"/>
  <c r="BF554" i="1"/>
  <c r="BF555" i="1"/>
  <c r="BF556" i="1"/>
  <c r="BF557" i="1"/>
  <c r="BF558" i="1"/>
  <c r="BF559" i="1"/>
  <c r="BF560" i="1"/>
  <c r="BF561" i="1"/>
  <c r="BF562" i="1"/>
  <c r="BF563" i="1"/>
  <c r="BF564" i="1"/>
  <c r="BF565" i="1"/>
  <c r="BF566" i="1"/>
  <c r="BF567" i="1"/>
  <c r="BF568" i="1"/>
  <c r="BF569" i="1"/>
  <c r="BF570" i="1"/>
  <c r="BF571" i="1"/>
  <c r="BF572" i="1"/>
  <c r="BF573" i="1"/>
  <c r="BF574" i="1"/>
  <c r="BF575" i="1"/>
  <c r="BF576" i="1"/>
  <c r="BF577" i="1"/>
  <c r="BF578" i="1"/>
  <c r="BF579" i="1"/>
  <c r="BF580" i="1"/>
  <c r="BF581" i="1"/>
  <c r="BF582" i="1"/>
  <c r="BF583" i="1"/>
  <c r="BF584" i="1"/>
  <c r="BF585" i="1"/>
  <c r="BF586" i="1"/>
  <c r="BF587" i="1"/>
  <c r="BF588" i="1"/>
  <c r="BF589" i="1"/>
  <c r="BF590" i="1"/>
  <c r="BF591" i="1"/>
  <c r="BF592" i="1"/>
  <c r="BF593" i="1"/>
  <c r="BF594" i="1"/>
  <c r="BF595" i="1"/>
  <c r="BF596" i="1"/>
  <c r="BF597" i="1"/>
  <c r="BF598" i="1"/>
  <c r="BF599" i="1"/>
  <c r="BF600" i="1"/>
  <c r="BF601" i="1"/>
  <c r="BF602" i="1"/>
  <c r="BF603" i="1"/>
  <c r="BF604" i="1"/>
  <c r="BF605" i="1"/>
  <c r="BF606" i="1"/>
  <c r="BF607" i="1"/>
  <c r="BF608" i="1"/>
  <c r="BF609" i="1"/>
  <c r="BF610" i="1"/>
  <c r="BF611" i="1"/>
  <c r="BF612" i="1"/>
  <c r="BF613" i="1"/>
  <c r="BF614" i="1"/>
  <c r="BF615" i="1"/>
  <c r="BF616" i="1"/>
  <c r="BF617" i="1"/>
  <c r="BF618" i="1"/>
  <c r="BF619" i="1"/>
  <c r="BF620" i="1"/>
  <c r="BF621" i="1"/>
  <c r="BF622" i="1"/>
  <c r="BF623" i="1"/>
  <c r="BF624" i="1"/>
  <c r="BF625" i="1"/>
  <c r="BF626" i="1"/>
  <c r="BF627" i="1"/>
  <c r="BF628" i="1"/>
  <c r="BF629" i="1"/>
  <c r="BF630" i="1"/>
  <c r="BF631" i="1"/>
  <c r="BF632" i="1"/>
  <c r="BF633" i="1"/>
  <c r="BF634" i="1"/>
  <c r="BF635" i="1"/>
  <c r="BF636" i="1"/>
  <c r="BF637" i="1"/>
  <c r="BF638" i="1"/>
  <c r="BF639" i="1"/>
  <c r="BF640" i="1"/>
  <c r="BF641" i="1"/>
  <c r="BF642" i="1"/>
  <c r="BF643" i="1"/>
  <c r="BF644" i="1"/>
  <c r="BF645" i="1"/>
  <c r="BF646" i="1"/>
  <c r="BF647" i="1"/>
  <c r="BF648" i="1"/>
  <c r="BF649" i="1"/>
  <c r="BF650" i="1"/>
  <c r="BF651" i="1"/>
  <c r="BF652" i="1"/>
  <c r="BF653" i="1"/>
  <c r="BF654" i="1"/>
  <c r="BF655" i="1"/>
  <c r="BF656" i="1"/>
  <c r="BF657" i="1"/>
  <c r="BF658" i="1"/>
  <c r="BF659" i="1"/>
  <c r="BF660" i="1"/>
  <c r="BF661" i="1"/>
  <c r="BF662" i="1"/>
  <c r="BF663" i="1"/>
  <c r="BF664" i="1"/>
  <c r="BF665" i="1"/>
  <c r="BF666" i="1"/>
  <c r="BF667" i="1"/>
  <c r="BF668" i="1"/>
  <c r="BF669" i="1"/>
  <c r="BF670" i="1"/>
  <c r="BF671" i="1"/>
  <c r="BF672" i="1"/>
  <c r="BF673" i="1"/>
  <c r="BF674" i="1"/>
  <c r="BF675" i="1"/>
  <c r="BF676" i="1"/>
  <c r="BF677" i="1"/>
  <c r="BF678" i="1"/>
  <c r="BF679" i="1"/>
  <c r="BF680" i="1"/>
  <c r="BF681" i="1"/>
  <c r="BF682" i="1"/>
  <c r="BF683" i="1"/>
  <c r="BF684" i="1"/>
  <c r="BF685" i="1"/>
  <c r="BF686" i="1"/>
  <c r="BF687" i="1"/>
  <c r="BF688" i="1"/>
  <c r="BF689" i="1"/>
  <c r="BF690" i="1"/>
  <c r="BF691" i="1"/>
  <c r="BF692" i="1"/>
  <c r="BF693" i="1"/>
  <c r="BF694" i="1"/>
  <c r="BF695" i="1"/>
  <c r="BF696" i="1"/>
  <c r="BF697" i="1"/>
  <c r="BF698" i="1"/>
  <c r="BF699" i="1"/>
  <c r="BF700" i="1"/>
  <c r="BF701" i="1"/>
  <c r="BF702" i="1"/>
  <c r="BF703" i="1"/>
  <c r="BF704" i="1"/>
  <c r="BF705" i="1"/>
  <c r="BF706" i="1"/>
  <c r="BF707" i="1"/>
  <c r="BF708" i="1"/>
  <c r="BF709" i="1"/>
  <c r="BF710" i="1"/>
  <c r="BF711" i="1"/>
  <c r="BF712" i="1"/>
  <c r="BF713" i="1"/>
  <c r="BF714" i="1"/>
  <c r="BF715" i="1"/>
  <c r="BF716" i="1"/>
  <c r="BF717" i="1"/>
  <c r="BF718" i="1"/>
  <c r="BF719" i="1"/>
  <c r="BF720" i="1"/>
  <c r="BF721" i="1"/>
  <c r="BF722" i="1"/>
  <c r="BF723" i="1"/>
  <c r="BF724" i="1"/>
  <c r="BF725" i="1"/>
  <c r="BF726" i="1"/>
  <c r="BF727" i="1"/>
  <c r="BF728" i="1"/>
  <c r="BF729" i="1"/>
  <c r="BF730" i="1"/>
  <c r="BF731" i="1"/>
  <c r="BF732" i="1"/>
  <c r="BF733" i="1"/>
  <c r="BF734" i="1"/>
  <c r="BF735" i="1"/>
  <c r="BF736" i="1"/>
  <c r="BF737" i="1"/>
  <c r="BF738" i="1"/>
  <c r="BF739" i="1"/>
  <c r="BF740" i="1"/>
  <c r="BF741" i="1"/>
  <c r="BF742" i="1"/>
  <c r="BF743" i="1"/>
  <c r="BF744" i="1"/>
  <c r="BF745" i="1"/>
  <c r="BF746" i="1"/>
  <c r="BF747" i="1"/>
  <c r="BF748" i="1"/>
  <c r="BF749" i="1"/>
  <c r="BF750" i="1"/>
  <c r="BF751" i="1"/>
  <c r="BF752" i="1"/>
  <c r="BF753" i="1"/>
  <c r="BF754" i="1"/>
  <c r="BF755" i="1"/>
  <c r="BF756" i="1"/>
  <c r="BF757" i="1"/>
  <c r="BF758" i="1"/>
  <c r="BF759" i="1"/>
  <c r="BF760" i="1"/>
  <c r="BF761" i="1"/>
  <c r="BF762" i="1"/>
  <c r="BF763" i="1"/>
  <c r="BF764" i="1"/>
  <c r="BF765" i="1"/>
  <c r="BF766" i="1"/>
  <c r="BF767" i="1"/>
  <c r="BF768" i="1"/>
  <c r="BF769" i="1"/>
  <c r="BF770" i="1"/>
  <c r="BF771" i="1"/>
  <c r="BF772" i="1"/>
  <c r="BF773" i="1"/>
  <c r="BF774" i="1"/>
  <c r="BF775" i="1"/>
  <c r="BF776" i="1"/>
  <c r="BF777" i="1"/>
  <c r="BF778" i="1"/>
  <c r="BF779" i="1"/>
  <c r="BF780" i="1"/>
  <c r="BF781" i="1"/>
  <c r="BF782" i="1"/>
  <c r="BF783" i="1"/>
  <c r="BF784" i="1"/>
  <c r="BF785" i="1"/>
  <c r="BF786" i="1"/>
  <c r="BF787" i="1"/>
  <c r="BF788" i="1"/>
  <c r="BF789" i="1"/>
  <c r="BF790" i="1"/>
  <c r="BF791" i="1"/>
  <c r="BF792" i="1"/>
  <c r="BF793" i="1"/>
  <c r="BF794" i="1"/>
  <c r="BF795" i="1"/>
  <c r="BF796" i="1"/>
  <c r="BF797" i="1"/>
  <c r="BF798" i="1"/>
  <c r="BF799" i="1"/>
  <c r="BF800" i="1"/>
  <c r="BF801" i="1"/>
  <c r="BF802" i="1"/>
  <c r="BF803" i="1"/>
  <c r="BF804" i="1"/>
  <c r="BF805" i="1"/>
  <c r="BF806" i="1"/>
  <c r="BF807" i="1"/>
  <c r="BF808" i="1"/>
  <c r="BF809" i="1"/>
  <c r="BF810" i="1"/>
  <c r="BF811" i="1"/>
  <c r="BF812" i="1"/>
  <c r="BF813" i="1"/>
  <c r="BF814" i="1"/>
  <c r="BF815" i="1"/>
  <c r="BF816" i="1"/>
  <c r="BF817" i="1"/>
  <c r="BF818" i="1"/>
  <c r="BF819" i="1"/>
  <c r="BF820" i="1"/>
  <c r="BF821" i="1"/>
  <c r="BF822" i="1"/>
  <c r="BF823" i="1"/>
  <c r="BF824" i="1"/>
  <c r="BF825" i="1"/>
  <c r="BF826" i="1"/>
  <c r="BF827" i="1"/>
  <c r="BF828" i="1"/>
  <c r="BF829" i="1"/>
  <c r="BF830" i="1"/>
  <c r="BF831" i="1"/>
  <c r="BF832" i="1"/>
  <c r="BF833" i="1"/>
  <c r="BF834" i="1"/>
  <c r="BF835" i="1"/>
  <c r="BF836" i="1"/>
  <c r="BF837" i="1"/>
  <c r="BF838" i="1"/>
  <c r="BF839" i="1"/>
  <c r="BF840" i="1"/>
  <c r="BF841" i="1"/>
  <c r="BF842" i="1"/>
  <c r="BF843" i="1"/>
  <c r="BF844" i="1"/>
  <c r="BF845" i="1"/>
  <c r="BF846" i="1"/>
  <c r="BF847" i="1"/>
  <c r="BF848" i="1"/>
  <c r="BF849" i="1"/>
  <c r="BF850" i="1"/>
  <c r="BF851" i="1"/>
  <c r="BF852" i="1"/>
  <c r="BF853" i="1"/>
  <c r="BF854" i="1"/>
  <c r="BF855" i="1"/>
  <c r="BF856" i="1"/>
  <c r="BF857" i="1"/>
  <c r="BF858" i="1"/>
  <c r="BF859" i="1"/>
  <c r="BF860" i="1"/>
  <c r="BF861" i="1"/>
  <c r="BF862" i="1"/>
  <c r="BF863" i="1"/>
  <c r="BF864" i="1"/>
  <c r="BF865" i="1"/>
  <c r="BF866" i="1"/>
  <c r="BF867" i="1"/>
  <c r="BF868" i="1"/>
  <c r="BF869" i="1"/>
  <c r="BF870" i="1"/>
  <c r="BF871" i="1"/>
  <c r="BF872" i="1"/>
  <c r="BF873" i="1"/>
  <c r="BF874" i="1"/>
  <c r="BF875" i="1"/>
  <c r="BF876" i="1"/>
  <c r="BF877" i="1"/>
  <c r="BF878" i="1"/>
  <c r="BF879" i="1"/>
  <c r="BF880" i="1"/>
  <c r="BF881" i="1"/>
  <c r="BF882" i="1"/>
  <c r="BF883" i="1"/>
  <c r="BF884" i="1"/>
  <c r="BF885" i="1"/>
  <c r="BF886" i="1"/>
  <c r="BF887" i="1"/>
  <c r="BF888" i="1"/>
  <c r="BF889" i="1"/>
  <c r="BF890" i="1"/>
  <c r="BF891" i="1"/>
  <c r="BF892" i="1"/>
  <c r="BF893" i="1"/>
  <c r="BF894" i="1"/>
  <c r="BF895" i="1"/>
  <c r="BF896" i="1"/>
  <c r="BF897" i="1"/>
  <c r="BF898" i="1"/>
  <c r="BF899" i="1"/>
  <c r="BF900" i="1"/>
  <c r="BF901" i="1"/>
  <c r="BF902" i="1"/>
  <c r="BF903" i="1"/>
  <c r="BF904" i="1"/>
  <c r="BF905" i="1"/>
  <c r="BF906" i="1"/>
  <c r="BF907" i="1"/>
  <c r="BF908" i="1"/>
  <c r="BF909" i="1"/>
  <c r="BF910" i="1"/>
  <c r="BF911" i="1"/>
  <c r="BF912" i="1"/>
  <c r="BF913" i="1"/>
  <c r="BF914" i="1"/>
  <c r="BF915" i="1"/>
  <c r="BF916" i="1"/>
  <c r="BF917" i="1"/>
  <c r="BF918" i="1"/>
  <c r="BF919" i="1"/>
  <c r="BF920" i="1"/>
  <c r="BF921" i="1"/>
  <c r="BF922" i="1"/>
  <c r="BF923" i="1"/>
  <c r="BF924" i="1"/>
  <c r="BF925" i="1"/>
  <c r="BF926" i="1"/>
  <c r="BF927" i="1"/>
  <c r="BF928" i="1"/>
  <c r="BF929" i="1"/>
  <c r="BF930" i="1"/>
  <c r="BF931" i="1"/>
  <c r="BF932" i="1"/>
  <c r="BF933" i="1"/>
  <c r="BF934" i="1"/>
  <c r="BF935" i="1"/>
  <c r="BF936" i="1"/>
  <c r="BF937" i="1"/>
  <c r="BF938" i="1"/>
  <c r="BF939" i="1"/>
  <c r="BF940" i="1"/>
  <c r="BF941" i="1"/>
  <c r="BF942" i="1"/>
  <c r="BF943" i="1"/>
  <c r="BF944" i="1"/>
  <c r="BF945" i="1"/>
  <c r="BF946" i="1"/>
  <c r="BF947" i="1"/>
  <c r="BF948" i="1"/>
  <c r="BF949" i="1"/>
  <c r="BF950" i="1"/>
  <c r="BF951" i="1"/>
  <c r="BF952" i="1"/>
  <c r="BF953" i="1"/>
  <c r="BF954" i="1"/>
  <c r="BF955" i="1"/>
  <c r="BF956" i="1"/>
  <c r="BF957" i="1"/>
  <c r="BF958" i="1"/>
  <c r="BF959" i="1"/>
  <c r="BF960" i="1"/>
  <c r="BF961" i="1"/>
  <c r="BF962" i="1"/>
  <c r="BF963" i="1"/>
  <c r="BF964" i="1"/>
  <c r="BF965" i="1"/>
  <c r="BF966" i="1"/>
  <c r="BF967" i="1"/>
  <c r="BF968" i="1"/>
  <c r="BF969" i="1"/>
  <c r="BF970" i="1"/>
  <c r="BF971" i="1"/>
  <c r="BF972" i="1"/>
  <c r="BF973" i="1"/>
  <c r="BF974" i="1"/>
  <c r="BF975" i="1"/>
  <c r="BF976" i="1"/>
  <c r="BF977" i="1"/>
  <c r="BF978" i="1"/>
  <c r="BF979" i="1"/>
  <c r="BF980" i="1"/>
  <c r="BF981" i="1"/>
  <c r="BF982" i="1"/>
  <c r="BF983" i="1"/>
  <c r="BF984" i="1"/>
  <c r="BF985" i="1"/>
  <c r="BF986" i="1"/>
  <c r="BF987" i="1"/>
  <c r="BF988" i="1"/>
  <c r="BF989" i="1"/>
  <c r="BF990" i="1"/>
  <c r="BF991" i="1"/>
  <c r="BF992" i="1"/>
  <c r="BF993" i="1"/>
  <c r="BF994" i="1"/>
  <c r="BF995" i="1"/>
  <c r="BF996" i="1"/>
  <c r="BF997" i="1"/>
  <c r="BF998" i="1"/>
  <c r="BF999" i="1"/>
  <c r="BF1000" i="1"/>
  <c r="BF1001" i="1"/>
  <c r="BF1002" i="1"/>
  <c r="BF1003" i="1"/>
  <c r="BF1004" i="1"/>
  <c r="BF1005" i="1"/>
  <c r="BF1006" i="1"/>
  <c r="BF1007" i="1"/>
  <c r="BF1008" i="1"/>
  <c r="BF1009" i="1"/>
  <c r="BF1010" i="1"/>
  <c r="BF1011" i="1"/>
  <c r="BF1012" i="1"/>
  <c r="BF1013" i="1"/>
  <c r="BF1014" i="1"/>
  <c r="BF1015" i="1"/>
  <c r="BF1016" i="1"/>
  <c r="BF1017" i="1"/>
  <c r="BF1018" i="1"/>
  <c r="BF1019" i="1"/>
  <c r="BF1020" i="1"/>
  <c r="BF1021" i="1"/>
  <c r="BF1022" i="1"/>
  <c r="BF1023" i="1"/>
  <c r="BF1024" i="1"/>
  <c r="BF1025" i="1"/>
  <c r="BF1026" i="1"/>
  <c r="BF1027" i="1"/>
  <c r="BF1028" i="1"/>
  <c r="BF1029" i="1"/>
  <c r="BF1030" i="1"/>
  <c r="BF1031" i="1"/>
  <c r="BF1032" i="1"/>
  <c r="BF1033" i="1"/>
  <c r="BF1034" i="1"/>
  <c r="BF1035" i="1"/>
  <c r="BF1036" i="1"/>
  <c r="BF1037" i="1"/>
  <c r="BF1038" i="1"/>
  <c r="BF1039" i="1"/>
  <c r="BF1040" i="1"/>
  <c r="BF1041" i="1"/>
  <c r="BF1042" i="1"/>
  <c r="BF1043" i="1"/>
  <c r="BF1044" i="1"/>
  <c r="BF1045" i="1"/>
  <c r="BF1046" i="1"/>
  <c r="BF1047" i="1"/>
  <c r="BF1048" i="1"/>
  <c r="BF1049" i="1"/>
  <c r="BF1050" i="1"/>
  <c r="BF1051" i="1"/>
  <c r="BF1052" i="1"/>
  <c r="BF1053" i="1"/>
  <c r="BF1054" i="1"/>
  <c r="BF1055" i="1"/>
  <c r="BF1056" i="1"/>
  <c r="BF1057" i="1"/>
  <c r="BF1058" i="1"/>
  <c r="BF1059" i="1"/>
  <c r="BF1060" i="1"/>
  <c r="BF1061" i="1"/>
  <c r="BF1062" i="1"/>
  <c r="BF1063" i="1"/>
  <c r="BF1064" i="1"/>
  <c r="BF1065" i="1"/>
  <c r="BF1066" i="1"/>
  <c r="BF1067" i="1"/>
  <c r="BF1068" i="1"/>
  <c r="BF1069" i="1"/>
  <c r="BF1070" i="1"/>
  <c r="BF1071" i="1"/>
  <c r="BF1072" i="1"/>
  <c r="BF1073" i="1"/>
  <c r="BF1074" i="1"/>
  <c r="BF1075" i="1"/>
  <c r="BF1076" i="1"/>
  <c r="BF1077" i="1"/>
  <c r="BF1078" i="1"/>
  <c r="BF1079" i="1"/>
  <c r="BF1080" i="1"/>
  <c r="BF1081" i="1"/>
  <c r="BF1082" i="1"/>
  <c r="BF1083" i="1"/>
  <c r="BF1084" i="1"/>
  <c r="BF1085" i="1"/>
  <c r="BF1086" i="1"/>
  <c r="BF1087" i="1"/>
  <c r="BF1088" i="1"/>
  <c r="BF1089" i="1"/>
  <c r="BF1090" i="1"/>
  <c r="BF1091" i="1"/>
  <c r="BF1092" i="1"/>
  <c r="BF1093" i="1"/>
  <c r="BF1094" i="1"/>
  <c r="BF1095" i="1"/>
  <c r="BF1096" i="1"/>
  <c r="BF1097" i="1"/>
  <c r="BF1098" i="1"/>
  <c r="BF1099" i="1"/>
  <c r="BF1100" i="1"/>
  <c r="BF1101" i="1"/>
  <c r="BF1102" i="1"/>
  <c r="BF1103" i="1"/>
  <c r="BF1104" i="1"/>
  <c r="BF1105" i="1"/>
  <c r="BF1106" i="1"/>
  <c r="BF1107" i="1"/>
  <c r="BF1108" i="1"/>
  <c r="BF1109" i="1"/>
  <c r="BF1110" i="1"/>
  <c r="BF1111" i="1"/>
  <c r="BF1112" i="1"/>
  <c r="BF1113" i="1"/>
  <c r="BF1114" i="1"/>
  <c r="BF1115" i="1"/>
  <c r="BF1116" i="1"/>
  <c r="BF1117" i="1"/>
  <c r="BF1118" i="1"/>
  <c r="BF1119" i="1"/>
  <c r="BF1120" i="1"/>
  <c r="BF1121" i="1"/>
  <c r="BF1122" i="1"/>
  <c r="BF1123" i="1"/>
  <c r="BF1124" i="1"/>
  <c r="BF1125" i="1"/>
  <c r="BF1126" i="1"/>
  <c r="BF1127" i="1"/>
  <c r="BF1128" i="1"/>
  <c r="BF1129" i="1"/>
  <c r="BF1130" i="1"/>
  <c r="BF1131" i="1"/>
  <c r="BF1132" i="1"/>
  <c r="BF1133" i="1"/>
  <c r="BF1134" i="1"/>
  <c r="BF1135" i="1"/>
  <c r="BF1136" i="1"/>
  <c r="BF1137" i="1"/>
  <c r="BF1138" i="1"/>
  <c r="BF1139" i="1"/>
  <c r="BF1140" i="1"/>
  <c r="BF1141" i="1"/>
  <c r="BF1142" i="1"/>
  <c r="BF1143" i="1"/>
  <c r="BF1144" i="1"/>
  <c r="BF1145" i="1"/>
  <c r="BF1146" i="1"/>
  <c r="BF1147" i="1"/>
  <c r="BF1148" i="1"/>
  <c r="BF1149" i="1"/>
  <c r="AH1124" i="1"/>
  <c r="AH1083" i="1"/>
  <c r="AH1082" i="1"/>
  <c r="AH1081" i="1"/>
  <c r="AH1065" i="1"/>
  <c r="AH1044" i="1"/>
  <c r="AH1030" i="1"/>
  <c r="AH1026" i="1"/>
  <c r="AH991" i="1"/>
  <c r="AH982" i="1"/>
  <c r="AH921" i="1"/>
  <c r="AH911" i="1"/>
  <c r="AH901" i="1"/>
  <c r="AH876" i="1"/>
  <c r="AH855" i="1"/>
  <c r="AH787" i="1"/>
  <c r="AH757" i="1"/>
  <c r="AH652" i="1"/>
  <c r="AH634" i="1"/>
  <c r="AH610" i="1"/>
  <c r="AH591" i="1"/>
  <c r="AH584" i="1"/>
  <c r="AH573" i="1"/>
  <c r="AH511" i="1"/>
  <c r="AH510" i="1"/>
  <c r="AH229" i="1"/>
  <c r="AH84" i="1"/>
  <c r="AI1142" i="1"/>
  <c r="AH1142" i="1" s="1"/>
  <c r="AI1140" i="1"/>
  <c r="AH1140" i="1" s="1"/>
  <c r="AI1130" i="1"/>
  <c r="AH1130" i="1" s="1"/>
  <c r="AI1061" i="1"/>
  <c r="AH1061" i="1" s="1"/>
  <c r="AI994" i="1"/>
  <c r="AH994" i="1" s="1"/>
  <c r="AI993" i="1"/>
  <c r="AH993" i="1" s="1"/>
  <c r="AI938" i="1"/>
  <c r="AH938" i="1" s="1"/>
  <c r="AI934" i="1"/>
  <c r="AH934" i="1" s="1"/>
  <c r="AI930" i="1"/>
  <c r="AH930" i="1" s="1"/>
  <c r="AI915" i="1"/>
  <c r="AH915" i="1" s="1"/>
  <c r="AI910" i="1"/>
  <c r="AH910" i="1" s="1"/>
  <c r="AI908" i="1"/>
  <c r="AH908" i="1" s="1"/>
  <c r="AI900" i="1"/>
  <c r="AH900" i="1" s="1"/>
  <c r="AI885" i="1"/>
  <c r="AH885" i="1" s="1"/>
  <c r="AI860" i="1"/>
  <c r="AH860" i="1" s="1"/>
  <c r="AI859" i="1"/>
  <c r="AH859" i="1" s="1"/>
  <c r="AI846" i="1"/>
  <c r="AH846" i="1" s="1"/>
  <c r="AI833" i="1"/>
  <c r="AH833" i="1" s="1"/>
  <c r="AI828" i="1"/>
  <c r="AH828" i="1" s="1"/>
  <c r="AI662" i="1"/>
  <c r="AH662" i="1" s="1"/>
  <c r="AI654" i="1"/>
  <c r="AH654" i="1" s="1"/>
  <c r="AI637" i="1"/>
  <c r="AH637" i="1" s="1"/>
  <c r="AI554" i="1"/>
  <c r="AH554" i="1" s="1"/>
  <c r="AI512" i="1"/>
  <c r="AH512" i="1" s="1"/>
  <c r="AI509" i="1"/>
  <c r="AH509" i="1" s="1"/>
  <c r="AI322" i="1"/>
  <c r="AH322" i="1" s="1"/>
  <c r="AI289" i="1"/>
  <c r="AH289" i="1" s="1"/>
  <c r="AI265" i="1"/>
  <c r="AH265" i="1" s="1"/>
  <c r="AI239" i="1"/>
  <c r="AH239" i="1" s="1"/>
  <c r="AI215" i="1"/>
  <c r="AH215" i="1" s="1"/>
  <c r="AI199" i="1"/>
  <c r="AH199" i="1" s="1"/>
  <c r="AI108" i="1"/>
  <c r="AH108" i="1" s="1"/>
  <c r="AJ1120" i="1"/>
  <c r="AI1120" i="1" s="1"/>
  <c r="AH1120" i="1" s="1"/>
  <c r="AJ1116" i="1"/>
  <c r="AI1116" i="1" s="1"/>
  <c r="AH1116" i="1" s="1"/>
  <c r="AJ1115" i="1"/>
  <c r="AI1115" i="1" s="1"/>
  <c r="AH1115" i="1" s="1"/>
  <c r="AJ1114" i="1"/>
  <c r="AI1114" i="1" s="1"/>
  <c r="AH1114" i="1" s="1"/>
  <c r="AJ1072" i="1"/>
  <c r="AI1072" i="1" s="1"/>
  <c r="AH1072" i="1" s="1"/>
  <c r="AJ1019" i="1"/>
  <c r="AI1019" i="1" s="1"/>
  <c r="AH1019" i="1" s="1"/>
  <c r="AJ1015" i="1"/>
  <c r="AI1015" i="1" s="1"/>
  <c r="AH1015" i="1" s="1"/>
  <c r="AJ1001" i="1"/>
  <c r="AI1001" i="1" s="1"/>
  <c r="AH1001" i="1" s="1"/>
  <c r="AJ998" i="1"/>
  <c r="AI998" i="1" s="1"/>
  <c r="AH998" i="1" s="1"/>
  <c r="AJ995" i="1"/>
  <c r="AI995" i="1" s="1"/>
  <c r="AH995" i="1" s="1"/>
  <c r="AJ981" i="1"/>
  <c r="AI981" i="1" s="1"/>
  <c r="AH981" i="1" s="1"/>
  <c r="AJ884" i="1"/>
  <c r="AI884" i="1" s="1"/>
  <c r="AH884" i="1" s="1"/>
  <c r="AJ849" i="1"/>
  <c r="AI849" i="1" s="1"/>
  <c r="AH849" i="1" s="1"/>
  <c r="AJ842" i="1"/>
  <c r="AI842" i="1" s="1"/>
  <c r="AH842" i="1" s="1"/>
  <c r="AJ836" i="1"/>
  <c r="AI836" i="1" s="1"/>
  <c r="AH836" i="1" s="1"/>
  <c r="AJ795" i="1"/>
  <c r="AI795" i="1" s="1"/>
  <c r="AH795" i="1" s="1"/>
  <c r="AJ776" i="1"/>
  <c r="AI776" i="1" s="1"/>
  <c r="AH776" i="1" s="1"/>
  <c r="AJ754" i="1"/>
  <c r="AI754" i="1" s="1"/>
  <c r="AH754" i="1" s="1"/>
  <c r="AJ718" i="1"/>
  <c r="AI718" i="1" s="1"/>
  <c r="AH718" i="1" s="1"/>
  <c r="AJ664" i="1"/>
  <c r="AI664" i="1" s="1"/>
  <c r="AH664" i="1" s="1"/>
  <c r="AJ659" i="1"/>
  <c r="AI659" i="1" s="1"/>
  <c r="AH659" i="1" s="1"/>
  <c r="AJ632" i="1"/>
  <c r="AI632" i="1" s="1"/>
  <c r="AH632" i="1" s="1"/>
  <c r="AJ629" i="1"/>
  <c r="AI629" i="1" s="1"/>
  <c r="AH629" i="1" s="1"/>
  <c r="AJ569" i="1"/>
  <c r="AI569" i="1" s="1"/>
  <c r="AH569" i="1" s="1"/>
  <c r="AJ562" i="1"/>
  <c r="AI562" i="1" s="1"/>
  <c r="AH562" i="1" s="1"/>
  <c r="AJ561" i="1"/>
  <c r="AI561" i="1" s="1"/>
  <c r="AH561" i="1" s="1"/>
  <c r="AJ558" i="1"/>
  <c r="AI558" i="1" s="1"/>
  <c r="AH558" i="1" s="1"/>
  <c r="AJ542" i="1"/>
  <c r="AI542" i="1" s="1"/>
  <c r="AH542" i="1" s="1"/>
  <c r="AJ541" i="1"/>
  <c r="AI541" i="1" s="1"/>
  <c r="AH541" i="1" s="1"/>
  <c r="AJ532" i="1"/>
  <c r="AI532" i="1" s="1"/>
  <c r="AH532" i="1" s="1"/>
  <c r="AJ528" i="1"/>
  <c r="AI528" i="1" s="1"/>
  <c r="AH528" i="1" s="1"/>
  <c r="AJ525" i="1"/>
  <c r="AI525" i="1" s="1"/>
  <c r="AH525" i="1" s="1"/>
  <c r="AJ516" i="1"/>
  <c r="AI516" i="1" s="1"/>
  <c r="AH516" i="1" s="1"/>
  <c r="AJ487" i="1"/>
  <c r="AI487" i="1" s="1"/>
  <c r="AH487" i="1" s="1"/>
  <c r="AJ482" i="1"/>
  <c r="AI482" i="1" s="1"/>
  <c r="AH482" i="1" s="1"/>
  <c r="AJ472" i="1"/>
  <c r="AI472" i="1" s="1"/>
  <c r="AH472" i="1" s="1"/>
  <c r="AJ469" i="1"/>
  <c r="AI469" i="1" s="1"/>
  <c r="AH469" i="1" s="1"/>
  <c r="AJ456" i="1"/>
  <c r="AI456" i="1" s="1"/>
  <c r="AH456" i="1" s="1"/>
  <c r="AJ450" i="1"/>
  <c r="AI450" i="1" s="1"/>
  <c r="AH450" i="1" s="1"/>
  <c r="AJ447" i="1"/>
  <c r="AI447" i="1" s="1"/>
  <c r="AH447" i="1" s="1"/>
  <c r="AJ429" i="1"/>
  <c r="AI429" i="1" s="1"/>
  <c r="AH429" i="1" s="1"/>
  <c r="AJ420" i="1"/>
  <c r="AI420" i="1" s="1"/>
  <c r="AH420" i="1" s="1"/>
  <c r="AJ402" i="1"/>
  <c r="AI402" i="1" s="1"/>
  <c r="AH402" i="1" s="1"/>
  <c r="AJ400" i="1"/>
  <c r="AI400" i="1" s="1"/>
  <c r="AH400" i="1" s="1"/>
  <c r="AJ377" i="1"/>
  <c r="AI377" i="1" s="1"/>
  <c r="AH377" i="1" s="1"/>
  <c r="AJ376" i="1"/>
  <c r="AI376" i="1" s="1"/>
  <c r="AH376" i="1" s="1"/>
  <c r="AJ373" i="1"/>
  <c r="AI373" i="1" s="1"/>
  <c r="AH373" i="1" s="1"/>
  <c r="AJ349" i="1"/>
  <c r="AI349" i="1" s="1"/>
  <c r="AH349" i="1" s="1"/>
  <c r="AJ333" i="1"/>
  <c r="AI333" i="1" s="1"/>
  <c r="AH333" i="1" s="1"/>
  <c r="AJ332" i="1"/>
  <c r="AI332" i="1" s="1"/>
  <c r="AH332" i="1" s="1"/>
  <c r="AJ321" i="1"/>
  <c r="AI321" i="1" s="1"/>
  <c r="AH321" i="1" s="1"/>
  <c r="AJ308" i="1"/>
  <c r="AI308" i="1" s="1"/>
  <c r="AH308" i="1" s="1"/>
  <c r="AJ297" i="1"/>
  <c r="AI297" i="1" s="1"/>
  <c r="AH297" i="1" s="1"/>
  <c r="AJ286" i="1"/>
  <c r="AI286" i="1" s="1"/>
  <c r="AH286" i="1" s="1"/>
  <c r="AJ282" i="1"/>
  <c r="AI282" i="1" s="1"/>
  <c r="AH282" i="1" s="1"/>
  <c r="AJ267" i="1"/>
  <c r="AI267" i="1" s="1"/>
  <c r="AH267" i="1" s="1"/>
  <c r="AJ256" i="1"/>
  <c r="AI256" i="1" s="1"/>
  <c r="AH256" i="1" s="1"/>
  <c r="AJ253" i="1"/>
  <c r="AI253" i="1" s="1"/>
  <c r="AH253" i="1" s="1"/>
  <c r="AJ252" i="1"/>
  <c r="AI252" i="1" s="1"/>
  <c r="AH252" i="1" s="1"/>
  <c r="AJ223" i="1"/>
  <c r="AI223" i="1" s="1"/>
  <c r="AH223" i="1" s="1"/>
  <c r="AJ220" i="1"/>
  <c r="AI220" i="1" s="1"/>
  <c r="AH220" i="1" s="1"/>
  <c r="AJ219" i="1"/>
  <c r="AI219" i="1" s="1"/>
  <c r="AH219" i="1" s="1"/>
  <c r="AJ207" i="1"/>
  <c r="AI207" i="1" s="1"/>
  <c r="AH207" i="1" s="1"/>
  <c r="AJ205" i="1"/>
  <c r="AI205" i="1" s="1"/>
  <c r="AH205" i="1" s="1"/>
  <c r="AJ197" i="1"/>
  <c r="AI197" i="1" s="1"/>
  <c r="AH197" i="1" s="1"/>
  <c r="AJ188" i="1"/>
  <c r="AI188" i="1" s="1"/>
  <c r="AH188" i="1" s="1"/>
  <c r="AJ168" i="1"/>
  <c r="AI168" i="1" s="1"/>
  <c r="AH168" i="1" s="1"/>
  <c r="AJ166" i="1"/>
  <c r="AI166" i="1" s="1"/>
  <c r="AH166" i="1" s="1"/>
  <c r="AJ136" i="1"/>
  <c r="AI136" i="1" s="1"/>
  <c r="AH136" i="1" s="1"/>
  <c r="AJ132" i="1"/>
  <c r="AI132" i="1" s="1"/>
  <c r="AH132" i="1" s="1"/>
  <c r="AJ128" i="1"/>
  <c r="AI128" i="1" s="1"/>
  <c r="AH128" i="1" s="1"/>
  <c r="AJ114" i="1"/>
  <c r="AI114" i="1" s="1"/>
  <c r="AH114" i="1" s="1"/>
  <c r="AJ111" i="1"/>
  <c r="AI111" i="1" s="1"/>
  <c r="AH111" i="1" s="1"/>
  <c r="AJ80" i="1"/>
  <c r="AI80" i="1" s="1"/>
  <c r="AH80" i="1" s="1"/>
  <c r="AJ74" i="1"/>
  <c r="AI74" i="1" s="1"/>
  <c r="AH74" i="1" s="1"/>
  <c r="AJ71" i="1"/>
  <c r="AI71" i="1" s="1"/>
  <c r="AH71" i="1" s="1"/>
  <c r="AJ38" i="1"/>
  <c r="AI38" i="1" s="1"/>
  <c r="AH38" i="1" s="1"/>
  <c r="AJ34" i="1"/>
  <c r="AI34" i="1" s="1"/>
  <c r="AH34" i="1" s="1"/>
  <c r="AJ28" i="1"/>
  <c r="AI28" i="1" s="1"/>
  <c r="AH28" i="1" s="1"/>
  <c r="AJ23" i="1"/>
  <c r="AI23" i="1" s="1"/>
  <c r="AH23" i="1" s="1"/>
  <c r="AJ17" i="1"/>
  <c r="AI17" i="1" s="1"/>
  <c r="AH17" i="1" s="1"/>
  <c r="AJ14" i="1"/>
  <c r="AI14" i="1" s="1"/>
  <c r="AH14" i="1" s="1"/>
  <c r="AJ3" i="1"/>
  <c r="AI3" i="1" s="1"/>
  <c r="AH3" i="1" s="1"/>
  <c r="AJ1149" i="1"/>
  <c r="AI1149" i="1" s="1"/>
  <c r="AH1149" i="1" s="1"/>
  <c r="AJ1148" i="1"/>
  <c r="AI1148" i="1" s="1"/>
  <c r="AH1148" i="1" s="1"/>
  <c r="AJ1147" i="1"/>
  <c r="AI1147" i="1" s="1"/>
  <c r="AH1147" i="1" s="1"/>
  <c r="AJ1146" i="1"/>
  <c r="AI1146" i="1" s="1"/>
  <c r="AH1146" i="1" s="1"/>
  <c r="AJ1145" i="1"/>
  <c r="AI1145" i="1" s="1"/>
  <c r="AH1145" i="1" s="1"/>
  <c r="AJ1144" i="1"/>
  <c r="AI1144" i="1" s="1"/>
  <c r="AH1144" i="1" s="1"/>
  <c r="AJ1143" i="1"/>
  <c r="AI1143" i="1" s="1"/>
  <c r="AH1143" i="1" s="1"/>
  <c r="AJ1142" i="1"/>
  <c r="AJ1141" i="1"/>
  <c r="AI1141" i="1" s="1"/>
  <c r="AH1141" i="1" s="1"/>
  <c r="AJ1140" i="1"/>
  <c r="AJ1139" i="1"/>
  <c r="AI1139" i="1" s="1"/>
  <c r="AH1139" i="1" s="1"/>
  <c r="AJ1138" i="1"/>
  <c r="AI1138" i="1" s="1"/>
  <c r="AH1138" i="1" s="1"/>
  <c r="AJ1137" i="1"/>
  <c r="AI1137" i="1" s="1"/>
  <c r="AH1137" i="1" s="1"/>
  <c r="AJ1136" i="1"/>
  <c r="AI1136" i="1" s="1"/>
  <c r="AH1136" i="1" s="1"/>
  <c r="AJ1135" i="1"/>
  <c r="AI1135" i="1" s="1"/>
  <c r="AH1135" i="1" s="1"/>
  <c r="AJ1134" i="1"/>
  <c r="AI1134" i="1" s="1"/>
  <c r="AH1134" i="1" s="1"/>
  <c r="AJ1133" i="1"/>
  <c r="AI1133" i="1" s="1"/>
  <c r="AH1133" i="1" s="1"/>
  <c r="AJ1132" i="1"/>
  <c r="AI1132" i="1" s="1"/>
  <c r="AH1132" i="1" s="1"/>
  <c r="AJ1131" i="1"/>
  <c r="AI1131" i="1" s="1"/>
  <c r="AH1131" i="1" s="1"/>
  <c r="AJ1130" i="1"/>
  <c r="AJ1129" i="1"/>
  <c r="AI1129" i="1" s="1"/>
  <c r="AH1129" i="1" s="1"/>
  <c r="AJ1128" i="1"/>
  <c r="AI1128" i="1" s="1"/>
  <c r="AH1128" i="1" s="1"/>
  <c r="AJ1127" i="1"/>
  <c r="AI1127" i="1" s="1"/>
  <c r="AH1127" i="1" s="1"/>
  <c r="AJ1126" i="1"/>
  <c r="AI1126" i="1" s="1"/>
  <c r="AH1126" i="1" s="1"/>
  <c r="AJ1125" i="1"/>
  <c r="AI1125" i="1" s="1"/>
  <c r="AH1125" i="1" s="1"/>
  <c r="AJ1124" i="1"/>
  <c r="AI1124" i="1" s="1"/>
  <c r="AJ1123" i="1"/>
  <c r="AI1123" i="1" s="1"/>
  <c r="AH1123" i="1" s="1"/>
  <c r="AJ1122" i="1"/>
  <c r="AI1122" i="1" s="1"/>
  <c r="AH1122" i="1" s="1"/>
  <c r="AJ1121" i="1"/>
  <c r="AI1121" i="1" s="1"/>
  <c r="AH1121" i="1" s="1"/>
  <c r="AJ1119" i="1"/>
  <c r="AI1119" i="1" s="1"/>
  <c r="AH1119" i="1" s="1"/>
  <c r="AJ1118" i="1"/>
  <c r="AI1118" i="1" s="1"/>
  <c r="AH1118" i="1" s="1"/>
  <c r="AJ1117" i="1"/>
  <c r="AI1117" i="1" s="1"/>
  <c r="AH1117" i="1" s="1"/>
  <c r="AJ1113" i="1"/>
  <c r="AI1113" i="1" s="1"/>
  <c r="AH1113" i="1" s="1"/>
  <c r="AJ1112" i="1"/>
  <c r="AI1112" i="1" s="1"/>
  <c r="AH1112" i="1" s="1"/>
  <c r="AJ1111" i="1"/>
  <c r="AI1111" i="1" s="1"/>
  <c r="AH1111" i="1" s="1"/>
  <c r="AJ1110" i="1"/>
  <c r="AI1110" i="1" s="1"/>
  <c r="AH1110" i="1" s="1"/>
  <c r="AJ1109" i="1"/>
  <c r="AI1109" i="1" s="1"/>
  <c r="AH1109" i="1" s="1"/>
  <c r="AJ1108" i="1"/>
  <c r="AI1108" i="1" s="1"/>
  <c r="AH1108" i="1" s="1"/>
  <c r="AJ1107" i="1"/>
  <c r="AI1107" i="1" s="1"/>
  <c r="AH1107" i="1" s="1"/>
  <c r="AJ1106" i="1"/>
  <c r="AI1106" i="1" s="1"/>
  <c r="AH1106" i="1" s="1"/>
  <c r="AJ1105" i="1"/>
  <c r="AI1105" i="1" s="1"/>
  <c r="AH1105" i="1" s="1"/>
  <c r="AJ1104" i="1"/>
  <c r="AI1104" i="1" s="1"/>
  <c r="AH1104" i="1" s="1"/>
  <c r="AJ1103" i="1"/>
  <c r="AI1103" i="1" s="1"/>
  <c r="AH1103" i="1" s="1"/>
  <c r="AJ1102" i="1"/>
  <c r="AI1102" i="1" s="1"/>
  <c r="AH1102" i="1" s="1"/>
  <c r="AJ1101" i="1"/>
  <c r="AI1101" i="1" s="1"/>
  <c r="AH1101" i="1" s="1"/>
  <c r="AJ1100" i="1"/>
  <c r="AI1100" i="1" s="1"/>
  <c r="AH1100" i="1" s="1"/>
  <c r="AJ1099" i="1"/>
  <c r="AI1099" i="1" s="1"/>
  <c r="AH1099" i="1" s="1"/>
  <c r="AJ1098" i="1"/>
  <c r="AI1098" i="1" s="1"/>
  <c r="AH1098" i="1" s="1"/>
  <c r="AJ1097" i="1"/>
  <c r="AI1097" i="1" s="1"/>
  <c r="AH1097" i="1" s="1"/>
  <c r="AJ1096" i="1"/>
  <c r="AI1096" i="1" s="1"/>
  <c r="AH1096" i="1" s="1"/>
  <c r="AJ1095" i="1"/>
  <c r="AI1095" i="1" s="1"/>
  <c r="AH1095" i="1" s="1"/>
  <c r="AJ1094" i="1"/>
  <c r="AI1094" i="1" s="1"/>
  <c r="AH1094" i="1" s="1"/>
  <c r="AJ1093" i="1"/>
  <c r="AI1093" i="1" s="1"/>
  <c r="AH1093" i="1" s="1"/>
  <c r="AJ1092" i="1"/>
  <c r="AI1092" i="1" s="1"/>
  <c r="AH1092" i="1" s="1"/>
  <c r="AJ1091" i="1"/>
  <c r="AI1091" i="1" s="1"/>
  <c r="AH1091" i="1" s="1"/>
  <c r="AJ1090" i="1"/>
  <c r="AI1090" i="1" s="1"/>
  <c r="AH1090" i="1" s="1"/>
  <c r="AJ1089" i="1"/>
  <c r="AI1089" i="1" s="1"/>
  <c r="AH1089" i="1" s="1"/>
  <c r="AJ1088" i="1"/>
  <c r="AI1088" i="1" s="1"/>
  <c r="AH1088" i="1" s="1"/>
  <c r="AJ1087" i="1"/>
  <c r="AI1087" i="1" s="1"/>
  <c r="AH1087" i="1" s="1"/>
  <c r="AJ1086" i="1"/>
  <c r="AI1086" i="1" s="1"/>
  <c r="AH1086" i="1" s="1"/>
  <c r="AJ1085" i="1"/>
  <c r="AI1085" i="1" s="1"/>
  <c r="AH1085" i="1" s="1"/>
  <c r="AJ1084" i="1"/>
  <c r="AI1084" i="1" s="1"/>
  <c r="AH1084" i="1" s="1"/>
  <c r="AJ1083" i="1"/>
  <c r="AI1083" i="1" s="1"/>
  <c r="AJ1082" i="1"/>
  <c r="AI1082" i="1" s="1"/>
  <c r="AJ1081" i="1"/>
  <c r="AI1081" i="1" s="1"/>
  <c r="AJ1080" i="1"/>
  <c r="AI1080" i="1" s="1"/>
  <c r="AH1080" i="1" s="1"/>
  <c r="AJ1079" i="1"/>
  <c r="AI1079" i="1" s="1"/>
  <c r="AH1079" i="1" s="1"/>
  <c r="AJ1078" i="1"/>
  <c r="AI1078" i="1" s="1"/>
  <c r="AH1078" i="1" s="1"/>
  <c r="AJ1077" i="1"/>
  <c r="AI1077" i="1" s="1"/>
  <c r="AH1077" i="1" s="1"/>
  <c r="AJ1076" i="1"/>
  <c r="AI1076" i="1" s="1"/>
  <c r="AH1076" i="1" s="1"/>
  <c r="AJ1075" i="1"/>
  <c r="AI1075" i="1" s="1"/>
  <c r="AH1075" i="1" s="1"/>
  <c r="AJ1074" i="1"/>
  <c r="AI1074" i="1" s="1"/>
  <c r="AH1074" i="1" s="1"/>
  <c r="AJ1073" i="1"/>
  <c r="AI1073" i="1" s="1"/>
  <c r="AH1073" i="1" s="1"/>
  <c r="AJ1071" i="1"/>
  <c r="AI1071" i="1" s="1"/>
  <c r="AH1071" i="1" s="1"/>
  <c r="AJ1070" i="1"/>
  <c r="AI1070" i="1" s="1"/>
  <c r="AH1070" i="1" s="1"/>
  <c r="AJ1069" i="1"/>
  <c r="AI1069" i="1" s="1"/>
  <c r="AH1069" i="1" s="1"/>
  <c r="AJ1068" i="1"/>
  <c r="AI1068" i="1" s="1"/>
  <c r="AH1068" i="1" s="1"/>
  <c r="AJ1067" i="1"/>
  <c r="AI1067" i="1" s="1"/>
  <c r="AH1067" i="1" s="1"/>
  <c r="AJ1066" i="1"/>
  <c r="AI1066" i="1" s="1"/>
  <c r="AH1066" i="1" s="1"/>
  <c r="AJ1065" i="1"/>
  <c r="AI1065" i="1" s="1"/>
  <c r="AJ1064" i="1"/>
  <c r="AI1064" i="1" s="1"/>
  <c r="AH1064" i="1" s="1"/>
  <c r="AJ1063" i="1"/>
  <c r="AI1063" i="1" s="1"/>
  <c r="AH1063" i="1" s="1"/>
  <c r="AJ1062" i="1"/>
  <c r="AI1062" i="1" s="1"/>
  <c r="AH1062" i="1" s="1"/>
  <c r="AJ1061" i="1"/>
  <c r="AJ1060" i="1"/>
  <c r="AI1060" i="1" s="1"/>
  <c r="AH1060" i="1" s="1"/>
  <c r="AJ1059" i="1"/>
  <c r="AI1059" i="1" s="1"/>
  <c r="AH1059" i="1" s="1"/>
  <c r="AJ1058" i="1"/>
  <c r="AI1058" i="1" s="1"/>
  <c r="AH1058" i="1" s="1"/>
  <c r="AJ1057" i="1"/>
  <c r="AI1057" i="1" s="1"/>
  <c r="AH1057" i="1" s="1"/>
  <c r="AJ1056" i="1"/>
  <c r="AI1056" i="1" s="1"/>
  <c r="AH1056" i="1" s="1"/>
  <c r="AJ1055" i="1"/>
  <c r="AI1055" i="1" s="1"/>
  <c r="AH1055" i="1" s="1"/>
  <c r="AJ1054" i="1"/>
  <c r="AI1054" i="1" s="1"/>
  <c r="AH1054" i="1" s="1"/>
  <c r="AJ1053" i="1"/>
  <c r="AI1053" i="1" s="1"/>
  <c r="AH1053" i="1" s="1"/>
  <c r="AJ1052" i="1"/>
  <c r="AI1052" i="1" s="1"/>
  <c r="AH1052" i="1" s="1"/>
  <c r="AJ1051" i="1"/>
  <c r="AI1051" i="1" s="1"/>
  <c r="AH1051" i="1" s="1"/>
  <c r="AJ1050" i="1"/>
  <c r="AI1050" i="1" s="1"/>
  <c r="AH1050" i="1" s="1"/>
  <c r="AJ1049" i="1"/>
  <c r="AI1049" i="1" s="1"/>
  <c r="AH1049" i="1" s="1"/>
  <c r="AJ1048" i="1"/>
  <c r="AI1048" i="1" s="1"/>
  <c r="AH1048" i="1" s="1"/>
  <c r="AJ1047" i="1"/>
  <c r="AI1047" i="1" s="1"/>
  <c r="AH1047" i="1" s="1"/>
  <c r="AJ1046" i="1"/>
  <c r="AI1046" i="1" s="1"/>
  <c r="AH1046" i="1" s="1"/>
  <c r="AJ1045" i="1"/>
  <c r="AI1045" i="1" s="1"/>
  <c r="AH1045" i="1" s="1"/>
  <c r="AJ1044" i="1"/>
  <c r="AI1044" i="1" s="1"/>
  <c r="AJ1043" i="1"/>
  <c r="AI1043" i="1" s="1"/>
  <c r="AH1043" i="1" s="1"/>
  <c r="AJ1042" i="1"/>
  <c r="AI1042" i="1" s="1"/>
  <c r="AH1042" i="1" s="1"/>
  <c r="AJ1041" i="1"/>
  <c r="AI1041" i="1" s="1"/>
  <c r="AH1041" i="1" s="1"/>
  <c r="AJ1040" i="1"/>
  <c r="AI1040" i="1" s="1"/>
  <c r="AH1040" i="1" s="1"/>
  <c r="AJ1039" i="1"/>
  <c r="AI1039" i="1" s="1"/>
  <c r="AH1039" i="1" s="1"/>
  <c r="AJ1038" i="1"/>
  <c r="AI1038" i="1" s="1"/>
  <c r="AH1038" i="1" s="1"/>
  <c r="AJ1037" i="1"/>
  <c r="AI1037" i="1" s="1"/>
  <c r="AH1037" i="1" s="1"/>
  <c r="AJ1036" i="1"/>
  <c r="AI1036" i="1" s="1"/>
  <c r="AH1036" i="1" s="1"/>
  <c r="AJ1035" i="1"/>
  <c r="AI1035" i="1" s="1"/>
  <c r="AH1035" i="1" s="1"/>
  <c r="AJ1034" i="1"/>
  <c r="AI1034" i="1" s="1"/>
  <c r="AH1034" i="1" s="1"/>
  <c r="AJ1033" i="1"/>
  <c r="AI1033" i="1" s="1"/>
  <c r="AH1033" i="1" s="1"/>
  <c r="AJ1032" i="1"/>
  <c r="AI1032" i="1" s="1"/>
  <c r="AH1032" i="1" s="1"/>
  <c r="AJ1031" i="1"/>
  <c r="AI1031" i="1" s="1"/>
  <c r="AH1031" i="1" s="1"/>
  <c r="AJ1030" i="1"/>
  <c r="AI1030" i="1" s="1"/>
  <c r="AJ1029" i="1"/>
  <c r="AI1029" i="1" s="1"/>
  <c r="AH1029" i="1" s="1"/>
  <c r="AJ1028" i="1"/>
  <c r="AI1028" i="1" s="1"/>
  <c r="AH1028" i="1" s="1"/>
  <c r="AJ1027" i="1"/>
  <c r="AI1027" i="1" s="1"/>
  <c r="AH1027" i="1" s="1"/>
  <c r="AJ1026" i="1"/>
  <c r="AI1026" i="1" s="1"/>
  <c r="AJ1025" i="1"/>
  <c r="AI1025" i="1" s="1"/>
  <c r="AH1025" i="1" s="1"/>
  <c r="AJ1024" i="1"/>
  <c r="AI1024" i="1" s="1"/>
  <c r="AH1024" i="1" s="1"/>
  <c r="AJ1023" i="1"/>
  <c r="AI1023" i="1" s="1"/>
  <c r="AH1023" i="1" s="1"/>
  <c r="AJ1022" i="1"/>
  <c r="AI1022" i="1" s="1"/>
  <c r="AH1022" i="1" s="1"/>
  <c r="AJ1021" i="1"/>
  <c r="AI1021" i="1" s="1"/>
  <c r="AH1021" i="1" s="1"/>
  <c r="AJ1020" i="1"/>
  <c r="AI1020" i="1" s="1"/>
  <c r="AH1020" i="1" s="1"/>
  <c r="AJ1018" i="1"/>
  <c r="AI1018" i="1" s="1"/>
  <c r="AH1018" i="1" s="1"/>
  <c r="AJ1017" i="1"/>
  <c r="AI1017" i="1" s="1"/>
  <c r="AH1017" i="1" s="1"/>
  <c r="AJ1016" i="1"/>
  <c r="AI1016" i="1" s="1"/>
  <c r="AH1016" i="1" s="1"/>
  <c r="AJ1014" i="1"/>
  <c r="AI1014" i="1" s="1"/>
  <c r="AH1014" i="1" s="1"/>
  <c r="AJ1013" i="1"/>
  <c r="AI1013" i="1" s="1"/>
  <c r="AH1013" i="1" s="1"/>
  <c r="AJ1012" i="1"/>
  <c r="AI1012" i="1" s="1"/>
  <c r="AH1012" i="1" s="1"/>
  <c r="AJ1011" i="1"/>
  <c r="AI1011" i="1" s="1"/>
  <c r="AH1011" i="1" s="1"/>
  <c r="AJ1010" i="1"/>
  <c r="AI1010" i="1" s="1"/>
  <c r="AH1010" i="1" s="1"/>
  <c r="AJ1009" i="1"/>
  <c r="AI1009" i="1" s="1"/>
  <c r="AH1009" i="1" s="1"/>
  <c r="AJ1008" i="1"/>
  <c r="AI1008" i="1" s="1"/>
  <c r="AH1008" i="1" s="1"/>
  <c r="AJ1007" i="1"/>
  <c r="AI1007" i="1" s="1"/>
  <c r="AH1007" i="1" s="1"/>
  <c r="AJ1006" i="1"/>
  <c r="AI1006" i="1" s="1"/>
  <c r="AH1006" i="1" s="1"/>
  <c r="AJ1005" i="1"/>
  <c r="AI1005" i="1" s="1"/>
  <c r="AH1005" i="1" s="1"/>
  <c r="AJ1004" i="1"/>
  <c r="AI1004" i="1" s="1"/>
  <c r="AH1004" i="1" s="1"/>
  <c r="AJ1003" i="1"/>
  <c r="AI1003" i="1" s="1"/>
  <c r="AH1003" i="1" s="1"/>
  <c r="AJ1002" i="1"/>
  <c r="AI1002" i="1" s="1"/>
  <c r="AH1002" i="1" s="1"/>
  <c r="AJ1000" i="1"/>
  <c r="AI1000" i="1" s="1"/>
  <c r="AH1000" i="1" s="1"/>
  <c r="AJ999" i="1"/>
  <c r="AI999" i="1" s="1"/>
  <c r="AH999" i="1" s="1"/>
  <c r="AJ997" i="1"/>
  <c r="AI997" i="1" s="1"/>
  <c r="AH997" i="1" s="1"/>
  <c r="AJ996" i="1"/>
  <c r="AI996" i="1" s="1"/>
  <c r="AH996" i="1" s="1"/>
  <c r="AJ994" i="1"/>
  <c r="AJ993" i="1"/>
  <c r="AJ992" i="1"/>
  <c r="AI992" i="1" s="1"/>
  <c r="AH992" i="1" s="1"/>
  <c r="AJ991" i="1"/>
  <c r="AI991" i="1" s="1"/>
  <c r="AJ990" i="1"/>
  <c r="AI990" i="1" s="1"/>
  <c r="AH990" i="1" s="1"/>
  <c r="AJ989" i="1"/>
  <c r="AI989" i="1" s="1"/>
  <c r="AH989" i="1" s="1"/>
  <c r="AJ988" i="1"/>
  <c r="AI988" i="1" s="1"/>
  <c r="AH988" i="1" s="1"/>
  <c r="AJ987" i="1"/>
  <c r="AI987" i="1" s="1"/>
  <c r="AH987" i="1" s="1"/>
  <c r="AJ986" i="1"/>
  <c r="AI986" i="1" s="1"/>
  <c r="AH986" i="1" s="1"/>
  <c r="AJ985" i="1"/>
  <c r="AI985" i="1" s="1"/>
  <c r="AH985" i="1" s="1"/>
  <c r="AJ984" i="1"/>
  <c r="AI984" i="1" s="1"/>
  <c r="AH984" i="1" s="1"/>
  <c r="AJ983" i="1"/>
  <c r="AI983" i="1" s="1"/>
  <c r="AH983" i="1" s="1"/>
  <c r="AJ982" i="1"/>
  <c r="AI982" i="1" s="1"/>
  <c r="AJ980" i="1"/>
  <c r="AI980" i="1" s="1"/>
  <c r="AH980" i="1" s="1"/>
  <c r="AJ979" i="1"/>
  <c r="AI979" i="1" s="1"/>
  <c r="AH979" i="1" s="1"/>
  <c r="AJ978" i="1"/>
  <c r="AI978" i="1" s="1"/>
  <c r="AH978" i="1" s="1"/>
  <c r="AJ977" i="1"/>
  <c r="AI977" i="1" s="1"/>
  <c r="AH977" i="1" s="1"/>
  <c r="AJ976" i="1"/>
  <c r="AI976" i="1" s="1"/>
  <c r="AH976" i="1" s="1"/>
  <c r="AJ975" i="1"/>
  <c r="AI975" i="1" s="1"/>
  <c r="AH975" i="1" s="1"/>
  <c r="AJ974" i="1"/>
  <c r="AI974" i="1" s="1"/>
  <c r="AH974" i="1" s="1"/>
  <c r="AJ973" i="1"/>
  <c r="AI973" i="1" s="1"/>
  <c r="AH973" i="1" s="1"/>
  <c r="AJ972" i="1"/>
  <c r="AI972" i="1" s="1"/>
  <c r="AH972" i="1" s="1"/>
  <c r="AJ971" i="1"/>
  <c r="AI971" i="1" s="1"/>
  <c r="AH971" i="1" s="1"/>
  <c r="AJ970" i="1"/>
  <c r="AI970" i="1" s="1"/>
  <c r="AH970" i="1" s="1"/>
  <c r="AJ969" i="1"/>
  <c r="AI969" i="1" s="1"/>
  <c r="AH969" i="1" s="1"/>
  <c r="AJ968" i="1"/>
  <c r="AI968" i="1" s="1"/>
  <c r="AH968" i="1" s="1"/>
  <c r="AJ967" i="1"/>
  <c r="AI967" i="1" s="1"/>
  <c r="AH967" i="1" s="1"/>
  <c r="AJ966" i="1"/>
  <c r="AI966" i="1" s="1"/>
  <c r="AH966" i="1" s="1"/>
  <c r="AJ965" i="1"/>
  <c r="AI965" i="1" s="1"/>
  <c r="AH965" i="1" s="1"/>
  <c r="AJ964" i="1"/>
  <c r="AI964" i="1" s="1"/>
  <c r="AH964" i="1" s="1"/>
  <c r="AJ963" i="1"/>
  <c r="AI963" i="1" s="1"/>
  <c r="AH963" i="1" s="1"/>
  <c r="AJ962" i="1"/>
  <c r="AI962" i="1" s="1"/>
  <c r="AH962" i="1" s="1"/>
  <c r="AJ961" i="1"/>
  <c r="AI961" i="1" s="1"/>
  <c r="AH961" i="1" s="1"/>
  <c r="AJ960" i="1"/>
  <c r="AI960" i="1" s="1"/>
  <c r="AH960" i="1" s="1"/>
  <c r="AJ959" i="1"/>
  <c r="AI959" i="1" s="1"/>
  <c r="AH959" i="1" s="1"/>
  <c r="AJ958" i="1"/>
  <c r="AI958" i="1" s="1"/>
  <c r="AH958" i="1" s="1"/>
  <c r="AJ957" i="1"/>
  <c r="AI957" i="1" s="1"/>
  <c r="AH957" i="1" s="1"/>
  <c r="AJ956" i="1"/>
  <c r="AI956" i="1" s="1"/>
  <c r="AH956" i="1" s="1"/>
  <c r="AJ955" i="1"/>
  <c r="AI955" i="1" s="1"/>
  <c r="AH955" i="1" s="1"/>
  <c r="AJ954" i="1"/>
  <c r="AI954" i="1" s="1"/>
  <c r="AH954" i="1" s="1"/>
  <c r="AJ953" i="1"/>
  <c r="AI953" i="1" s="1"/>
  <c r="AH953" i="1" s="1"/>
  <c r="AJ952" i="1"/>
  <c r="AI952" i="1" s="1"/>
  <c r="AH952" i="1" s="1"/>
  <c r="AJ951" i="1"/>
  <c r="AI951" i="1" s="1"/>
  <c r="AH951" i="1" s="1"/>
  <c r="AJ950" i="1"/>
  <c r="AI950" i="1" s="1"/>
  <c r="AH950" i="1" s="1"/>
  <c r="AJ949" i="1"/>
  <c r="AI949" i="1" s="1"/>
  <c r="AH949" i="1" s="1"/>
  <c r="AJ948" i="1"/>
  <c r="AI948" i="1" s="1"/>
  <c r="AH948" i="1" s="1"/>
  <c r="AJ947" i="1"/>
  <c r="AI947" i="1" s="1"/>
  <c r="AH947" i="1" s="1"/>
  <c r="AJ946" i="1"/>
  <c r="AI946" i="1" s="1"/>
  <c r="AH946" i="1" s="1"/>
  <c r="AJ945" i="1"/>
  <c r="AI945" i="1" s="1"/>
  <c r="AH945" i="1" s="1"/>
  <c r="AJ944" i="1"/>
  <c r="AI944" i="1" s="1"/>
  <c r="AH944" i="1" s="1"/>
  <c r="AJ943" i="1"/>
  <c r="AI943" i="1" s="1"/>
  <c r="AH943" i="1" s="1"/>
  <c r="AJ942" i="1"/>
  <c r="AI942" i="1" s="1"/>
  <c r="AH942" i="1" s="1"/>
  <c r="AJ941" i="1"/>
  <c r="AI941" i="1" s="1"/>
  <c r="AH941" i="1" s="1"/>
  <c r="AJ940" i="1"/>
  <c r="AI940" i="1" s="1"/>
  <c r="AH940" i="1" s="1"/>
  <c r="AJ939" i="1"/>
  <c r="AI939" i="1" s="1"/>
  <c r="AH939" i="1" s="1"/>
  <c r="AJ938" i="1"/>
  <c r="AJ937" i="1"/>
  <c r="AI937" i="1" s="1"/>
  <c r="AH937" i="1" s="1"/>
  <c r="AJ936" i="1"/>
  <c r="AI936" i="1" s="1"/>
  <c r="AH936" i="1" s="1"/>
  <c r="AJ935" i="1"/>
  <c r="AI935" i="1" s="1"/>
  <c r="AH935" i="1" s="1"/>
  <c r="AJ934" i="1"/>
  <c r="AJ933" i="1"/>
  <c r="AI933" i="1" s="1"/>
  <c r="AH933" i="1" s="1"/>
  <c r="AJ932" i="1"/>
  <c r="AI932" i="1" s="1"/>
  <c r="AH932" i="1" s="1"/>
  <c r="AJ931" i="1"/>
  <c r="AI931" i="1" s="1"/>
  <c r="AH931" i="1" s="1"/>
  <c r="AJ930" i="1"/>
  <c r="AJ929" i="1"/>
  <c r="AI929" i="1" s="1"/>
  <c r="AH929" i="1" s="1"/>
  <c r="AJ928" i="1"/>
  <c r="AI928" i="1" s="1"/>
  <c r="AH928" i="1" s="1"/>
  <c r="AJ927" i="1"/>
  <c r="AI927" i="1" s="1"/>
  <c r="AH927" i="1" s="1"/>
  <c r="AJ926" i="1"/>
  <c r="AI926" i="1" s="1"/>
  <c r="AH926" i="1" s="1"/>
  <c r="AJ925" i="1"/>
  <c r="AI925" i="1" s="1"/>
  <c r="AH925" i="1" s="1"/>
  <c r="AJ924" i="1"/>
  <c r="AI924" i="1" s="1"/>
  <c r="AH924" i="1" s="1"/>
  <c r="AJ923" i="1"/>
  <c r="AI923" i="1" s="1"/>
  <c r="AH923" i="1" s="1"/>
  <c r="AJ922" i="1"/>
  <c r="AI922" i="1" s="1"/>
  <c r="AH922" i="1" s="1"/>
  <c r="AJ921" i="1"/>
  <c r="AI921" i="1" s="1"/>
  <c r="AJ920" i="1"/>
  <c r="AI920" i="1" s="1"/>
  <c r="AH920" i="1" s="1"/>
  <c r="AJ919" i="1"/>
  <c r="AI919" i="1" s="1"/>
  <c r="AH919" i="1" s="1"/>
  <c r="AJ918" i="1"/>
  <c r="AI918" i="1" s="1"/>
  <c r="AH918" i="1" s="1"/>
  <c r="AJ917" i="1"/>
  <c r="AI917" i="1" s="1"/>
  <c r="AH917" i="1" s="1"/>
  <c r="AJ916" i="1"/>
  <c r="AI916" i="1" s="1"/>
  <c r="AH916" i="1" s="1"/>
  <c r="AJ915" i="1"/>
  <c r="AJ914" i="1"/>
  <c r="AI914" i="1" s="1"/>
  <c r="AH914" i="1" s="1"/>
  <c r="AJ913" i="1"/>
  <c r="AI913" i="1" s="1"/>
  <c r="AH913" i="1" s="1"/>
  <c r="AJ912" i="1"/>
  <c r="AI912" i="1" s="1"/>
  <c r="AH912" i="1" s="1"/>
  <c r="AJ910" i="1"/>
  <c r="AJ909" i="1"/>
  <c r="AI909" i="1" s="1"/>
  <c r="AH909" i="1" s="1"/>
  <c r="AJ908" i="1"/>
  <c r="AJ907" i="1"/>
  <c r="AI907" i="1" s="1"/>
  <c r="AH907" i="1" s="1"/>
  <c r="AJ906" i="1"/>
  <c r="AI906" i="1" s="1"/>
  <c r="AH906" i="1" s="1"/>
  <c r="AJ905" i="1"/>
  <c r="AI905" i="1" s="1"/>
  <c r="AH905" i="1" s="1"/>
  <c r="AJ904" i="1"/>
  <c r="AI904" i="1" s="1"/>
  <c r="AH904" i="1" s="1"/>
  <c r="AJ903" i="1"/>
  <c r="AI903" i="1" s="1"/>
  <c r="AH903" i="1" s="1"/>
  <c r="AJ902" i="1"/>
  <c r="AI902" i="1" s="1"/>
  <c r="AH902" i="1" s="1"/>
  <c r="AJ901" i="1"/>
  <c r="AI901" i="1" s="1"/>
  <c r="AJ900" i="1"/>
  <c r="AJ899" i="1"/>
  <c r="AI899" i="1" s="1"/>
  <c r="AH899" i="1" s="1"/>
  <c r="AJ898" i="1"/>
  <c r="AI898" i="1" s="1"/>
  <c r="AH898" i="1" s="1"/>
  <c r="AJ897" i="1"/>
  <c r="AI897" i="1" s="1"/>
  <c r="AH897" i="1" s="1"/>
  <c r="AJ896" i="1"/>
  <c r="AI896" i="1" s="1"/>
  <c r="AH896" i="1" s="1"/>
  <c r="AJ895" i="1"/>
  <c r="AI895" i="1" s="1"/>
  <c r="AH895" i="1" s="1"/>
  <c r="AJ894" i="1"/>
  <c r="AI894" i="1" s="1"/>
  <c r="AH894" i="1" s="1"/>
  <c r="AJ893" i="1"/>
  <c r="AI893" i="1" s="1"/>
  <c r="AH893" i="1" s="1"/>
  <c r="AJ892" i="1"/>
  <c r="AI892" i="1" s="1"/>
  <c r="AH892" i="1" s="1"/>
  <c r="AJ891" i="1"/>
  <c r="AI891" i="1" s="1"/>
  <c r="AH891" i="1" s="1"/>
  <c r="AJ890" i="1"/>
  <c r="AI890" i="1" s="1"/>
  <c r="AH890" i="1" s="1"/>
  <c r="AJ889" i="1"/>
  <c r="AI889" i="1" s="1"/>
  <c r="AH889" i="1" s="1"/>
  <c r="AJ888" i="1"/>
  <c r="AI888" i="1" s="1"/>
  <c r="AH888" i="1" s="1"/>
  <c r="AJ887" i="1"/>
  <c r="AI887" i="1" s="1"/>
  <c r="AH887" i="1" s="1"/>
  <c r="AJ886" i="1"/>
  <c r="AI886" i="1" s="1"/>
  <c r="AH886" i="1" s="1"/>
  <c r="AJ885" i="1"/>
  <c r="AJ883" i="1"/>
  <c r="AI883" i="1" s="1"/>
  <c r="AH883" i="1" s="1"/>
  <c r="AJ882" i="1"/>
  <c r="AI882" i="1" s="1"/>
  <c r="AH882" i="1" s="1"/>
  <c r="AJ881" i="1"/>
  <c r="AI881" i="1" s="1"/>
  <c r="AH881" i="1" s="1"/>
  <c r="AJ880" i="1"/>
  <c r="AI880" i="1" s="1"/>
  <c r="AH880" i="1" s="1"/>
  <c r="AJ879" i="1"/>
  <c r="AI879" i="1" s="1"/>
  <c r="AH879" i="1" s="1"/>
  <c r="AJ878" i="1"/>
  <c r="AI878" i="1" s="1"/>
  <c r="AH878" i="1" s="1"/>
  <c r="AJ877" i="1"/>
  <c r="AI877" i="1" s="1"/>
  <c r="AH877" i="1" s="1"/>
  <c r="AJ876" i="1"/>
  <c r="AI876" i="1" s="1"/>
  <c r="AJ875" i="1"/>
  <c r="AI875" i="1" s="1"/>
  <c r="AH875" i="1" s="1"/>
  <c r="AJ874" i="1"/>
  <c r="AI874" i="1" s="1"/>
  <c r="AH874" i="1" s="1"/>
  <c r="AJ873" i="1"/>
  <c r="AI873" i="1" s="1"/>
  <c r="AH873" i="1" s="1"/>
  <c r="AJ872" i="1"/>
  <c r="AI872" i="1" s="1"/>
  <c r="AH872" i="1" s="1"/>
  <c r="AJ871" i="1"/>
  <c r="AI871" i="1" s="1"/>
  <c r="AH871" i="1" s="1"/>
  <c r="AJ870" i="1"/>
  <c r="AI870" i="1" s="1"/>
  <c r="AH870" i="1" s="1"/>
  <c r="AJ869" i="1"/>
  <c r="AI869" i="1" s="1"/>
  <c r="AH869" i="1" s="1"/>
  <c r="AJ868" i="1"/>
  <c r="AI868" i="1" s="1"/>
  <c r="AH868" i="1" s="1"/>
  <c r="AJ867" i="1"/>
  <c r="AI867" i="1" s="1"/>
  <c r="AH867" i="1" s="1"/>
  <c r="AJ866" i="1"/>
  <c r="AI866" i="1" s="1"/>
  <c r="AH866" i="1" s="1"/>
  <c r="AJ865" i="1"/>
  <c r="AI865" i="1" s="1"/>
  <c r="AH865" i="1" s="1"/>
  <c r="AJ864" i="1"/>
  <c r="AI864" i="1" s="1"/>
  <c r="AH864" i="1" s="1"/>
  <c r="AJ863" i="1"/>
  <c r="AI863" i="1" s="1"/>
  <c r="AH863" i="1" s="1"/>
  <c r="AJ862" i="1"/>
  <c r="AI862" i="1" s="1"/>
  <c r="AH862" i="1" s="1"/>
  <c r="AJ861" i="1"/>
  <c r="AI861" i="1" s="1"/>
  <c r="AH861" i="1" s="1"/>
  <c r="AJ860" i="1"/>
  <c r="AJ859" i="1"/>
  <c r="AJ858" i="1"/>
  <c r="AI858" i="1" s="1"/>
  <c r="AH858" i="1" s="1"/>
  <c r="AJ857" i="1"/>
  <c r="AI857" i="1" s="1"/>
  <c r="AH857" i="1" s="1"/>
  <c r="AJ856" i="1"/>
  <c r="AI856" i="1" s="1"/>
  <c r="AH856" i="1" s="1"/>
  <c r="AJ855" i="1"/>
  <c r="AI855" i="1" s="1"/>
  <c r="AJ854" i="1"/>
  <c r="AI854" i="1" s="1"/>
  <c r="AH854" i="1" s="1"/>
  <c r="AJ853" i="1"/>
  <c r="AI853" i="1" s="1"/>
  <c r="AH853" i="1" s="1"/>
  <c r="AJ852" i="1"/>
  <c r="AI852" i="1" s="1"/>
  <c r="AH852" i="1" s="1"/>
  <c r="AJ851" i="1"/>
  <c r="AI851" i="1" s="1"/>
  <c r="AH851" i="1" s="1"/>
  <c r="AJ850" i="1"/>
  <c r="AI850" i="1" s="1"/>
  <c r="AH850" i="1" s="1"/>
  <c r="AJ848" i="1"/>
  <c r="AI848" i="1" s="1"/>
  <c r="AH848" i="1" s="1"/>
  <c r="AJ847" i="1"/>
  <c r="AI847" i="1" s="1"/>
  <c r="AH847" i="1" s="1"/>
  <c r="AJ846" i="1"/>
  <c r="AJ845" i="1"/>
  <c r="AI845" i="1" s="1"/>
  <c r="AH845" i="1" s="1"/>
  <c r="AJ844" i="1"/>
  <c r="AI844" i="1" s="1"/>
  <c r="AH844" i="1" s="1"/>
  <c r="AJ843" i="1"/>
  <c r="AI843" i="1" s="1"/>
  <c r="AH843" i="1" s="1"/>
  <c r="AJ841" i="1"/>
  <c r="AI841" i="1" s="1"/>
  <c r="AH841" i="1" s="1"/>
  <c r="AJ840" i="1"/>
  <c r="AI840" i="1" s="1"/>
  <c r="AH840" i="1" s="1"/>
  <c r="AJ839" i="1"/>
  <c r="AI839" i="1" s="1"/>
  <c r="AH839" i="1" s="1"/>
  <c r="AJ838" i="1"/>
  <c r="AI838" i="1" s="1"/>
  <c r="AH838" i="1" s="1"/>
  <c r="AJ837" i="1"/>
  <c r="AI837" i="1" s="1"/>
  <c r="AH837" i="1" s="1"/>
  <c r="AJ835" i="1"/>
  <c r="AI835" i="1" s="1"/>
  <c r="AH835" i="1" s="1"/>
  <c r="AJ834" i="1"/>
  <c r="AI834" i="1" s="1"/>
  <c r="AH834" i="1" s="1"/>
  <c r="AJ833" i="1"/>
  <c r="AJ832" i="1"/>
  <c r="AI832" i="1" s="1"/>
  <c r="AH832" i="1" s="1"/>
  <c r="AJ830" i="1"/>
  <c r="AI830" i="1" s="1"/>
  <c r="AH830" i="1" s="1"/>
  <c r="AJ829" i="1"/>
  <c r="AI829" i="1" s="1"/>
  <c r="AH829" i="1" s="1"/>
  <c r="AJ828" i="1"/>
  <c r="AJ827" i="1"/>
  <c r="AI827" i="1" s="1"/>
  <c r="AH827" i="1" s="1"/>
  <c r="AJ826" i="1"/>
  <c r="AI826" i="1" s="1"/>
  <c r="AH826" i="1" s="1"/>
  <c r="AJ825" i="1"/>
  <c r="AI825" i="1" s="1"/>
  <c r="AH825" i="1" s="1"/>
  <c r="AJ824" i="1"/>
  <c r="AI824" i="1" s="1"/>
  <c r="AH824" i="1" s="1"/>
  <c r="AJ823" i="1"/>
  <c r="AI823" i="1" s="1"/>
  <c r="AH823" i="1" s="1"/>
  <c r="AJ822" i="1"/>
  <c r="AI822" i="1" s="1"/>
  <c r="AH822" i="1" s="1"/>
  <c r="AJ821" i="1"/>
  <c r="AI821" i="1" s="1"/>
  <c r="AH821" i="1" s="1"/>
  <c r="AJ820" i="1"/>
  <c r="AI820" i="1" s="1"/>
  <c r="AH820" i="1" s="1"/>
  <c r="AJ819" i="1"/>
  <c r="AI819" i="1" s="1"/>
  <c r="AH819" i="1" s="1"/>
  <c r="AJ818" i="1"/>
  <c r="AI818" i="1" s="1"/>
  <c r="AH818" i="1" s="1"/>
  <c r="AJ817" i="1"/>
  <c r="AI817" i="1" s="1"/>
  <c r="AH817" i="1" s="1"/>
  <c r="AJ816" i="1"/>
  <c r="AI816" i="1" s="1"/>
  <c r="AH816" i="1" s="1"/>
  <c r="AJ815" i="1"/>
  <c r="AI815" i="1" s="1"/>
  <c r="AH815" i="1" s="1"/>
  <c r="AJ814" i="1"/>
  <c r="AI814" i="1" s="1"/>
  <c r="AH814" i="1" s="1"/>
  <c r="AJ813" i="1"/>
  <c r="AI813" i="1" s="1"/>
  <c r="AH813" i="1" s="1"/>
  <c r="AJ812" i="1"/>
  <c r="AI812" i="1" s="1"/>
  <c r="AH812" i="1" s="1"/>
  <c r="AJ811" i="1"/>
  <c r="AI811" i="1" s="1"/>
  <c r="AH811" i="1" s="1"/>
  <c r="AJ810" i="1"/>
  <c r="AI810" i="1" s="1"/>
  <c r="AH810" i="1" s="1"/>
  <c r="AJ809" i="1"/>
  <c r="AI809" i="1" s="1"/>
  <c r="AH809" i="1" s="1"/>
  <c r="AJ808" i="1"/>
  <c r="AI808" i="1" s="1"/>
  <c r="AH808" i="1" s="1"/>
  <c r="AJ807" i="1"/>
  <c r="AI807" i="1" s="1"/>
  <c r="AH807" i="1" s="1"/>
  <c r="AJ806" i="1"/>
  <c r="AI806" i="1" s="1"/>
  <c r="AH806" i="1" s="1"/>
  <c r="AJ805" i="1"/>
  <c r="AI805" i="1" s="1"/>
  <c r="AH805" i="1" s="1"/>
  <c r="AJ804" i="1"/>
  <c r="AI804" i="1" s="1"/>
  <c r="AH804" i="1" s="1"/>
  <c r="AJ803" i="1"/>
  <c r="AI803" i="1" s="1"/>
  <c r="AH803" i="1" s="1"/>
  <c r="AJ802" i="1"/>
  <c r="AI802" i="1" s="1"/>
  <c r="AH802" i="1" s="1"/>
  <c r="AJ801" i="1"/>
  <c r="AI801" i="1" s="1"/>
  <c r="AH801" i="1" s="1"/>
  <c r="AJ800" i="1"/>
  <c r="AI800" i="1" s="1"/>
  <c r="AH800" i="1" s="1"/>
  <c r="AJ799" i="1"/>
  <c r="AI799" i="1" s="1"/>
  <c r="AH799" i="1" s="1"/>
  <c r="AJ798" i="1"/>
  <c r="AI798" i="1" s="1"/>
  <c r="AH798" i="1" s="1"/>
  <c r="AJ797" i="1"/>
  <c r="AI797" i="1" s="1"/>
  <c r="AH797" i="1" s="1"/>
  <c r="AJ796" i="1"/>
  <c r="AI796" i="1" s="1"/>
  <c r="AH796" i="1" s="1"/>
  <c r="AJ794" i="1"/>
  <c r="AI794" i="1" s="1"/>
  <c r="AH794" i="1" s="1"/>
  <c r="AJ792" i="1"/>
  <c r="AI792" i="1" s="1"/>
  <c r="AH792" i="1" s="1"/>
  <c r="AJ791" i="1"/>
  <c r="AI791" i="1" s="1"/>
  <c r="AH791" i="1" s="1"/>
  <c r="AJ790" i="1"/>
  <c r="AI790" i="1" s="1"/>
  <c r="AH790" i="1" s="1"/>
  <c r="AJ789" i="1"/>
  <c r="AI789" i="1" s="1"/>
  <c r="AH789" i="1" s="1"/>
  <c r="AJ788" i="1"/>
  <c r="AI788" i="1" s="1"/>
  <c r="AH788" i="1" s="1"/>
  <c r="AJ787" i="1"/>
  <c r="AI787" i="1" s="1"/>
  <c r="AJ786" i="1"/>
  <c r="AI786" i="1" s="1"/>
  <c r="AH786" i="1" s="1"/>
  <c r="AJ785" i="1"/>
  <c r="AI785" i="1" s="1"/>
  <c r="AH785" i="1" s="1"/>
  <c r="AJ784" i="1"/>
  <c r="AI784" i="1" s="1"/>
  <c r="AH784" i="1" s="1"/>
  <c r="AJ783" i="1"/>
  <c r="AI783" i="1" s="1"/>
  <c r="AH783" i="1" s="1"/>
  <c r="AJ782" i="1"/>
  <c r="AI782" i="1" s="1"/>
  <c r="AH782" i="1" s="1"/>
  <c r="AJ780" i="1"/>
  <c r="AI780" i="1" s="1"/>
  <c r="AH780" i="1" s="1"/>
  <c r="AJ779" i="1"/>
  <c r="AI779" i="1" s="1"/>
  <c r="AH779" i="1" s="1"/>
  <c r="AJ778" i="1"/>
  <c r="AI778" i="1" s="1"/>
  <c r="AH778" i="1" s="1"/>
  <c r="AJ777" i="1"/>
  <c r="AI777" i="1" s="1"/>
  <c r="AH777" i="1" s="1"/>
  <c r="AJ775" i="1"/>
  <c r="AI775" i="1" s="1"/>
  <c r="AH775" i="1" s="1"/>
  <c r="AJ774" i="1"/>
  <c r="AI774" i="1" s="1"/>
  <c r="AH774" i="1" s="1"/>
  <c r="AJ773" i="1"/>
  <c r="AI773" i="1" s="1"/>
  <c r="AH773" i="1" s="1"/>
  <c r="AJ772" i="1"/>
  <c r="AI772" i="1" s="1"/>
  <c r="AH772" i="1" s="1"/>
  <c r="AJ771" i="1"/>
  <c r="AI771" i="1" s="1"/>
  <c r="AH771" i="1" s="1"/>
  <c r="AJ770" i="1"/>
  <c r="AI770" i="1" s="1"/>
  <c r="AH770" i="1" s="1"/>
  <c r="AJ769" i="1"/>
  <c r="AI769" i="1" s="1"/>
  <c r="AH769" i="1" s="1"/>
  <c r="AJ768" i="1"/>
  <c r="AI768" i="1" s="1"/>
  <c r="AH768" i="1" s="1"/>
  <c r="AJ767" i="1"/>
  <c r="AI767" i="1" s="1"/>
  <c r="AH767" i="1" s="1"/>
  <c r="AJ766" i="1"/>
  <c r="AI766" i="1" s="1"/>
  <c r="AH766" i="1" s="1"/>
  <c r="AJ765" i="1"/>
  <c r="AI765" i="1" s="1"/>
  <c r="AH765" i="1" s="1"/>
  <c r="AJ764" i="1"/>
  <c r="AI764" i="1" s="1"/>
  <c r="AH764" i="1" s="1"/>
  <c r="AJ763" i="1"/>
  <c r="AI763" i="1" s="1"/>
  <c r="AH763" i="1" s="1"/>
  <c r="AJ762" i="1"/>
  <c r="AI762" i="1" s="1"/>
  <c r="AH762" i="1" s="1"/>
  <c r="AJ761" i="1"/>
  <c r="AI761" i="1" s="1"/>
  <c r="AH761" i="1" s="1"/>
  <c r="AJ760" i="1"/>
  <c r="AI760" i="1" s="1"/>
  <c r="AH760" i="1" s="1"/>
  <c r="AJ759" i="1"/>
  <c r="AI759" i="1" s="1"/>
  <c r="AH759" i="1" s="1"/>
  <c r="AJ758" i="1"/>
  <c r="AI758" i="1" s="1"/>
  <c r="AH758" i="1" s="1"/>
  <c r="AJ757" i="1"/>
  <c r="AI757" i="1" s="1"/>
  <c r="AJ756" i="1"/>
  <c r="AI756" i="1" s="1"/>
  <c r="AH756" i="1" s="1"/>
  <c r="AJ755" i="1"/>
  <c r="AI755" i="1" s="1"/>
  <c r="AH755" i="1" s="1"/>
  <c r="AJ753" i="1"/>
  <c r="AI753" i="1" s="1"/>
  <c r="AH753" i="1" s="1"/>
  <c r="AJ752" i="1"/>
  <c r="AI752" i="1" s="1"/>
  <c r="AH752" i="1" s="1"/>
  <c r="AJ751" i="1"/>
  <c r="AI751" i="1" s="1"/>
  <c r="AH751" i="1" s="1"/>
  <c r="AJ750" i="1"/>
  <c r="AI750" i="1" s="1"/>
  <c r="AH750" i="1" s="1"/>
  <c r="AJ749" i="1"/>
  <c r="AI749" i="1" s="1"/>
  <c r="AH749" i="1" s="1"/>
  <c r="AJ748" i="1"/>
  <c r="AI748" i="1" s="1"/>
  <c r="AH748" i="1" s="1"/>
  <c r="AJ747" i="1"/>
  <c r="AI747" i="1" s="1"/>
  <c r="AH747" i="1" s="1"/>
  <c r="AJ746" i="1"/>
  <c r="AI746" i="1" s="1"/>
  <c r="AH746" i="1" s="1"/>
  <c r="AJ745" i="1"/>
  <c r="AI745" i="1" s="1"/>
  <c r="AH745" i="1" s="1"/>
  <c r="AJ744" i="1"/>
  <c r="AI744" i="1" s="1"/>
  <c r="AH744" i="1" s="1"/>
  <c r="AJ743" i="1"/>
  <c r="AI743" i="1" s="1"/>
  <c r="AH743" i="1" s="1"/>
  <c r="AJ742" i="1"/>
  <c r="AI742" i="1" s="1"/>
  <c r="AH742" i="1" s="1"/>
  <c r="AJ741" i="1"/>
  <c r="AI741" i="1" s="1"/>
  <c r="AH741" i="1" s="1"/>
  <c r="AJ740" i="1"/>
  <c r="AI740" i="1" s="1"/>
  <c r="AH740" i="1" s="1"/>
  <c r="AJ739" i="1"/>
  <c r="AI739" i="1" s="1"/>
  <c r="AH739" i="1" s="1"/>
  <c r="AJ738" i="1"/>
  <c r="AI738" i="1" s="1"/>
  <c r="AH738" i="1" s="1"/>
  <c r="AJ737" i="1"/>
  <c r="AI737" i="1" s="1"/>
  <c r="AH737" i="1" s="1"/>
  <c r="AJ736" i="1"/>
  <c r="AI736" i="1" s="1"/>
  <c r="AH736" i="1" s="1"/>
  <c r="AJ735" i="1"/>
  <c r="AI735" i="1" s="1"/>
  <c r="AH735" i="1" s="1"/>
  <c r="AJ734" i="1"/>
  <c r="AI734" i="1" s="1"/>
  <c r="AH734" i="1" s="1"/>
  <c r="AJ733" i="1"/>
  <c r="AI733" i="1" s="1"/>
  <c r="AH733" i="1" s="1"/>
  <c r="AJ732" i="1"/>
  <c r="AI732" i="1" s="1"/>
  <c r="AH732" i="1" s="1"/>
  <c r="AJ731" i="1"/>
  <c r="AI731" i="1" s="1"/>
  <c r="AH731" i="1" s="1"/>
  <c r="AJ730" i="1"/>
  <c r="AI730" i="1" s="1"/>
  <c r="AH730" i="1" s="1"/>
  <c r="AJ729" i="1"/>
  <c r="AI729" i="1" s="1"/>
  <c r="AH729" i="1" s="1"/>
  <c r="AJ728" i="1"/>
  <c r="AI728" i="1" s="1"/>
  <c r="AH728" i="1" s="1"/>
  <c r="AJ727" i="1"/>
  <c r="AI727" i="1" s="1"/>
  <c r="AH727" i="1" s="1"/>
  <c r="AJ726" i="1"/>
  <c r="AI726" i="1" s="1"/>
  <c r="AH726" i="1" s="1"/>
  <c r="AJ725" i="1"/>
  <c r="AI725" i="1" s="1"/>
  <c r="AH725" i="1" s="1"/>
  <c r="AJ724" i="1"/>
  <c r="AI724" i="1" s="1"/>
  <c r="AH724" i="1" s="1"/>
  <c r="AJ723" i="1"/>
  <c r="AI723" i="1" s="1"/>
  <c r="AH723" i="1" s="1"/>
  <c r="AJ722" i="1"/>
  <c r="AI722" i="1" s="1"/>
  <c r="AH722" i="1" s="1"/>
  <c r="AJ721" i="1"/>
  <c r="AI721" i="1" s="1"/>
  <c r="AH721" i="1" s="1"/>
  <c r="AJ720" i="1"/>
  <c r="AI720" i="1" s="1"/>
  <c r="AH720" i="1" s="1"/>
  <c r="AJ719" i="1"/>
  <c r="AI719" i="1" s="1"/>
  <c r="AH719" i="1" s="1"/>
  <c r="AJ717" i="1"/>
  <c r="AI717" i="1" s="1"/>
  <c r="AH717" i="1" s="1"/>
  <c r="AJ716" i="1"/>
  <c r="AI716" i="1" s="1"/>
  <c r="AH716" i="1" s="1"/>
  <c r="AJ715" i="1"/>
  <c r="AI715" i="1" s="1"/>
  <c r="AH715" i="1" s="1"/>
  <c r="AJ714" i="1"/>
  <c r="AI714" i="1" s="1"/>
  <c r="AH714" i="1" s="1"/>
  <c r="AJ713" i="1"/>
  <c r="AI713" i="1" s="1"/>
  <c r="AH713" i="1" s="1"/>
  <c r="AJ712" i="1"/>
  <c r="AI712" i="1" s="1"/>
  <c r="AH712" i="1" s="1"/>
  <c r="AJ711" i="1"/>
  <c r="AI711" i="1" s="1"/>
  <c r="AH711" i="1" s="1"/>
  <c r="AJ710" i="1"/>
  <c r="AI710" i="1" s="1"/>
  <c r="AH710" i="1" s="1"/>
  <c r="AJ709" i="1"/>
  <c r="AI709" i="1" s="1"/>
  <c r="AH709" i="1" s="1"/>
  <c r="AJ708" i="1"/>
  <c r="AI708" i="1" s="1"/>
  <c r="AH708" i="1" s="1"/>
  <c r="AJ707" i="1"/>
  <c r="AI707" i="1" s="1"/>
  <c r="AH707" i="1" s="1"/>
  <c r="AJ706" i="1"/>
  <c r="AI706" i="1" s="1"/>
  <c r="AH706" i="1" s="1"/>
  <c r="AJ705" i="1"/>
  <c r="AI705" i="1" s="1"/>
  <c r="AH705" i="1" s="1"/>
  <c r="AJ704" i="1"/>
  <c r="AI704" i="1" s="1"/>
  <c r="AH704" i="1" s="1"/>
  <c r="AJ703" i="1"/>
  <c r="AI703" i="1" s="1"/>
  <c r="AH703" i="1" s="1"/>
  <c r="AJ702" i="1"/>
  <c r="AI702" i="1" s="1"/>
  <c r="AH702" i="1" s="1"/>
  <c r="AJ701" i="1"/>
  <c r="AI701" i="1" s="1"/>
  <c r="AH701" i="1" s="1"/>
  <c r="AJ700" i="1"/>
  <c r="AI700" i="1" s="1"/>
  <c r="AH700" i="1" s="1"/>
  <c r="AJ699" i="1"/>
  <c r="AI699" i="1" s="1"/>
  <c r="AH699" i="1" s="1"/>
  <c r="AJ698" i="1"/>
  <c r="AI698" i="1" s="1"/>
  <c r="AH698" i="1" s="1"/>
  <c r="AJ697" i="1"/>
  <c r="AI697" i="1" s="1"/>
  <c r="AH697" i="1" s="1"/>
  <c r="AJ696" i="1"/>
  <c r="AI696" i="1" s="1"/>
  <c r="AH696" i="1" s="1"/>
  <c r="AJ695" i="1"/>
  <c r="AI695" i="1" s="1"/>
  <c r="AH695" i="1" s="1"/>
  <c r="AJ694" i="1"/>
  <c r="AI694" i="1" s="1"/>
  <c r="AH694" i="1" s="1"/>
  <c r="AJ693" i="1"/>
  <c r="AI693" i="1" s="1"/>
  <c r="AH693" i="1" s="1"/>
  <c r="AJ692" i="1"/>
  <c r="AI692" i="1" s="1"/>
  <c r="AH692" i="1" s="1"/>
  <c r="AJ691" i="1"/>
  <c r="AI691" i="1" s="1"/>
  <c r="AH691" i="1" s="1"/>
  <c r="AJ690" i="1"/>
  <c r="AI690" i="1" s="1"/>
  <c r="AH690" i="1" s="1"/>
  <c r="AJ689" i="1"/>
  <c r="AI689" i="1" s="1"/>
  <c r="AH689" i="1" s="1"/>
  <c r="AJ688" i="1"/>
  <c r="AI688" i="1" s="1"/>
  <c r="AH688" i="1" s="1"/>
  <c r="AJ687" i="1"/>
  <c r="AI687" i="1" s="1"/>
  <c r="AH687" i="1" s="1"/>
  <c r="AJ686" i="1"/>
  <c r="AI686" i="1" s="1"/>
  <c r="AH686" i="1" s="1"/>
  <c r="AJ685" i="1"/>
  <c r="AI685" i="1" s="1"/>
  <c r="AH685" i="1" s="1"/>
  <c r="AJ684" i="1"/>
  <c r="AI684" i="1" s="1"/>
  <c r="AH684" i="1" s="1"/>
  <c r="AJ683" i="1"/>
  <c r="AI683" i="1" s="1"/>
  <c r="AH683" i="1" s="1"/>
  <c r="AJ682" i="1"/>
  <c r="AI682" i="1" s="1"/>
  <c r="AH682" i="1" s="1"/>
  <c r="AJ681" i="1"/>
  <c r="AI681" i="1" s="1"/>
  <c r="AH681" i="1" s="1"/>
  <c r="AJ680" i="1"/>
  <c r="AI680" i="1" s="1"/>
  <c r="AH680" i="1" s="1"/>
  <c r="AJ679" i="1"/>
  <c r="AI679" i="1" s="1"/>
  <c r="AH679" i="1" s="1"/>
  <c r="AJ678" i="1"/>
  <c r="AI678" i="1" s="1"/>
  <c r="AH678" i="1" s="1"/>
  <c r="AJ677" i="1"/>
  <c r="AI677" i="1" s="1"/>
  <c r="AH677" i="1" s="1"/>
  <c r="AJ676" i="1"/>
  <c r="AI676" i="1" s="1"/>
  <c r="AH676" i="1" s="1"/>
  <c r="AJ675" i="1"/>
  <c r="AI675" i="1" s="1"/>
  <c r="AH675" i="1" s="1"/>
  <c r="AJ674" i="1"/>
  <c r="AI674" i="1" s="1"/>
  <c r="AH674" i="1" s="1"/>
  <c r="AJ673" i="1"/>
  <c r="AI673" i="1" s="1"/>
  <c r="AH673" i="1" s="1"/>
  <c r="AJ672" i="1"/>
  <c r="AI672" i="1" s="1"/>
  <c r="AH672" i="1" s="1"/>
  <c r="AJ671" i="1"/>
  <c r="AI671" i="1" s="1"/>
  <c r="AH671" i="1" s="1"/>
  <c r="AJ670" i="1"/>
  <c r="AI670" i="1" s="1"/>
  <c r="AH670" i="1" s="1"/>
  <c r="AJ669" i="1"/>
  <c r="AI669" i="1" s="1"/>
  <c r="AH669" i="1" s="1"/>
  <c r="AJ668" i="1"/>
  <c r="AI668" i="1" s="1"/>
  <c r="AH668" i="1" s="1"/>
  <c r="AJ667" i="1"/>
  <c r="AI667" i="1" s="1"/>
  <c r="AH667" i="1" s="1"/>
  <c r="AJ666" i="1"/>
  <c r="AI666" i="1" s="1"/>
  <c r="AH666" i="1" s="1"/>
  <c r="AJ665" i="1"/>
  <c r="AI665" i="1" s="1"/>
  <c r="AH665" i="1" s="1"/>
  <c r="AJ663" i="1"/>
  <c r="AI663" i="1" s="1"/>
  <c r="AH663" i="1" s="1"/>
  <c r="AJ662" i="1"/>
  <c r="AJ661" i="1"/>
  <c r="AI661" i="1" s="1"/>
  <c r="AH661" i="1" s="1"/>
  <c r="AJ660" i="1"/>
  <c r="AI660" i="1" s="1"/>
  <c r="AH660" i="1" s="1"/>
  <c r="AJ658" i="1"/>
  <c r="AI658" i="1" s="1"/>
  <c r="AH658" i="1" s="1"/>
  <c r="AJ657" i="1"/>
  <c r="AI657" i="1" s="1"/>
  <c r="AH657" i="1" s="1"/>
  <c r="AJ656" i="1"/>
  <c r="AI656" i="1" s="1"/>
  <c r="AH656" i="1" s="1"/>
  <c r="AJ655" i="1"/>
  <c r="AI655" i="1" s="1"/>
  <c r="AH655" i="1" s="1"/>
  <c r="AJ654" i="1"/>
  <c r="AJ653" i="1"/>
  <c r="AI653" i="1" s="1"/>
  <c r="AH653" i="1" s="1"/>
  <c r="AJ652" i="1"/>
  <c r="AI652" i="1" s="1"/>
  <c r="AJ651" i="1"/>
  <c r="AI651" i="1" s="1"/>
  <c r="AH651" i="1" s="1"/>
  <c r="AJ650" i="1"/>
  <c r="AI650" i="1" s="1"/>
  <c r="AH650" i="1" s="1"/>
  <c r="AJ649" i="1"/>
  <c r="AI649" i="1" s="1"/>
  <c r="AH649" i="1" s="1"/>
  <c r="AJ648" i="1"/>
  <c r="AI648" i="1" s="1"/>
  <c r="AH648" i="1" s="1"/>
  <c r="AJ647" i="1"/>
  <c r="AI647" i="1" s="1"/>
  <c r="AH647" i="1" s="1"/>
  <c r="AJ646" i="1"/>
  <c r="AI646" i="1" s="1"/>
  <c r="AH646" i="1" s="1"/>
  <c r="AJ645" i="1"/>
  <c r="AI645" i="1" s="1"/>
  <c r="AH645" i="1" s="1"/>
  <c r="AJ644" i="1"/>
  <c r="AI644" i="1" s="1"/>
  <c r="AH644" i="1" s="1"/>
  <c r="AJ643" i="1"/>
  <c r="AI643" i="1" s="1"/>
  <c r="AH643" i="1" s="1"/>
  <c r="AJ642" i="1"/>
  <c r="AI642" i="1" s="1"/>
  <c r="AH642" i="1" s="1"/>
  <c r="AJ641" i="1"/>
  <c r="AI641" i="1" s="1"/>
  <c r="AH641" i="1" s="1"/>
  <c r="AJ640" i="1"/>
  <c r="AI640" i="1" s="1"/>
  <c r="AH640" i="1" s="1"/>
  <c r="AJ639" i="1"/>
  <c r="AI639" i="1" s="1"/>
  <c r="AH639" i="1" s="1"/>
  <c r="AJ638" i="1"/>
  <c r="AI638" i="1" s="1"/>
  <c r="AH638" i="1" s="1"/>
  <c r="AJ637" i="1"/>
  <c r="AJ636" i="1"/>
  <c r="AI636" i="1" s="1"/>
  <c r="AH636" i="1" s="1"/>
  <c r="AJ635" i="1"/>
  <c r="AI635" i="1" s="1"/>
  <c r="AH635" i="1" s="1"/>
  <c r="AJ634" i="1"/>
  <c r="AI634" i="1" s="1"/>
  <c r="AJ633" i="1"/>
  <c r="AI633" i="1" s="1"/>
  <c r="AH633" i="1" s="1"/>
  <c r="AJ631" i="1"/>
  <c r="AI631" i="1" s="1"/>
  <c r="AH631" i="1" s="1"/>
  <c r="AJ630" i="1"/>
  <c r="AI630" i="1" s="1"/>
  <c r="AH630" i="1" s="1"/>
  <c r="AJ628" i="1"/>
  <c r="AI628" i="1" s="1"/>
  <c r="AH628" i="1" s="1"/>
  <c r="AJ627" i="1"/>
  <c r="AI627" i="1" s="1"/>
  <c r="AH627" i="1" s="1"/>
  <c r="AJ626" i="1"/>
  <c r="AI626" i="1" s="1"/>
  <c r="AH626" i="1" s="1"/>
  <c r="AJ625" i="1"/>
  <c r="AI625" i="1" s="1"/>
  <c r="AH625" i="1" s="1"/>
  <c r="AJ624" i="1"/>
  <c r="AI624" i="1" s="1"/>
  <c r="AH624" i="1" s="1"/>
  <c r="AJ623" i="1"/>
  <c r="AI623" i="1" s="1"/>
  <c r="AH623" i="1" s="1"/>
  <c r="AJ622" i="1"/>
  <c r="AI622" i="1" s="1"/>
  <c r="AH622" i="1" s="1"/>
  <c r="AJ621" i="1"/>
  <c r="AI621" i="1" s="1"/>
  <c r="AH621" i="1" s="1"/>
  <c r="AJ620" i="1"/>
  <c r="AI620" i="1" s="1"/>
  <c r="AH620" i="1" s="1"/>
  <c r="AJ619" i="1"/>
  <c r="AI619" i="1" s="1"/>
  <c r="AH619" i="1" s="1"/>
  <c r="AJ618" i="1"/>
  <c r="AI618" i="1" s="1"/>
  <c r="AH618" i="1" s="1"/>
  <c r="AJ617" i="1"/>
  <c r="AI617" i="1" s="1"/>
  <c r="AH617" i="1" s="1"/>
  <c r="AJ616" i="1"/>
  <c r="AI616" i="1" s="1"/>
  <c r="AH616" i="1" s="1"/>
  <c r="AJ615" i="1"/>
  <c r="AI615" i="1" s="1"/>
  <c r="AH615" i="1" s="1"/>
  <c r="AJ614" i="1"/>
  <c r="AI614" i="1" s="1"/>
  <c r="AH614" i="1" s="1"/>
  <c r="AJ613" i="1"/>
  <c r="AI613" i="1" s="1"/>
  <c r="AH613" i="1" s="1"/>
  <c r="AJ612" i="1"/>
  <c r="AI612" i="1" s="1"/>
  <c r="AH612" i="1" s="1"/>
  <c r="AJ611" i="1"/>
  <c r="AI611" i="1" s="1"/>
  <c r="AH611" i="1" s="1"/>
  <c r="AJ610" i="1"/>
  <c r="AI610" i="1" s="1"/>
  <c r="AJ609" i="1"/>
  <c r="AI609" i="1" s="1"/>
  <c r="AH609" i="1" s="1"/>
  <c r="AJ608" i="1"/>
  <c r="AI608" i="1" s="1"/>
  <c r="AH608" i="1" s="1"/>
  <c r="AJ607" i="1"/>
  <c r="AI607" i="1" s="1"/>
  <c r="AH607" i="1" s="1"/>
  <c r="AJ606" i="1"/>
  <c r="AI606" i="1" s="1"/>
  <c r="AH606" i="1" s="1"/>
  <c r="AJ605" i="1"/>
  <c r="AI605" i="1" s="1"/>
  <c r="AH605" i="1" s="1"/>
  <c r="AJ604" i="1"/>
  <c r="AI604" i="1" s="1"/>
  <c r="AH604" i="1" s="1"/>
  <c r="AJ603" i="1"/>
  <c r="AI603" i="1" s="1"/>
  <c r="AH603" i="1" s="1"/>
  <c r="AJ602" i="1"/>
  <c r="AI602" i="1" s="1"/>
  <c r="AH602" i="1" s="1"/>
  <c r="AJ601" i="1"/>
  <c r="AI601" i="1" s="1"/>
  <c r="AH601" i="1" s="1"/>
  <c r="AJ600" i="1"/>
  <c r="AI600" i="1" s="1"/>
  <c r="AH600" i="1" s="1"/>
  <c r="AJ599" i="1"/>
  <c r="AI599" i="1" s="1"/>
  <c r="AH599" i="1" s="1"/>
  <c r="AJ598" i="1"/>
  <c r="AI598" i="1" s="1"/>
  <c r="AH598" i="1" s="1"/>
  <c r="AJ597" i="1"/>
  <c r="AI597" i="1" s="1"/>
  <c r="AH597" i="1" s="1"/>
  <c r="AJ596" i="1"/>
  <c r="AI596" i="1" s="1"/>
  <c r="AH596" i="1" s="1"/>
  <c r="AJ595" i="1"/>
  <c r="AI595" i="1" s="1"/>
  <c r="AH595" i="1" s="1"/>
  <c r="AJ594" i="1"/>
  <c r="AI594" i="1" s="1"/>
  <c r="AH594" i="1" s="1"/>
  <c r="AJ593" i="1"/>
  <c r="AI593" i="1" s="1"/>
  <c r="AH593" i="1" s="1"/>
  <c r="AJ592" i="1"/>
  <c r="AI592" i="1" s="1"/>
  <c r="AH592" i="1" s="1"/>
  <c r="AJ591" i="1"/>
  <c r="AI591" i="1" s="1"/>
  <c r="AJ590" i="1"/>
  <c r="AI590" i="1" s="1"/>
  <c r="AH590" i="1" s="1"/>
  <c r="AJ589" i="1"/>
  <c r="AI589" i="1" s="1"/>
  <c r="AH589" i="1" s="1"/>
  <c r="AJ588" i="1"/>
  <c r="AI588" i="1" s="1"/>
  <c r="AH588" i="1" s="1"/>
  <c r="AJ587" i="1"/>
  <c r="AI587" i="1" s="1"/>
  <c r="AH587" i="1" s="1"/>
  <c r="AJ586" i="1"/>
  <c r="AI586" i="1" s="1"/>
  <c r="AH586" i="1" s="1"/>
  <c r="AJ585" i="1"/>
  <c r="AI585" i="1" s="1"/>
  <c r="AH585" i="1" s="1"/>
  <c r="AJ584" i="1"/>
  <c r="AI584" i="1" s="1"/>
  <c r="AJ583" i="1"/>
  <c r="AI583" i="1" s="1"/>
  <c r="AH583" i="1" s="1"/>
  <c r="AJ582" i="1"/>
  <c r="AI582" i="1" s="1"/>
  <c r="AH582" i="1" s="1"/>
  <c r="AJ581" i="1"/>
  <c r="AI581" i="1" s="1"/>
  <c r="AH581" i="1" s="1"/>
  <c r="AJ580" i="1"/>
  <c r="AI580" i="1" s="1"/>
  <c r="AH580" i="1" s="1"/>
  <c r="AJ579" i="1"/>
  <c r="AI579" i="1" s="1"/>
  <c r="AH579" i="1" s="1"/>
  <c r="AJ578" i="1"/>
  <c r="AI578" i="1" s="1"/>
  <c r="AH578" i="1" s="1"/>
  <c r="AJ577" i="1"/>
  <c r="AI577" i="1" s="1"/>
  <c r="AH577" i="1" s="1"/>
  <c r="AJ576" i="1"/>
  <c r="AI576" i="1" s="1"/>
  <c r="AH576" i="1" s="1"/>
  <c r="AJ575" i="1"/>
  <c r="AI575" i="1" s="1"/>
  <c r="AH575" i="1" s="1"/>
  <c r="AJ574" i="1"/>
  <c r="AI574" i="1" s="1"/>
  <c r="AH574" i="1" s="1"/>
  <c r="AJ573" i="1"/>
  <c r="AI573" i="1" s="1"/>
  <c r="AJ572" i="1"/>
  <c r="AI572" i="1" s="1"/>
  <c r="AH572" i="1" s="1"/>
  <c r="AJ571" i="1"/>
  <c r="AI571" i="1" s="1"/>
  <c r="AH571" i="1" s="1"/>
  <c r="AJ570" i="1"/>
  <c r="AI570" i="1" s="1"/>
  <c r="AH570" i="1" s="1"/>
  <c r="AJ568" i="1"/>
  <c r="AI568" i="1" s="1"/>
  <c r="AH568" i="1" s="1"/>
  <c r="AJ567" i="1"/>
  <c r="AI567" i="1" s="1"/>
  <c r="AH567" i="1" s="1"/>
  <c r="AJ566" i="1"/>
  <c r="AI566" i="1" s="1"/>
  <c r="AH566" i="1" s="1"/>
  <c r="AJ565" i="1"/>
  <c r="AI565" i="1" s="1"/>
  <c r="AH565" i="1" s="1"/>
  <c r="AJ564" i="1"/>
  <c r="AI564" i="1" s="1"/>
  <c r="AH564" i="1" s="1"/>
  <c r="AJ563" i="1"/>
  <c r="AI563" i="1" s="1"/>
  <c r="AH563" i="1" s="1"/>
  <c r="AJ560" i="1"/>
  <c r="AI560" i="1" s="1"/>
  <c r="AH560" i="1" s="1"/>
  <c r="AJ559" i="1"/>
  <c r="AI559" i="1" s="1"/>
  <c r="AH559" i="1" s="1"/>
  <c r="AJ557" i="1"/>
  <c r="AI557" i="1" s="1"/>
  <c r="AH557" i="1" s="1"/>
  <c r="AJ556" i="1"/>
  <c r="AI556" i="1" s="1"/>
  <c r="AH556" i="1" s="1"/>
  <c r="AJ555" i="1"/>
  <c r="AI555" i="1" s="1"/>
  <c r="AH555" i="1" s="1"/>
  <c r="AJ554" i="1"/>
  <c r="AJ553" i="1"/>
  <c r="AI553" i="1" s="1"/>
  <c r="AH553" i="1" s="1"/>
  <c r="AJ552" i="1"/>
  <c r="AI552" i="1" s="1"/>
  <c r="AH552" i="1" s="1"/>
  <c r="AJ551" i="1"/>
  <c r="AI551" i="1" s="1"/>
  <c r="AH551" i="1" s="1"/>
  <c r="AJ550" i="1"/>
  <c r="AI550" i="1" s="1"/>
  <c r="AH550" i="1" s="1"/>
  <c r="AJ549" i="1"/>
  <c r="AI549" i="1" s="1"/>
  <c r="AH549" i="1" s="1"/>
  <c r="AJ548" i="1"/>
  <c r="AI548" i="1" s="1"/>
  <c r="AH548" i="1" s="1"/>
  <c r="AJ547" i="1"/>
  <c r="AI547" i="1" s="1"/>
  <c r="AH547" i="1" s="1"/>
  <c r="AJ546" i="1"/>
  <c r="AI546" i="1" s="1"/>
  <c r="AH546" i="1" s="1"/>
  <c r="AJ545" i="1"/>
  <c r="AI545" i="1" s="1"/>
  <c r="AH545" i="1" s="1"/>
  <c r="AJ544" i="1"/>
  <c r="AI544" i="1" s="1"/>
  <c r="AH544" i="1" s="1"/>
  <c r="AJ543" i="1"/>
  <c r="AI543" i="1" s="1"/>
  <c r="AH543" i="1" s="1"/>
  <c r="AJ540" i="1"/>
  <c r="AI540" i="1" s="1"/>
  <c r="AH540" i="1" s="1"/>
  <c r="AJ539" i="1"/>
  <c r="AI539" i="1" s="1"/>
  <c r="AH539" i="1" s="1"/>
  <c r="AJ538" i="1"/>
  <c r="AI538" i="1" s="1"/>
  <c r="AH538" i="1" s="1"/>
  <c r="AJ537" i="1"/>
  <c r="AI537" i="1" s="1"/>
  <c r="AH537" i="1" s="1"/>
  <c r="AJ536" i="1"/>
  <c r="AI536" i="1" s="1"/>
  <c r="AH536" i="1" s="1"/>
  <c r="AJ535" i="1"/>
  <c r="AI535" i="1" s="1"/>
  <c r="AH535" i="1" s="1"/>
  <c r="AJ534" i="1"/>
  <c r="AI534" i="1" s="1"/>
  <c r="AH534" i="1" s="1"/>
  <c r="AJ533" i="1"/>
  <c r="AI533" i="1" s="1"/>
  <c r="AH533" i="1" s="1"/>
  <c r="AJ531" i="1"/>
  <c r="AI531" i="1" s="1"/>
  <c r="AH531" i="1" s="1"/>
  <c r="AJ530" i="1"/>
  <c r="AI530" i="1" s="1"/>
  <c r="AH530" i="1" s="1"/>
  <c r="AJ529" i="1"/>
  <c r="AI529" i="1" s="1"/>
  <c r="AH529" i="1" s="1"/>
  <c r="AJ527" i="1"/>
  <c r="AI527" i="1" s="1"/>
  <c r="AH527" i="1" s="1"/>
  <c r="AJ526" i="1"/>
  <c r="AI526" i="1" s="1"/>
  <c r="AH526" i="1" s="1"/>
  <c r="AJ524" i="1"/>
  <c r="AI524" i="1" s="1"/>
  <c r="AH524" i="1" s="1"/>
  <c r="AJ523" i="1"/>
  <c r="AI523" i="1" s="1"/>
  <c r="AH523" i="1" s="1"/>
  <c r="AJ522" i="1"/>
  <c r="AI522" i="1" s="1"/>
  <c r="AH522" i="1" s="1"/>
  <c r="AJ521" i="1"/>
  <c r="AI521" i="1" s="1"/>
  <c r="AH521" i="1" s="1"/>
  <c r="AJ520" i="1"/>
  <c r="AI520" i="1" s="1"/>
  <c r="AH520" i="1" s="1"/>
  <c r="AJ519" i="1"/>
  <c r="AI519" i="1" s="1"/>
  <c r="AH519" i="1" s="1"/>
  <c r="AJ518" i="1"/>
  <c r="AI518" i="1" s="1"/>
  <c r="AH518" i="1" s="1"/>
  <c r="AJ517" i="1"/>
  <c r="AI517" i="1" s="1"/>
  <c r="AH517" i="1" s="1"/>
  <c r="AJ515" i="1"/>
  <c r="AI515" i="1" s="1"/>
  <c r="AH515" i="1" s="1"/>
  <c r="AJ514" i="1"/>
  <c r="AI514" i="1" s="1"/>
  <c r="AH514" i="1" s="1"/>
  <c r="AJ513" i="1"/>
  <c r="AI513" i="1" s="1"/>
  <c r="AH513" i="1" s="1"/>
  <c r="AJ512" i="1"/>
  <c r="AJ511" i="1"/>
  <c r="AI511" i="1" s="1"/>
  <c r="AJ510" i="1"/>
  <c r="AI510" i="1" s="1"/>
  <c r="AJ509" i="1"/>
  <c r="AJ508" i="1"/>
  <c r="AI508" i="1" s="1"/>
  <c r="AH508" i="1" s="1"/>
  <c r="AJ507" i="1"/>
  <c r="AI507" i="1" s="1"/>
  <c r="AH507" i="1" s="1"/>
  <c r="AJ506" i="1"/>
  <c r="AI506" i="1" s="1"/>
  <c r="AH506" i="1" s="1"/>
  <c r="AJ505" i="1"/>
  <c r="AI505" i="1" s="1"/>
  <c r="AH505" i="1" s="1"/>
  <c r="AJ504" i="1"/>
  <c r="AI504" i="1" s="1"/>
  <c r="AH504" i="1" s="1"/>
  <c r="AJ503" i="1"/>
  <c r="AI503" i="1" s="1"/>
  <c r="AH503" i="1" s="1"/>
  <c r="AJ502" i="1"/>
  <c r="AI502" i="1" s="1"/>
  <c r="AH502" i="1" s="1"/>
  <c r="AJ501" i="1"/>
  <c r="AI501" i="1" s="1"/>
  <c r="AH501" i="1" s="1"/>
  <c r="AJ500" i="1"/>
  <c r="AI500" i="1" s="1"/>
  <c r="AH500" i="1" s="1"/>
  <c r="AJ499" i="1"/>
  <c r="AI499" i="1" s="1"/>
  <c r="AH499" i="1" s="1"/>
  <c r="AJ498" i="1"/>
  <c r="AI498" i="1" s="1"/>
  <c r="AH498" i="1" s="1"/>
  <c r="AJ497" i="1"/>
  <c r="AI497" i="1" s="1"/>
  <c r="AH497" i="1" s="1"/>
  <c r="AJ496" i="1"/>
  <c r="AI496" i="1" s="1"/>
  <c r="AH496" i="1" s="1"/>
  <c r="AJ495" i="1"/>
  <c r="AI495" i="1" s="1"/>
  <c r="AH495" i="1" s="1"/>
  <c r="AJ494" i="1"/>
  <c r="AI494" i="1" s="1"/>
  <c r="AH494" i="1" s="1"/>
  <c r="AJ493" i="1"/>
  <c r="AI493" i="1" s="1"/>
  <c r="AH493" i="1" s="1"/>
  <c r="AJ492" i="1"/>
  <c r="AI492" i="1" s="1"/>
  <c r="AH492" i="1" s="1"/>
  <c r="AJ491" i="1"/>
  <c r="AI491" i="1" s="1"/>
  <c r="AH491" i="1" s="1"/>
  <c r="AJ490" i="1"/>
  <c r="AI490" i="1" s="1"/>
  <c r="AH490" i="1" s="1"/>
  <c r="AJ489" i="1"/>
  <c r="AI489" i="1" s="1"/>
  <c r="AH489" i="1" s="1"/>
  <c r="AJ488" i="1"/>
  <c r="AI488" i="1" s="1"/>
  <c r="AH488" i="1" s="1"/>
  <c r="AJ486" i="1"/>
  <c r="AI486" i="1" s="1"/>
  <c r="AH486" i="1" s="1"/>
  <c r="AJ485" i="1"/>
  <c r="AI485" i="1" s="1"/>
  <c r="AH485" i="1" s="1"/>
  <c r="AJ484" i="1"/>
  <c r="AI484" i="1" s="1"/>
  <c r="AH484" i="1" s="1"/>
  <c r="AJ483" i="1"/>
  <c r="AI483" i="1" s="1"/>
  <c r="AH483" i="1" s="1"/>
  <c r="AJ481" i="1"/>
  <c r="AI481" i="1" s="1"/>
  <c r="AH481" i="1" s="1"/>
  <c r="AJ480" i="1"/>
  <c r="AI480" i="1" s="1"/>
  <c r="AH480" i="1" s="1"/>
  <c r="AJ479" i="1"/>
  <c r="AI479" i="1" s="1"/>
  <c r="AH479" i="1" s="1"/>
  <c r="AJ478" i="1"/>
  <c r="AI478" i="1" s="1"/>
  <c r="AH478" i="1" s="1"/>
  <c r="AJ477" i="1"/>
  <c r="AI477" i="1" s="1"/>
  <c r="AH477" i="1" s="1"/>
  <c r="AJ476" i="1"/>
  <c r="AI476" i="1" s="1"/>
  <c r="AH476" i="1" s="1"/>
  <c r="AJ475" i="1"/>
  <c r="AI475" i="1" s="1"/>
  <c r="AH475" i="1" s="1"/>
  <c r="AJ474" i="1"/>
  <c r="AI474" i="1" s="1"/>
  <c r="AH474" i="1" s="1"/>
  <c r="AJ473" i="1"/>
  <c r="AI473" i="1" s="1"/>
  <c r="AH473" i="1" s="1"/>
  <c r="AJ471" i="1"/>
  <c r="AI471" i="1" s="1"/>
  <c r="AH471" i="1" s="1"/>
  <c r="AJ470" i="1"/>
  <c r="AI470" i="1" s="1"/>
  <c r="AH470" i="1" s="1"/>
  <c r="AJ468" i="1"/>
  <c r="AI468" i="1" s="1"/>
  <c r="AH468" i="1" s="1"/>
  <c r="AJ467" i="1"/>
  <c r="AI467" i="1" s="1"/>
  <c r="AH467" i="1" s="1"/>
  <c r="AJ466" i="1"/>
  <c r="AI466" i="1" s="1"/>
  <c r="AH466" i="1" s="1"/>
  <c r="AJ465" i="1"/>
  <c r="AI465" i="1" s="1"/>
  <c r="AH465" i="1" s="1"/>
  <c r="AJ464" i="1"/>
  <c r="AI464" i="1" s="1"/>
  <c r="AH464" i="1" s="1"/>
  <c r="AJ463" i="1"/>
  <c r="AI463" i="1" s="1"/>
  <c r="AH463" i="1" s="1"/>
  <c r="AJ462" i="1"/>
  <c r="AI462" i="1" s="1"/>
  <c r="AH462" i="1" s="1"/>
  <c r="AJ461" i="1"/>
  <c r="AI461" i="1" s="1"/>
  <c r="AH461" i="1" s="1"/>
  <c r="AJ460" i="1"/>
  <c r="AI460" i="1" s="1"/>
  <c r="AH460" i="1" s="1"/>
  <c r="AJ459" i="1"/>
  <c r="AI459" i="1" s="1"/>
  <c r="AH459" i="1" s="1"/>
  <c r="AJ458" i="1"/>
  <c r="AI458" i="1" s="1"/>
  <c r="AH458" i="1" s="1"/>
  <c r="AJ457" i="1"/>
  <c r="AI457" i="1" s="1"/>
  <c r="AH457" i="1" s="1"/>
  <c r="AJ455" i="1"/>
  <c r="AI455" i="1" s="1"/>
  <c r="AH455" i="1" s="1"/>
  <c r="AJ454" i="1"/>
  <c r="AI454" i="1" s="1"/>
  <c r="AH454" i="1" s="1"/>
  <c r="AJ453" i="1"/>
  <c r="AI453" i="1" s="1"/>
  <c r="AH453" i="1" s="1"/>
  <c r="AJ452" i="1"/>
  <c r="AI452" i="1" s="1"/>
  <c r="AH452" i="1" s="1"/>
  <c r="AJ451" i="1"/>
  <c r="AI451" i="1" s="1"/>
  <c r="AH451" i="1" s="1"/>
  <c r="AJ449" i="1"/>
  <c r="AI449" i="1" s="1"/>
  <c r="AH449" i="1" s="1"/>
  <c r="AJ448" i="1"/>
  <c r="AI448" i="1" s="1"/>
  <c r="AH448" i="1" s="1"/>
  <c r="AJ446" i="1"/>
  <c r="AI446" i="1" s="1"/>
  <c r="AH446" i="1" s="1"/>
  <c r="AJ445" i="1"/>
  <c r="AI445" i="1" s="1"/>
  <c r="AH445" i="1" s="1"/>
  <c r="AJ444" i="1"/>
  <c r="AI444" i="1" s="1"/>
  <c r="AH444" i="1" s="1"/>
  <c r="AJ443" i="1"/>
  <c r="AI443" i="1" s="1"/>
  <c r="AH443" i="1" s="1"/>
  <c r="AJ442" i="1"/>
  <c r="AI442" i="1" s="1"/>
  <c r="AH442" i="1" s="1"/>
  <c r="AJ441" i="1"/>
  <c r="AI441" i="1" s="1"/>
  <c r="AH441" i="1" s="1"/>
  <c r="AJ440" i="1"/>
  <c r="AI440" i="1" s="1"/>
  <c r="AH440" i="1" s="1"/>
  <c r="AJ439" i="1"/>
  <c r="AI439" i="1" s="1"/>
  <c r="AH439" i="1" s="1"/>
  <c r="AJ438" i="1"/>
  <c r="AI438" i="1" s="1"/>
  <c r="AH438" i="1" s="1"/>
  <c r="AJ437" i="1"/>
  <c r="AI437" i="1" s="1"/>
  <c r="AH437" i="1" s="1"/>
  <c r="AJ436" i="1"/>
  <c r="AI436" i="1" s="1"/>
  <c r="AH436" i="1" s="1"/>
  <c r="AJ435" i="1"/>
  <c r="AI435" i="1" s="1"/>
  <c r="AH435" i="1" s="1"/>
  <c r="AJ434" i="1"/>
  <c r="AI434" i="1" s="1"/>
  <c r="AH434" i="1" s="1"/>
  <c r="AJ433" i="1"/>
  <c r="AI433" i="1" s="1"/>
  <c r="AH433" i="1" s="1"/>
  <c r="AJ432" i="1"/>
  <c r="AI432" i="1" s="1"/>
  <c r="AH432" i="1" s="1"/>
  <c r="AJ431" i="1"/>
  <c r="AI431" i="1" s="1"/>
  <c r="AH431" i="1" s="1"/>
  <c r="AJ430" i="1"/>
  <c r="AI430" i="1" s="1"/>
  <c r="AH430" i="1" s="1"/>
  <c r="AJ428" i="1"/>
  <c r="AI428" i="1" s="1"/>
  <c r="AH428" i="1" s="1"/>
  <c r="AJ427" i="1"/>
  <c r="AI427" i="1" s="1"/>
  <c r="AH427" i="1" s="1"/>
  <c r="AJ426" i="1"/>
  <c r="AI426" i="1" s="1"/>
  <c r="AH426" i="1" s="1"/>
  <c r="AJ425" i="1"/>
  <c r="AI425" i="1" s="1"/>
  <c r="AH425" i="1" s="1"/>
  <c r="AJ424" i="1"/>
  <c r="AI424" i="1" s="1"/>
  <c r="AH424" i="1" s="1"/>
  <c r="AJ423" i="1"/>
  <c r="AI423" i="1" s="1"/>
  <c r="AH423" i="1" s="1"/>
  <c r="AJ422" i="1"/>
  <c r="AI422" i="1" s="1"/>
  <c r="AH422" i="1" s="1"/>
  <c r="AJ421" i="1"/>
  <c r="AI421" i="1" s="1"/>
  <c r="AH421" i="1" s="1"/>
  <c r="AJ419" i="1"/>
  <c r="AI419" i="1" s="1"/>
  <c r="AH419" i="1" s="1"/>
  <c r="AJ418" i="1"/>
  <c r="AI418" i="1" s="1"/>
  <c r="AH418" i="1" s="1"/>
  <c r="AJ417" i="1"/>
  <c r="AI417" i="1" s="1"/>
  <c r="AH417" i="1" s="1"/>
  <c r="AJ416" i="1"/>
  <c r="AI416" i="1" s="1"/>
  <c r="AH416" i="1" s="1"/>
  <c r="AJ415" i="1"/>
  <c r="AI415" i="1" s="1"/>
  <c r="AH415" i="1" s="1"/>
  <c r="AJ414" i="1"/>
  <c r="AI414" i="1" s="1"/>
  <c r="AH414" i="1" s="1"/>
  <c r="AJ413" i="1"/>
  <c r="AI413" i="1" s="1"/>
  <c r="AH413" i="1" s="1"/>
  <c r="AJ412" i="1"/>
  <c r="AI412" i="1" s="1"/>
  <c r="AH412" i="1" s="1"/>
  <c r="AJ411" i="1"/>
  <c r="AI411" i="1" s="1"/>
  <c r="AH411" i="1" s="1"/>
  <c r="AJ410" i="1"/>
  <c r="AI410" i="1" s="1"/>
  <c r="AH410" i="1" s="1"/>
  <c r="AJ409" i="1"/>
  <c r="AI409" i="1" s="1"/>
  <c r="AH409" i="1" s="1"/>
  <c r="AJ408" i="1"/>
  <c r="AI408" i="1" s="1"/>
  <c r="AH408" i="1" s="1"/>
  <c r="AJ407" i="1"/>
  <c r="AI407" i="1" s="1"/>
  <c r="AH407" i="1" s="1"/>
  <c r="AJ406" i="1"/>
  <c r="AI406" i="1" s="1"/>
  <c r="AH406" i="1" s="1"/>
  <c r="AJ405" i="1"/>
  <c r="AI405" i="1" s="1"/>
  <c r="AH405" i="1" s="1"/>
  <c r="AJ404" i="1"/>
  <c r="AI404" i="1" s="1"/>
  <c r="AH404" i="1" s="1"/>
  <c r="AJ403" i="1"/>
  <c r="AI403" i="1" s="1"/>
  <c r="AH403" i="1" s="1"/>
  <c r="AJ401" i="1"/>
  <c r="AI401" i="1" s="1"/>
  <c r="AH401" i="1" s="1"/>
  <c r="AJ399" i="1"/>
  <c r="AI399" i="1" s="1"/>
  <c r="AH399" i="1" s="1"/>
  <c r="AJ398" i="1"/>
  <c r="AI398" i="1" s="1"/>
  <c r="AH398" i="1" s="1"/>
  <c r="AJ397" i="1"/>
  <c r="AI397" i="1" s="1"/>
  <c r="AH397" i="1" s="1"/>
  <c r="AJ396" i="1"/>
  <c r="AI396" i="1" s="1"/>
  <c r="AH396" i="1" s="1"/>
  <c r="AJ395" i="1"/>
  <c r="AI395" i="1" s="1"/>
  <c r="AH395" i="1" s="1"/>
  <c r="AJ394" i="1"/>
  <c r="AI394" i="1" s="1"/>
  <c r="AH394" i="1" s="1"/>
  <c r="AJ393" i="1"/>
  <c r="AI393" i="1" s="1"/>
  <c r="AH393" i="1" s="1"/>
  <c r="AJ392" i="1"/>
  <c r="AI392" i="1" s="1"/>
  <c r="AH392" i="1" s="1"/>
  <c r="AJ391" i="1"/>
  <c r="AI391" i="1" s="1"/>
  <c r="AH391" i="1" s="1"/>
  <c r="AJ390" i="1"/>
  <c r="AI390" i="1" s="1"/>
  <c r="AH390" i="1" s="1"/>
  <c r="AJ389" i="1"/>
  <c r="AI389" i="1" s="1"/>
  <c r="AH389" i="1" s="1"/>
  <c r="AJ388" i="1"/>
  <c r="AI388" i="1" s="1"/>
  <c r="AH388" i="1" s="1"/>
  <c r="AJ387" i="1"/>
  <c r="AI387" i="1" s="1"/>
  <c r="AH387" i="1" s="1"/>
  <c r="AJ386" i="1"/>
  <c r="AI386" i="1" s="1"/>
  <c r="AH386" i="1" s="1"/>
  <c r="AJ385" i="1"/>
  <c r="AI385" i="1" s="1"/>
  <c r="AH385" i="1" s="1"/>
  <c r="AJ384" i="1"/>
  <c r="AI384" i="1" s="1"/>
  <c r="AH384" i="1" s="1"/>
  <c r="AJ383" i="1"/>
  <c r="AI383" i="1" s="1"/>
  <c r="AH383" i="1" s="1"/>
  <c r="AJ382" i="1"/>
  <c r="AI382" i="1" s="1"/>
  <c r="AH382" i="1" s="1"/>
  <c r="AJ381" i="1"/>
  <c r="AI381" i="1" s="1"/>
  <c r="AH381" i="1" s="1"/>
  <c r="AJ380" i="1"/>
  <c r="AI380" i="1" s="1"/>
  <c r="AH380" i="1" s="1"/>
  <c r="AJ379" i="1"/>
  <c r="AI379" i="1" s="1"/>
  <c r="AH379" i="1" s="1"/>
  <c r="AJ378" i="1"/>
  <c r="AI378" i="1" s="1"/>
  <c r="AH378" i="1" s="1"/>
  <c r="AJ375" i="1"/>
  <c r="AI375" i="1" s="1"/>
  <c r="AH375" i="1" s="1"/>
  <c r="AJ374" i="1"/>
  <c r="AI374" i="1" s="1"/>
  <c r="AH374" i="1" s="1"/>
  <c r="AJ372" i="1"/>
  <c r="AI372" i="1" s="1"/>
  <c r="AH372" i="1" s="1"/>
  <c r="AJ371" i="1"/>
  <c r="AI371" i="1" s="1"/>
  <c r="AH371" i="1" s="1"/>
  <c r="AJ370" i="1"/>
  <c r="AI370" i="1" s="1"/>
  <c r="AH370" i="1" s="1"/>
  <c r="AJ369" i="1"/>
  <c r="AI369" i="1" s="1"/>
  <c r="AH369" i="1" s="1"/>
  <c r="AJ368" i="1"/>
  <c r="AI368" i="1" s="1"/>
  <c r="AH368" i="1" s="1"/>
  <c r="AJ367" i="1"/>
  <c r="AI367" i="1" s="1"/>
  <c r="AH367" i="1" s="1"/>
  <c r="AJ366" i="1"/>
  <c r="AI366" i="1" s="1"/>
  <c r="AH366" i="1" s="1"/>
  <c r="AJ365" i="1"/>
  <c r="AI365" i="1" s="1"/>
  <c r="AH365" i="1" s="1"/>
  <c r="AJ364" i="1"/>
  <c r="AI364" i="1" s="1"/>
  <c r="AH364" i="1" s="1"/>
  <c r="AJ363" i="1"/>
  <c r="AI363" i="1" s="1"/>
  <c r="AH363" i="1" s="1"/>
  <c r="AJ362" i="1"/>
  <c r="AI362" i="1" s="1"/>
  <c r="AH362" i="1" s="1"/>
  <c r="AJ361" i="1"/>
  <c r="AI361" i="1" s="1"/>
  <c r="AH361" i="1" s="1"/>
  <c r="AJ360" i="1"/>
  <c r="AI360" i="1" s="1"/>
  <c r="AH360" i="1" s="1"/>
  <c r="AJ359" i="1"/>
  <c r="AI359" i="1" s="1"/>
  <c r="AH359" i="1" s="1"/>
  <c r="AJ358" i="1"/>
  <c r="AI358" i="1" s="1"/>
  <c r="AH358" i="1" s="1"/>
  <c r="AJ357" i="1"/>
  <c r="AI357" i="1" s="1"/>
  <c r="AH357" i="1" s="1"/>
  <c r="AJ356" i="1"/>
  <c r="AI356" i="1" s="1"/>
  <c r="AH356" i="1" s="1"/>
  <c r="AJ355" i="1"/>
  <c r="AI355" i="1" s="1"/>
  <c r="AH355" i="1" s="1"/>
  <c r="AJ354" i="1"/>
  <c r="AI354" i="1" s="1"/>
  <c r="AH354" i="1" s="1"/>
  <c r="AJ353" i="1"/>
  <c r="AI353" i="1" s="1"/>
  <c r="AH353" i="1" s="1"/>
  <c r="AJ352" i="1"/>
  <c r="AI352" i="1" s="1"/>
  <c r="AH352" i="1" s="1"/>
  <c r="AJ351" i="1"/>
  <c r="AI351" i="1" s="1"/>
  <c r="AH351" i="1" s="1"/>
  <c r="AJ350" i="1"/>
  <c r="AI350" i="1" s="1"/>
  <c r="AH350" i="1" s="1"/>
  <c r="AJ348" i="1"/>
  <c r="AI348" i="1" s="1"/>
  <c r="AH348" i="1" s="1"/>
  <c r="AJ347" i="1"/>
  <c r="AI347" i="1" s="1"/>
  <c r="AH347" i="1" s="1"/>
  <c r="AJ346" i="1"/>
  <c r="AI346" i="1" s="1"/>
  <c r="AH346" i="1" s="1"/>
  <c r="AJ345" i="1"/>
  <c r="AI345" i="1" s="1"/>
  <c r="AH345" i="1" s="1"/>
  <c r="AJ344" i="1"/>
  <c r="AI344" i="1" s="1"/>
  <c r="AH344" i="1" s="1"/>
  <c r="AJ343" i="1"/>
  <c r="AI343" i="1" s="1"/>
  <c r="AH343" i="1" s="1"/>
  <c r="AJ342" i="1"/>
  <c r="AI342" i="1" s="1"/>
  <c r="AH342" i="1" s="1"/>
  <c r="AJ341" i="1"/>
  <c r="AI341" i="1" s="1"/>
  <c r="AH341" i="1" s="1"/>
  <c r="AJ340" i="1"/>
  <c r="AI340" i="1" s="1"/>
  <c r="AH340" i="1" s="1"/>
  <c r="AJ339" i="1"/>
  <c r="AI339" i="1" s="1"/>
  <c r="AH339" i="1" s="1"/>
  <c r="AJ338" i="1"/>
  <c r="AI338" i="1" s="1"/>
  <c r="AH338" i="1" s="1"/>
  <c r="AJ337" i="1"/>
  <c r="AI337" i="1" s="1"/>
  <c r="AH337" i="1" s="1"/>
  <c r="AJ336" i="1"/>
  <c r="AI336" i="1" s="1"/>
  <c r="AH336" i="1" s="1"/>
  <c r="AJ335" i="1"/>
  <c r="AI335" i="1" s="1"/>
  <c r="AH335" i="1" s="1"/>
  <c r="AJ334" i="1"/>
  <c r="AI334" i="1" s="1"/>
  <c r="AH334" i="1" s="1"/>
  <c r="AJ331" i="1"/>
  <c r="AI331" i="1" s="1"/>
  <c r="AH331" i="1" s="1"/>
  <c r="AJ330" i="1"/>
  <c r="AI330" i="1" s="1"/>
  <c r="AH330" i="1" s="1"/>
  <c r="AJ329" i="1"/>
  <c r="AI329" i="1" s="1"/>
  <c r="AH329" i="1" s="1"/>
  <c r="AJ328" i="1"/>
  <c r="AI328" i="1" s="1"/>
  <c r="AH328" i="1" s="1"/>
  <c r="AJ327" i="1"/>
  <c r="AI327" i="1" s="1"/>
  <c r="AH327" i="1" s="1"/>
  <c r="AJ326" i="1"/>
  <c r="AI326" i="1" s="1"/>
  <c r="AH326" i="1" s="1"/>
  <c r="AJ325" i="1"/>
  <c r="AI325" i="1" s="1"/>
  <c r="AH325" i="1" s="1"/>
  <c r="AJ324" i="1"/>
  <c r="AI324" i="1" s="1"/>
  <c r="AH324" i="1" s="1"/>
  <c r="AJ323" i="1"/>
  <c r="AI323" i="1" s="1"/>
  <c r="AH323" i="1" s="1"/>
  <c r="AJ322" i="1"/>
  <c r="AJ320" i="1"/>
  <c r="AI320" i="1" s="1"/>
  <c r="AH320" i="1" s="1"/>
  <c r="AJ319" i="1"/>
  <c r="AI319" i="1" s="1"/>
  <c r="AH319" i="1" s="1"/>
  <c r="AJ318" i="1"/>
  <c r="AI318" i="1" s="1"/>
  <c r="AH318" i="1" s="1"/>
  <c r="AJ317" i="1"/>
  <c r="AI317" i="1" s="1"/>
  <c r="AH317" i="1" s="1"/>
  <c r="AJ316" i="1"/>
  <c r="AI316" i="1" s="1"/>
  <c r="AH316" i="1" s="1"/>
  <c r="AJ315" i="1"/>
  <c r="AI315" i="1" s="1"/>
  <c r="AH315" i="1" s="1"/>
  <c r="AJ314" i="1"/>
  <c r="AI314" i="1" s="1"/>
  <c r="AH314" i="1" s="1"/>
  <c r="AJ313" i="1"/>
  <c r="AI313" i="1" s="1"/>
  <c r="AH313" i="1" s="1"/>
  <c r="AJ312" i="1"/>
  <c r="AI312" i="1" s="1"/>
  <c r="AH312" i="1" s="1"/>
  <c r="AJ311" i="1"/>
  <c r="AI311" i="1" s="1"/>
  <c r="AH311" i="1" s="1"/>
  <c r="AJ310" i="1"/>
  <c r="AI310" i="1" s="1"/>
  <c r="AH310" i="1" s="1"/>
  <c r="AJ309" i="1"/>
  <c r="AI309" i="1" s="1"/>
  <c r="AH309" i="1" s="1"/>
  <c r="AJ307" i="1"/>
  <c r="AI307" i="1" s="1"/>
  <c r="AH307" i="1" s="1"/>
  <c r="AJ306" i="1"/>
  <c r="AI306" i="1" s="1"/>
  <c r="AH306" i="1" s="1"/>
  <c r="AJ305" i="1"/>
  <c r="AI305" i="1" s="1"/>
  <c r="AH305" i="1" s="1"/>
  <c r="AJ304" i="1"/>
  <c r="AI304" i="1" s="1"/>
  <c r="AH304" i="1" s="1"/>
  <c r="AJ303" i="1"/>
  <c r="AI303" i="1" s="1"/>
  <c r="AH303" i="1" s="1"/>
  <c r="AJ302" i="1"/>
  <c r="AI302" i="1" s="1"/>
  <c r="AH302" i="1" s="1"/>
  <c r="AJ301" i="1"/>
  <c r="AI301" i="1" s="1"/>
  <c r="AH301" i="1" s="1"/>
  <c r="AJ300" i="1"/>
  <c r="AI300" i="1" s="1"/>
  <c r="AH300" i="1" s="1"/>
  <c r="AJ299" i="1"/>
  <c r="AI299" i="1" s="1"/>
  <c r="AH299" i="1" s="1"/>
  <c r="AJ298" i="1"/>
  <c r="AI298" i="1" s="1"/>
  <c r="AH298" i="1" s="1"/>
  <c r="AJ296" i="1"/>
  <c r="AI296" i="1" s="1"/>
  <c r="AH296" i="1" s="1"/>
  <c r="AJ295" i="1"/>
  <c r="AI295" i="1" s="1"/>
  <c r="AH295" i="1" s="1"/>
  <c r="AJ294" i="1"/>
  <c r="AI294" i="1" s="1"/>
  <c r="AH294" i="1" s="1"/>
  <c r="AJ293" i="1"/>
  <c r="AI293" i="1" s="1"/>
  <c r="AH293" i="1" s="1"/>
  <c r="AJ292" i="1"/>
  <c r="AI292" i="1" s="1"/>
  <c r="AH292" i="1" s="1"/>
  <c r="AJ291" i="1"/>
  <c r="AI291" i="1" s="1"/>
  <c r="AH291" i="1" s="1"/>
  <c r="AJ290" i="1"/>
  <c r="AI290" i="1" s="1"/>
  <c r="AH290" i="1" s="1"/>
  <c r="AJ289" i="1"/>
  <c r="AJ288" i="1"/>
  <c r="AI288" i="1" s="1"/>
  <c r="AH288" i="1" s="1"/>
  <c r="AJ287" i="1"/>
  <c r="AI287" i="1" s="1"/>
  <c r="AH287" i="1" s="1"/>
  <c r="AJ285" i="1"/>
  <c r="AI285" i="1" s="1"/>
  <c r="AH285" i="1" s="1"/>
  <c r="AJ284" i="1"/>
  <c r="AI284" i="1" s="1"/>
  <c r="AH284" i="1" s="1"/>
  <c r="AJ283" i="1"/>
  <c r="AI283" i="1" s="1"/>
  <c r="AH283" i="1" s="1"/>
  <c r="AJ281" i="1"/>
  <c r="AI281" i="1" s="1"/>
  <c r="AH281" i="1" s="1"/>
  <c r="AJ280" i="1"/>
  <c r="AI280" i="1" s="1"/>
  <c r="AH280" i="1" s="1"/>
  <c r="AJ279" i="1"/>
  <c r="AI279" i="1" s="1"/>
  <c r="AH279" i="1" s="1"/>
  <c r="AJ278" i="1"/>
  <c r="AI278" i="1" s="1"/>
  <c r="AH278" i="1" s="1"/>
  <c r="AJ277" i="1"/>
  <c r="AI277" i="1" s="1"/>
  <c r="AH277" i="1" s="1"/>
  <c r="AJ276" i="1"/>
  <c r="AI276" i="1" s="1"/>
  <c r="AH276" i="1" s="1"/>
  <c r="AJ275" i="1"/>
  <c r="AI275" i="1" s="1"/>
  <c r="AH275" i="1" s="1"/>
  <c r="AJ274" i="1"/>
  <c r="AI274" i="1" s="1"/>
  <c r="AH274" i="1" s="1"/>
  <c r="AJ273" i="1"/>
  <c r="AI273" i="1" s="1"/>
  <c r="AH273" i="1" s="1"/>
  <c r="AJ272" i="1"/>
  <c r="AI272" i="1" s="1"/>
  <c r="AH272" i="1" s="1"/>
  <c r="AJ271" i="1"/>
  <c r="AI271" i="1" s="1"/>
  <c r="AH271" i="1" s="1"/>
  <c r="AJ270" i="1"/>
  <c r="AI270" i="1" s="1"/>
  <c r="AH270" i="1" s="1"/>
  <c r="AJ269" i="1"/>
  <c r="AI269" i="1" s="1"/>
  <c r="AH269" i="1" s="1"/>
  <c r="AJ268" i="1"/>
  <c r="AI268" i="1" s="1"/>
  <c r="AH268" i="1" s="1"/>
  <c r="AJ266" i="1"/>
  <c r="AI266" i="1" s="1"/>
  <c r="AH266" i="1" s="1"/>
  <c r="AJ265" i="1"/>
  <c r="AJ264" i="1"/>
  <c r="AI264" i="1" s="1"/>
  <c r="AH264" i="1" s="1"/>
  <c r="AJ263" i="1"/>
  <c r="AI263" i="1" s="1"/>
  <c r="AH263" i="1" s="1"/>
  <c r="AJ262" i="1"/>
  <c r="AI262" i="1" s="1"/>
  <c r="AH262" i="1" s="1"/>
  <c r="AJ261" i="1"/>
  <c r="AI261" i="1" s="1"/>
  <c r="AH261" i="1" s="1"/>
  <c r="AJ260" i="1"/>
  <c r="AI260" i="1" s="1"/>
  <c r="AH260" i="1" s="1"/>
  <c r="AJ259" i="1"/>
  <c r="AI259" i="1" s="1"/>
  <c r="AH259" i="1" s="1"/>
  <c r="AJ258" i="1"/>
  <c r="AI258" i="1" s="1"/>
  <c r="AH258" i="1" s="1"/>
  <c r="AJ257" i="1"/>
  <c r="AI257" i="1" s="1"/>
  <c r="AH257" i="1" s="1"/>
  <c r="AJ255" i="1"/>
  <c r="AI255" i="1" s="1"/>
  <c r="AH255" i="1" s="1"/>
  <c r="AJ254" i="1"/>
  <c r="AI254" i="1" s="1"/>
  <c r="AH254" i="1" s="1"/>
  <c r="AJ251" i="1"/>
  <c r="AI251" i="1" s="1"/>
  <c r="AH251" i="1" s="1"/>
  <c r="AJ250" i="1"/>
  <c r="AI250" i="1" s="1"/>
  <c r="AH250" i="1" s="1"/>
  <c r="AJ249" i="1"/>
  <c r="AI249" i="1" s="1"/>
  <c r="AH249" i="1" s="1"/>
  <c r="AJ248" i="1"/>
  <c r="AI248" i="1" s="1"/>
  <c r="AH248" i="1" s="1"/>
  <c r="AJ247" i="1"/>
  <c r="AI247" i="1" s="1"/>
  <c r="AH247" i="1" s="1"/>
  <c r="AJ246" i="1"/>
  <c r="AI246" i="1" s="1"/>
  <c r="AH246" i="1" s="1"/>
  <c r="AJ245" i="1"/>
  <c r="AI245" i="1" s="1"/>
  <c r="AH245" i="1" s="1"/>
  <c r="AJ244" i="1"/>
  <c r="AI244" i="1" s="1"/>
  <c r="AH244" i="1" s="1"/>
  <c r="AJ243" i="1"/>
  <c r="AI243" i="1" s="1"/>
  <c r="AH243" i="1" s="1"/>
  <c r="AJ242" i="1"/>
  <c r="AI242" i="1" s="1"/>
  <c r="AH242" i="1" s="1"/>
  <c r="AJ241" i="1"/>
  <c r="AI241" i="1" s="1"/>
  <c r="AH241" i="1" s="1"/>
  <c r="AJ240" i="1"/>
  <c r="AI240" i="1" s="1"/>
  <c r="AH240" i="1" s="1"/>
  <c r="AJ239" i="1"/>
  <c r="AJ238" i="1"/>
  <c r="AI238" i="1" s="1"/>
  <c r="AH238" i="1" s="1"/>
  <c r="AJ237" i="1"/>
  <c r="AI237" i="1" s="1"/>
  <c r="AH237" i="1" s="1"/>
  <c r="AJ236" i="1"/>
  <c r="AI236" i="1" s="1"/>
  <c r="AH236" i="1" s="1"/>
  <c r="AJ235" i="1"/>
  <c r="AI235" i="1" s="1"/>
  <c r="AH235" i="1" s="1"/>
  <c r="AJ234" i="1"/>
  <c r="AI234" i="1" s="1"/>
  <c r="AH234" i="1" s="1"/>
  <c r="AJ233" i="1"/>
  <c r="AI233" i="1" s="1"/>
  <c r="AH233" i="1" s="1"/>
  <c r="AJ232" i="1"/>
  <c r="AI232" i="1" s="1"/>
  <c r="AH232" i="1" s="1"/>
  <c r="AJ231" i="1"/>
  <c r="AI231" i="1" s="1"/>
  <c r="AH231" i="1" s="1"/>
  <c r="AJ230" i="1"/>
  <c r="AI230" i="1" s="1"/>
  <c r="AH230" i="1" s="1"/>
  <c r="AJ229" i="1"/>
  <c r="AI229" i="1" s="1"/>
  <c r="AJ228" i="1"/>
  <c r="AI228" i="1" s="1"/>
  <c r="AH228" i="1" s="1"/>
  <c r="AJ227" i="1"/>
  <c r="AI227" i="1" s="1"/>
  <c r="AH227" i="1" s="1"/>
  <c r="AJ226" i="1"/>
  <c r="AI226" i="1" s="1"/>
  <c r="AH226" i="1" s="1"/>
  <c r="AJ225" i="1"/>
  <c r="AI225" i="1" s="1"/>
  <c r="AH225" i="1" s="1"/>
  <c r="AJ224" i="1"/>
  <c r="AI224" i="1" s="1"/>
  <c r="AH224" i="1" s="1"/>
  <c r="AJ222" i="1"/>
  <c r="AI222" i="1" s="1"/>
  <c r="AH222" i="1" s="1"/>
  <c r="AJ221" i="1"/>
  <c r="AI221" i="1" s="1"/>
  <c r="AH221" i="1" s="1"/>
  <c r="AJ218" i="1"/>
  <c r="AI218" i="1" s="1"/>
  <c r="AH218" i="1" s="1"/>
  <c r="AJ217" i="1"/>
  <c r="AI217" i="1" s="1"/>
  <c r="AH217" i="1" s="1"/>
  <c r="AJ216" i="1"/>
  <c r="AI216" i="1" s="1"/>
  <c r="AH216" i="1" s="1"/>
  <c r="AJ215" i="1"/>
  <c r="AJ214" i="1"/>
  <c r="AI214" i="1" s="1"/>
  <c r="AH214" i="1" s="1"/>
  <c r="AJ213" i="1"/>
  <c r="AI213" i="1" s="1"/>
  <c r="AH213" i="1" s="1"/>
  <c r="AJ212" i="1"/>
  <c r="AI212" i="1" s="1"/>
  <c r="AH212" i="1" s="1"/>
  <c r="AJ211" i="1"/>
  <c r="AI211" i="1" s="1"/>
  <c r="AH211" i="1" s="1"/>
  <c r="AJ210" i="1"/>
  <c r="AI210" i="1" s="1"/>
  <c r="AH210" i="1" s="1"/>
  <c r="AJ209" i="1"/>
  <c r="AI209" i="1" s="1"/>
  <c r="AH209" i="1" s="1"/>
  <c r="AJ208" i="1"/>
  <c r="AI208" i="1" s="1"/>
  <c r="AH208" i="1" s="1"/>
  <c r="AJ206" i="1"/>
  <c r="AI206" i="1" s="1"/>
  <c r="AH206" i="1" s="1"/>
  <c r="AJ204" i="1"/>
  <c r="AI204" i="1" s="1"/>
  <c r="AH204" i="1" s="1"/>
  <c r="AJ203" i="1"/>
  <c r="AI203" i="1" s="1"/>
  <c r="AH203" i="1" s="1"/>
  <c r="AJ202" i="1"/>
  <c r="AI202" i="1" s="1"/>
  <c r="AH202" i="1" s="1"/>
  <c r="AJ201" i="1"/>
  <c r="AI201" i="1" s="1"/>
  <c r="AH201" i="1" s="1"/>
  <c r="AJ200" i="1"/>
  <c r="AI200" i="1" s="1"/>
  <c r="AH200" i="1" s="1"/>
  <c r="AJ199" i="1"/>
  <c r="AJ198" i="1"/>
  <c r="AI198" i="1" s="1"/>
  <c r="AH198" i="1" s="1"/>
  <c r="AJ196" i="1"/>
  <c r="AI196" i="1" s="1"/>
  <c r="AH196" i="1" s="1"/>
  <c r="AJ195" i="1"/>
  <c r="AI195" i="1" s="1"/>
  <c r="AH195" i="1" s="1"/>
  <c r="AJ194" i="1"/>
  <c r="AI194" i="1" s="1"/>
  <c r="AH194" i="1" s="1"/>
  <c r="AJ193" i="1"/>
  <c r="AI193" i="1" s="1"/>
  <c r="AH193" i="1" s="1"/>
  <c r="AJ192" i="1"/>
  <c r="AI192" i="1" s="1"/>
  <c r="AH192" i="1" s="1"/>
  <c r="AJ191" i="1"/>
  <c r="AI191" i="1" s="1"/>
  <c r="AH191" i="1" s="1"/>
  <c r="AJ190" i="1"/>
  <c r="AI190" i="1" s="1"/>
  <c r="AH190" i="1" s="1"/>
  <c r="AJ189" i="1"/>
  <c r="AI189" i="1" s="1"/>
  <c r="AH189" i="1" s="1"/>
  <c r="AJ187" i="1"/>
  <c r="AI187" i="1" s="1"/>
  <c r="AH187" i="1" s="1"/>
  <c r="AJ186" i="1"/>
  <c r="AI186" i="1" s="1"/>
  <c r="AH186" i="1" s="1"/>
  <c r="AJ185" i="1"/>
  <c r="AI185" i="1" s="1"/>
  <c r="AH185" i="1" s="1"/>
  <c r="AJ184" i="1"/>
  <c r="AI184" i="1" s="1"/>
  <c r="AH184" i="1" s="1"/>
  <c r="AJ183" i="1"/>
  <c r="AI183" i="1" s="1"/>
  <c r="AH183" i="1" s="1"/>
  <c r="AJ182" i="1"/>
  <c r="AI182" i="1" s="1"/>
  <c r="AH182" i="1" s="1"/>
  <c r="AJ181" i="1"/>
  <c r="AI181" i="1" s="1"/>
  <c r="AH181" i="1" s="1"/>
  <c r="AJ180" i="1"/>
  <c r="AI180" i="1" s="1"/>
  <c r="AH180" i="1" s="1"/>
  <c r="AJ179" i="1"/>
  <c r="AI179" i="1" s="1"/>
  <c r="AH179" i="1" s="1"/>
  <c r="AJ178" i="1"/>
  <c r="AI178" i="1" s="1"/>
  <c r="AH178" i="1" s="1"/>
  <c r="AJ177" i="1"/>
  <c r="AI177" i="1" s="1"/>
  <c r="AH177" i="1" s="1"/>
  <c r="AJ176" i="1"/>
  <c r="AI176" i="1" s="1"/>
  <c r="AH176" i="1" s="1"/>
  <c r="AJ175" i="1"/>
  <c r="AI175" i="1" s="1"/>
  <c r="AH175" i="1" s="1"/>
  <c r="AJ174" i="1"/>
  <c r="AI174" i="1" s="1"/>
  <c r="AH174" i="1" s="1"/>
  <c r="AJ173" i="1"/>
  <c r="AI173" i="1" s="1"/>
  <c r="AH173" i="1" s="1"/>
  <c r="AJ172" i="1"/>
  <c r="AI172" i="1" s="1"/>
  <c r="AH172" i="1" s="1"/>
  <c r="AJ171" i="1"/>
  <c r="AI171" i="1" s="1"/>
  <c r="AH171" i="1" s="1"/>
  <c r="AJ170" i="1"/>
  <c r="AI170" i="1" s="1"/>
  <c r="AH170" i="1" s="1"/>
  <c r="AJ169" i="1"/>
  <c r="AI169" i="1" s="1"/>
  <c r="AH169" i="1" s="1"/>
  <c r="AJ167" i="1"/>
  <c r="AI167" i="1" s="1"/>
  <c r="AH167" i="1" s="1"/>
  <c r="AJ165" i="1"/>
  <c r="AI165" i="1" s="1"/>
  <c r="AH165" i="1" s="1"/>
  <c r="AJ164" i="1"/>
  <c r="AI164" i="1" s="1"/>
  <c r="AH164" i="1" s="1"/>
  <c r="AJ163" i="1"/>
  <c r="AI163" i="1" s="1"/>
  <c r="AH163" i="1" s="1"/>
  <c r="AJ162" i="1"/>
  <c r="AI162" i="1" s="1"/>
  <c r="AH162" i="1" s="1"/>
  <c r="AJ161" i="1"/>
  <c r="AI161" i="1" s="1"/>
  <c r="AH161" i="1" s="1"/>
  <c r="AJ160" i="1"/>
  <c r="AI160" i="1" s="1"/>
  <c r="AH160" i="1" s="1"/>
  <c r="AJ159" i="1"/>
  <c r="AI159" i="1" s="1"/>
  <c r="AH159" i="1" s="1"/>
  <c r="AJ158" i="1"/>
  <c r="AI158" i="1" s="1"/>
  <c r="AH158" i="1" s="1"/>
  <c r="AJ157" i="1"/>
  <c r="AI157" i="1" s="1"/>
  <c r="AH157" i="1" s="1"/>
  <c r="AJ156" i="1"/>
  <c r="AI156" i="1" s="1"/>
  <c r="AH156" i="1" s="1"/>
  <c r="AJ155" i="1"/>
  <c r="AI155" i="1" s="1"/>
  <c r="AH155" i="1" s="1"/>
  <c r="AJ154" i="1"/>
  <c r="AI154" i="1" s="1"/>
  <c r="AH154" i="1" s="1"/>
  <c r="AJ153" i="1"/>
  <c r="AI153" i="1" s="1"/>
  <c r="AH153" i="1" s="1"/>
  <c r="AJ152" i="1"/>
  <c r="AI152" i="1" s="1"/>
  <c r="AH152" i="1" s="1"/>
  <c r="AJ151" i="1"/>
  <c r="AI151" i="1" s="1"/>
  <c r="AH151" i="1" s="1"/>
  <c r="AJ150" i="1"/>
  <c r="AI150" i="1" s="1"/>
  <c r="AH150" i="1" s="1"/>
  <c r="AJ149" i="1"/>
  <c r="AI149" i="1" s="1"/>
  <c r="AH149" i="1" s="1"/>
  <c r="AJ148" i="1"/>
  <c r="AI148" i="1" s="1"/>
  <c r="AH148" i="1" s="1"/>
  <c r="AJ147" i="1"/>
  <c r="AI147" i="1" s="1"/>
  <c r="AH147" i="1" s="1"/>
  <c r="AJ146" i="1"/>
  <c r="AI146" i="1" s="1"/>
  <c r="AH146" i="1" s="1"/>
  <c r="AJ145" i="1"/>
  <c r="AI145" i="1" s="1"/>
  <c r="AH145" i="1" s="1"/>
  <c r="AJ144" i="1"/>
  <c r="AI144" i="1" s="1"/>
  <c r="AH144" i="1" s="1"/>
  <c r="AJ143" i="1"/>
  <c r="AI143" i="1" s="1"/>
  <c r="AH143" i="1" s="1"/>
  <c r="AJ142" i="1"/>
  <c r="AI142" i="1" s="1"/>
  <c r="AH142" i="1" s="1"/>
  <c r="AJ141" i="1"/>
  <c r="AI141" i="1" s="1"/>
  <c r="AH141" i="1" s="1"/>
  <c r="AJ140" i="1"/>
  <c r="AI140" i="1" s="1"/>
  <c r="AH140" i="1" s="1"/>
  <c r="AJ139" i="1"/>
  <c r="AI139" i="1" s="1"/>
  <c r="AH139" i="1" s="1"/>
  <c r="AJ138" i="1"/>
  <c r="AI138" i="1" s="1"/>
  <c r="AH138" i="1" s="1"/>
  <c r="AJ137" i="1"/>
  <c r="AI137" i="1" s="1"/>
  <c r="AH137" i="1" s="1"/>
  <c r="AJ135" i="1"/>
  <c r="AI135" i="1" s="1"/>
  <c r="AH135" i="1" s="1"/>
  <c r="AJ134" i="1"/>
  <c r="AI134" i="1" s="1"/>
  <c r="AH134" i="1" s="1"/>
  <c r="AJ133" i="1"/>
  <c r="AI133" i="1" s="1"/>
  <c r="AH133" i="1" s="1"/>
  <c r="AJ131" i="1"/>
  <c r="AI131" i="1" s="1"/>
  <c r="AH131" i="1" s="1"/>
  <c r="AJ130" i="1"/>
  <c r="AI130" i="1" s="1"/>
  <c r="AH130" i="1" s="1"/>
  <c r="AJ129" i="1"/>
  <c r="AI129" i="1" s="1"/>
  <c r="AH129" i="1" s="1"/>
  <c r="AJ127" i="1"/>
  <c r="AI127" i="1" s="1"/>
  <c r="AH127" i="1" s="1"/>
  <c r="AJ126" i="1"/>
  <c r="AI126" i="1" s="1"/>
  <c r="AH126" i="1" s="1"/>
  <c r="AJ125" i="1"/>
  <c r="AI125" i="1" s="1"/>
  <c r="AH125" i="1" s="1"/>
  <c r="AJ124" i="1"/>
  <c r="AI124" i="1" s="1"/>
  <c r="AH124" i="1" s="1"/>
  <c r="AJ123" i="1"/>
  <c r="AI123" i="1" s="1"/>
  <c r="AH123" i="1" s="1"/>
  <c r="AJ122" i="1"/>
  <c r="AI122" i="1" s="1"/>
  <c r="AH122" i="1" s="1"/>
  <c r="AJ121" i="1"/>
  <c r="AI121" i="1" s="1"/>
  <c r="AH121" i="1" s="1"/>
  <c r="AJ120" i="1"/>
  <c r="AI120" i="1" s="1"/>
  <c r="AH120" i="1" s="1"/>
  <c r="AJ119" i="1"/>
  <c r="AI119" i="1" s="1"/>
  <c r="AH119" i="1" s="1"/>
  <c r="AJ118" i="1"/>
  <c r="AI118" i="1" s="1"/>
  <c r="AH118" i="1" s="1"/>
  <c r="AJ117" i="1"/>
  <c r="AI117" i="1" s="1"/>
  <c r="AH117" i="1" s="1"/>
  <c r="AJ116" i="1"/>
  <c r="AI116" i="1" s="1"/>
  <c r="AH116" i="1" s="1"/>
  <c r="AJ115" i="1"/>
  <c r="AI115" i="1" s="1"/>
  <c r="AH115" i="1" s="1"/>
  <c r="AJ113" i="1"/>
  <c r="AI113" i="1" s="1"/>
  <c r="AH113" i="1" s="1"/>
  <c r="AJ112" i="1"/>
  <c r="AI112" i="1" s="1"/>
  <c r="AH112" i="1" s="1"/>
  <c r="AJ110" i="1"/>
  <c r="AI110" i="1" s="1"/>
  <c r="AH110" i="1" s="1"/>
  <c r="AJ109" i="1"/>
  <c r="AI109" i="1" s="1"/>
  <c r="AH109" i="1" s="1"/>
  <c r="AJ108" i="1"/>
  <c r="AJ107" i="1"/>
  <c r="AI107" i="1" s="1"/>
  <c r="AH107" i="1" s="1"/>
  <c r="AJ106" i="1"/>
  <c r="AI106" i="1" s="1"/>
  <c r="AH106" i="1" s="1"/>
  <c r="AJ105" i="1"/>
  <c r="AI105" i="1" s="1"/>
  <c r="AH105" i="1" s="1"/>
  <c r="AJ104" i="1"/>
  <c r="AI104" i="1" s="1"/>
  <c r="AH104" i="1" s="1"/>
  <c r="AJ103" i="1"/>
  <c r="AI103" i="1" s="1"/>
  <c r="AH103" i="1" s="1"/>
  <c r="AJ102" i="1"/>
  <c r="AI102" i="1" s="1"/>
  <c r="AH102" i="1" s="1"/>
  <c r="AJ101" i="1"/>
  <c r="AI101" i="1" s="1"/>
  <c r="AH101" i="1" s="1"/>
  <c r="AJ100" i="1"/>
  <c r="AI100" i="1" s="1"/>
  <c r="AH100" i="1" s="1"/>
  <c r="AJ99" i="1"/>
  <c r="AI99" i="1" s="1"/>
  <c r="AH99" i="1" s="1"/>
  <c r="AJ98" i="1"/>
  <c r="AI98" i="1" s="1"/>
  <c r="AH98" i="1" s="1"/>
  <c r="AJ97" i="1"/>
  <c r="AI97" i="1" s="1"/>
  <c r="AH97" i="1" s="1"/>
  <c r="AJ96" i="1"/>
  <c r="AI96" i="1" s="1"/>
  <c r="AH96" i="1" s="1"/>
  <c r="AJ95" i="1"/>
  <c r="AI95" i="1" s="1"/>
  <c r="AH95" i="1" s="1"/>
  <c r="AJ94" i="1"/>
  <c r="AI94" i="1" s="1"/>
  <c r="AH94" i="1" s="1"/>
  <c r="AJ93" i="1"/>
  <c r="AI93" i="1" s="1"/>
  <c r="AH93" i="1" s="1"/>
  <c r="AJ92" i="1"/>
  <c r="AI92" i="1" s="1"/>
  <c r="AH92" i="1" s="1"/>
  <c r="AJ91" i="1"/>
  <c r="AI91" i="1" s="1"/>
  <c r="AH91" i="1" s="1"/>
  <c r="AJ90" i="1"/>
  <c r="AI90" i="1" s="1"/>
  <c r="AH90" i="1" s="1"/>
  <c r="AJ89" i="1"/>
  <c r="AI89" i="1" s="1"/>
  <c r="AH89" i="1" s="1"/>
  <c r="AJ88" i="1"/>
  <c r="AI88" i="1" s="1"/>
  <c r="AH88" i="1" s="1"/>
  <c r="AJ87" i="1"/>
  <c r="AI87" i="1" s="1"/>
  <c r="AH87" i="1" s="1"/>
  <c r="AJ86" i="1"/>
  <c r="AI86" i="1" s="1"/>
  <c r="AH86" i="1" s="1"/>
  <c r="AJ85" i="1"/>
  <c r="AI85" i="1" s="1"/>
  <c r="AH85" i="1" s="1"/>
  <c r="AJ84" i="1"/>
  <c r="AI84" i="1" s="1"/>
  <c r="AJ83" i="1"/>
  <c r="AI83" i="1" s="1"/>
  <c r="AH83" i="1" s="1"/>
  <c r="AJ82" i="1"/>
  <c r="AI82" i="1" s="1"/>
  <c r="AH82" i="1" s="1"/>
  <c r="AJ81" i="1"/>
  <c r="AI81" i="1" s="1"/>
  <c r="AH81" i="1" s="1"/>
  <c r="AJ79" i="1"/>
  <c r="AI79" i="1" s="1"/>
  <c r="AH79" i="1" s="1"/>
  <c r="AJ78" i="1"/>
  <c r="AI78" i="1" s="1"/>
  <c r="AH78" i="1" s="1"/>
  <c r="AJ77" i="1"/>
  <c r="AI77" i="1" s="1"/>
  <c r="AH77" i="1" s="1"/>
  <c r="AJ76" i="1"/>
  <c r="AI76" i="1" s="1"/>
  <c r="AH76" i="1" s="1"/>
  <c r="AJ75" i="1"/>
  <c r="AI75" i="1" s="1"/>
  <c r="AH75" i="1" s="1"/>
  <c r="AJ73" i="1"/>
  <c r="AI73" i="1" s="1"/>
  <c r="AH73" i="1" s="1"/>
  <c r="AJ72" i="1"/>
  <c r="AI72" i="1" s="1"/>
  <c r="AH72" i="1" s="1"/>
  <c r="AJ70" i="1"/>
  <c r="AI70" i="1" s="1"/>
  <c r="AH70" i="1" s="1"/>
  <c r="AJ69" i="1"/>
  <c r="AI69" i="1" s="1"/>
  <c r="AH69" i="1" s="1"/>
  <c r="AJ68" i="1"/>
  <c r="AI68" i="1" s="1"/>
  <c r="AH68" i="1" s="1"/>
  <c r="AJ67" i="1"/>
  <c r="AI67" i="1" s="1"/>
  <c r="AH67" i="1" s="1"/>
  <c r="AJ66" i="1"/>
  <c r="AI66" i="1" s="1"/>
  <c r="AH66" i="1" s="1"/>
  <c r="AJ65" i="1"/>
  <c r="AI65" i="1" s="1"/>
  <c r="AH65" i="1" s="1"/>
  <c r="AJ64" i="1"/>
  <c r="AI64" i="1" s="1"/>
  <c r="AH64" i="1" s="1"/>
  <c r="AJ63" i="1"/>
  <c r="AI63" i="1" s="1"/>
  <c r="AH63" i="1" s="1"/>
  <c r="AJ62" i="1"/>
  <c r="AI62" i="1" s="1"/>
  <c r="AH62" i="1" s="1"/>
  <c r="AJ61" i="1"/>
  <c r="AI61" i="1" s="1"/>
  <c r="AH61" i="1" s="1"/>
  <c r="AJ60" i="1"/>
  <c r="AI60" i="1" s="1"/>
  <c r="AH60" i="1" s="1"/>
  <c r="AJ59" i="1"/>
  <c r="AI59" i="1" s="1"/>
  <c r="AH59" i="1" s="1"/>
  <c r="AJ58" i="1"/>
  <c r="AI58" i="1" s="1"/>
  <c r="AH58" i="1" s="1"/>
  <c r="AJ57" i="1"/>
  <c r="AI57" i="1" s="1"/>
  <c r="AH57" i="1" s="1"/>
  <c r="AJ56" i="1"/>
  <c r="AI56" i="1" s="1"/>
  <c r="AH56" i="1" s="1"/>
  <c r="AJ55" i="1"/>
  <c r="AI55" i="1" s="1"/>
  <c r="AH55" i="1" s="1"/>
  <c r="AJ54" i="1"/>
  <c r="AI54" i="1" s="1"/>
  <c r="AH54" i="1" s="1"/>
  <c r="AJ53" i="1"/>
  <c r="AI53" i="1" s="1"/>
  <c r="AH53" i="1" s="1"/>
  <c r="AJ52" i="1"/>
  <c r="AI52" i="1" s="1"/>
  <c r="AH52" i="1" s="1"/>
  <c r="AJ51" i="1"/>
  <c r="AI51" i="1" s="1"/>
  <c r="AH51" i="1" s="1"/>
  <c r="AJ50" i="1"/>
  <c r="AI50" i="1" s="1"/>
  <c r="AH50" i="1" s="1"/>
  <c r="AJ49" i="1"/>
  <c r="AI49" i="1" s="1"/>
  <c r="AH49" i="1" s="1"/>
  <c r="AJ48" i="1"/>
  <c r="AI48" i="1" s="1"/>
  <c r="AH48" i="1" s="1"/>
  <c r="AJ47" i="1"/>
  <c r="AI47" i="1" s="1"/>
  <c r="AH47" i="1" s="1"/>
  <c r="AJ46" i="1"/>
  <c r="AI46" i="1" s="1"/>
  <c r="AH46" i="1" s="1"/>
  <c r="AJ45" i="1"/>
  <c r="AI45" i="1" s="1"/>
  <c r="AH45" i="1" s="1"/>
  <c r="AJ44" i="1"/>
  <c r="AI44" i="1" s="1"/>
  <c r="AH44" i="1" s="1"/>
  <c r="AJ43" i="1"/>
  <c r="AI43" i="1" s="1"/>
  <c r="AH43" i="1" s="1"/>
  <c r="AJ42" i="1"/>
  <c r="AI42" i="1" s="1"/>
  <c r="AH42" i="1" s="1"/>
  <c r="AJ41" i="1"/>
  <c r="AI41" i="1" s="1"/>
  <c r="AH41" i="1" s="1"/>
  <c r="AJ40" i="1"/>
  <c r="AI40" i="1" s="1"/>
  <c r="AH40" i="1" s="1"/>
  <c r="AJ39" i="1"/>
  <c r="AI39" i="1" s="1"/>
  <c r="AH39" i="1" s="1"/>
  <c r="AJ37" i="1"/>
  <c r="AI37" i="1" s="1"/>
  <c r="AH37" i="1" s="1"/>
  <c r="AJ36" i="1"/>
  <c r="AI36" i="1" s="1"/>
  <c r="AH36" i="1" s="1"/>
  <c r="AJ35" i="1"/>
  <c r="AI35" i="1" s="1"/>
  <c r="AH35" i="1" s="1"/>
  <c r="AJ33" i="1"/>
  <c r="AI33" i="1" s="1"/>
  <c r="AH33" i="1" s="1"/>
  <c r="AJ32" i="1"/>
  <c r="AI32" i="1" s="1"/>
  <c r="AH32" i="1" s="1"/>
  <c r="AJ31" i="1"/>
  <c r="AI31" i="1" s="1"/>
  <c r="AH31" i="1" s="1"/>
  <c r="AJ30" i="1"/>
  <c r="AI30" i="1" s="1"/>
  <c r="AH30" i="1" s="1"/>
  <c r="AJ29" i="1"/>
  <c r="AI29" i="1" s="1"/>
  <c r="AH29" i="1" s="1"/>
  <c r="AJ27" i="1"/>
  <c r="AI27" i="1" s="1"/>
  <c r="AH27" i="1" s="1"/>
  <c r="AJ26" i="1"/>
  <c r="AI26" i="1" s="1"/>
  <c r="AH26" i="1" s="1"/>
  <c r="AJ25" i="1"/>
  <c r="AI25" i="1" s="1"/>
  <c r="AH25" i="1" s="1"/>
  <c r="AJ24" i="1"/>
  <c r="AI24" i="1" s="1"/>
  <c r="AH24" i="1" s="1"/>
  <c r="AJ22" i="1"/>
  <c r="AI22" i="1" s="1"/>
  <c r="AH22" i="1" s="1"/>
  <c r="AJ21" i="1"/>
  <c r="AI21" i="1" s="1"/>
  <c r="AH21" i="1" s="1"/>
  <c r="AJ20" i="1"/>
  <c r="AI20" i="1" s="1"/>
  <c r="AH20" i="1" s="1"/>
  <c r="AJ19" i="1"/>
  <c r="AI19" i="1" s="1"/>
  <c r="AH19" i="1" s="1"/>
  <c r="AJ18" i="1"/>
  <c r="AI18" i="1" s="1"/>
  <c r="AH18" i="1" s="1"/>
  <c r="AJ16" i="1"/>
  <c r="AI16" i="1" s="1"/>
  <c r="AH16" i="1" s="1"/>
  <c r="AJ15" i="1"/>
  <c r="AI15" i="1" s="1"/>
  <c r="AH15" i="1" s="1"/>
  <c r="AJ13" i="1"/>
  <c r="AI13" i="1" s="1"/>
  <c r="AH13" i="1" s="1"/>
  <c r="AJ12" i="1"/>
  <c r="AI12" i="1" s="1"/>
  <c r="AH12" i="1" s="1"/>
  <c r="AJ11" i="1"/>
  <c r="AI11" i="1" s="1"/>
  <c r="AH11" i="1" s="1"/>
  <c r="AJ10" i="1"/>
  <c r="AI10" i="1" s="1"/>
  <c r="AH10" i="1" s="1"/>
  <c r="AJ9" i="1"/>
  <c r="AI9" i="1" s="1"/>
  <c r="AH9" i="1" s="1"/>
  <c r="AJ8" i="1"/>
  <c r="AI8" i="1" s="1"/>
  <c r="AH8" i="1" s="1"/>
  <c r="AJ7" i="1"/>
  <c r="AI7" i="1" s="1"/>
  <c r="AH7" i="1" s="1"/>
  <c r="AJ6" i="1"/>
  <c r="AI6" i="1" s="1"/>
  <c r="AH6" i="1" s="1"/>
  <c r="AJ5" i="1"/>
  <c r="AI5" i="1" s="1"/>
  <c r="AH5" i="1" s="1"/>
  <c r="AJ4" i="1"/>
  <c r="AI4" i="1" s="1"/>
  <c r="AH4" i="1" s="1"/>
  <c r="AJ2" i="1"/>
  <c r="AI2" i="1" s="1"/>
  <c r="AH2" i="1" s="1"/>
  <c r="Y4" i="1"/>
  <c r="Y7" i="1"/>
  <c r="Y20" i="1"/>
  <c r="Y22" i="1"/>
  <c r="Y24" i="1"/>
  <c r="Y27" i="1"/>
  <c r="Y35" i="1"/>
  <c r="Y39" i="1"/>
  <c r="Y40" i="1"/>
  <c r="Y41" i="1"/>
  <c r="Y42" i="1"/>
  <c r="Y44" i="1"/>
  <c r="Y46" i="1"/>
  <c r="Y51" i="1"/>
  <c r="Y52" i="1"/>
  <c r="Y55" i="1"/>
  <c r="Y56" i="1"/>
  <c r="Y57" i="1"/>
  <c r="Y58" i="1"/>
  <c r="Y60" i="1"/>
  <c r="Y66" i="1"/>
  <c r="Y68" i="1"/>
  <c r="Y70" i="1"/>
  <c r="Y75" i="1"/>
  <c r="Y76" i="1"/>
  <c r="Y77" i="1"/>
  <c r="Y79" i="1"/>
  <c r="Y83" i="1"/>
  <c r="Y84" i="1"/>
  <c r="Y85" i="1"/>
  <c r="Y88" i="1"/>
  <c r="Y100" i="1"/>
  <c r="Y105" i="1"/>
  <c r="Y107" i="1"/>
  <c r="Y110" i="1"/>
  <c r="Y115" i="1"/>
  <c r="Y116" i="1"/>
  <c r="Y117" i="1"/>
  <c r="Y130" i="1"/>
  <c r="Y135" i="1"/>
  <c r="Y139" i="1"/>
  <c r="Y154" i="1"/>
  <c r="Y158" i="1"/>
  <c r="Y159" i="1"/>
  <c r="Y160" i="1"/>
  <c r="Y164" i="1"/>
  <c r="Y165" i="1"/>
  <c r="Y170" i="1"/>
  <c r="Y171" i="1"/>
  <c r="Y173" i="1"/>
  <c r="Y174" i="1"/>
  <c r="Y177" i="1"/>
  <c r="Y181" i="1"/>
  <c r="Y182" i="1"/>
  <c r="Y183" i="1"/>
  <c r="Y192" i="1"/>
  <c r="Y193" i="1"/>
  <c r="Y194" i="1"/>
  <c r="Y195" i="1"/>
  <c r="Y202" i="1"/>
  <c r="Y208" i="1"/>
  <c r="Y209" i="1"/>
  <c r="Y214" i="1"/>
  <c r="Y216" i="1"/>
  <c r="Y229" i="1"/>
  <c r="Y231" i="1"/>
  <c r="Y245" i="1"/>
  <c r="Y249" i="1"/>
  <c r="Y251" i="1"/>
  <c r="Y254" i="1"/>
  <c r="Y269" i="1"/>
  <c r="Y272" i="1"/>
  <c r="Y273" i="1"/>
  <c r="Y275" i="1"/>
  <c r="Y277" i="1"/>
  <c r="Y280" i="1"/>
  <c r="Y281" i="1"/>
  <c r="Y290" i="1"/>
  <c r="Y291" i="1"/>
  <c r="Y292" i="1"/>
  <c r="Y296" i="1"/>
  <c r="Y299" i="1"/>
  <c r="Y300" i="1"/>
  <c r="Y301" i="1"/>
  <c r="Y303" i="1"/>
  <c r="Y310" i="1"/>
  <c r="Y315" i="1"/>
  <c r="Y316" i="1"/>
  <c r="Y320" i="1"/>
  <c r="Y323" i="1"/>
  <c r="Y325" i="1"/>
  <c r="Y326" i="1"/>
  <c r="Y327" i="1"/>
  <c r="Y328" i="1"/>
  <c r="Y329" i="1"/>
  <c r="Y337" i="1"/>
  <c r="Y340" i="1"/>
  <c r="Y341" i="1"/>
  <c r="Y342" i="1"/>
  <c r="Y344" i="1"/>
  <c r="Y345" i="1"/>
  <c r="Y355" i="1"/>
  <c r="Y358" i="1"/>
  <c r="Y361" i="1"/>
  <c r="Y367" i="1"/>
  <c r="Y369" i="1"/>
  <c r="Y371" i="1"/>
  <c r="Y379" i="1"/>
  <c r="Y381" i="1"/>
  <c r="Y382" i="1"/>
  <c r="Y386" i="1"/>
  <c r="Y387" i="1"/>
  <c r="Y389" i="1"/>
  <c r="Y392" i="1"/>
  <c r="Y394" i="1"/>
  <c r="Y395" i="1"/>
  <c r="Y397" i="1"/>
  <c r="Y399" i="1"/>
  <c r="Y406" i="1"/>
  <c r="Y408" i="1"/>
  <c r="Y409" i="1"/>
  <c r="Y410" i="1"/>
  <c r="Y413" i="1"/>
  <c r="Y414" i="1"/>
  <c r="Y415" i="1"/>
  <c r="Y418" i="1"/>
  <c r="Y422" i="1"/>
  <c r="Y423" i="1"/>
  <c r="Y436" i="1"/>
  <c r="Y437" i="1"/>
  <c r="Y439" i="1"/>
  <c r="Y443" i="1"/>
  <c r="Y445" i="1"/>
  <c r="Y446" i="1"/>
  <c r="Y448" i="1"/>
  <c r="Y462" i="1"/>
  <c r="Y467" i="1"/>
  <c r="Y468" i="1"/>
  <c r="Y476" i="1"/>
  <c r="Y477" i="1"/>
  <c r="Y480" i="1"/>
  <c r="Y481" i="1"/>
  <c r="Y483" i="1"/>
  <c r="Y485" i="1"/>
  <c r="Y490" i="1"/>
  <c r="Y491" i="1"/>
  <c r="Y493" i="1"/>
  <c r="Y494" i="1"/>
  <c r="Y496" i="1"/>
  <c r="Y497" i="1"/>
  <c r="Y499" i="1"/>
  <c r="Y501" i="1"/>
  <c r="Y502" i="1"/>
  <c r="Y505" i="1"/>
  <c r="Y506" i="1"/>
  <c r="Y507" i="1"/>
  <c r="Y510" i="1"/>
  <c r="Y511" i="1"/>
  <c r="Y518" i="1"/>
  <c r="Y519" i="1"/>
  <c r="Y522" i="1"/>
  <c r="Y524" i="1"/>
  <c r="Y527" i="1"/>
  <c r="Y529" i="1"/>
  <c r="Y530" i="1"/>
  <c r="Y531" i="1"/>
  <c r="Y533" i="1"/>
  <c r="Y534" i="1"/>
  <c r="Y535" i="1"/>
  <c r="Y539" i="1"/>
  <c r="Y540" i="1"/>
  <c r="Y543" i="1"/>
  <c r="Y544" i="1"/>
  <c r="Y546" i="1"/>
  <c r="Y547" i="1"/>
  <c r="Y552" i="1"/>
  <c r="Y555" i="1"/>
  <c r="Y556" i="1"/>
  <c r="Y560" i="1"/>
  <c r="Y564" i="1"/>
  <c r="Y565" i="1"/>
  <c r="Y566" i="1"/>
  <c r="Y567" i="1"/>
  <c r="Y568" i="1"/>
  <c r="Y571" i="1"/>
  <c r="Y573" i="1"/>
  <c r="Y578" i="1"/>
  <c r="Y579" i="1"/>
  <c r="Y582" i="1"/>
  <c r="Y583" i="1"/>
  <c r="Y584" i="1"/>
  <c r="Y586" i="1"/>
  <c r="Y587" i="1"/>
  <c r="Y588" i="1"/>
  <c r="Y590" i="1"/>
  <c r="Y591" i="1"/>
  <c r="Y592" i="1"/>
  <c r="Y594" i="1"/>
  <c r="Y597" i="1"/>
  <c r="Y598" i="1"/>
  <c r="Y602" i="1"/>
  <c r="Y604" i="1"/>
  <c r="Y607" i="1"/>
  <c r="Y609" i="1"/>
  <c r="Y610" i="1"/>
  <c r="Y611" i="1"/>
  <c r="Y613" i="1"/>
  <c r="Y614" i="1"/>
  <c r="Y619" i="1"/>
  <c r="Y620" i="1"/>
  <c r="Y623" i="1"/>
  <c r="Y624" i="1"/>
  <c r="Y625" i="1"/>
  <c r="Y626" i="1"/>
  <c r="Y628" i="1"/>
  <c r="Y630" i="1"/>
  <c r="Y631" i="1"/>
  <c r="Y634" i="1"/>
  <c r="Y635" i="1"/>
  <c r="Y636" i="1"/>
  <c r="Y638" i="1"/>
  <c r="Y639" i="1"/>
  <c r="Y641" i="1"/>
  <c r="Y643" i="1"/>
  <c r="Y645" i="1"/>
  <c r="Y646" i="1"/>
  <c r="Y647" i="1"/>
  <c r="Y649" i="1"/>
  <c r="Y650" i="1"/>
  <c r="Y651" i="1"/>
  <c r="Y652" i="1"/>
  <c r="Y655" i="1"/>
  <c r="Y657" i="1"/>
  <c r="Y658" i="1"/>
  <c r="Y660" i="1"/>
  <c r="Y661" i="1"/>
  <c r="Y663" i="1"/>
  <c r="Y666" i="1"/>
  <c r="Y667" i="1"/>
  <c r="Y669" i="1"/>
  <c r="Y670" i="1"/>
  <c r="Y671" i="1"/>
  <c r="Y672" i="1"/>
  <c r="Y675" i="1"/>
  <c r="Y676" i="1"/>
  <c r="Y678" i="1"/>
  <c r="Y679" i="1"/>
  <c r="Y680" i="1"/>
  <c r="Y681" i="1"/>
  <c r="Y682" i="1"/>
  <c r="Y683" i="1"/>
  <c r="Y684" i="1"/>
  <c r="Y685" i="1"/>
  <c r="Y687" i="1"/>
  <c r="Y688" i="1"/>
  <c r="Y689" i="1"/>
  <c r="Y690" i="1"/>
  <c r="Y691" i="1"/>
  <c r="Y693" i="1"/>
  <c r="Y694" i="1"/>
  <c r="Y695" i="1"/>
  <c r="Y699" i="1"/>
  <c r="Y700" i="1"/>
  <c r="Y701" i="1"/>
  <c r="Y702" i="1"/>
  <c r="Y703" i="1"/>
  <c r="Y704" i="1"/>
  <c r="Y707" i="1"/>
  <c r="Y709" i="1"/>
  <c r="Y710" i="1"/>
  <c r="Y712" i="1"/>
  <c r="Y713" i="1"/>
  <c r="Y715" i="1"/>
  <c r="Y716" i="1"/>
  <c r="Y717" i="1"/>
  <c r="Y719" i="1"/>
  <c r="Y720" i="1"/>
  <c r="Y721" i="1"/>
  <c r="Y722" i="1"/>
  <c r="Y723" i="1"/>
  <c r="Y726" i="1"/>
  <c r="Y727" i="1"/>
  <c r="Y728" i="1"/>
  <c r="Y730" i="1"/>
  <c r="Y731" i="1"/>
  <c r="Y737" i="1"/>
  <c r="Y738" i="1"/>
  <c r="Y739" i="1"/>
  <c r="Y740" i="1"/>
  <c r="Y750" i="1"/>
  <c r="Y751" i="1"/>
  <c r="Y752" i="1"/>
  <c r="Y757" i="1"/>
  <c r="Y759" i="1"/>
  <c r="Y762" i="1"/>
  <c r="Y763" i="1"/>
  <c r="Y764" i="1"/>
  <c r="Y765" i="1"/>
  <c r="Y766" i="1"/>
  <c r="Y768" i="1"/>
  <c r="Y769" i="1"/>
  <c r="Y770" i="1"/>
  <c r="Y772" i="1"/>
  <c r="Y775" i="1"/>
  <c r="Y779" i="1"/>
  <c r="Y782" i="1"/>
  <c r="Y784" i="1"/>
  <c r="Y785" i="1"/>
  <c r="Y787" i="1"/>
  <c r="Y788" i="1"/>
  <c r="Y789" i="1"/>
  <c r="Y790" i="1"/>
  <c r="Y793" i="1"/>
  <c r="Y794" i="1"/>
  <c r="Y796" i="1"/>
  <c r="Y797" i="1"/>
  <c r="Y798" i="1"/>
  <c r="Y799" i="1"/>
  <c r="Y801" i="1"/>
  <c r="Y802" i="1"/>
  <c r="Y803" i="1"/>
  <c r="Y804" i="1"/>
  <c r="Y805" i="1"/>
  <c r="Y806" i="1"/>
  <c r="Y808" i="1"/>
  <c r="Y809" i="1"/>
  <c r="Y810" i="1"/>
  <c r="Y811" i="1"/>
  <c r="Y812" i="1"/>
  <c r="Y814" i="1"/>
  <c r="Y815" i="1"/>
  <c r="Y816" i="1"/>
  <c r="Y818" i="1"/>
  <c r="Y819" i="1"/>
  <c r="Y820" i="1"/>
  <c r="Y821" i="1"/>
  <c r="Y832" i="1"/>
  <c r="Y834" i="1"/>
  <c r="Y835" i="1"/>
  <c r="Y837" i="1"/>
  <c r="Y839" i="1"/>
  <c r="Y840" i="1"/>
  <c r="Y843" i="1"/>
  <c r="Y844" i="1"/>
  <c r="Y845" i="1"/>
  <c r="Y847" i="1"/>
  <c r="Y851" i="1"/>
  <c r="Y854" i="1"/>
  <c r="Y855" i="1"/>
  <c r="Y857" i="1"/>
  <c r="Y858" i="1"/>
  <c r="Y861" i="1"/>
  <c r="Y862" i="1"/>
  <c r="Y863" i="1"/>
  <c r="Y864" i="1"/>
  <c r="Y865" i="1"/>
  <c r="Y866" i="1"/>
  <c r="Y867" i="1"/>
  <c r="Y869" i="1"/>
  <c r="Y870" i="1"/>
  <c r="Y871" i="1"/>
  <c r="Y873" i="1"/>
  <c r="Y874" i="1"/>
  <c r="Y875" i="1"/>
  <c r="Y876" i="1"/>
  <c r="Y877" i="1"/>
  <c r="Y878" i="1"/>
  <c r="Y879" i="1"/>
  <c r="Y880" i="1"/>
  <c r="Y882" i="1"/>
  <c r="Y883" i="1"/>
  <c r="Y886" i="1"/>
  <c r="Y887" i="1"/>
  <c r="Y888" i="1"/>
  <c r="Y889" i="1"/>
  <c r="Y890" i="1"/>
  <c r="Y891" i="1"/>
  <c r="Y892" i="1"/>
  <c r="Y896" i="1"/>
  <c r="Y899" i="1"/>
  <c r="Y901" i="1"/>
  <c r="Y902" i="1"/>
  <c r="Y904" i="1"/>
  <c r="Y906" i="1"/>
  <c r="Y907" i="1"/>
  <c r="Y909" i="1"/>
  <c r="Y911" i="1"/>
  <c r="Y912" i="1"/>
  <c r="Y913" i="1"/>
  <c r="Y914" i="1"/>
  <c r="Y916" i="1"/>
  <c r="Y918" i="1"/>
  <c r="Y919" i="1"/>
  <c r="Y920" i="1"/>
  <c r="Y921" i="1"/>
  <c r="Y923" i="1"/>
  <c r="Y924" i="1"/>
  <c r="Y926" i="1"/>
  <c r="Y927" i="1"/>
  <c r="Y928" i="1"/>
  <c r="Y929" i="1"/>
  <c r="Y931" i="1"/>
  <c r="Y932" i="1"/>
  <c r="Y933" i="1"/>
  <c r="Y935" i="1"/>
  <c r="Y937" i="1"/>
  <c r="Y939" i="1"/>
  <c r="Y940" i="1"/>
  <c r="Y946" i="1"/>
  <c r="Y950" i="1"/>
  <c r="Y951" i="1"/>
  <c r="Y952" i="1"/>
  <c r="Y953" i="1"/>
  <c r="Y955" i="1"/>
  <c r="Y956" i="1"/>
  <c r="Y957" i="1"/>
  <c r="Y959" i="1"/>
  <c r="Y961" i="1"/>
  <c r="Y964" i="1"/>
  <c r="Y966" i="1"/>
  <c r="Y968" i="1"/>
  <c r="Y969" i="1"/>
  <c r="Y972" i="1"/>
  <c r="Y977" i="1"/>
  <c r="Y979" i="1"/>
  <c r="Y980" i="1"/>
  <c r="Y982" i="1"/>
  <c r="Y986" i="1"/>
  <c r="Y988" i="1"/>
  <c r="Y989" i="1"/>
  <c r="Y991" i="1"/>
  <c r="Y997" i="1"/>
  <c r="Y1005" i="1"/>
  <c r="Y1007" i="1"/>
  <c r="Y1010" i="1"/>
  <c r="Y1011" i="1"/>
  <c r="Y1012" i="1"/>
  <c r="Y1013" i="1"/>
  <c r="Y1017" i="1"/>
  <c r="Y1018" i="1"/>
  <c r="Y1022" i="1"/>
  <c r="Y1024" i="1"/>
  <c r="Y1025" i="1"/>
  <c r="Y1026" i="1"/>
  <c r="Y1027" i="1"/>
  <c r="Y1029" i="1"/>
  <c r="Y1030" i="1"/>
  <c r="Y1037" i="1"/>
  <c r="Y1038" i="1"/>
  <c r="Y1040" i="1"/>
  <c r="Y1041" i="1"/>
  <c r="Y1043" i="1"/>
  <c r="Y1044" i="1"/>
  <c r="Y1046" i="1"/>
  <c r="Y1047" i="1"/>
  <c r="Y1049" i="1"/>
  <c r="Y1051" i="1"/>
  <c r="Y1052" i="1"/>
  <c r="Y1054" i="1"/>
  <c r="Y1055" i="1"/>
  <c r="Y1058" i="1"/>
  <c r="Y1059" i="1"/>
  <c r="Y1060" i="1"/>
  <c r="Y1065" i="1"/>
  <c r="Y1067" i="1"/>
  <c r="Y1068" i="1"/>
  <c r="Y1069" i="1"/>
  <c r="Y1073" i="1"/>
  <c r="Y1074" i="1"/>
  <c r="Y1076" i="1"/>
  <c r="Y1077" i="1"/>
  <c r="Y1079" i="1"/>
  <c r="Y1081" i="1"/>
  <c r="Y1082" i="1"/>
  <c r="Y1083" i="1"/>
  <c r="Y1084" i="1"/>
  <c r="Y1085" i="1"/>
  <c r="Y1087" i="1"/>
  <c r="Y1088" i="1"/>
  <c r="Y1089" i="1"/>
  <c r="Y1090" i="1"/>
  <c r="Y1091" i="1"/>
  <c r="Y1093" i="1"/>
  <c r="Y1095" i="1"/>
  <c r="Y1096" i="1"/>
  <c r="Y1097" i="1"/>
  <c r="Y1098" i="1"/>
  <c r="Y1099" i="1"/>
  <c r="Y1100" i="1"/>
  <c r="Y1101" i="1"/>
  <c r="Y1104" i="1"/>
  <c r="Y1106" i="1"/>
  <c r="Y1110" i="1"/>
  <c r="Y1117" i="1"/>
  <c r="Y1118" i="1"/>
  <c r="Y1122" i="1"/>
  <c r="Y1123" i="1"/>
  <c r="Y1124" i="1"/>
  <c r="Y1125" i="1"/>
  <c r="Y1127" i="1"/>
  <c r="Y1128" i="1"/>
  <c r="Y1129" i="1"/>
  <c r="Y1131" i="1"/>
  <c r="Y1134" i="1"/>
  <c r="Y1135" i="1"/>
  <c r="Y1136" i="1"/>
  <c r="Y1137" i="1"/>
  <c r="Y1138" i="1"/>
  <c r="Y1139" i="1"/>
  <c r="Y1141" i="1"/>
  <c r="Y1143" i="1"/>
  <c r="Y1144" i="1"/>
  <c r="Y1145" i="1"/>
  <c r="Y1146" i="1"/>
  <c r="Y1147" i="1"/>
  <c r="Y1148" i="1"/>
  <c r="Y1149" i="1"/>
  <c r="X4" i="1"/>
  <c r="X7" i="1"/>
  <c r="X20" i="1"/>
  <c r="X22" i="1"/>
  <c r="X24" i="1"/>
  <c r="X27" i="1"/>
  <c r="X35" i="1"/>
  <c r="X39" i="1"/>
  <c r="X40" i="1"/>
  <c r="X41" i="1"/>
  <c r="X42" i="1"/>
  <c r="X44" i="1"/>
  <c r="X46" i="1"/>
  <c r="X51" i="1"/>
  <c r="X52" i="1"/>
  <c r="X55" i="1"/>
  <c r="X56" i="1"/>
  <c r="X57" i="1"/>
  <c r="X58" i="1"/>
  <c r="X60" i="1"/>
  <c r="X66" i="1"/>
  <c r="X68" i="1"/>
  <c r="X70" i="1"/>
  <c r="X75" i="1"/>
  <c r="X76" i="1"/>
  <c r="X77" i="1"/>
  <c r="X79" i="1"/>
  <c r="X83" i="1"/>
  <c r="X84" i="1"/>
  <c r="X85" i="1"/>
  <c r="X88" i="1"/>
  <c r="X100" i="1"/>
  <c r="X105" i="1"/>
  <c r="X107" i="1"/>
  <c r="X108" i="1"/>
  <c r="X110" i="1"/>
  <c r="X115" i="1"/>
  <c r="X116" i="1"/>
  <c r="X117" i="1"/>
  <c r="X130" i="1"/>
  <c r="X135" i="1"/>
  <c r="X139" i="1"/>
  <c r="X154" i="1"/>
  <c r="X158" i="1"/>
  <c r="X159" i="1"/>
  <c r="X160" i="1"/>
  <c r="X164" i="1"/>
  <c r="X165" i="1"/>
  <c r="X170" i="1"/>
  <c r="X171" i="1"/>
  <c r="X173" i="1"/>
  <c r="X174" i="1"/>
  <c r="X177" i="1"/>
  <c r="X181" i="1"/>
  <c r="X182" i="1"/>
  <c r="X183" i="1"/>
  <c r="X192" i="1"/>
  <c r="X193" i="1"/>
  <c r="X194" i="1"/>
  <c r="X195" i="1"/>
  <c r="X199" i="1"/>
  <c r="X202" i="1"/>
  <c r="X208" i="1"/>
  <c r="X209" i="1"/>
  <c r="X214" i="1"/>
  <c r="X215" i="1"/>
  <c r="X216" i="1"/>
  <c r="X229" i="1"/>
  <c r="X231" i="1"/>
  <c r="X239" i="1"/>
  <c r="X245" i="1"/>
  <c r="X249" i="1"/>
  <c r="X251" i="1"/>
  <c r="X254" i="1"/>
  <c r="X265" i="1"/>
  <c r="X269" i="1"/>
  <c r="X272" i="1"/>
  <c r="X273" i="1"/>
  <c r="X275" i="1"/>
  <c r="X277" i="1"/>
  <c r="X280" i="1"/>
  <c r="X281" i="1"/>
  <c r="X289" i="1"/>
  <c r="X290" i="1"/>
  <c r="X291" i="1"/>
  <c r="X292" i="1"/>
  <c r="X296" i="1"/>
  <c r="X299" i="1"/>
  <c r="X300" i="1"/>
  <c r="X301" i="1"/>
  <c r="X303" i="1"/>
  <c r="X310" i="1"/>
  <c r="X315" i="1"/>
  <c r="X316" i="1"/>
  <c r="X320" i="1"/>
  <c r="X322" i="1"/>
  <c r="X323" i="1"/>
  <c r="X325" i="1"/>
  <c r="X326" i="1"/>
  <c r="X327" i="1"/>
  <c r="X328" i="1"/>
  <c r="X329" i="1"/>
  <c r="X337" i="1"/>
  <c r="X340" i="1"/>
  <c r="X341" i="1"/>
  <c r="X342" i="1"/>
  <c r="X344" i="1"/>
  <c r="X345" i="1"/>
  <c r="X355" i="1"/>
  <c r="X358" i="1"/>
  <c r="X361" i="1"/>
  <c r="X367" i="1"/>
  <c r="X369" i="1"/>
  <c r="X371" i="1"/>
  <c r="X379" i="1"/>
  <c r="X381" i="1"/>
  <c r="X382" i="1"/>
  <c r="X386" i="1"/>
  <c r="X387" i="1"/>
  <c r="X389" i="1"/>
  <c r="X392" i="1"/>
  <c r="X394" i="1"/>
  <c r="X395" i="1"/>
  <c r="X397" i="1"/>
  <c r="X399" i="1"/>
  <c r="X406" i="1"/>
  <c r="X408" i="1"/>
  <c r="X409" i="1"/>
  <c r="X410" i="1"/>
  <c r="X413" i="1"/>
  <c r="X414" i="1"/>
  <c r="X415" i="1"/>
  <c r="X418" i="1"/>
  <c r="X422" i="1"/>
  <c r="X423" i="1"/>
  <c r="X436" i="1"/>
  <c r="X437" i="1"/>
  <c r="X439" i="1"/>
  <c r="X443" i="1"/>
  <c r="X445" i="1"/>
  <c r="X446" i="1"/>
  <c r="X448" i="1"/>
  <c r="X462" i="1"/>
  <c r="X467" i="1"/>
  <c r="X468" i="1"/>
  <c r="X476" i="1"/>
  <c r="X477" i="1"/>
  <c r="X480" i="1"/>
  <c r="X481" i="1"/>
  <c r="X483" i="1"/>
  <c r="X485" i="1"/>
  <c r="X490" i="1"/>
  <c r="X491" i="1"/>
  <c r="X493" i="1"/>
  <c r="X494" i="1"/>
  <c r="X496" i="1"/>
  <c r="X497" i="1"/>
  <c r="X499" i="1"/>
  <c r="X501" i="1"/>
  <c r="X502" i="1"/>
  <c r="X505" i="1"/>
  <c r="X506" i="1"/>
  <c r="X507" i="1"/>
  <c r="X509" i="1"/>
  <c r="X510" i="1"/>
  <c r="X511" i="1"/>
  <c r="X512" i="1"/>
  <c r="X518" i="1"/>
  <c r="X519" i="1"/>
  <c r="X522" i="1"/>
  <c r="X524" i="1"/>
  <c r="X527" i="1"/>
  <c r="X529" i="1"/>
  <c r="X530" i="1"/>
  <c r="X531" i="1"/>
  <c r="X533" i="1"/>
  <c r="X534" i="1"/>
  <c r="X535" i="1"/>
  <c r="X539" i="1"/>
  <c r="X540" i="1"/>
  <c r="X543" i="1"/>
  <c r="X544" i="1"/>
  <c r="X546" i="1"/>
  <c r="X547" i="1"/>
  <c r="X552" i="1"/>
  <c r="X554" i="1"/>
  <c r="X555" i="1"/>
  <c r="X556" i="1"/>
  <c r="X560" i="1"/>
  <c r="X564" i="1"/>
  <c r="X565" i="1"/>
  <c r="X566" i="1"/>
  <c r="X567" i="1"/>
  <c r="X568" i="1"/>
  <c r="X571" i="1"/>
  <c r="X573" i="1"/>
  <c r="X578" i="1"/>
  <c r="X579" i="1"/>
  <c r="X582" i="1"/>
  <c r="X583" i="1"/>
  <c r="X584" i="1"/>
  <c r="X586" i="1"/>
  <c r="X587" i="1"/>
  <c r="X588" i="1"/>
  <c r="X590" i="1"/>
  <c r="X591" i="1"/>
  <c r="X592" i="1"/>
  <c r="X594" i="1"/>
  <c r="X597" i="1"/>
  <c r="X598" i="1"/>
  <c r="X602" i="1"/>
  <c r="X604" i="1"/>
  <c r="X607" i="1"/>
  <c r="X609" i="1"/>
  <c r="X610" i="1"/>
  <c r="X611" i="1"/>
  <c r="X613" i="1"/>
  <c r="X614" i="1"/>
  <c r="X619" i="1"/>
  <c r="X620" i="1"/>
  <c r="X623" i="1"/>
  <c r="X624" i="1"/>
  <c r="X625" i="1"/>
  <c r="X626" i="1"/>
  <c r="X628" i="1"/>
  <c r="X630" i="1"/>
  <c r="X631" i="1"/>
  <c r="X634" i="1"/>
  <c r="X635" i="1"/>
  <c r="X636" i="1"/>
  <c r="X637" i="1"/>
  <c r="X638" i="1"/>
  <c r="X639" i="1"/>
  <c r="X641" i="1"/>
  <c r="X643" i="1"/>
  <c r="X645" i="1"/>
  <c r="X646" i="1"/>
  <c r="X647" i="1"/>
  <c r="X649" i="1"/>
  <c r="X650" i="1"/>
  <c r="X651" i="1"/>
  <c r="X652" i="1"/>
  <c r="X654" i="1"/>
  <c r="X655" i="1"/>
  <c r="X657" i="1"/>
  <c r="X658" i="1"/>
  <c r="X660" i="1"/>
  <c r="X661" i="1"/>
  <c r="X662" i="1"/>
  <c r="X663" i="1"/>
  <c r="X666" i="1"/>
  <c r="X667" i="1"/>
  <c r="X669" i="1"/>
  <c r="X670" i="1"/>
  <c r="X671" i="1"/>
  <c r="X672" i="1"/>
  <c r="X675" i="1"/>
  <c r="X676" i="1"/>
  <c r="X678" i="1"/>
  <c r="X679" i="1"/>
  <c r="X680" i="1"/>
  <c r="X681" i="1"/>
  <c r="X682" i="1"/>
  <c r="X683" i="1"/>
  <c r="X684" i="1"/>
  <c r="X685" i="1"/>
  <c r="X687" i="1"/>
  <c r="X688" i="1"/>
  <c r="X689" i="1"/>
  <c r="X690" i="1"/>
  <c r="X691" i="1"/>
  <c r="X693" i="1"/>
  <c r="X694" i="1"/>
  <c r="X695" i="1"/>
  <c r="X699" i="1"/>
  <c r="X700" i="1"/>
  <c r="X701" i="1"/>
  <c r="X702" i="1"/>
  <c r="X703" i="1"/>
  <c r="X704" i="1"/>
  <c r="X707" i="1"/>
  <c r="X709" i="1"/>
  <c r="X710" i="1"/>
  <c r="X712" i="1"/>
  <c r="X713" i="1"/>
  <c r="X715" i="1"/>
  <c r="X716" i="1"/>
  <c r="X717" i="1"/>
  <c r="X719" i="1"/>
  <c r="X720" i="1"/>
  <c r="X721" i="1"/>
  <c r="X722" i="1"/>
  <c r="X723" i="1"/>
  <c r="X726" i="1"/>
  <c r="X727" i="1"/>
  <c r="X728" i="1"/>
  <c r="X730" i="1"/>
  <c r="X731" i="1"/>
  <c r="X737" i="1"/>
  <c r="X738" i="1"/>
  <c r="X739" i="1"/>
  <c r="X740" i="1"/>
  <c r="X750" i="1"/>
  <c r="X751" i="1"/>
  <c r="X752" i="1"/>
  <c r="X757" i="1"/>
  <c r="X759" i="1"/>
  <c r="X762" i="1"/>
  <c r="X763" i="1"/>
  <c r="X764" i="1"/>
  <c r="X765" i="1"/>
  <c r="X766" i="1"/>
  <c r="X768" i="1"/>
  <c r="X769" i="1"/>
  <c r="X770" i="1"/>
  <c r="X772" i="1"/>
  <c r="X775" i="1"/>
  <c r="X779" i="1"/>
  <c r="X782" i="1"/>
  <c r="X784" i="1"/>
  <c r="X785" i="1"/>
  <c r="X787" i="1"/>
  <c r="X788" i="1"/>
  <c r="X789" i="1"/>
  <c r="X790" i="1"/>
  <c r="X793" i="1"/>
  <c r="X794" i="1"/>
  <c r="X796" i="1"/>
  <c r="X797" i="1"/>
  <c r="X798" i="1"/>
  <c r="X799" i="1"/>
  <c r="X801" i="1"/>
  <c r="X802" i="1"/>
  <c r="X803" i="1"/>
  <c r="X804" i="1"/>
  <c r="X805" i="1"/>
  <c r="X806" i="1"/>
  <c r="X808" i="1"/>
  <c r="X809" i="1"/>
  <c r="X810" i="1"/>
  <c r="X811" i="1"/>
  <c r="X812" i="1"/>
  <c r="X814" i="1"/>
  <c r="X815" i="1"/>
  <c r="X816" i="1"/>
  <c r="X818" i="1"/>
  <c r="X819" i="1"/>
  <c r="X820" i="1"/>
  <c r="X821" i="1"/>
  <c r="X828" i="1"/>
  <c r="X832" i="1"/>
  <c r="X833" i="1"/>
  <c r="X834" i="1"/>
  <c r="X835" i="1"/>
  <c r="X837" i="1"/>
  <c r="X839" i="1"/>
  <c r="X840" i="1"/>
  <c r="X843" i="1"/>
  <c r="X844" i="1"/>
  <c r="X845" i="1"/>
  <c r="X846" i="1"/>
  <c r="X847" i="1"/>
  <c r="X851" i="1"/>
  <c r="X854" i="1"/>
  <c r="X855" i="1"/>
  <c r="X857" i="1"/>
  <c r="X858" i="1"/>
  <c r="X859" i="1"/>
  <c r="X860" i="1"/>
  <c r="X861" i="1"/>
  <c r="X862" i="1"/>
  <c r="X863" i="1"/>
  <c r="X864" i="1"/>
  <c r="X865" i="1"/>
  <c r="X866" i="1"/>
  <c r="X867" i="1"/>
  <c r="X869" i="1"/>
  <c r="X870" i="1"/>
  <c r="X871" i="1"/>
  <c r="X873" i="1"/>
  <c r="X874" i="1"/>
  <c r="X875" i="1"/>
  <c r="X876" i="1"/>
  <c r="X877" i="1"/>
  <c r="X878" i="1"/>
  <c r="X879" i="1"/>
  <c r="X880" i="1"/>
  <c r="X882" i="1"/>
  <c r="X883" i="1"/>
  <c r="X885" i="1"/>
  <c r="X886" i="1"/>
  <c r="X887" i="1"/>
  <c r="X888" i="1"/>
  <c r="X889" i="1"/>
  <c r="X890" i="1"/>
  <c r="X891" i="1"/>
  <c r="X892" i="1"/>
  <c r="X896" i="1"/>
  <c r="X899" i="1"/>
  <c r="X900" i="1"/>
  <c r="X901" i="1"/>
  <c r="X902" i="1"/>
  <c r="X904" i="1"/>
  <c r="X906" i="1"/>
  <c r="X907" i="1"/>
  <c r="X908" i="1"/>
  <c r="X909" i="1"/>
  <c r="X910" i="1"/>
  <c r="X911" i="1"/>
  <c r="X912" i="1"/>
  <c r="X913" i="1"/>
  <c r="X914" i="1"/>
  <c r="X915" i="1"/>
  <c r="X916" i="1"/>
  <c r="X918" i="1"/>
  <c r="X919" i="1"/>
  <c r="X920" i="1"/>
  <c r="X921" i="1"/>
  <c r="X923" i="1"/>
  <c r="X924" i="1"/>
  <c r="X926" i="1"/>
  <c r="X927" i="1"/>
  <c r="X928" i="1"/>
  <c r="X929" i="1"/>
  <c r="X930" i="1"/>
  <c r="X931" i="1"/>
  <c r="X932" i="1"/>
  <c r="X933" i="1"/>
  <c r="X934" i="1"/>
  <c r="X935" i="1"/>
  <c r="X937" i="1"/>
  <c r="X938" i="1"/>
  <c r="X939" i="1"/>
  <c r="X940" i="1"/>
  <c r="X946" i="1"/>
  <c r="X950" i="1"/>
  <c r="X951" i="1"/>
  <c r="X952" i="1"/>
  <c r="X953" i="1"/>
  <c r="X955" i="1"/>
  <c r="X956" i="1"/>
  <c r="X957" i="1"/>
  <c r="X959" i="1"/>
  <c r="X961" i="1"/>
  <c r="X964" i="1"/>
  <c r="X966" i="1"/>
  <c r="X968" i="1"/>
  <c r="X969" i="1"/>
  <c r="X972" i="1"/>
  <c r="X977" i="1"/>
  <c r="X979" i="1"/>
  <c r="X980" i="1"/>
  <c r="X982" i="1"/>
  <c r="X986" i="1"/>
  <c r="X988" i="1"/>
  <c r="X989" i="1"/>
  <c r="X991" i="1"/>
  <c r="X993" i="1"/>
  <c r="X994" i="1"/>
  <c r="X997" i="1"/>
  <c r="X1005" i="1"/>
  <c r="X1007" i="1"/>
  <c r="X1010" i="1"/>
  <c r="X1011" i="1"/>
  <c r="X1012" i="1"/>
  <c r="X1013" i="1"/>
  <c r="X1017" i="1"/>
  <c r="X1018" i="1"/>
  <c r="X1022" i="1"/>
  <c r="X1024" i="1"/>
  <c r="X1025" i="1"/>
  <c r="X1026" i="1"/>
  <c r="X1027" i="1"/>
  <c r="X1029" i="1"/>
  <c r="X1030" i="1"/>
  <c r="X1037" i="1"/>
  <c r="X1038" i="1"/>
  <c r="X1040" i="1"/>
  <c r="X1041" i="1"/>
  <c r="X1043" i="1"/>
  <c r="X1044" i="1"/>
  <c r="X1046" i="1"/>
  <c r="X1047" i="1"/>
  <c r="X1049" i="1"/>
  <c r="X1051" i="1"/>
  <c r="X1052" i="1"/>
  <c r="X1054" i="1"/>
  <c r="X1055" i="1"/>
  <c r="X1058" i="1"/>
  <c r="X1059" i="1"/>
  <c r="X1060" i="1"/>
  <c r="X1061" i="1"/>
  <c r="X1065" i="1"/>
  <c r="X1067" i="1"/>
  <c r="X1068" i="1"/>
  <c r="X1069" i="1"/>
  <c r="X1073" i="1"/>
  <c r="X1074" i="1"/>
  <c r="X1076" i="1"/>
  <c r="X1077" i="1"/>
  <c r="X1079" i="1"/>
  <c r="X1081" i="1"/>
  <c r="X1082" i="1"/>
  <c r="X1083" i="1"/>
  <c r="X1084" i="1"/>
  <c r="X1085" i="1"/>
  <c r="X1087" i="1"/>
  <c r="X1088" i="1"/>
  <c r="X1089" i="1"/>
  <c r="X1090" i="1"/>
  <c r="X1091" i="1"/>
  <c r="X1093" i="1"/>
  <c r="X1095" i="1"/>
  <c r="X1096" i="1"/>
  <c r="X1097" i="1"/>
  <c r="X1098" i="1"/>
  <c r="X1099" i="1"/>
  <c r="X1100" i="1"/>
  <c r="X1101" i="1"/>
  <c r="X1104" i="1"/>
  <c r="X1106" i="1"/>
  <c r="X1110" i="1"/>
  <c r="X1117" i="1"/>
  <c r="X1118" i="1"/>
  <c r="X1122" i="1"/>
  <c r="X1123" i="1"/>
  <c r="X1124" i="1"/>
  <c r="X1125" i="1"/>
  <c r="X1127" i="1"/>
  <c r="X1128" i="1"/>
  <c r="X1129" i="1"/>
  <c r="X1130" i="1"/>
  <c r="X1131" i="1"/>
  <c r="X1134" i="1"/>
  <c r="X1135" i="1"/>
  <c r="X1136" i="1"/>
  <c r="X1137" i="1"/>
  <c r="X1138" i="1"/>
  <c r="X1139" i="1"/>
  <c r="X1140" i="1"/>
  <c r="X1141" i="1"/>
  <c r="X1142" i="1"/>
  <c r="X1143" i="1"/>
  <c r="X1144" i="1"/>
  <c r="X1145" i="1"/>
  <c r="X1146" i="1"/>
  <c r="X1147" i="1"/>
  <c r="X1148" i="1"/>
  <c r="X1149" i="1"/>
  <c r="W3" i="1"/>
  <c r="W4" i="1"/>
  <c r="W7" i="1"/>
  <c r="W14" i="1"/>
  <c r="W17" i="1"/>
  <c r="W20" i="1"/>
  <c r="W22" i="1"/>
  <c r="W23" i="1"/>
  <c r="W24" i="1"/>
  <c r="W27" i="1"/>
  <c r="W28" i="1"/>
  <c r="W34" i="1"/>
  <c r="W35" i="1"/>
  <c r="W38" i="1"/>
  <c r="W39" i="1"/>
  <c r="W40" i="1"/>
  <c r="W41" i="1"/>
  <c r="W42" i="1"/>
  <c r="W44" i="1"/>
  <c r="W46" i="1"/>
  <c r="W51" i="1"/>
  <c r="W52" i="1"/>
  <c r="W55" i="1"/>
  <c r="W56" i="1"/>
  <c r="W57" i="1"/>
  <c r="W58" i="1"/>
  <c r="W60" i="1"/>
  <c r="W66" i="1"/>
  <c r="W68" i="1"/>
  <c r="W70" i="1"/>
  <c r="W71" i="1"/>
  <c r="W74" i="1"/>
  <c r="W75" i="1"/>
  <c r="W76" i="1"/>
  <c r="W77" i="1"/>
  <c r="W79" i="1"/>
  <c r="W80" i="1"/>
  <c r="W83" i="1"/>
  <c r="W84" i="1"/>
  <c r="W85" i="1"/>
  <c r="W88" i="1"/>
  <c r="W100" i="1"/>
  <c r="W105" i="1"/>
  <c r="W107" i="1"/>
  <c r="W108" i="1"/>
  <c r="W110" i="1"/>
  <c r="W111" i="1"/>
  <c r="W114" i="1"/>
  <c r="W115" i="1"/>
  <c r="W116" i="1"/>
  <c r="W117" i="1"/>
  <c r="W128" i="1"/>
  <c r="W130" i="1"/>
  <c r="W132" i="1"/>
  <c r="W135" i="1"/>
  <c r="W136" i="1"/>
  <c r="W139" i="1"/>
  <c r="W154" i="1"/>
  <c r="W158" i="1"/>
  <c r="W159" i="1"/>
  <c r="W160" i="1"/>
  <c r="W164" i="1"/>
  <c r="W165" i="1"/>
  <c r="W166" i="1"/>
  <c r="W168" i="1"/>
  <c r="W170" i="1"/>
  <c r="W171" i="1"/>
  <c r="W173" i="1"/>
  <c r="W174" i="1"/>
  <c r="W177" i="1"/>
  <c r="W181" i="1"/>
  <c r="W182" i="1"/>
  <c r="W183" i="1"/>
  <c r="W188" i="1"/>
  <c r="W192" i="1"/>
  <c r="W193" i="1"/>
  <c r="W194" i="1"/>
  <c r="W195" i="1"/>
  <c r="W197" i="1"/>
  <c r="W199" i="1"/>
  <c r="W202" i="1"/>
  <c r="W205" i="1"/>
  <c r="W207" i="1"/>
  <c r="W208" i="1"/>
  <c r="W209" i="1"/>
  <c r="W214" i="1"/>
  <c r="W215" i="1"/>
  <c r="W216" i="1"/>
  <c r="W219" i="1"/>
  <c r="W220" i="1"/>
  <c r="W223" i="1"/>
  <c r="W229" i="1"/>
  <c r="W231" i="1"/>
  <c r="W239" i="1"/>
  <c r="W245" i="1"/>
  <c r="W249" i="1"/>
  <c r="W251" i="1"/>
  <c r="W252" i="1"/>
  <c r="W253" i="1"/>
  <c r="W254" i="1"/>
  <c r="W256" i="1"/>
  <c r="W265" i="1"/>
  <c r="W267" i="1"/>
  <c r="W269" i="1"/>
  <c r="W272" i="1"/>
  <c r="W273" i="1"/>
  <c r="W275" i="1"/>
  <c r="W277" i="1"/>
  <c r="W280" i="1"/>
  <c r="W281" i="1"/>
  <c r="W282" i="1"/>
  <c r="W286" i="1"/>
  <c r="W289" i="1"/>
  <c r="W290" i="1"/>
  <c r="W291" i="1"/>
  <c r="W292" i="1"/>
  <c r="W296" i="1"/>
  <c r="W297" i="1"/>
  <c r="W299" i="1"/>
  <c r="W300" i="1"/>
  <c r="W301" i="1"/>
  <c r="W303" i="1"/>
  <c r="W308" i="1"/>
  <c r="W310" i="1"/>
  <c r="W315" i="1"/>
  <c r="W316" i="1"/>
  <c r="W320" i="1"/>
  <c r="W321" i="1"/>
  <c r="W322" i="1"/>
  <c r="W323" i="1"/>
  <c r="W325" i="1"/>
  <c r="W326" i="1"/>
  <c r="W327" i="1"/>
  <c r="W328" i="1"/>
  <c r="W329" i="1"/>
  <c r="W332" i="1"/>
  <c r="W333" i="1"/>
  <c r="W337" i="1"/>
  <c r="W340" i="1"/>
  <c r="W341" i="1"/>
  <c r="W342" i="1"/>
  <c r="W344" i="1"/>
  <c r="W345" i="1"/>
  <c r="W349" i="1"/>
  <c r="W355" i="1"/>
  <c r="W358" i="1"/>
  <c r="W361" i="1"/>
  <c r="W367" i="1"/>
  <c r="W369" i="1"/>
  <c r="W371" i="1"/>
  <c r="W373" i="1"/>
  <c r="W376" i="1"/>
  <c r="W377" i="1"/>
  <c r="W379" i="1"/>
  <c r="W381" i="1"/>
  <c r="W382" i="1"/>
  <c r="W386" i="1"/>
  <c r="W387" i="1"/>
  <c r="W389" i="1"/>
  <c r="W392" i="1"/>
  <c r="W394" i="1"/>
  <c r="W395" i="1"/>
  <c r="W397" i="1"/>
  <c r="W399" i="1"/>
  <c r="W400" i="1"/>
  <c r="W402" i="1"/>
  <c r="W406" i="1"/>
  <c r="W408" i="1"/>
  <c r="W409" i="1"/>
  <c r="W410" i="1"/>
  <c r="W413" i="1"/>
  <c r="W414" i="1"/>
  <c r="W415" i="1"/>
  <c r="W418" i="1"/>
  <c r="W420" i="1"/>
  <c r="W422" i="1"/>
  <c r="W423" i="1"/>
  <c r="W429" i="1"/>
  <c r="W436" i="1"/>
  <c r="W437" i="1"/>
  <c r="W439" i="1"/>
  <c r="W443" i="1"/>
  <c r="W445" i="1"/>
  <c r="W446" i="1"/>
  <c r="W447" i="1"/>
  <c r="W448" i="1"/>
  <c r="W450" i="1"/>
  <c r="W456" i="1"/>
  <c r="W462" i="1"/>
  <c r="W467" i="1"/>
  <c r="W468" i="1"/>
  <c r="W469" i="1"/>
  <c r="W472" i="1"/>
  <c r="W476" i="1"/>
  <c r="W477" i="1"/>
  <c r="W480" i="1"/>
  <c r="W481" i="1"/>
  <c r="W482" i="1"/>
  <c r="W483" i="1"/>
  <c r="W485" i="1"/>
  <c r="W487" i="1"/>
  <c r="W490" i="1"/>
  <c r="W491" i="1"/>
  <c r="W493" i="1"/>
  <c r="W494" i="1"/>
  <c r="W496" i="1"/>
  <c r="W497" i="1"/>
  <c r="W499" i="1"/>
  <c r="W501" i="1"/>
  <c r="W502" i="1"/>
  <c r="W505" i="1"/>
  <c r="W506" i="1"/>
  <c r="W507" i="1"/>
  <c r="W509" i="1"/>
  <c r="W510" i="1"/>
  <c r="W511" i="1"/>
  <c r="W512" i="1"/>
  <c r="W516" i="1"/>
  <c r="W518" i="1"/>
  <c r="W519" i="1"/>
  <c r="W522" i="1"/>
  <c r="W524" i="1"/>
  <c r="W525" i="1"/>
  <c r="W527" i="1"/>
  <c r="W528" i="1"/>
  <c r="W529" i="1"/>
  <c r="W530" i="1"/>
  <c r="W531" i="1"/>
  <c r="W532" i="1"/>
  <c r="W533" i="1"/>
  <c r="W534" i="1"/>
  <c r="W535" i="1"/>
  <c r="W539" i="1"/>
  <c r="W540" i="1"/>
  <c r="W541" i="1"/>
  <c r="W542" i="1"/>
  <c r="W543" i="1"/>
  <c r="W544" i="1"/>
  <c r="W546" i="1"/>
  <c r="W547" i="1"/>
  <c r="W552" i="1"/>
  <c r="W554" i="1"/>
  <c r="W555" i="1"/>
  <c r="W556" i="1"/>
  <c r="W558" i="1"/>
  <c r="W560" i="1"/>
  <c r="W561" i="1"/>
  <c r="W562" i="1"/>
  <c r="W564" i="1"/>
  <c r="W565" i="1"/>
  <c r="W566" i="1"/>
  <c r="W567" i="1"/>
  <c r="W568" i="1"/>
  <c r="W569" i="1"/>
  <c r="W571" i="1"/>
  <c r="W573" i="1"/>
  <c r="W578" i="1"/>
  <c r="W579" i="1"/>
  <c r="W582" i="1"/>
  <c r="W583" i="1"/>
  <c r="W584" i="1"/>
  <c r="W586" i="1"/>
  <c r="W587" i="1"/>
  <c r="W588" i="1"/>
  <c r="W590" i="1"/>
  <c r="W591" i="1"/>
  <c r="W592" i="1"/>
  <c r="W594" i="1"/>
  <c r="W597" i="1"/>
  <c r="W598" i="1"/>
  <c r="W602" i="1"/>
  <c r="W604" i="1"/>
  <c r="W607" i="1"/>
  <c r="W609" i="1"/>
  <c r="W610" i="1"/>
  <c r="W611" i="1"/>
  <c r="W613" i="1"/>
  <c r="W614" i="1"/>
  <c r="W619" i="1"/>
  <c r="W620" i="1"/>
  <c r="W623" i="1"/>
  <c r="W624" i="1"/>
  <c r="W625" i="1"/>
  <c r="W626" i="1"/>
  <c r="W628" i="1"/>
  <c r="W629" i="1"/>
  <c r="W630" i="1"/>
  <c r="W631" i="1"/>
  <c r="W632" i="1"/>
  <c r="W634" i="1"/>
  <c r="W635" i="1"/>
  <c r="W636" i="1"/>
  <c r="W637" i="1"/>
  <c r="W638" i="1"/>
  <c r="W639" i="1"/>
  <c r="W641" i="1"/>
  <c r="W643" i="1"/>
  <c r="W645" i="1"/>
  <c r="W646" i="1"/>
  <c r="W647" i="1"/>
  <c r="W649" i="1"/>
  <c r="W650" i="1"/>
  <c r="W651" i="1"/>
  <c r="W652" i="1"/>
  <c r="W654" i="1"/>
  <c r="W655" i="1"/>
  <c r="W657" i="1"/>
  <c r="W658" i="1"/>
  <c r="W659" i="1"/>
  <c r="W660" i="1"/>
  <c r="W661" i="1"/>
  <c r="W662" i="1"/>
  <c r="W663" i="1"/>
  <c r="W664" i="1"/>
  <c r="W666" i="1"/>
  <c r="W667" i="1"/>
  <c r="W669" i="1"/>
  <c r="W670" i="1"/>
  <c r="W671" i="1"/>
  <c r="W672" i="1"/>
  <c r="W675" i="1"/>
  <c r="W676" i="1"/>
  <c r="W678" i="1"/>
  <c r="W679" i="1"/>
  <c r="W680" i="1"/>
  <c r="W681" i="1"/>
  <c r="W682" i="1"/>
  <c r="W683" i="1"/>
  <c r="W684" i="1"/>
  <c r="W685" i="1"/>
  <c r="W687" i="1"/>
  <c r="W688" i="1"/>
  <c r="W689" i="1"/>
  <c r="W690" i="1"/>
  <c r="W691" i="1"/>
  <c r="W693" i="1"/>
  <c r="W694" i="1"/>
  <c r="W695" i="1"/>
  <c r="W699" i="1"/>
  <c r="W700" i="1"/>
  <c r="W701" i="1"/>
  <c r="W702" i="1"/>
  <c r="W703" i="1"/>
  <c r="W704" i="1"/>
  <c r="W707" i="1"/>
  <c r="W709" i="1"/>
  <c r="W710" i="1"/>
  <c r="W712" i="1"/>
  <c r="W713" i="1"/>
  <c r="W715" i="1"/>
  <c r="W716" i="1"/>
  <c r="W717" i="1"/>
  <c r="W718" i="1"/>
  <c r="W719" i="1"/>
  <c r="W720" i="1"/>
  <c r="W721" i="1"/>
  <c r="W722" i="1"/>
  <c r="W723" i="1"/>
  <c r="W726" i="1"/>
  <c r="W727" i="1"/>
  <c r="W728" i="1"/>
  <c r="W730" i="1"/>
  <c r="W731" i="1"/>
  <c r="W737" i="1"/>
  <c r="W738" i="1"/>
  <c r="W739" i="1"/>
  <c r="W740" i="1"/>
  <c r="W750" i="1"/>
  <c r="W751" i="1"/>
  <c r="W752" i="1"/>
  <c r="W754" i="1"/>
  <c r="W757" i="1"/>
  <c r="W759" i="1"/>
  <c r="W762" i="1"/>
  <c r="W763" i="1"/>
  <c r="W764" i="1"/>
  <c r="W765" i="1"/>
  <c r="W766" i="1"/>
  <c r="W768" i="1"/>
  <c r="W769" i="1"/>
  <c r="W770" i="1"/>
  <c r="W772" i="1"/>
  <c r="W775" i="1"/>
  <c r="W776" i="1"/>
  <c r="W779" i="1"/>
  <c r="W782" i="1"/>
  <c r="W784" i="1"/>
  <c r="W785" i="1"/>
  <c r="W787" i="1"/>
  <c r="W788" i="1"/>
  <c r="W789" i="1"/>
  <c r="W790" i="1"/>
  <c r="W793" i="1"/>
  <c r="W794" i="1"/>
  <c r="W795" i="1"/>
  <c r="W796" i="1"/>
  <c r="W797" i="1"/>
  <c r="W798" i="1"/>
  <c r="W799" i="1"/>
  <c r="W801" i="1"/>
  <c r="W802" i="1"/>
  <c r="W803" i="1"/>
  <c r="W804" i="1"/>
  <c r="W805" i="1"/>
  <c r="W806" i="1"/>
  <c r="W808" i="1"/>
  <c r="W809" i="1"/>
  <c r="W810" i="1"/>
  <c r="W811" i="1"/>
  <c r="W812" i="1"/>
  <c r="W814" i="1"/>
  <c r="W815" i="1"/>
  <c r="W816" i="1"/>
  <c r="W818" i="1"/>
  <c r="W819" i="1"/>
  <c r="W820" i="1"/>
  <c r="W821" i="1"/>
  <c r="W828" i="1"/>
  <c r="W831" i="1"/>
  <c r="W832" i="1"/>
  <c r="W833" i="1"/>
  <c r="W834" i="1"/>
  <c r="W835" i="1"/>
  <c r="W836" i="1"/>
  <c r="W837" i="1"/>
  <c r="W839" i="1"/>
  <c r="W840" i="1"/>
  <c r="W842" i="1"/>
  <c r="W843" i="1"/>
  <c r="W844" i="1"/>
  <c r="W845" i="1"/>
  <c r="W846" i="1"/>
  <c r="W847" i="1"/>
  <c r="W849" i="1"/>
  <c r="W851" i="1"/>
  <c r="W854" i="1"/>
  <c r="W855" i="1"/>
  <c r="W857" i="1"/>
  <c r="W858" i="1"/>
  <c r="W859" i="1"/>
  <c r="W860" i="1"/>
  <c r="W861" i="1"/>
  <c r="W862" i="1"/>
  <c r="W863" i="1"/>
  <c r="W864" i="1"/>
  <c r="W865" i="1"/>
  <c r="W866" i="1"/>
  <c r="W867" i="1"/>
  <c r="W869" i="1"/>
  <c r="W870" i="1"/>
  <c r="W871" i="1"/>
  <c r="W873" i="1"/>
  <c r="W874" i="1"/>
  <c r="W875" i="1"/>
  <c r="W876" i="1"/>
  <c r="W877" i="1"/>
  <c r="W878" i="1"/>
  <c r="W879" i="1"/>
  <c r="W880" i="1"/>
  <c r="W882" i="1"/>
  <c r="W883" i="1"/>
  <c r="W884" i="1"/>
  <c r="W885" i="1"/>
  <c r="W886" i="1"/>
  <c r="W887" i="1"/>
  <c r="W888" i="1"/>
  <c r="W889" i="1"/>
  <c r="W890" i="1"/>
  <c r="W891" i="1"/>
  <c r="W892" i="1"/>
  <c r="W896" i="1"/>
  <c r="W899" i="1"/>
  <c r="W900" i="1"/>
  <c r="W901" i="1"/>
  <c r="W902" i="1"/>
  <c r="W904" i="1"/>
  <c r="W906" i="1"/>
  <c r="W907" i="1"/>
  <c r="W908" i="1"/>
  <c r="W909" i="1"/>
  <c r="W910" i="1"/>
  <c r="W911" i="1"/>
  <c r="W912" i="1"/>
  <c r="W913" i="1"/>
  <c r="W914" i="1"/>
  <c r="W915" i="1"/>
  <c r="W916" i="1"/>
  <c r="W918" i="1"/>
  <c r="W919" i="1"/>
  <c r="W920" i="1"/>
  <c r="W921" i="1"/>
  <c r="W923" i="1"/>
  <c r="W924" i="1"/>
  <c r="W926" i="1"/>
  <c r="W927" i="1"/>
  <c r="W928" i="1"/>
  <c r="W929" i="1"/>
  <c r="W930" i="1"/>
  <c r="W931" i="1"/>
  <c r="W932" i="1"/>
  <c r="W933" i="1"/>
  <c r="W934" i="1"/>
  <c r="W935" i="1"/>
  <c r="W937" i="1"/>
  <c r="W938" i="1"/>
  <c r="W939" i="1"/>
  <c r="W940" i="1"/>
  <c r="W946" i="1"/>
  <c r="W950" i="1"/>
  <c r="W951" i="1"/>
  <c r="W952" i="1"/>
  <c r="W953" i="1"/>
  <c r="W955" i="1"/>
  <c r="W956" i="1"/>
  <c r="W957" i="1"/>
  <c r="W959" i="1"/>
  <c r="W961" i="1"/>
  <c r="W964" i="1"/>
  <c r="W966" i="1"/>
  <c r="W968" i="1"/>
  <c r="W969" i="1"/>
  <c r="W972" i="1"/>
  <c r="W977" i="1"/>
  <c r="W979" i="1"/>
  <c r="W980" i="1"/>
  <c r="W981" i="1"/>
  <c r="W982" i="1"/>
  <c r="W986" i="1"/>
  <c r="W988" i="1"/>
  <c r="W989" i="1"/>
  <c r="W991" i="1"/>
  <c r="W993" i="1"/>
  <c r="W994" i="1"/>
  <c r="W995" i="1"/>
  <c r="W997" i="1"/>
  <c r="W998" i="1"/>
  <c r="W1001" i="1"/>
  <c r="W1005" i="1"/>
  <c r="W1007" i="1"/>
  <c r="W1010" i="1"/>
  <c r="W1011" i="1"/>
  <c r="W1012" i="1"/>
  <c r="W1013" i="1"/>
  <c r="W1015" i="1"/>
  <c r="W1017" i="1"/>
  <c r="W1018" i="1"/>
  <c r="W1019" i="1"/>
  <c r="W1022" i="1"/>
  <c r="W1024" i="1"/>
  <c r="W1025" i="1"/>
  <c r="W1026" i="1"/>
  <c r="W1027" i="1"/>
  <c r="W1029" i="1"/>
  <c r="W1030" i="1"/>
  <c r="W1037" i="1"/>
  <c r="W1038" i="1"/>
  <c r="W1040" i="1"/>
  <c r="W1041" i="1"/>
  <c r="W1043" i="1"/>
  <c r="W1044" i="1"/>
  <c r="W1046" i="1"/>
  <c r="W1047" i="1"/>
  <c r="W1049" i="1"/>
  <c r="W1051" i="1"/>
  <c r="W1052" i="1"/>
  <c r="W1054" i="1"/>
  <c r="W1055" i="1"/>
  <c r="W1058" i="1"/>
  <c r="W1059" i="1"/>
  <c r="W1060" i="1"/>
  <c r="W1061" i="1"/>
  <c r="W1065" i="1"/>
  <c r="W1067" i="1"/>
  <c r="W1068" i="1"/>
  <c r="W1069" i="1"/>
  <c r="W1072" i="1"/>
  <c r="W1073" i="1"/>
  <c r="W1074" i="1"/>
  <c r="W1076" i="1"/>
  <c r="W1077" i="1"/>
  <c r="W1079" i="1"/>
  <c r="W1081" i="1"/>
  <c r="W1082" i="1"/>
  <c r="W1083" i="1"/>
  <c r="W1084" i="1"/>
  <c r="W1085" i="1"/>
  <c r="W1087" i="1"/>
  <c r="W1088" i="1"/>
  <c r="W1089" i="1"/>
  <c r="W1090" i="1"/>
  <c r="W1091" i="1"/>
  <c r="W1093" i="1"/>
  <c r="W1095" i="1"/>
  <c r="W1096" i="1"/>
  <c r="W1097" i="1"/>
  <c r="W1098" i="1"/>
  <c r="W1099" i="1"/>
  <c r="W1100" i="1"/>
  <c r="W1101" i="1"/>
  <c r="W1104" i="1"/>
  <c r="W1106" i="1"/>
  <c r="W1110" i="1"/>
  <c r="W1114" i="1"/>
  <c r="W1115" i="1"/>
  <c r="W1116" i="1"/>
  <c r="W1117" i="1"/>
  <c r="W1118" i="1"/>
  <c r="W1120" i="1"/>
  <c r="W1122" i="1"/>
  <c r="W1123" i="1"/>
  <c r="W1124" i="1"/>
  <c r="W1125" i="1"/>
  <c r="W1127" i="1"/>
  <c r="W1128" i="1"/>
  <c r="W1129" i="1"/>
  <c r="W1130" i="1"/>
  <c r="W1131" i="1"/>
  <c r="W1134" i="1"/>
  <c r="W1135" i="1"/>
  <c r="W1136" i="1"/>
  <c r="W1137" i="1"/>
  <c r="W1138" i="1"/>
  <c r="W1139" i="1"/>
  <c r="W1140" i="1"/>
  <c r="W1141" i="1"/>
  <c r="W1142" i="1"/>
  <c r="W1143" i="1"/>
  <c r="W1144" i="1"/>
  <c r="W1145" i="1"/>
  <c r="W1146" i="1"/>
  <c r="W1147" i="1"/>
  <c r="W1148" i="1"/>
  <c r="W1149" i="1"/>
  <c r="V3" i="1"/>
  <c r="V4" i="1"/>
  <c r="V5" i="1"/>
  <c r="V7" i="1"/>
  <c r="V8" i="1"/>
  <c r="V9" i="1"/>
  <c r="V10" i="1"/>
  <c r="V11" i="1"/>
  <c r="V12" i="1"/>
  <c r="V13" i="1"/>
  <c r="V14" i="1"/>
  <c r="V15" i="1"/>
  <c r="V16" i="1"/>
  <c r="V17" i="1"/>
  <c r="V18" i="1"/>
  <c r="V19" i="1"/>
  <c r="V20"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8" i="1"/>
  <c r="V359" i="1"/>
  <c r="V361" i="1"/>
  <c r="V362"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alcChain>
</file>

<file path=xl/sharedStrings.xml><?xml version="1.0" encoding="utf-8"?>
<sst xmlns="http://schemas.openxmlformats.org/spreadsheetml/2006/main" count="23615" uniqueCount="1798">
  <si>
    <t>replicate_fingerprinting</t>
  </si>
  <si>
    <t>sample</t>
  </si>
  <si>
    <t>farm_code</t>
  </si>
  <si>
    <t>sp_sample</t>
  </si>
  <si>
    <t>sp_tricot</t>
  </si>
  <si>
    <t>sp_id</t>
  </si>
  <si>
    <t>sp_tgroup</t>
  </si>
  <si>
    <t>index_final_value</t>
  </si>
  <si>
    <t>source</t>
  </si>
  <si>
    <t>source_who</t>
  </si>
  <si>
    <t>first_time_seed</t>
  </si>
  <si>
    <t>gender</t>
  </si>
  <si>
    <t>treated</t>
  </si>
  <si>
    <t>tricot</t>
  </si>
  <si>
    <t>inder</t>
  </si>
  <si>
    <t>tech_pkg</t>
  </si>
  <si>
    <t>education</t>
  </si>
  <si>
    <t>SEF1</t>
  </si>
  <si>
    <t>SEF2</t>
  </si>
  <si>
    <t>SEF3</t>
  </si>
  <si>
    <t>SEF4</t>
  </si>
  <si>
    <t>match</t>
  </si>
  <si>
    <t>match2</t>
  </si>
  <si>
    <t>match3</t>
  </si>
  <si>
    <t>match4</t>
  </si>
  <si>
    <t>farmer_clean_name</t>
  </si>
  <si>
    <t>farmer_identified_name</t>
  </si>
  <si>
    <t>original_farmer_identified_name</t>
  </si>
  <si>
    <t>dna_identified_first</t>
  </si>
  <si>
    <t>dna_identified_second_processed</t>
  </si>
  <si>
    <t>dna_identified_second</t>
  </si>
  <si>
    <t>dna_identified_third</t>
  </si>
  <si>
    <t>dna_identified_fourth</t>
  </si>
  <si>
    <t>gendist_match4</t>
  </si>
  <si>
    <t>gendist_match3</t>
  </si>
  <si>
    <t>gendist_match2</t>
  </si>
  <si>
    <t>first_gen_distance</t>
  </si>
  <si>
    <t>second_gen_distance</t>
  </si>
  <si>
    <t>third_gen_distance</t>
  </si>
  <si>
    <t>fourth_gen_distance</t>
  </si>
  <si>
    <t>first_similarity</t>
  </si>
  <si>
    <t>second_similarity</t>
  </si>
  <si>
    <t>third_similarity</t>
  </si>
  <si>
    <t>fourth_similarity</t>
  </si>
  <si>
    <t>first_match</t>
  </si>
  <si>
    <t>second_match</t>
  </si>
  <si>
    <t>first_cat</t>
  </si>
  <si>
    <t>second_cat</t>
  </si>
  <si>
    <t>region</t>
  </si>
  <si>
    <t>district</t>
  </si>
  <si>
    <t>village</t>
  </si>
  <si>
    <t>first_time_seed_use</t>
  </si>
  <si>
    <t>seed_cycles</t>
  </si>
  <si>
    <t>area</t>
  </si>
  <si>
    <t>max_ref_distance_1</t>
  </si>
  <si>
    <t>sd_ref_distance_1</t>
  </si>
  <si>
    <t>range_max</t>
  </si>
  <si>
    <t>match_only_name</t>
  </si>
  <si>
    <t>match_name_manual_cleaning</t>
  </si>
  <si>
    <t>invFCI</t>
  </si>
  <si>
    <t>invFCI_SP</t>
  </si>
  <si>
    <t>count_neigh_1km</t>
  </si>
  <si>
    <t>count_match_1km</t>
  </si>
  <si>
    <t>ratio_match_1km</t>
  </si>
  <si>
    <t>count_neigh_5km</t>
  </si>
  <si>
    <t>count_match_5km</t>
  </si>
  <si>
    <t>ratio_match_5km</t>
  </si>
  <si>
    <t>F1_1C</t>
  </si>
  <si>
    <t>yes</t>
  </si>
  <si>
    <t>T1</t>
  </si>
  <si>
    <t>Reliable</t>
  </si>
  <si>
    <t>Producers' association - bought</t>
  </si>
  <si>
    <t>Yes</t>
  </si>
  <si>
    <t>nambi</t>
  </si>
  <si>
    <t>victoria</t>
  </si>
  <si>
    <t>matambu</t>
  </si>
  <si>
    <t>cabecar</t>
  </si>
  <si>
    <t>category 1</t>
  </si>
  <si>
    <t>category 2</t>
  </si>
  <si>
    <t>South</t>
  </si>
  <si>
    <t>Pejibaye</t>
  </si>
  <si>
    <t>Veracruz</t>
  </si>
  <si>
    <t>NA</t>
  </si>
  <si>
    <t>F1_2B</t>
  </si>
  <si>
    <t>changuena</t>
  </si>
  <si>
    <t>F2_1B</t>
  </si>
  <si>
    <t>B</t>
  </si>
  <si>
    <t>Unreliable</t>
  </si>
  <si>
    <t>Bought other producers in CR</t>
  </si>
  <si>
    <t>dontknow</t>
  </si>
  <si>
    <t>no se</t>
  </si>
  <si>
    <t>guaymi</t>
  </si>
  <si>
    <t>category 4</t>
  </si>
  <si>
    <t>F3_1B</t>
  </si>
  <si>
    <t>tequila</t>
  </si>
  <si>
    <t>RCB 593</t>
  </si>
  <si>
    <t>F4_1B</t>
  </si>
  <si>
    <t>T2</t>
  </si>
  <si>
    <t>landraces</t>
  </si>
  <si>
    <t>sacapobres</t>
  </si>
  <si>
    <t>saca pobres rojo</t>
  </si>
  <si>
    <t>generalito</t>
  </si>
  <si>
    <t>gibre</t>
  </si>
  <si>
    <t>mantequilla</t>
  </si>
  <si>
    <t>F4_2B</t>
  </si>
  <si>
    <t>guaimy</t>
  </si>
  <si>
    <t>tequila(2)/uran(1)</t>
  </si>
  <si>
    <t>uran</t>
  </si>
  <si>
    <t>category 3</t>
  </si>
  <si>
    <t>No</t>
  </si>
  <si>
    <t>F5_1B</t>
  </si>
  <si>
    <t>Kept it from previous season</t>
  </si>
  <si>
    <t>changuina</t>
  </si>
  <si>
    <t>suru</t>
  </si>
  <si>
    <t>diquis</t>
  </si>
  <si>
    <t>Zapote</t>
  </si>
  <si>
    <t>F5_2B</t>
  </si>
  <si>
    <t>lambi</t>
  </si>
  <si>
    <t>F6_1B</t>
  </si>
  <si>
    <t>C</t>
  </si>
  <si>
    <t>tayni</t>
  </si>
  <si>
    <t>F6_2B</t>
  </si>
  <si>
    <t>F6_3B</t>
  </si>
  <si>
    <t>F7_1B</t>
  </si>
  <si>
    <t>Other</t>
  </si>
  <si>
    <t>F7_2B</t>
  </si>
  <si>
    <t>F8_1B</t>
  </si>
  <si>
    <t>F8_2B</t>
  </si>
  <si>
    <t>F9_1B</t>
  </si>
  <si>
    <t>Colinas</t>
  </si>
  <si>
    <t>F10_1B</t>
  </si>
  <si>
    <t>Aguas Frescas</t>
  </si>
  <si>
    <t>F10_2B</t>
  </si>
  <si>
    <t>F11_1B</t>
  </si>
  <si>
    <t>piquis</t>
  </si>
  <si>
    <t>F11_2B</t>
  </si>
  <si>
    <t>F12_1B</t>
  </si>
  <si>
    <t>talamanca</t>
  </si>
  <si>
    <t>talamanca rojo</t>
  </si>
  <si>
    <t>F12_2B</t>
  </si>
  <si>
    <t>F13_1B</t>
  </si>
  <si>
    <t>panameno</t>
  </si>
  <si>
    <t>cabecar(1)/victoria(2)</t>
  </si>
  <si>
    <t>F13_2B</t>
  </si>
  <si>
    <t>F14_1B</t>
  </si>
  <si>
    <t>F14_2B</t>
  </si>
  <si>
    <t>saca pobres negro</t>
  </si>
  <si>
    <t>F15_1B</t>
  </si>
  <si>
    <t>F15_2B</t>
  </si>
  <si>
    <t>F16_1B</t>
  </si>
  <si>
    <t>Family</t>
  </si>
  <si>
    <t>RCB 593(2)/uran(1)</t>
  </si>
  <si>
    <t>Aguas frescas</t>
  </si>
  <si>
    <t>F16_2B</t>
  </si>
  <si>
    <t>F17_1B</t>
  </si>
  <si>
    <t>no</t>
  </si>
  <si>
    <t>ɬ guila</t>
  </si>
  <si>
    <t>F17_2B</t>
  </si>
  <si>
    <t>nanbi</t>
  </si>
  <si>
    <t>F18_1B</t>
  </si>
  <si>
    <t>F18_2B</t>
  </si>
  <si>
    <t>F19_1B</t>
  </si>
  <si>
    <t>El  guila</t>
  </si>
  <si>
    <t>F20_1B</t>
  </si>
  <si>
    <t>El guila</t>
  </si>
  <si>
    <t>F21_1A</t>
  </si>
  <si>
    <t>tequila(1)/victoria(2)</t>
  </si>
  <si>
    <t>curre</t>
  </si>
  <si>
    <t>F21_2A</t>
  </si>
  <si>
    <t>F22_1B</t>
  </si>
  <si>
    <t>other</t>
  </si>
  <si>
    <t>conga</t>
  </si>
  <si>
    <t>F23_1A</t>
  </si>
  <si>
    <t>SEF 42</t>
  </si>
  <si>
    <t>SEF 62</t>
  </si>
  <si>
    <t>Guagaral</t>
  </si>
  <si>
    <t>F23_2A</t>
  </si>
  <si>
    <t>ensayo</t>
  </si>
  <si>
    <t>uram</t>
  </si>
  <si>
    <t>F24_1A</t>
  </si>
  <si>
    <t>F24_2A</t>
  </si>
  <si>
    <t>F25_1A</t>
  </si>
  <si>
    <t>F25_2A</t>
  </si>
  <si>
    <t>variedad a</t>
  </si>
  <si>
    <t>F25_3A</t>
  </si>
  <si>
    <t>mantenimiento</t>
  </si>
  <si>
    <t>F26_1A</t>
  </si>
  <si>
    <t>F26_2A</t>
  </si>
  <si>
    <t>F27_1A</t>
  </si>
  <si>
    <t>F27_2A</t>
  </si>
  <si>
    <t>F28_1B</t>
  </si>
  <si>
    <t>F29_1A</t>
  </si>
  <si>
    <t>F29_2A</t>
  </si>
  <si>
    <t>F29_3A</t>
  </si>
  <si>
    <t>saca pobres original</t>
  </si>
  <si>
    <t>F29_4A</t>
  </si>
  <si>
    <t>SEF 64</t>
  </si>
  <si>
    <t>SEF 42(2)/SEF 60(1)</t>
  </si>
  <si>
    <t>SEF 60</t>
  </si>
  <si>
    <t>F30_1B</t>
  </si>
  <si>
    <t>F32_1B</t>
  </si>
  <si>
    <t>F33_1B</t>
  </si>
  <si>
    <t>F34_1A</t>
  </si>
  <si>
    <t>mantequilla(2)/sacapobres(1)</t>
  </si>
  <si>
    <t>F34_2A</t>
  </si>
  <si>
    <t>F34_3A</t>
  </si>
  <si>
    <t>F35_1B</t>
  </si>
  <si>
    <t>F36_1A</t>
  </si>
  <si>
    <t>F36_2A</t>
  </si>
  <si>
    <t>F37_1B</t>
  </si>
  <si>
    <t>F38_1A</t>
  </si>
  <si>
    <t>F38_2A</t>
  </si>
  <si>
    <t>F39_1B</t>
  </si>
  <si>
    <t>matambu(2)/tayni(1)</t>
  </si>
  <si>
    <t>La Virgen</t>
  </si>
  <si>
    <t>F40_1A</t>
  </si>
  <si>
    <t>F40_2A</t>
  </si>
  <si>
    <t>F41_1A</t>
  </si>
  <si>
    <t>F41_2A</t>
  </si>
  <si>
    <t>F41_3A</t>
  </si>
  <si>
    <t>F42_1A</t>
  </si>
  <si>
    <t>F42_2A</t>
  </si>
  <si>
    <t>F43_1A</t>
  </si>
  <si>
    <t>RCB 593(2)/tequila(1)</t>
  </si>
  <si>
    <t>F43_2A</t>
  </si>
  <si>
    <t>F44_1A</t>
  </si>
  <si>
    <t>guaumy</t>
  </si>
  <si>
    <t>F44_2A</t>
  </si>
  <si>
    <t>tiquete</t>
  </si>
  <si>
    <t>tiqute</t>
  </si>
  <si>
    <t>F45_1B</t>
  </si>
  <si>
    <t>Los ngeles</t>
  </si>
  <si>
    <t>F46_1A</t>
  </si>
  <si>
    <t>Changuena</t>
  </si>
  <si>
    <t>Los Angeles</t>
  </si>
  <si>
    <t>F46_2A</t>
  </si>
  <si>
    <t>F47_1A</t>
  </si>
  <si>
    <t>F47_2A</t>
  </si>
  <si>
    <t>saca pobres</t>
  </si>
  <si>
    <t>F48_1A</t>
  </si>
  <si>
    <t>F48_2A</t>
  </si>
  <si>
    <t>cabecar(2)/victoria(1)</t>
  </si>
  <si>
    <t>F48_3A</t>
  </si>
  <si>
    <t>F49_1A</t>
  </si>
  <si>
    <t>F49_2A</t>
  </si>
  <si>
    <t>F50_1A</t>
  </si>
  <si>
    <t>F50_2A</t>
  </si>
  <si>
    <t>F51_1B</t>
  </si>
  <si>
    <t>F52_1B</t>
  </si>
  <si>
    <t>Pilas</t>
  </si>
  <si>
    <t>Ceibon</t>
  </si>
  <si>
    <t>F53_1B</t>
  </si>
  <si>
    <t>Concepci󮻌a compr頡 otros productores en Costa Rica</t>
  </si>
  <si>
    <t>F54_1A</t>
  </si>
  <si>
    <t>Guacimal</t>
  </si>
  <si>
    <t>F55_1B</t>
  </si>
  <si>
    <t>F56_1A</t>
  </si>
  <si>
    <t>Pueblo nuevo</t>
  </si>
  <si>
    <t>F56_2A</t>
  </si>
  <si>
    <t>F57_1A</t>
  </si>
  <si>
    <t>Concepci󮻏tra</t>
  </si>
  <si>
    <t>F57_2B</t>
  </si>
  <si>
    <t>Concepci󮻌a guard頤e cosechas anteriores</t>
  </si>
  <si>
    <t>F57_3C</t>
  </si>
  <si>
    <t>F58_1A</t>
  </si>
  <si>
    <t>Concepci󮻌a compr頡l CNP</t>
  </si>
  <si>
    <t>F58_2A</t>
  </si>
  <si>
    <t>F59_1B</t>
  </si>
  <si>
    <t>negro</t>
  </si>
  <si>
    <t>negro desconocido</t>
  </si>
  <si>
    <t>San Vicente</t>
  </si>
  <si>
    <t>F59_2B</t>
  </si>
  <si>
    <t>F59_3B</t>
  </si>
  <si>
    <t>rojo</t>
  </si>
  <si>
    <t>rojo desconocido artemio</t>
  </si>
  <si>
    <t>F60_1B</t>
  </si>
  <si>
    <t>F60_2B</t>
  </si>
  <si>
    <t>F61_1B</t>
  </si>
  <si>
    <t>pintado vaquita</t>
  </si>
  <si>
    <t>F61_2B</t>
  </si>
  <si>
    <t>generalito(1)/mantequilla(1)/uran(1)</t>
  </si>
  <si>
    <t>Concepci󮻌a compr頡 la Asociaci󮠤e productores</t>
  </si>
  <si>
    <t>F62_1B</t>
  </si>
  <si>
    <t>F62_2B</t>
  </si>
  <si>
    <t>aguacatillo</t>
  </si>
  <si>
    <t>Concepci󮻄e Familiares</t>
  </si>
  <si>
    <t>F62_3B</t>
  </si>
  <si>
    <t>brunca</t>
  </si>
  <si>
    <t>F62_4B</t>
  </si>
  <si>
    <t>F63_1B</t>
  </si>
  <si>
    <t>F63_2B</t>
  </si>
  <si>
    <t>F63_3B</t>
  </si>
  <si>
    <t>F63_4B</t>
  </si>
  <si>
    <t>F64_1A</t>
  </si>
  <si>
    <t>F64_2A</t>
  </si>
  <si>
    <t>F65_1B</t>
  </si>
  <si>
    <t>F65_2B</t>
  </si>
  <si>
    <t>F66_1B</t>
  </si>
  <si>
    <t>F67_1B</t>
  </si>
  <si>
    <t>F67_2B</t>
  </si>
  <si>
    <t>F68_1B</t>
  </si>
  <si>
    <t>Bought from CNP</t>
  </si>
  <si>
    <t>F69_1B</t>
  </si>
  <si>
    <t>La Fortuna</t>
  </si>
  <si>
    <t>F69_2B</t>
  </si>
  <si>
    <t>guaymi(1)/talamanca(2)</t>
  </si>
  <si>
    <t>F69_3B</t>
  </si>
  <si>
    <t>generalito negro</t>
  </si>
  <si>
    <t>suru(1)/talamanca(2)</t>
  </si>
  <si>
    <t>F69_4B</t>
  </si>
  <si>
    <t>F70_1B</t>
  </si>
  <si>
    <t>F70_2B</t>
  </si>
  <si>
    <t>F71_1B</t>
  </si>
  <si>
    <t>F71_2B</t>
  </si>
  <si>
    <t>de los ensayos que no sabe el nombre</t>
  </si>
  <si>
    <t>F71_3B</t>
  </si>
  <si>
    <t>F72_1B</t>
  </si>
  <si>
    <t>Ceib󮻌a guard頤e cosechas anteriores</t>
  </si>
  <si>
    <t>F73_1B</t>
  </si>
  <si>
    <t>La Gloria</t>
  </si>
  <si>
    <t>F73_2B</t>
  </si>
  <si>
    <t>nica</t>
  </si>
  <si>
    <t>F73_3B</t>
  </si>
  <si>
    <t>F74_1B</t>
  </si>
  <si>
    <t>F75_1B</t>
  </si>
  <si>
    <t>F75_2B</t>
  </si>
  <si>
    <t>RCB 593(1)/uran(2)</t>
  </si>
  <si>
    <t>F76_1B</t>
  </si>
  <si>
    <t>F76_2B</t>
  </si>
  <si>
    <t>F77_1B</t>
  </si>
  <si>
    <t>F78_1B</t>
  </si>
  <si>
    <t>F78_2B</t>
  </si>
  <si>
    <t>F78_3B</t>
  </si>
  <si>
    <t>F79_1B</t>
  </si>
  <si>
    <t>Pilas de Buenos Aires</t>
  </si>
  <si>
    <t>F79_2B</t>
  </si>
  <si>
    <t>sacapobres(1)/talamanca(2)</t>
  </si>
  <si>
    <t>F79_3B</t>
  </si>
  <si>
    <t>F80_1B</t>
  </si>
  <si>
    <t>F80_2B</t>
  </si>
  <si>
    <t>F81_1B</t>
  </si>
  <si>
    <t>Lajas</t>
  </si>
  <si>
    <t>F81_2B</t>
  </si>
  <si>
    <t>F82_1B</t>
  </si>
  <si>
    <t>F82_2B</t>
  </si>
  <si>
    <t>rojo desconocido</t>
  </si>
  <si>
    <t>F83_1B</t>
  </si>
  <si>
    <t>carabina</t>
  </si>
  <si>
    <t>F83_2B</t>
  </si>
  <si>
    <t>F84_1B</t>
  </si>
  <si>
    <t>Pueblo Nuevo</t>
  </si>
  <si>
    <t>F85_1B</t>
  </si>
  <si>
    <t>F85_2B</t>
  </si>
  <si>
    <t>F86_1B</t>
  </si>
  <si>
    <t>rojo variedad desconocida</t>
  </si>
  <si>
    <t>F86_2B</t>
  </si>
  <si>
    <t>matambu(1)/talamanca(1)/tequila(1)</t>
  </si>
  <si>
    <t>F86_3B</t>
  </si>
  <si>
    <t>F87_1B</t>
  </si>
  <si>
    <t>F88_1B</t>
  </si>
  <si>
    <t>F88_2B</t>
  </si>
  <si>
    <t>F88_3B</t>
  </si>
  <si>
    <t>blanco</t>
  </si>
  <si>
    <t>F88_4B</t>
  </si>
  <si>
    <t>rosado</t>
  </si>
  <si>
    <t>F88_5B</t>
  </si>
  <si>
    <t>F89_1B</t>
  </si>
  <si>
    <t>F89_2B</t>
  </si>
  <si>
    <t>F90_1B</t>
  </si>
  <si>
    <t>F90_2B</t>
  </si>
  <si>
    <t>F91_1B</t>
  </si>
  <si>
    <t>F91_2B</t>
  </si>
  <si>
    <t>F92_1B</t>
  </si>
  <si>
    <t>F93_1B</t>
  </si>
  <si>
    <t>F94_1B</t>
  </si>
  <si>
    <t>matambu(1)/tequila(2)</t>
  </si>
  <si>
    <t>F94_2B</t>
  </si>
  <si>
    <t>rojo carabina desconocido</t>
  </si>
  <si>
    <t>F94_3B</t>
  </si>
  <si>
    <t>F94_4B</t>
  </si>
  <si>
    <t>F95_1B</t>
  </si>
  <si>
    <t>F96_1B</t>
  </si>
  <si>
    <t>F97_1B</t>
  </si>
  <si>
    <t>F97_2B</t>
  </si>
  <si>
    <t>F98_1B</t>
  </si>
  <si>
    <t>F98_2B</t>
  </si>
  <si>
    <t>F99_1B</t>
  </si>
  <si>
    <t>F100_1B</t>
  </si>
  <si>
    <t>F100_2B</t>
  </si>
  <si>
    <t>F101_1B</t>
  </si>
  <si>
    <t>saca pobre mejorado</t>
  </si>
  <si>
    <t>Filadelfia</t>
  </si>
  <si>
    <t>F101_2B</t>
  </si>
  <si>
    <t>F102_1B</t>
  </si>
  <si>
    <t>Concepcion</t>
  </si>
  <si>
    <t>F103_1B</t>
  </si>
  <si>
    <t>cacique</t>
  </si>
  <si>
    <t>F104_1B</t>
  </si>
  <si>
    <t>Cacique</t>
  </si>
  <si>
    <t>F104_2B</t>
  </si>
  <si>
    <t>changuena(2)/victoria(1)</t>
  </si>
  <si>
    <t>F105_1B</t>
  </si>
  <si>
    <t>F105_2B</t>
  </si>
  <si>
    <t>F105_3B</t>
  </si>
  <si>
    <t>quiura</t>
  </si>
  <si>
    <t>F106_1B</t>
  </si>
  <si>
    <t>matambu(1)/suru(2)</t>
  </si>
  <si>
    <t>F106_2B</t>
  </si>
  <si>
    <t>F106_3B</t>
  </si>
  <si>
    <t>cavecar</t>
  </si>
  <si>
    <t>F107_1B</t>
  </si>
  <si>
    <t>F107_2B</t>
  </si>
  <si>
    <t>F108_1B</t>
  </si>
  <si>
    <t>Las Cruces</t>
  </si>
  <si>
    <t>F108_2B</t>
  </si>
  <si>
    <t>bernave</t>
  </si>
  <si>
    <t>F108_3B</t>
  </si>
  <si>
    <t>F108_4B</t>
  </si>
  <si>
    <t>F108_5B</t>
  </si>
  <si>
    <t>F109_1B</t>
  </si>
  <si>
    <t>F110_1B</t>
  </si>
  <si>
    <t>F110_2B</t>
  </si>
  <si>
    <t>F111_1A</t>
  </si>
  <si>
    <t>F111_2B</t>
  </si>
  <si>
    <t>F112_1B</t>
  </si>
  <si>
    <t>F112_2B</t>
  </si>
  <si>
    <t>F113_1B</t>
  </si>
  <si>
    <t>cabercar</t>
  </si>
  <si>
    <t>F114_1B</t>
  </si>
  <si>
    <t>La Bonga</t>
  </si>
  <si>
    <t>F114_2B</t>
  </si>
  <si>
    <t>F114_3B</t>
  </si>
  <si>
    <t>cabecar(2)/changuena(1)</t>
  </si>
  <si>
    <t>F115_1B</t>
  </si>
  <si>
    <t>F115_2B</t>
  </si>
  <si>
    <t>F116_1B</t>
  </si>
  <si>
    <t>Given by INDER, CNP, MAG</t>
  </si>
  <si>
    <t>Labonga</t>
  </si>
  <si>
    <t>F116_2B</t>
  </si>
  <si>
    <t>F117_1B</t>
  </si>
  <si>
    <t>F117_2B</t>
  </si>
  <si>
    <t>F117_3B</t>
  </si>
  <si>
    <t>F117_4B</t>
  </si>
  <si>
    <t>F117_5B</t>
  </si>
  <si>
    <t>F118_1B</t>
  </si>
  <si>
    <t>F118_2B</t>
  </si>
  <si>
    <t>F119_1B</t>
  </si>
  <si>
    <t>F119_2B</t>
  </si>
  <si>
    <t>F120_1B</t>
  </si>
  <si>
    <t>F120_2B</t>
  </si>
  <si>
    <t>F121_1B</t>
  </si>
  <si>
    <t>La bonga</t>
  </si>
  <si>
    <t>F121_2B</t>
  </si>
  <si>
    <t>F121_3B</t>
  </si>
  <si>
    <t>F122_1B</t>
  </si>
  <si>
    <t>brunca(2)/matambu(1)</t>
  </si>
  <si>
    <t>F122_2B</t>
  </si>
  <si>
    <t>F123_1B</t>
  </si>
  <si>
    <t>nanvi</t>
  </si>
  <si>
    <t>La Bonita</t>
  </si>
  <si>
    <t>F123_2B</t>
  </si>
  <si>
    <t>SEF 42(1)/SEF 60(1)/SEF 62(1)</t>
  </si>
  <si>
    <t>F124_1B</t>
  </si>
  <si>
    <t>F124_2B</t>
  </si>
  <si>
    <t>F125_1B</t>
  </si>
  <si>
    <t>F125_2B</t>
  </si>
  <si>
    <t>F126_1B</t>
  </si>
  <si>
    <t>F126_2B</t>
  </si>
  <si>
    <t>curre(1)/tayni(2)</t>
  </si>
  <si>
    <t>F126_3B</t>
  </si>
  <si>
    <t>F127_1B</t>
  </si>
  <si>
    <t>F127_2B</t>
  </si>
  <si>
    <t>F127_3B</t>
  </si>
  <si>
    <t>F128_1B</t>
  </si>
  <si>
    <t>F128_2B</t>
  </si>
  <si>
    <t>F129_1B</t>
  </si>
  <si>
    <t>Las cruces</t>
  </si>
  <si>
    <t>F130_1B</t>
  </si>
  <si>
    <t>matambu(2)/uran(1)</t>
  </si>
  <si>
    <t>F130_2B</t>
  </si>
  <si>
    <t>F131_1B</t>
  </si>
  <si>
    <t>F131_2B</t>
  </si>
  <si>
    <t>manvi</t>
  </si>
  <si>
    <t>F132_1B</t>
  </si>
  <si>
    <t>As cruces</t>
  </si>
  <si>
    <t>F132_2B</t>
  </si>
  <si>
    <t>F133_1B</t>
  </si>
  <si>
    <t>Mamei</t>
  </si>
  <si>
    <t>F133_2B</t>
  </si>
  <si>
    <t>F134_1B</t>
  </si>
  <si>
    <t>F134_2B</t>
  </si>
  <si>
    <t>F134_3B</t>
  </si>
  <si>
    <t>F135_1B</t>
  </si>
  <si>
    <t>pilon</t>
  </si>
  <si>
    <t>F136_1B</t>
  </si>
  <si>
    <t>Pilon</t>
  </si>
  <si>
    <t>F137_1B</t>
  </si>
  <si>
    <t>brunca(1)/talamanca(2)</t>
  </si>
  <si>
    <t>F138_1B</t>
  </si>
  <si>
    <t>F138_2B</t>
  </si>
  <si>
    <t>F139_1B</t>
  </si>
  <si>
    <t>cabecear</t>
  </si>
  <si>
    <t>generalito(2)/sacapobres(1)</t>
  </si>
  <si>
    <t>F139_2B</t>
  </si>
  <si>
    <t>F139_3B</t>
  </si>
  <si>
    <t>codigo</t>
  </si>
  <si>
    <t>SEF 42(1)/SEF 60(2)</t>
  </si>
  <si>
    <t>F140_1B</t>
  </si>
  <si>
    <t>F140_2B</t>
  </si>
  <si>
    <t>F140_3B</t>
  </si>
  <si>
    <t>F140_4B</t>
  </si>
  <si>
    <t>ensayo variedad</t>
  </si>
  <si>
    <t>F141_1B</t>
  </si>
  <si>
    <t>La bonita</t>
  </si>
  <si>
    <t>F141_2B</t>
  </si>
  <si>
    <t>F142_1B</t>
  </si>
  <si>
    <t>Santa Lucia</t>
  </si>
  <si>
    <t>F142_2B</t>
  </si>
  <si>
    <t>F143_1B</t>
  </si>
  <si>
    <t>F143_2B</t>
  </si>
  <si>
    <t>F143_3B</t>
  </si>
  <si>
    <t>F144_1B</t>
  </si>
  <si>
    <t>cabecar(1)/changuena(1)/victoria(1)</t>
  </si>
  <si>
    <t>Santa Luc_xD87B_La guard頤e cosechas anteriores</t>
  </si>
  <si>
    <t>F144_2B</t>
  </si>
  <si>
    <t>curvo</t>
  </si>
  <si>
    <t>Santa Luc_xD87B_La compr頡 la Asociaci󮠤e productores</t>
  </si>
  <si>
    <t>F145_1B</t>
  </si>
  <si>
    <t>F146_1B</t>
  </si>
  <si>
    <t>n60</t>
  </si>
  <si>
    <t>F146_2B</t>
  </si>
  <si>
    <t>F147_1B</t>
  </si>
  <si>
    <t>F148_1B</t>
  </si>
  <si>
    <t>F149_1B</t>
  </si>
  <si>
    <t>F149_2B</t>
  </si>
  <si>
    <t>F149_3B</t>
  </si>
  <si>
    <t>F150_1B</t>
  </si>
  <si>
    <t>vaina_blanca</t>
  </si>
  <si>
    <t>vaina blanca negro</t>
  </si>
  <si>
    <t>F150_2B</t>
  </si>
  <si>
    <t>F151_1B</t>
  </si>
  <si>
    <t>se 62</t>
  </si>
  <si>
    <t>santa Luc_xD87B_La guard頤e cosechas anteriores</t>
  </si>
  <si>
    <t>F151_2B</t>
  </si>
  <si>
    <t>F151_3B</t>
  </si>
  <si>
    <t>c60</t>
  </si>
  <si>
    <t>F152_1B</t>
  </si>
  <si>
    <t>santa Luc_xD87B_La compr頡 la Asociaci󮠤e productores</t>
  </si>
  <si>
    <t>F152_2B</t>
  </si>
  <si>
    <t>F153_1B</t>
  </si>
  <si>
    <t>SantaLuc_xD87B_La compr頡 la Asociaci󮠤e productores</t>
  </si>
  <si>
    <t>F153_2B</t>
  </si>
  <si>
    <t>F154_1B</t>
  </si>
  <si>
    <t>Zapotal</t>
  </si>
  <si>
    <t>F154_2B</t>
  </si>
  <si>
    <t>F154_3B</t>
  </si>
  <si>
    <t>F154_4B</t>
  </si>
  <si>
    <t>F155_1B</t>
  </si>
  <si>
    <t>F155_2B</t>
  </si>
  <si>
    <t>F156_1B</t>
  </si>
  <si>
    <t>F156_2B</t>
  </si>
  <si>
    <t>F157_1B</t>
  </si>
  <si>
    <t>F157_2B</t>
  </si>
  <si>
    <t>F158_1B</t>
  </si>
  <si>
    <t>F158_2B</t>
  </si>
  <si>
    <t>suru(2)/victoria(1)</t>
  </si>
  <si>
    <t>F158_3B</t>
  </si>
  <si>
    <t>F159_1B</t>
  </si>
  <si>
    <t>F160_1B</t>
  </si>
  <si>
    <t>F160_2B</t>
  </si>
  <si>
    <t>F160_3B</t>
  </si>
  <si>
    <t>F162_1B</t>
  </si>
  <si>
    <t>Desamparados</t>
  </si>
  <si>
    <t>F162_2B</t>
  </si>
  <si>
    <t>vaina blanca</t>
  </si>
  <si>
    <t>F163_1B</t>
  </si>
  <si>
    <t>F164_1B</t>
  </si>
  <si>
    <t>no sabe</t>
  </si>
  <si>
    <t>F165_1B</t>
  </si>
  <si>
    <t>El ᧵ila</t>
  </si>
  <si>
    <t>F165_2B</t>
  </si>
  <si>
    <t>F166_1B</t>
  </si>
  <si>
    <t>F166_2B</t>
  </si>
  <si>
    <t>F167_1B</t>
  </si>
  <si>
    <t>cabecar(1)/matambu(2)</t>
  </si>
  <si>
    <t>F167_2B</t>
  </si>
  <si>
    <t>F168_1B</t>
  </si>
  <si>
    <t>Las delicias</t>
  </si>
  <si>
    <t>F168_2B</t>
  </si>
  <si>
    <t>F169_1B</t>
  </si>
  <si>
    <t>F169_2B</t>
  </si>
  <si>
    <t>F170_1B</t>
  </si>
  <si>
    <t>F170_2B</t>
  </si>
  <si>
    <t>F170_3B</t>
  </si>
  <si>
    <t>F170_4B</t>
  </si>
  <si>
    <t>F171_1B</t>
  </si>
  <si>
    <t>F172_1B</t>
  </si>
  <si>
    <t>matambu(1)/tayni(1)/victoria(1)</t>
  </si>
  <si>
    <t>Las parcelas</t>
  </si>
  <si>
    <t>F172_2B</t>
  </si>
  <si>
    <t>saca pobre</t>
  </si>
  <si>
    <t>F173_1B</t>
  </si>
  <si>
    <t>Ceproma</t>
  </si>
  <si>
    <t>F174_1B</t>
  </si>
  <si>
    <t>El progreso</t>
  </si>
  <si>
    <t>F174_2B</t>
  </si>
  <si>
    <t>F175_1B</t>
  </si>
  <si>
    <t>Progreso</t>
  </si>
  <si>
    <t>F175_2B</t>
  </si>
  <si>
    <t>F176_1B</t>
  </si>
  <si>
    <t>F177_1B</t>
  </si>
  <si>
    <t>Guadalupe</t>
  </si>
  <si>
    <t>F177_2B</t>
  </si>
  <si>
    <t>F178_1B</t>
  </si>
  <si>
    <t>F179_1B</t>
  </si>
  <si>
    <t>F180_1B</t>
  </si>
  <si>
    <t>F181_1B</t>
  </si>
  <si>
    <t>F181_2B</t>
  </si>
  <si>
    <t>F181_3B</t>
  </si>
  <si>
    <t>F182_1B</t>
  </si>
  <si>
    <t>F182_2B</t>
  </si>
  <si>
    <t>F183_1B</t>
  </si>
  <si>
    <t>F183_2B</t>
  </si>
  <si>
    <t>F184_1B</t>
  </si>
  <si>
    <t>F185_1B</t>
  </si>
  <si>
    <t>F185_2B</t>
  </si>
  <si>
    <t>F186_1A</t>
  </si>
  <si>
    <t>F186_2A</t>
  </si>
  <si>
    <t>F187_1B</t>
  </si>
  <si>
    <t>F187_2B</t>
  </si>
  <si>
    <t>F188_1B</t>
  </si>
  <si>
    <t>F188_2B</t>
  </si>
  <si>
    <t>F189_1B</t>
  </si>
  <si>
    <t>F189_2B</t>
  </si>
  <si>
    <t>F190_1B</t>
  </si>
  <si>
    <t>F190_2B</t>
  </si>
  <si>
    <t>F191_1B</t>
  </si>
  <si>
    <t>cabecar(2)/matambu(1)</t>
  </si>
  <si>
    <t>F191_2B</t>
  </si>
  <si>
    <t>F192_1B</t>
  </si>
  <si>
    <t>F192_2B</t>
  </si>
  <si>
    <t>F193_1B</t>
  </si>
  <si>
    <t>F193_2B</t>
  </si>
  <si>
    <t>F194_1B</t>
  </si>
  <si>
    <t>F195_1B</t>
  </si>
  <si>
    <t>F197_1B</t>
  </si>
  <si>
    <t>F198_1B</t>
  </si>
  <si>
    <t>San Martin</t>
  </si>
  <si>
    <t>F198_2B</t>
  </si>
  <si>
    <t>F199_1B</t>
  </si>
  <si>
    <t>F199_2B</t>
  </si>
  <si>
    <t>F200_1B</t>
  </si>
  <si>
    <t>F201_1B</t>
  </si>
  <si>
    <t>San maguel</t>
  </si>
  <si>
    <t>F202_1B</t>
  </si>
  <si>
    <t>Santa fe</t>
  </si>
  <si>
    <t>F204_1B</t>
  </si>
  <si>
    <t>F205_1B</t>
  </si>
  <si>
    <t>F206_1B</t>
  </si>
  <si>
    <t>saca pobre negro</t>
  </si>
  <si>
    <t>F206_2B</t>
  </si>
  <si>
    <t>F207_1B</t>
  </si>
  <si>
    <t>RCB 593(1)/SEF 42(2)</t>
  </si>
  <si>
    <t>F208_1B</t>
  </si>
  <si>
    <t>F208_2B</t>
  </si>
  <si>
    <t>F209_1B</t>
  </si>
  <si>
    <t>F209_2B</t>
  </si>
  <si>
    <t>F210_1B</t>
  </si>
  <si>
    <t>F210_2B</t>
  </si>
  <si>
    <t>F210_3B</t>
  </si>
  <si>
    <t>nambis</t>
  </si>
  <si>
    <t>F211_1B</t>
  </si>
  <si>
    <t>F211_2B</t>
  </si>
  <si>
    <t>F211_3B</t>
  </si>
  <si>
    <t>F212_1B</t>
  </si>
  <si>
    <t>Cedral</t>
  </si>
  <si>
    <t>F212_2B</t>
  </si>
  <si>
    <t>semilla del inta</t>
  </si>
  <si>
    <t>F212_3B</t>
  </si>
  <si>
    <t>F213_1B</t>
  </si>
  <si>
    <t>F213_2B</t>
  </si>
  <si>
    <t>F213_3B</t>
  </si>
  <si>
    <t>F214_1B</t>
  </si>
  <si>
    <t>saca pobre rojo</t>
  </si>
  <si>
    <t>F214_2B</t>
  </si>
  <si>
    <t>lucio</t>
  </si>
  <si>
    <t>curre(1)/diquis(1)/mantequilla(1)</t>
  </si>
  <si>
    <t>F214_3B</t>
  </si>
  <si>
    <t>F215_1B</t>
  </si>
  <si>
    <t>Cederal</t>
  </si>
  <si>
    <t>F216_1B</t>
  </si>
  <si>
    <t>la del ensayo</t>
  </si>
  <si>
    <t>F216_2B</t>
  </si>
  <si>
    <t>F217_1B</t>
  </si>
  <si>
    <t>F217_2B</t>
  </si>
  <si>
    <t>F218_1B</t>
  </si>
  <si>
    <t>guaymi(2)/nambi(1)</t>
  </si>
  <si>
    <t>F218_2B</t>
  </si>
  <si>
    <t>F219_1B</t>
  </si>
  <si>
    <t>F220_1B</t>
  </si>
  <si>
    <t>F220_2B</t>
  </si>
  <si>
    <t>F221_1B</t>
  </si>
  <si>
    <t>F221_2B</t>
  </si>
  <si>
    <t>F222_1B</t>
  </si>
  <si>
    <t>F222_2B</t>
  </si>
  <si>
    <t>F223_1B</t>
  </si>
  <si>
    <t>F223_2B</t>
  </si>
  <si>
    <t>F224_1B</t>
  </si>
  <si>
    <t>F224_2B</t>
  </si>
  <si>
    <t>F225_1B</t>
  </si>
  <si>
    <t>F225_2B</t>
  </si>
  <si>
    <t>matambu(1)/suru(1)/tequila(1)</t>
  </si>
  <si>
    <t>F226_1B</t>
  </si>
  <si>
    <t>nambi negro</t>
  </si>
  <si>
    <t>F227_1B</t>
  </si>
  <si>
    <t>F227_2B</t>
  </si>
  <si>
    <t>F228_1B</t>
  </si>
  <si>
    <t>F229_1B</t>
  </si>
  <si>
    <t>F229_2B</t>
  </si>
  <si>
    <t>F230_1B</t>
  </si>
  <si>
    <t>F230_2B</t>
  </si>
  <si>
    <t>F231_1B</t>
  </si>
  <si>
    <t>Jalisco</t>
  </si>
  <si>
    <t>F231_2B</t>
  </si>
  <si>
    <t>F232_1B</t>
  </si>
  <si>
    <t>F232_2B</t>
  </si>
  <si>
    <t>F233_1B</t>
  </si>
  <si>
    <t>San luis</t>
  </si>
  <si>
    <t>F234_1B</t>
  </si>
  <si>
    <t>cabecar(1)/tequila(1)/victoria(1)</t>
  </si>
  <si>
    <t>F235_1B</t>
  </si>
  <si>
    <t>F235_2B</t>
  </si>
  <si>
    <t>F236_1B</t>
  </si>
  <si>
    <t>F236_2B</t>
  </si>
  <si>
    <t>F237_1B</t>
  </si>
  <si>
    <t>F238_1B</t>
  </si>
  <si>
    <t>F239_1B</t>
  </si>
  <si>
    <t>F241_1B</t>
  </si>
  <si>
    <t>Maiz</t>
  </si>
  <si>
    <t>F242_1B</t>
  </si>
  <si>
    <t>Given by ONG</t>
  </si>
  <si>
    <t>Ma_xDEBB_Fue una donaci󮠤e una ONG</t>
  </si>
  <si>
    <t>F243_1B</t>
  </si>
  <si>
    <t>F243_2B</t>
  </si>
  <si>
    <t>etiqueta roja</t>
  </si>
  <si>
    <t>F243_3B</t>
  </si>
  <si>
    <t>seiscientos setenta y uno</t>
  </si>
  <si>
    <t>F243_4B</t>
  </si>
  <si>
    <t>F244_1B</t>
  </si>
  <si>
    <t>F245_1B</t>
  </si>
  <si>
    <t>etiqueta</t>
  </si>
  <si>
    <t>F246_1B</t>
  </si>
  <si>
    <t>F246_2B</t>
  </si>
  <si>
    <t>F247_1B</t>
  </si>
  <si>
    <t>F248_1B</t>
  </si>
  <si>
    <t>F248_2B</t>
  </si>
  <si>
    <t>F249_1B</t>
  </si>
  <si>
    <t>F250_1B</t>
  </si>
  <si>
    <t>F250_2B</t>
  </si>
  <si>
    <t>F251_1B</t>
  </si>
  <si>
    <t>F252_1B</t>
  </si>
  <si>
    <t>F252_2B</t>
  </si>
  <si>
    <t>F252_3B</t>
  </si>
  <si>
    <t>cabecar(2)/generalito(1)</t>
  </si>
  <si>
    <t>F253_1B</t>
  </si>
  <si>
    <t>bambi</t>
  </si>
  <si>
    <t>San Luis</t>
  </si>
  <si>
    <t>F254_1B</t>
  </si>
  <si>
    <t>F255_1B</t>
  </si>
  <si>
    <t>F255_2B</t>
  </si>
  <si>
    <t>F256_1B</t>
  </si>
  <si>
    <t>F257_1B</t>
  </si>
  <si>
    <t>RCB 593(1)/tequila(2)</t>
  </si>
  <si>
    <t>F258_1B</t>
  </si>
  <si>
    <t>F259_1B</t>
  </si>
  <si>
    <t>talamana rojo</t>
  </si>
  <si>
    <t>F260_1B</t>
  </si>
  <si>
    <t>F261_1B</t>
  </si>
  <si>
    <t>generalito(1)/victoria(2)</t>
  </si>
  <si>
    <t>F261_2B</t>
  </si>
  <si>
    <t>F262_1B</t>
  </si>
  <si>
    <t>F263_1B</t>
  </si>
  <si>
    <t>desconoce del negro</t>
  </si>
  <si>
    <t>North</t>
  </si>
  <si>
    <t>El Amparo</t>
  </si>
  <si>
    <t>INDER</t>
  </si>
  <si>
    <t>F263_2B</t>
  </si>
  <si>
    <t>desconoce negro</t>
  </si>
  <si>
    <t>F264_1B</t>
  </si>
  <si>
    <t>F264_2B</t>
  </si>
  <si>
    <t>frijol rojo desconocido</t>
  </si>
  <si>
    <t>F265_1B</t>
  </si>
  <si>
    <t>It comes from another country</t>
  </si>
  <si>
    <t>desconoce la variedad roja</t>
  </si>
  <si>
    <t>El Gallito</t>
  </si>
  <si>
    <t>F266_1B</t>
  </si>
  <si>
    <t>El gallito</t>
  </si>
  <si>
    <t>F267_1B</t>
  </si>
  <si>
    <t>desconocido</t>
  </si>
  <si>
    <t>F269_1B</t>
  </si>
  <si>
    <t>F269_2B</t>
  </si>
  <si>
    <t>F270_1B</t>
  </si>
  <si>
    <t>waymy</t>
  </si>
  <si>
    <t>F273_1B</t>
  </si>
  <si>
    <t>CaÒØ†éegro</t>
  </si>
  <si>
    <t>San Antonio</t>
  </si>
  <si>
    <t>F273_2B</t>
  </si>
  <si>
    <t>diquiz</t>
  </si>
  <si>
    <t>F273_3B</t>
  </si>
  <si>
    <t>F274_1B</t>
  </si>
  <si>
    <t>talamanca(1)/tayni(1)/victoria(1)</t>
  </si>
  <si>
    <t>F275_1B</t>
  </si>
  <si>
    <t>Santa Cecilia</t>
  </si>
  <si>
    <t>Santa cecilia</t>
  </si>
  <si>
    <t>F276_1B</t>
  </si>
  <si>
    <t>F276_2B</t>
  </si>
  <si>
    <t>F277_1B</t>
  </si>
  <si>
    <t>talamanca(1)/victoria(2)</t>
  </si>
  <si>
    <t>San Cecilia</t>
  </si>
  <si>
    <t>F278_1B</t>
  </si>
  <si>
    <t>Given by other producers</t>
  </si>
  <si>
    <t>Gallito</t>
  </si>
  <si>
    <t>F279_1B</t>
  </si>
  <si>
    <t>Vasconia</t>
  </si>
  <si>
    <t>F279_2B</t>
  </si>
  <si>
    <t>F280_1B</t>
  </si>
  <si>
    <t>F281_1B</t>
  </si>
  <si>
    <t>tainy</t>
  </si>
  <si>
    <t>F282_1B</t>
  </si>
  <si>
    <t>cuarenteno</t>
  </si>
  <si>
    <t>F285_1B</t>
  </si>
  <si>
    <t>Alemania</t>
  </si>
  <si>
    <t>F285_2B</t>
  </si>
  <si>
    <t>F286_1B</t>
  </si>
  <si>
    <t>cabecar(2)/uran(1)</t>
  </si>
  <si>
    <t>F286_2B</t>
  </si>
  <si>
    <t>F287_1B</t>
  </si>
  <si>
    <t>F288_1B</t>
  </si>
  <si>
    <t>SEF 61</t>
  </si>
  <si>
    <t>sef 61</t>
  </si>
  <si>
    <t>F288_2B</t>
  </si>
  <si>
    <t>F289_1B</t>
  </si>
  <si>
    <t>F289_2B</t>
  </si>
  <si>
    <t>F290_1B</t>
  </si>
  <si>
    <t>F290_2B</t>
  </si>
  <si>
    <t>frijol nica</t>
  </si>
  <si>
    <t>F291_1B</t>
  </si>
  <si>
    <t>F291_2B</t>
  </si>
  <si>
    <t>F292_1B</t>
  </si>
  <si>
    <t>Asentamiento orosi</t>
  </si>
  <si>
    <t>F293_1B</t>
  </si>
  <si>
    <t>F294_1B</t>
  </si>
  <si>
    <t>F294_2B</t>
  </si>
  <si>
    <t>F295_1B</t>
  </si>
  <si>
    <t>dionicio</t>
  </si>
  <si>
    <t>Asentamiento Orosi</t>
  </si>
  <si>
    <t>F296_1B</t>
  </si>
  <si>
    <t>Asentamiento</t>
  </si>
  <si>
    <t>F297_1B</t>
  </si>
  <si>
    <t>F297_2B</t>
  </si>
  <si>
    <t>F298_1B</t>
  </si>
  <si>
    <t>F298_2B</t>
  </si>
  <si>
    <t>F299_1B</t>
  </si>
  <si>
    <t>Corrales negros</t>
  </si>
  <si>
    <t>F299_2B</t>
  </si>
  <si>
    <t>F300_1B</t>
  </si>
  <si>
    <t>F301_1B</t>
  </si>
  <si>
    <t>criollo</t>
  </si>
  <si>
    <t>San antonio</t>
  </si>
  <si>
    <t>F302_1B</t>
  </si>
  <si>
    <t>F303_1B</t>
  </si>
  <si>
    <t>guaymi(2)/talamanca(1)</t>
  </si>
  <si>
    <t>F304_1B</t>
  </si>
  <si>
    <t>F305_1B</t>
  </si>
  <si>
    <t>vaina morada</t>
  </si>
  <si>
    <t>F306_1B</t>
  </si>
  <si>
    <t>inta_rojo</t>
  </si>
  <si>
    <t>inta rojo</t>
  </si>
  <si>
    <t>F307_1B</t>
  </si>
  <si>
    <t>F308_1B</t>
  </si>
  <si>
    <t>F308_2B</t>
  </si>
  <si>
    <t>F309_1B</t>
  </si>
  <si>
    <t>F310_1B</t>
  </si>
  <si>
    <t>F310_2B</t>
  </si>
  <si>
    <t>F311_1B</t>
  </si>
  <si>
    <t>rojo retinto</t>
  </si>
  <si>
    <t>changuena(1)/suru(2)</t>
  </si>
  <si>
    <t>F312_1B</t>
  </si>
  <si>
    <t>cabecar(1)/tayni(1)/victoria(1)</t>
  </si>
  <si>
    <t>Santa Elena</t>
  </si>
  <si>
    <t>F313_1B</t>
  </si>
  <si>
    <t>matambu(1)/talamanca(2)</t>
  </si>
  <si>
    <t>F313_2B</t>
  </si>
  <si>
    <t>F314_1B</t>
  </si>
  <si>
    <t>Santa elena</t>
  </si>
  <si>
    <t>F315_1B</t>
  </si>
  <si>
    <t>F316_1B</t>
  </si>
  <si>
    <t>F317_1B</t>
  </si>
  <si>
    <t>F317_2B</t>
  </si>
  <si>
    <t>sef 60</t>
  </si>
  <si>
    <t>F318_1B</t>
  </si>
  <si>
    <t>F318_2B</t>
  </si>
  <si>
    <t>F319_1B</t>
  </si>
  <si>
    <t>F320_1B</t>
  </si>
  <si>
    <t>F321_1B</t>
  </si>
  <si>
    <t>F322_1B</t>
  </si>
  <si>
    <t>F322_2B</t>
  </si>
  <si>
    <t>F323_1B</t>
  </si>
  <si>
    <t>rojo criollo</t>
  </si>
  <si>
    <t>F324_1B</t>
  </si>
  <si>
    <t>F325_1B</t>
  </si>
  <si>
    <t>Valle real</t>
  </si>
  <si>
    <t>F326_1B</t>
  </si>
  <si>
    <t>F326_2B</t>
  </si>
  <si>
    <t>F327_1B</t>
  </si>
  <si>
    <t>guaimi</t>
  </si>
  <si>
    <t>Valle Real</t>
  </si>
  <si>
    <t>F328_1B</t>
  </si>
  <si>
    <t>F328_2B</t>
  </si>
  <si>
    <t>brunca(2)/guaymi(1)</t>
  </si>
  <si>
    <t>F329_1B</t>
  </si>
  <si>
    <t>Verdum</t>
  </si>
  <si>
    <t>F329_2B</t>
  </si>
  <si>
    <t>F330_1B</t>
  </si>
  <si>
    <t>F330_2B</t>
  </si>
  <si>
    <t>F330_3B</t>
  </si>
  <si>
    <t>F330_4B</t>
  </si>
  <si>
    <t>F331_1B</t>
  </si>
  <si>
    <t>curre(1)/gibre(2)</t>
  </si>
  <si>
    <t>Verdun</t>
  </si>
  <si>
    <t>F331_2B</t>
  </si>
  <si>
    <t>guanteco</t>
  </si>
  <si>
    <t>brunca(1)/matambu(2)</t>
  </si>
  <si>
    <t>F331_3B</t>
  </si>
  <si>
    <t>taini</t>
  </si>
  <si>
    <t>F331_4B</t>
  </si>
  <si>
    <t>F331_5B</t>
  </si>
  <si>
    <t>F332_1B</t>
  </si>
  <si>
    <t>bayo</t>
  </si>
  <si>
    <t>vallo</t>
  </si>
  <si>
    <t>Berdum</t>
  </si>
  <si>
    <t>F332_2B</t>
  </si>
  <si>
    <t>huasteco</t>
  </si>
  <si>
    <t>F332_3B</t>
  </si>
  <si>
    <t>F332_4B</t>
  </si>
  <si>
    <t>calima</t>
  </si>
  <si>
    <t>generalito(1)/mantequilla(2)</t>
  </si>
  <si>
    <t>F332_5B</t>
  </si>
  <si>
    <t>F333_1B</t>
  </si>
  <si>
    <t>F333_2B</t>
  </si>
  <si>
    <t>F333_3B</t>
  </si>
  <si>
    <t>sef</t>
  </si>
  <si>
    <t>SEF 42(1)/SEF 62(1)/SEF 64(1)</t>
  </si>
  <si>
    <t>F334_1B</t>
  </si>
  <si>
    <t>Las brumas</t>
  </si>
  <si>
    <t>F334_2B</t>
  </si>
  <si>
    <t>F335_1B</t>
  </si>
  <si>
    <t>negro bejucoso</t>
  </si>
  <si>
    <t>Las brumas 2</t>
  </si>
  <si>
    <t>F335_2B</t>
  </si>
  <si>
    <t>rojo supermercado</t>
  </si>
  <si>
    <t>F336_1B</t>
  </si>
  <si>
    <t>guami</t>
  </si>
  <si>
    <t>Brumas</t>
  </si>
  <si>
    <t>F336_2B</t>
  </si>
  <si>
    <t>F337_1B</t>
  </si>
  <si>
    <t>F337_2B</t>
  </si>
  <si>
    <t>F338_1B</t>
  </si>
  <si>
    <t>F339_1B</t>
  </si>
  <si>
    <t>Brumas 2</t>
  </si>
  <si>
    <t>F340_1B</t>
  </si>
  <si>
    <t>F340_2B</t>
  </si>
  <si>
    <t>F341_1B</t>
  </si>
  <si>
    <t>Las Brumas</t>
  </si>
  <si>
    <t>F342_1B</t>
  </si>
  <si>
    <t>La brumas 2</t>
  </si>
  <si>
    <t>F343_1B</t>
  </si>
  <si>
    <t>F343_2B</t>
  </si>
  <si>
    <t>F344_1B</t>
  </si>
  <si>
    <t>F344_2B</t>
  </si>
  <si>
    <t>F345_1B</t>
  </si>
  <si>
    <t>F345_2B</t>
  </si>
  <si>
    <t>F346_1B</t>
  </si>
  <si>
    <t>guaymi(1)/matambu(1)/nambi(1)</t>
  </si>
  <si>
    <t>F347_1B</t>
  </si>
  <si>
    <t>F348_1B</t>
  </si>
  <si>
    <t>F349_1B</t>
  </si>
  <si>
    <t>F349_2B</t>
  </si>
  <si>
    <t>F350_1B</t>
  </si>
  <si>
    <t>F350_2B</t>
  </si>
  <si>
    <t>F350_3B</t>
  </si>
  <si>
    <t>vaina roja</t>
  </si>
  <si>
    <t>F351_1B</t>
  </si>
  <si>
    <t>F352_1B</t>
  </si>
  <si>
    <t>Argendora</t>
  </si>
  <si>
    <t>F352_2B</t>
  </si>
  <si>
    <t>F353_1B</t>
  </si>
  <si>
    <t>F354_1B</t>
  </si>
  <si>
    <t>waimi</t>
  </si>
  <si>
    <t>F355_1B</t>
  </si>
  <si>
    <t>F356_1B</t>
  </si>
  <si>
    <t>F357_1B</t>
  </si>
  <si>
    <t>F357_2B</t>
  </si>
  <si>
    <t>F358_1B</t>
  </si>
  <si>
    <t>F359_1B</t>
  </si>
  <si>
    <t>F359_2A</t>
  </si>
  <si>
    <t>F359_3A</t>
  </si>
  <si>
    <t>brunca(1)/sacapobres(2)</t>
  </si>
  <si>
    <t>F360_1B</t>
  </si>
  <si>
    <t>F361_1B</t>
  </si>
  <si>
    <t>brunca(1)/guaymi(1)/talamanca(1)</t>
  </si>
  <si>
    <t>Argendora ,Lomas Verde</t>
  </si>
  <si>
    <t>F362_1B</t>
  </si>
  <si>
    <t>F363_1B</t>
  </si>
  <si>
    <t>matambu(1)/victoria(2)</t>
  </si>
  <si>
    <t>Argendora, loma verda</t>
  </si>
  <si>
    <t>F364_1B</t>
  </si>
  <si>
    <t>bella vista</t>
  </si>
  <si>
    <t>F364_2B</t>
  </si>
  <si>
    <t>paisa</t>
  </si>
  <si>
    <t>F365_1B</t>
  </si>
  <si>
    <t>Bella vista</t>
  </si>
  <si>
    <t>F365_2B</t>
  </si>
  <si>
    <t>rojito</t>
  </si>
  <si>
    <t>F366_1B</t>
  </si>
  <si>
    <t>guaini</t>
  </si>
  <si>
    <t>F366_2B</t>
  </si>
  <si>
    <t>cabecar rojo</t>
  </si>
  <si>
    <t>F367_1B</t>
  </si>
  <si>
    <t>cabecar negro</t>
  </si>
  <si>
    <t>Bellavista</t>
  </si>
  <si>
    <t>F367_2B</t>
  </si>
  <si>
    <t>criollo rojo</t>
  </si>
  <si>
    <t>F368_1B</t>
  </si>
  <si>
    <t>F369_1B</t>
  </si>
  <si>
    <t>F369_2B</t>
  </si>
  <si>
    <t>el paisacriollo</t>
  </si>
  <si>
    <t>F370_1B</t>
  </si>
  <si>
    <t>rojito nica</t>
  </si>
  <si>
    <t>Aguas Claras</t>
  </si>
  <si>
    <t>F370_2B</t>
  </si>
  <si>
    <t>F370_3B</t>
  </si>
  <si>
    <t>F371_1B</t>
  </si>
  <si>
    <t>F372_1B</t>
  </si>
  <si>
    <t>La virgen</t>
  </si>
  <si>
    <t>F372_2B</t>
  </si>
  <si>
    <t>F373_1B</t>
  </si>
  <si>
    <t>F374_1B</t>
  </si>
  <si>
    <t>F374_2B</t>
  </si>
  <si>
    <t>F374_3B</t>
  </si>
  <si>
    <t>F375_1B</t>
  </si>
  <si>
    <t>F375_2B</t>
  </si>
  <si>
    <t>F376_1B</t>
  </si>
  <si>
    <t>Las Brumas 1</t>
  </si>
  <si>
    <t>F376_2B</t>
  </si>
  <si>
    <t>F377_1B</t>
  </si>
  <si>
    <t>F377_2B</t>
  </si>
  <si>
    <t>RCB 593(1)/SEF 42(1)/SEF 60(1)</t>
  </si>
  <si>
    <t>F378_1B</t>
  </si>
  <si>
    <t>F380_1B</t>
  </si>
  <si>
    <t>cabequer</t>
  </si>
  <si>
    <t>F381_1B</t>
  </si>
  <si>
    <t>F381_2B</t>
  </si>
  <si>
    <t>dos</t>
  </si>
  <si>
    <t>F383_1B</t>
  </si>
  <si>
    <t>La virgen, los Madrigales</t>
  </si>
  <si>
    <t>F383_2B</t>
  </si>
  <si>
    <t>rojo nica</t>
  </si>
  <si>
    <t>F384_1B</t>
  </si>
  <si>
    <t>F385_1B</t>
  </si>
  <si>
    <t>F386_1B</t>
  </si>
  <si>
    <t>cola de yoca</t>
  </si>
  <si>
    <t>F386_2B</t>
  </si>
  <si>
    <t>F386_3B</t>
  </si>
  <si>
    <t>F386_4B</t>
  </si>
  <si>
    <t>F387_1B</t>
  </si>
  <si>
    <t>F387_2B</t>
  </si>
  <si>
    <t>F387_3B</t>
  </si>
  <si>
    <t>brunca(1)/suru(2)</t>
  </si>
  <si>
    <t>F388_1B</t>
  </si>
  <si>
    <t>Idk</t>
  </si>
  <si>
    <t>Palmares</t>
  </si>
  <si>
    <t>F389_1B</t>
  </si>
  <si>
    <t>F389_2B</t>
  </si>
  <si>
    <t>F389_3B</t>
  </si>
  <si>
    <t>generalito(1)/sacapobres(2)</t>
  </si>
  <si>
    <t>F389_4B</t>
  </si>
  <si>
    <t>F390_1B</t>
  </si>
  <si>
    <t>Los palmares</t>
  </si>
  <si>
    <t>F390_2B</t>
  </si>
  <si>
    <t>F391_1B</t>
  </si>
  <si>
    <t>negro criollo</t>
  </si>
  <si>
    <t>F392_1B</t>
  </si>
  <si>
    <t>F393_1B</t>
  </si>
  <si>
    <t>criollo negro</t>
  </si>
  <si>
    <t>Argendora, loma Verde</t>
  </si>
  <si>
    <t>F394_1B</t>
  </si>
  <si>
    <t>F395_1B</t>
  </si>
  <si>
    <t>F396_1B</t>
  </si>
  <si>
    <t>F396_2B</t>
  </si>
  <si>
    <t>F397_1B</t>
  </si>
  <si>
    <t>Argendora, Loma Verde</t>
  </si>
  <si>
    <t>F399_1C</t>
  </si>
  <si>
    <t>guaymi(1)/tayni(2)</t>
  </si>
  <si>
    <t>F399_2A</t>
  </si>
  <si>
    <t>F400_1B</t>
  </si>
  <si>
    <t>F401_1A</t>
  </si>
  <si>
    <t>F401_2A</t>
  </si>
  <si>
    <t>F402_1B</t>
  </si>
  <si>
    <t>F403_1B</t>
  </si>
  <si>
    <t>F403_2B</t>
  </si>
  <si>
    <t>F404_1B</t>
  </si>
  <si>
    <t>San Elena</t>
  </si>
  <si>
    <t>F405_1B</t>
  </si>
  <si>
    <t>F405_2B</t>
  </si>
  <si>
    <t>F406_1B</t>
  </si>
  <si>
    <t>uran(1)/victoria(2)</t>
  </si>
  <si>
    <t>Piedras Azules</t>
  </si>
  <si>
    <t>F406_2B</t>
  </si>
  <si>
    <t>cabecar(1)/SEF 64(2)</t>
  </si>
  <si>
    <t>F407_1B</t>
  </si>
  <si>
    <t>brunca(1)/mantequilla(2)</t>
  </si>
  <si>
    <t>F408_1B</t>
  </si>
  <si>
    <t>F408_2B</t>
  </si>
  <si>
    <t>seff</t>
  </si>
  <si>
    <t>F409_1B</t>
  </si>
  <si>
    <t>Piedras</t>
  </si>
  <si>
    <t>F409_2B</t>
  </si>
  <si>
    <t>F410_1B</t>
  </si>
  <si>
    <t>F411_1B</t>
  </si>
  <si>
    <t>Corrales negro</t>
  </si>
  <si>
    <t>F411_2B</t>
  </si>
  <si>
    <t>F412_1B</t>
  </si>
  <si>
    <t>F412_2B</t>
  </si>
  <si>
    <t>F413_1B</t>
  </si>
  <si>
    <t>Piedras azules</t>
  </si>
  <si>
    <t>F413_2B</t>
  </si>
  <si>
    <t>F414_1B</t>
  </si>
  <si>
    <t>F414_2B</t>
  </si>
  <si>
    <t>F415_1B</t>
  </si>
  <si>
    <t>F415_2B</t>
  </si>
  <si>
    <t>F416_1B</t>
  </si>
  <si>
    <t>F416_2B</t>
  </si>
  <si>
    <t>F417_1B</t>
  </si>
  <si>
    <t>F418_1B</t>
  </si>
  <si>
    <t>F418_2B</t>
  </si>
  <si>
    <t>F419_1B</t>
  </si>
  <si>
    <t>Belice</t>
  </si>
  <si>
    <t>F419_2B</t>
  </si>
  <si>
    <t>F420_1B</t>
  </si>
  <si>
    <t>F421_1B</t>
  </si>
  <si>
    <t>matambu(2)/tequila(1)</t>
  </si>
  <si>
    <t>F422_1B</t>
  </si>
  <si>
    <t>F422_2B</t>
  </si>
  <si>
    <t>F423_1B</t>
  </si>
  <si>
    <t>F423_2B</t>
  </si>
  <si>
    <t>cabeca</t>
  </si>
  <si>
    <t>F424_1B</t>
  </si>
  <si>
    <t>rojo 1</t>
  </si>
  <si>
    <t>F424_2B</t>
  </si>
  <si>
    <t>rojo 2</t>
  </si>
  <si>
    <t>F425_1B</t>
  </si>
  <si>
    <t>F426_1B</t>
  </si>
  <si>
    <t>F426_2B</t>
  </si>
  <si>
    <t>F427_1B</t>
  </si>
  <si>
    <t>F427_2B</t>
  </si>
  <si>
    <t>F428_1B</t>
  </si>
  <si>
    <t>F429_1B</t>
  </si>
  <si>
    <t>brunca(1)/guaymi(2)</t>
  </si>
  <si>
    <t>F430_1B</t>
  </si>
  <si>
    <t>F430_2B</t>
  </si>
  <si>
    <t>F431_1B</t>
  </si>
  <si>
    <t>rojon</t>
  </si>
  <si>
    <t>F432_1B</t>
  </si>
  <si>
    <t>jose</t>
  </si>
  <si>
    <t>F433_1B</t>
  </si>
  <si>
    <t>F433_2B</t>
  </si>
  <si>
    <t>F433_3B</t>
  </si>
  <si>
    <t>nambi(1)/tayni(2)</t>
  </si>
  <si>
    <t>F434_1B</t>
  </si>
  <si>
    <t>Bjelice</t>
  </si>
  <si>
    <t>F435_1B</t>
  </si>
  <si>
    <t>F435_2B</t>
  </si>
  <si>
    <t>F436_1B</t>
  </si>
  <si>
    <t>F437_1B</t>
  </si>
  <si>
    <t>Caoba</t>
  </si>
  <si>
    <t>F437_2B</t>
  </si>
  <si>
    <t>F438_1B</t>
  </si>
  <si>
    <t>F438_2B</t>
  </si>
  <si>
    <t>SEF 42(1)/SEF 62(2)</t>
  </si>
  <si>
    <t>F439_1B</t>
  </si>
  <si>
    <t>F439_2B</t>
  </si>
  <si>
    <t>F440_1B</t>
  </si>
  <si>
    <t>rojito chilito</t>
  </si>
  <si>
    <t>F440_2B</t>
  </si>
  <si>
    <t>F441_1B</t>
  </si>
  <si>
    <t>F442_1B</t>
  </si>
  <si>
    <t>F442_2B</t>
  </si>
  <si>
    <t>F443_1B</t>
  </si>
  <si>
    <t>F444_1B</t>
  </si>
  <si>
    <t>F444_2B</t>
  </si>
  <si>
    <t>F445_1B</t>
  </si>
  <si>
    <t>F446_1B</t>
  </si>
  <si>
    <t>gusyni</t>
  </si>
  <si>
    <t>brunca(1)/changuena(1)/victoria(1)</t>
  </si>
  <si>
    <t>F446_2B</t>
  </si>
  <si>
    <t>F447_1B</t>
  </si>
  <si>
    <t>Los ᮧeles del Caoba</t>
  </si>
  <si>
    <t>F448_1B</t>
  </si>
  <si>
    <t>F449_1B</t>
  </si>
  <si>
    <t>F449_2B</t>
  </si>
  <si>
    <t>F450_1B</t>
  </si>
  <si>
    <t>F450_2B</t>
  </si>
  <si>
    <t>F451_1B</t>
  </si>
  <si>
    <t>Los angeles del Caoba</t>
  </si>
  <si>
    <t>F452_1B</t>
  </si>
  <si>
    <t>Los angeles del caoba</t>
  </si>
  <si>
    <t>F453_1B</t>
  </si>
  <si>
    <t>Los angeles</t>
  </si>
  <si>
    <t>F453_2B</t>
  </si>
  <si>
    <t>F454_1B</t>
  </si>
  <si>
    <t>F455_1B</t>
  </si>
  <si>
    <t>Los Angeles del Caoba</t>
  </si>
  <si>
    <t>F456_1B</t>
  </si>
  <si>
    <t>F457_1B</t>
  </si>
  <si>
    <t>Las Brisas</t>
  </si>
  <si>
    <t>F457_2B</t>
  </si>
  <si>
    <t>F458_1B</t>
  </si>
  <si>
    <t>F458_2A</t>
  </si>
  <si>
    <t>F459_2B</t>
  </si>
  <si>
    <t>F460_1B</t>
  </si>
  <si>
    <t>F460_2B</t>
  </si>
  <si>
    <t>F461_1B</t>
  </si>
  <si>
    <t>F462_1B</t>
  </si>
  <si>
    <t>F463_1B</t>
  </si>
  <si>
    <t>F464_1B</t>
  </si>
  <si>
    <t>San rafael</t>
  </si>
  <si>
    <t>F464_2B</t>
  </si>
  <si>
    <t>F465_1B</t>
  </si>
  <si>
    <t>F465_2B</t>
  </si>
  <si>
    <t>F466_1B</t>
  </si>
  <si>
    <t>F467_1B</t>
  </si>
  <si>
    <t>San Rafael</t>
  </si>
  <si>
    <t>F467_2B</t>
  </si>
  <si>
    <t>F468_1B</t>
  </si>
  <si>
    <t>F468_2B</t>
  </si>
  <si>
    <t>F468_3B</t>
  </si>
  <si>
    <t>matambu(2)/victoria(1)</t>
  </si>
  <si>
    <t>F469_1B</t>
  </si>
  <si>
    <t>F470_1B</t>
  </si>
  <si>
    <t>F470_2B</t>
  </si>
  <si>
    <t>F471_1B</t>
  </si>
  <si>
    <t>F471_2B</t>
  </si>
  <si>
    <t>F472_1B</t>
  </si>
  <si>
    <t>F472_2B</t>
  </si>
  <si>
    <t>F473_1B</t>
  </si>
  <si>
    <t>F473_2B</t>
  </si>
  <si>
    <t>F474_1B</t>
  </si>
  <si>
    <t>F475_1B</t>
  </si>
  <si>
    <t>F476_1B</t>
  </si>
  <si>
    <t>F476_2B</t>
  </si>
  <si>
    <t>F477_1B</t>
  </si>
  <si>
    <t>F478_1B</t>
  </si>
  <si>
    <t>F478_2B</t>
  </si>
  <si>
    <t>F479_1B</t>
  </si>
  <si>
    <t>F480_1B</t>
  </si>
  <si>
    <t>F481_1B</t>
  </si>
  <si>
    <t>F482_1B</t>
  </si>
  <si>
    <t>suru(2)/talamanca(1)</t>
  </si>
  <si>
    <t>F482_2B</t>
  </si>
  <si>
    <t>F482_3B</t>
  </si>
  <si>
    <t>F483_1B</t>
  </si>
  <si>
    <t>brunca(1)/cabecar(2)</t>
  </si>
  <si>
    <t>F484_1B</t>
  </si>
  <si>
    <t>F486_1B</t>
  </si>
  <si>
    <t>San Jos頕pala</t>
  </si>
  <si>
    <t>F487_1B</t>
  </si>
  <si>
    <t>San Jose de Upala</t>
  </si>
  <si>
    <t>Cartago Norte</t>
  </si>
  <si>
    <t>F488_1B</t>
  </si>
  <si>
    <t>F489_1B</t>
  </si>
  <si>
    <t>Cartago norte</t>
  </si>
  <si>
    <t>F491_1B</t>
  </si>
  <si>
    <t>Cuatro bocas</t>
  </si>
  <si>
    <t>F492_1B</t>
  </si>
  <si>
    <t>Cuatro Bocas</t>
  </si>
  <si>
    <t>F494_1B</t>
  </si>
  <si>
    <t>uno</t>
  </si>
  <si>
    <t>Provenir</t>
  </si>
  <si>
    <t>F495_1B</t>
  </si>
  <si>
    <t>Porvenir</t>
  </si>
  <si>
    <t>F496_1B</t>
  </si>
  <si>
    <t>F499_1B</t>
  </si>
  <si>
    <t>F500_1B</t>
  </si>
  <si>
    <t>F501_1B</t>
  </si>
  <si>
    <t>F503_1B</t>
  </si>
  <si>
    <t>F504_1B</t>
  </si>
  <si>
    <t>matanbu</t>
  </si>
  <si>
    <t>Delicias</t>
  </si>
  <si>
    <t>Quebradon</t>
  </si>
  <si>
    <t>F505_1B</t>
  </si>
  <si>
    <t>F505_2B</t>
  </si>
  <si>
    <t>F509_1B</t>
  </si>
  <si>
    <t>F510_1B</t>
  </si>
  <si>
    <t>San pedro</t>
  </si>
  <si>
    <t>F511_1B</t>
  </si>
  <si>
    <t>F514_1B</t>
  </si>
  <si>
    <t>Santa clara</t>
  </si>
  <si>
    <t>F514_2B</t>
  </si>
  <si>
    <t>F514_3B</t>
  </si>
  <si>
    <t>F515_1B</t>
  </si>
  <si>
    <t>guainy</t>
  </si>
  <si>
    <t>F515_2B</t>
  </si>
  <si>
    <t>F516_1B</t>
  </si>
  <si>
    <t>F518_1B</t>
  </si>
  <si>
    <t>Santa Luc_xD87B_Otra</t>
  </si>
  <si>
    <t>F519_1B</t>
  </si>
  <si>
    <t>Santa lucia</t>
  </si>
  <si>
    <t>F520_1B</t>
  </si>
  <si>
    <t>Santa Luc_xD87B_De Familiares</t>
  </si>
  <si>
    <t>F521_1B</t>
  </si>
  <si>
    <t>F523_1B</t>
  </si>
  <si>
    <t>F524_1B</t>
  </si>
  <si>
    <t>Los Ledezmas</t>
  </si>
  <si>
    <t>F525_1B</t>
  </si>
  <si>
    <t>rojo criolo</t>
  </si>
  <si>
    <t>Los Ledezma</t>
  </si>
  <si>
    <t>F525_2B</t>
  </si>
  <si>
    <t>F526_1B</t>
  </si>
  <si>
    <t>F527_1B</t>
  </si>
  <si>
    <t>F533_1B</t>
  </si>
  <si>
    <t>F535_1B</t>
  </si>
  <si>
    <t>San Jos頤e Upala</t>
  </si>
  <si>
    <t>F536_1B</t>
  </si>
  <si>
    <t>San Jos頤e upala</t>
  </si>
  <si>
    <t>F536_2B</t>
  </si>
  <si>
    <t>F537_1B</t>
  </si>
  <si>
    <t>SAN JOSE DE UPALA</t>
  </si>
  <si>
    <t>F538_1B</t>
  </si>
  <si>
    <t>Las Camilias</t>
  </si>
  <si>
    <t>F538_2B</t>
  </si>
  <si>
    <t>F540_1B</t>
  </si>
  <si>
    <t>Las camelias</t>
  </si>
  <si>
    <t>F542_1B</t>
  </si>
  <si>
    <t>Las Pavas</t>
  </si>
  <si>
    <t>F543_1B</t>
  </si>
  <si>
    <t>desconocida</t>
  </si>
  <si>
    <t>F543_2B</t>
  </si>
  <si>
    <t>F544_1B</t>
  </si>
  <si>
    <t>Santa claras</t>
  </si>
  <si>
    <t>F544_2B</t>
  </si>
  <si>
    <t>F545_1B</t>
  </si>
  <si>
    <t>F545_2B</t>
  </si>
  <si>
    <t>guamy</t>
  </si>
  <si>
    <t>F546_1B</t>
  </si>
  <si>
    <t>mexico_80</t>
  </si>
  <si>
    <t>mexico 80</t>
  </si>
  <si>
    <t>Union san jose upala</t>
  </si>
  <si>
    <t>F547_1B</t>
  </si>
  <si>
    <t>Las Delicias</t>
  </si>
  <si>
    <t>F548_1B</t>
  </si>
  <si>
    <t>F549_1B</t>
  </si>
  <si>
    <t>Manzano</t>
  </si>
  <si>
    <t>F550_1B</t>
  </si>
  <si>
    <t>Pataste</t>
  </si>
  <si>
    <t>F551_1B</t>
  </si>
  <si>
    <t>F552_1B</t>
  </si>
  <si>
    <t>F553_1B</t>
  </si>
  <si>
    <t>F554_1B</t>
  </si>
  <si>
    <t>Las pavas</t>
  </si>
  <si>
    <t>F555_1B_J</t>
  </si>
  <si>
    <t>F556_1B</t>
  </si>
  <si>
    <t>F557_1B</t>
  </si>
  <si>
    <t>La colonia</t>
  </si>
  <si>
    <t>F557_2B</t>
  </si>
  <si>
    <t>F557_3B</t>
  </si>
  <si>
    <t>F557_4B</t>
  </si>
  <si>
    <t>F558_1B</t>
  </si>
  <si>
    <t>El Delirio</t>
  </si>
  <si>
    <t>F560_1B</t>
  </si>
  <si>
    <t>F560_2B</t>
  </si>
  <si>
    <t>F561_1B</t>
  </si>
  <si>
    <t>F561_2B</t>
  </si>
  <si>
    <t>sara</t>
  </si>
  <si>
    <t>F562_1B</t>
  </si>
  <si>
    <t>Progres󻌡 guard頤e cosechas anteriores</t>
  </si>
  <si>
    <t>F563_1B</t>
  </si>
  <si>
    <t>naimi</t>
  </si>
  <si>
    <t>Pregreso</t>
  </si>
  <si>
    <t>F563_2B</t>
  </si>
  <si>
    <t>F563_3B</t>
  </si>
  <si>
    <t>tayni(1)/victoria(2)</t>
  </si>
  <si>
    <t>F564_1B</t>
  </si>
  <si>
    <t>guaymi(1)/matambu(2)</t>
  </si>
  <si>
    <t>F565_1B</t>
  </si>
  <si>
    <t>guayni</t>
  </si>
  <si>
    <t>Fᴩma</t>
  </si>
  <si>
    <t>F565_2B</t>
  </si>
  <si>
    <t>F565_3B</t>
  </si>
  <si>
    <t>soya</t>
  </si>
  <si>
    <t>F566_1B</t>
  </si>
  <si>
    <t>brunca(1)/mantequilla(1)/SEF 60(1)</t>
  </si>
  <si>
    <t>F567_1B</t>
  </si>
  <si>
    <t>b</t>
  </si>
  <si>
    <t>mantequilla(1)/sacapobres(2)</t>
  </si>
  <si>
    <t>Fatima</t>
  </si>
  <si>
    <t>F567_2B</t>
  </si>
  <si>
    <t>F567_3B</t>
  </si>
  <si>
    <t>F568_1B</t>
  </si>
  <si>
    <t>F568_2B</t>
  </si>
  <si>
    <t>F568_3B</t>
  </si>
  <si>
    <t>F568_4B</t>
  </si>
  <si>
    <t>F568_5B</t>
  </si>
  <si>
    <t>ensayo 1</t>
  </si>
  <si>
    <t>F568_6B</t>
  </si>
  <si>
    <t>ensayo 2</t>
  </si>
  <si>
    <t>F569_1B</t>
  </si>
  <si>
    <t>F570_1B</t>
  </si>
  <si>
    <t>F571_1B</t>
  </si>
  <si>
    <t>Villa hermosa</t>
  </si>
  <si>
    <t>F572_1B</t>
  </si>
  <si>
    <t>La Puebla</t>
  </si>
  <si>
    <t>F573_1B</t>
  </si>
  <si>
    <t>Jomusa</t>
  </si>
  <si>
    <t>F575_1B</t>
  </si>
  <si>
    <t>F576_1B</t>
  </si>
  <si>
    <t>F576_2B</t>
  </si>
  <si>
    <t>F577_1B</t>
  </si>
  <si>
    <t>F577_2B</t>
  </si>
  <si>
    <t>F578_1B</t>
  </si>
  <si>
    <t>Linda vista</t>
  </si>
  <si>
    <t>F578_2B</t>
  </si>
  <si>
    <t>no recuerda</t>
  </si>
  <si>
    <t>brunca(2)/talamanca(1)</t>
  </si>
  <si>
    <t>F579_1B</t>
  </si>
  <si>
    <t>F579_2B</t>
  </si>
  <si>
    <t>F580_1B</t>
  </si>
  <si>
    <t>Jomuza</t>
  </si>
  <si>
    <t>F581_1B</t>
  </si>
  <si>
    <t>F581_2B</t>
  </si>
  <si>
    <t>F581_3B</t>
  </si>
  <si>
    <t>F582_1B</t>
  </si>
  <si>
    <t>guasteco</t>
  </si>
  <si>
    <t>La uni󮻎A</t>
  </si>
  <si>
    <t>F582_2B</t>
  </si>
  <si>
    <t>La uni󮻌a guard頤e cosechas anteriores</t>
  </si>
  <si>
    <t>F583_1B</t>
  </si>
  <si>
    <t>F584_1B</t>
  </si>
  <si>
    <t>F585_1B</t>
  </si>
  <si>
    <t>San Bosco</t>
  </si>
  <si>
    <t>F586_1B</t>
  </si>
  <si>
    <t>F588_1B</t>
  </si>
  <si>
    <t>F588_2B</t>
  </si>
  <si>
    <t>F589_1B</t>
  </si>
  <si>
    <t>San bosco</t>
  </si>
  <si>
    <t>F590_1B</t>
  </si>
  <si>
    <t>F591_1B</t>
  </si>
  <si>
    <t>F592_1B</t>
  </si>
  <si>
    <t>guaria</t>
  </si>
  <si>
    <t>Valle bonito</t>
  </si>
  <si>
    <t>F592_2B</t>
  </si>
  <si>
    <t>F593_1B</t>
  </si>
  <si>
    <t>F593_2B</t>
  </si>
  <si>
    <t>F594_1B</t>
  </si>
  <si>
    <t>Valle Bonito</t>
  </si>
  <si>
    <t>F596_1B</t>
  </si>
  <si>
    <t>mantequilla(1)/talamanca(2)</t>
  </si>
  <si>
    <t>Villa nueva</t>
  </si>
  <si>
    <t>F596_2B</t>
  </si>
  <si>
    <t>F597_1B</t>
  </si>
  <si>
    <t>F598_1B</t>
  </si>
  <si>
    <t>F599_1B</t>
  </si>
  <si>
    <t>Villa nueva.</t>
  </si>
  <si>
    <t>F600_1B</t>
  </si>
  <si>
    <t>F601_1B</t>
  </si>
  <si>
    <t>F601_2B</t>
  </si>
  <si>
    <t>F602_1B</t>
  </si>
  <si>
    <t>F602_2B</t>
  </si>
  <si>
    <t>F602_3B</t>
  </si>
  <si>
    <t>F602_4B</t>
  </si>
  <si>
    <t>F603_1B</t>
  </si>
  <si>
    <t>F604_1B</t>
  </si>
  <si>
    <t>F604_2B</t>
  </si>
  <si>
    <t>F604_3B</t>
  </si>
  <si>
    <t>F604_4B</t>
  </si>
  <si>
    <t>F605_1B</t>
  </si>
  <si>
    <t>rojo brunca</t>
  </si>
  <si>
    <t>F605_2B</t>
  </si>
  <si>
    <t>guani</t>
  </si>
  <si>
    <t>F605_3B</t>
  </si>
  <si>
    <t>generalito(1)/talamanca(2)</t>
  </si>
  <si>
    <t>F606_1B</t>
  </si>
  <si>
    <t>San Ram󮻌a guard頤e cosechas anteriores</t>
  </si>
  <si>
    <t>F607_1B</t>
  </si>
  <si>
    <t>F608_1B</t>
  </si>
  <si>
    <t>ensayo 6252</t>
  </si>
  <si>
    <t>F608_2B</t>
  </si>
  <si>
    <t>F609_1B</t>
  </si>
  <si>
    <t>M鸩co</t>
  </si>
  <si>
    <t>F611_1B</t>
  </si>
  <si>
    <t>San ra</t>
  </si>
  <si>
    <t>F611_2B</t>
  </si>
  <si>
    <t>taimi</t>
  </si>
  <si>
    <t>F612_1B</t>
  </si>
  <si>
    <t>F612_2B</t>
  </si>
  <si>
    <t>San Ram󮻏tra</t>
  </si>
  <si>
    <t>F612_3B</t>
  </si>
  <si>
    <t>F612_4B</t>
  </si>
  <si>
    <t>F612_5B</t>
  </si>
  <si>
    <t>F613_1B</t>
  </si>
  <si>
    <t>F613_2B</t>
  </si>
  <si>
    <t>F614_1B</t>
  </si>
  <si>
    <t>chirripo</t>
  </si>
  <si>
    <t>F615_1B</t>
  </si>
  <si>
    <t>F616_1B</t>
  </si>
  <si>
    <t>San Ram󮻌a compr頡 la Asociaci󮠤e productores</t>
  </si>
  <si>
    <t>F616_2B</t>
  </si>
  <si>
    <t>F617_1B</t>
  </si>
  <si>
    <t>La victoria</t>
  </si>
  <si>
    <t>F618_1B</t>
  </si>
  <si>
    <t>El Progreso</t>
  </si>
  <si>
    <t>F619_1B</t>
  </si>
  <si>
    <t>F619_2B</t>
  </si>
  <si>
    <t>F619_3B</t>
  </si>
  <si>
    <t>mantequilla(2)/talamanca(1)</t>
  </si>
  <si>
    <t>F620_1B</t>
  </si>
  <si>
    <t>F620_2B</t>
  </si>
  <si>
    <t>F621_1B</t>
  </si>
  <si>
    <t>F621_2B</t>
  </si>
  <si>
    <t>F622_1B</t>
  </si>
  <si>
    <t>Villahermosa</t>
  </si>
  <si>
    <t>F622_2B</t>
  </si>
  <si>
    <t>F623_1B</t>
  </si>
  <si>
    <t>San Pedro</t>
  </si>
  <si>
    <t>F623_2B</t>
  </si>
  <si>
    <t>F624_1B</t>
  </si>
  <si>
    <t>F624_2B</t>
  </si>
  <si>
    <t>F625_1B</t>
  </si>
  <si>
    <t>guaymi(1)/nambi(2)</t>
  </si>
  <si>
    <t>F625_2B</t>
  </si>
  <si>
    <t>F626_1B</t>
  </si>
  <si>
    <t>F626_2B</t>
  </si>
  <si>
    <t>F627_1B</t>
  </si>
  <si>
    <t>F627_2B</t>
  </si>
  <si>
    <t>RCB 593(1)/SEF 64(2)</t>
  </si>
  <si>
    <t>F628_1B</t>
  </si>
  <si>
    <t>Villa Hermosa</t>
  </si>
  <si>
    <t>F629_1B</t>
  </si>
  <si>
    <t>F629_2B</t>
  </si>
  <si>
    <t>mantequiilla</t>
  </si>
  <si>
    <t>F629_3B</t>
  </si>
  <si>
    <t>F630_1B</t>
  </si>
  <si>
    <t>cawbecar</t>
  </si>
  <si>
    <t>F631_1B</t>
  </si>
  <si>
    <t>F631_2B</t>
  </si>
  <si>
    <t>F632_1B</t>
  </si>
  <si>
    <t>F632_2B</t>
  </si>
  <si>
    <t>gaaymie</t>
  </si>
  <si>
    <t>F633_1B</t>
  </si>
  <si>
    <t>El manzana</t>
  </si>
  <si>
    <t>F633_2B</t>
  </si>
  <si>
    <t>3 kilogramos quecompro</t>
  </si>
  <si>
    <t>F634_1B</t>
  </si>
  <si>
    <t>ensayos a</t>
  </si>
  <si>
    <t>RCB 593(1)/SEF 42(1)/SEF 64(1)</t>
  </si>
  <si>
    <t>F635_1B</t>
  </si>
  <si>
    <t>El manzano</t>
  </si>
  <si>
    <t>F635_2B</t>
  </si>
  <si>
    <t>guaymie</t>
  </si>
  <si>
    <t>F636_1B</t>
  </si>
  <si>
    <t>namby negro</t>
  </si>
  <si>
    <t>F636_2B</t>
  </si>
  <si>
    <t>namby rojo</t>
  </si>
  <si>
    <t>F637_1B</t>
  </si>
  <si>
    <t>El salto</t>
  </si>
  <si>
    <t>F637_2B</t>
  </si>
  <si>
    <t>F638_1B</t>
  </si>
  <si>
    <t>namby</t>
  </si>
  <si>
    <t>F639_1B</t>
  </si>
  <si>
    <t>Jumusa</t>
  </si>
  <si>
    <t>F640_1B</t>
  </si>
  <si>
    <t>F641_1B</t>
  </si>
  <si>
    <t>F642_1B</t>
  </si>
  <si>
    <t>F643_1B</t>
  </si>
  <si>
    <t>F643_2B</t>
  </si>
  <si>
    <t>F644_1B</t>
  </si>
  <si>
    <t>F645_1B</t>
  </si>
  <si>
    <t>F645_2B</t>
  </si>
  <si>
    <t>F646_1B</t>
  </si>
  <si>
    <t>F647_1B</t>
  </si>
  <si>
    <t>inta rio san juan</t>
  </si>
  <si>
    <t>La cruz</t>
  </si>
  <si>
    <t>F647_2B</t>
  </si>
  <si>
    <t>mantequillas</t>
  </si>
  <si>
    <t>F648_1B</t>
  </si>
  <si>
    <t>F648_2B</t>
  </si>
  <si>
    <t>F649_1B</t>
  </si>
  <si>
    <t>F649_2B</t>
  </si>
  <si>
    <t>F650_1B</t>
  </si>
  <si>
    <t>colombiano</t>
  </si>
  <si>
    <t>F650_2B</t>
  </si>
  <si>
    <t>mantekilla</t>
  </si>
  <si>
    <t>F651_1B</t>
  </si>
  <si>
    <t>F651_2B</t>
  </si>
  <si>
    <t>F652_1B</t>
  </si>
  <si>
    <t>F653_1B</t>
  </si>
  <si>
    <t>no save su nombre</t>
  </si>
  <si>
    <t>F653_2B</t>
  </si>
  <si>
    <t>F654_1B</t>
  </si>
  <si>
    <t>La perla</t>
  </si>
  <si>
    <t>F654_2B</t>
  </si>
  <si>
    <t>F655_1B</t>
  </si>
  <si>
    <t>La union</t>
  </si>
  <si>
    <t>F655_2B</t>
  </si>
  <si>
    <t>no sebe es de ensayos</t>
  </si>
  <si>
    <t>cabecar(2)/tayni(1)</t>
  </si>
  <si>
    <t>F656_1B</t>
  </si>
  <si>
    <t>rebulucionario</t>
  </si>
  <si>
    <t>F656_2B</t>
  </si>
  <si>
    <t>cabecar(1)/generalito(2)</t>
  </si>
  <si>
    <t>F656_3B</t>
  </si>
  <si>
    <t>F656_4B</t>
  </si>
  <si>
    <t>F657_1B</t>
  </si>
  <si>
    <t>La unio</t>
  </si>
  <si>
    <t>F657_2B</t>
  </si>
  <si>
    <t>F658_1B</t>
  </si>
  <si>
    <t>F659_1B</t>
  </si>
  <si>
    <t>guymie</t>
  </si>
  <si>
    <t>F659_2B</t>
  </si>
  <si>
    <t>F660_1B</t>
  </si>
  <si>
    <t>F660_2B</t>
  </si>
  <si>
    <t>F660_3B</t>
  </si>
  <si>
    <t>F661_1B</t>
  </si>
  <si>
    <t>tambu</t>
  </si>
  <si>
    <t>F661_2B</t>
  </si>
  <si>
    <t>F662_1B</t>
  </si>
  <si>
    <t>F662_2B</t>
  </si>
  <si>
    <t>F663_1B</t>
  </si>
  <si>
    <t>La mercedes</t>
  </si>
  <si>
    <t>F663_2B</t>
  </si>
  <si>
    <t>F664_1B</t>
  </si>
  <si>
    <t>Pavas</t>
  </si>
  <si>
    <t>F665_1B</t>
  </si>
  <si>
    <t>F666_1B</t>
  </si>
  <si>
    <t>F666_2B</t>
  </si>
  <si>
    <t>F667_1B</t>
  </si>
  <si>
    <t>talanca</t>
  </si>
  <si>
    <t>F667_2B</t>
  </si>
  <si>
    <t>F668_1B</t>
  </si>
  <si>
    <t>Mexico</t>
  </si>
  <si>
    <t>F668_2B</t>
  </si>
  <si>
    <t>ensayos</t>
  </si>
  <si>
    <t>F669_1B</t>
  </si>
  <si>
    <t>M鸩co California</t>
  </si>
  <si>
    <t>F670_1B</t>
  </si>
  <si>
    <t>F670_2B</t>
  </si>
  <si>
    <t>F671_1B</t>
  </si>
  <si>
    <t>ensayo sef</t>
  </si>
  <si>
    <t>F671_2B</t>
  </si>
  <si>
    <t>porrillo</t>
  </si>
  <si>
    <t>F672_1B</t>
  </si>
  <si>
    <t>F672_2B</t>
  </si>
  <si>
    <t>F673_1B</t>
  </si>
  <si>
    <t>F673_2B</t>
  </si>
  <si>
    <t>F674_1B</t>
  </si>
  <si>
    <t>Taraste</t>
  </si>
  <si>
    <t>F675_1B</t>
  </si>
  <si>
    <t>F676_1B</t>
  </si>
  <si>
    <t>F676_2B</t>
  </si>
  <si>
    <t>F677_1B</t>
  </si>
  <si>
    <t>Paraste</t>
  </si>
  <si>
    <t>F677_2B</t>
  </si>
  <si>
    <t>matambu(2)/talamanca(1)</t>
  </si>
  <si>
    <t>F678_1B</t>
  </si>
  <si>
    <t>emsayo</t>
  </si>
  <si>
    <t>F679_1B</t>
  </si>
  <si>
    <t>F679_2B</t>
  </si>
  <si>
    <t>F679_3B</t>
  </si>
  <si>
    <t>ensayo c</t>
  </si>
  <si>
    <t>F680_1B</t>
  </si>
  <si>
    <t>F680_2B</t>
  </si>
  <si>
    <t>F681_1B</t>
  </si>
  <si>
    <t>Villa hermosas</t>
  </si>
  <si>
    <t>F681_2B</t>
  </si>
  <si>
    <t>F681_3B</t>
  </si>
  <si>
    <t>F682_1B</t>
  </si>
  <si>
    <t>F682_2B</t>
  </si>
  <si>
    <t>F683_1B</t>
  </si>
  <si>
    <t>F684_1B</t>
  </si>
  <si>
    <t>F685_1B</t>
  </si>
  <si>
    <t>F686_1B</t>
  </si>
  <si>
    <t>F687_1B</t>
  </si>
  <si>
    <t>F688_1B</t>
  </si>
  <si>
    <t>F689_1B</t>
  </si>
  <si>
    <t>F690_1B</t>
  </si>
  <si>
    <t>F691_1B</t>
  </si>
  <si>
    <t>F691_2B</t>
  </si>
  <si>
    <t>F692_1B</t>
  </si>
  <si>
    <t>F692_2B</t>
  </si>
  <si>
    <t>F693_1B</t>
  </si>
  <si>
    <t>F694_1B</t>
  </si>
  <si>
    <t>F695_1B</t>
  </si>
  <si>
    <t>F695_2B</t>
  </si>
  <si>
    <t>F696_1B</t>
  </si>
  <si>
    <t>generalito(2)/tequila(1)</t>
  </si>
  <si>
    <t>F696_2B</t>
  </si>
  <si>
    <t>F697_1B</t>
  </si>
  <si>
    <t>Victoria</t>
  </si>
  <si>
    <t>F698_1B</t>
  </si>
  <si>
    <t>F699_1B</t>
  </si>
  <si>
    <t>changuena(1)/victoria(2)</t>
  </si>
  <si>
    <t>F699_2B</t>
  </si>
  <si>
    <t>F700_1B</t>
  </si>
  <si>
    <t>jamapa</t>
  </si>
  <si>
    <t>Berl_xDBBB_La guard頤e cosechas anteriores</t>
  </si>
  <si>
    <t>F701_1B</t>
  </si>
  <si>
    <t>F702_1B</t>
  </si>
  <si>
    <t>F703_1B</t>
  </si>
  <si>
    <t>no se sabe</t>
  </si>
  <si>
    <t>La uni󮻌a compr頡 otros productores en Costa Rica</t>
  </si>
  <si>
    <t>F703_2B</t>
  </si>
  <si>
    <t>F704_1B</t>
  </si>
  <si>
    <t>F704_2B</t>
  </si>
  <si>
    <t>F705_1B</t>
  </si>
  <si>
    <t>F705_2B</t>
  </si>
  <si>
    <t>matambu(1)/tayni(2)</t>
  </si>
  <si>
    <t>F706_1B</t>
  </si>
  <si>
    <t>Santa Adela</t>
  </si>
  <si>
    <t>F706_2B</t>
  </si>
  <si>
    <t>F707_1B</t>
  </si>
  <si>
    <t>F707_2B</t>
  </si>
  <si>
    <t>F708_1B</t>
  </si>
  <si>
    <t>F709_1B</t>
  </si>
  <si>
    <t>F709_2B</t>
  </si>
  <si>
    <t>Variable</t>
  </si>
  <si>
    <t>Explanation</t>
  </si>
  <si>
    <t>Replicate chosen for fingerprinting analysis in each variety. It was always used the B replicate, unless that specific replicate was found deteriorated. In cases when multiple replicates have been analysed, replicate B is the one chosen for the analysis. =1 means that the observation is the replicate to be used for the analysis.</t>
  </si>
  <si>
    <t>Sample code, composed by farm code + variety/plot code + replicate code</t>
  </si>
  <si>
    <t>It links the fingerprinting data with the survey data</t>
  </si>
  <si>
    <t>Name given by farmer, with a first degree of recoding done by genomic team (.e.g, unknown criollos varieties recoded as other)</t>
  </si>
  <si>
    <t>Original name given by respondent to the variety. This is the farmer-identified variable which has been used to construct the match variable</t>
  </si>
  <si>
    <t>dna_identfied_first</t>
  </si>
  <si>
    <t>First hit from DNA fingerprinting analysis</t>
  </si>
  <si>
    <t>dna_identfied_second_processed</t>
  </si>
  <si>
    <t>The genomic team eliminated the categories there were matches between the DNA from the sample and two varieties of the reference library. This was done by using only one replicate of each reference variety and not the 3 replicates. The replicate more similar with the other two was chosen and then the fingerprinting analysis was re-run.</t>
  </si>
  <si>
    <t>dna_identfied_second</t>
  </si>
  <si>
    <t>Second hit from DNA fingerprinting analysis (raw data)</t>
  </si>
  <si>
    <t>dna_identfied_third</t>
  </si>
  <si>
    <t>Third hit from DNA fingerprinting analysis</t>
  </si>
  <si>
    <t>dna_identfied_fourth</t>
  </si>
  <si>
    <t>Fourth hit from DNA fingerprinting analysis</t>
  </si>
  <si>
    <t>Genetic distance of the sampled variety with respect to the variety in the reference library, for the first hit.</t>
  </si>
  <si>
    <t>Genetic distance of the sampled variety with respect to the variety in the reference library, for the second hit.</t>
  </si>
  <si>
    <t>Genetic distance of the sampled variety with respect to the variety in the reference library, for the third hit.</t>
  </si>
  <si>
    <t>Genetic distance of the sampled variety with respect to the variety in the reference library, for the fourth hit.</t>
  </si>
  <si>
    <t>Similarity level of the sampled variety with respect to the variety in the reference library, for the first hit.</t>
  </si>
  <si>
    <t>Similarity level of the sampled variety with respect to the variety in the reference library, for the second hit.</t>
  </si>
  <si>
    <t>Similarity level of the sampled variety with respect to the variety in the reference library, for the third hit.</t>
  </si>
  <si>
    <t>Similarity level of the sampled variety with respect to the variety in the reference library, for the fourth hit.</t>
  </si>
  <si>
    <t>Respondent-identified variety and DNA fingerprinting-identified FIRST HIT variety match. This was done by the genomic team comparing columns D &amp; G.</t>
  </si>
  <si>
    <t>Respondent-identified variety and DNA fingerprinting-identified SECOND HIT variety match. This was done by the genomic team comparing columns D &amp; H.</t>
  </si>
  <si>
    <t>first_cat (*)</t>
  </si>
  <si>
    <t>This was done by the genomic team, to distinguish three cases of DNA fingerprinting analysis - for the FIRST HIT. The legenda of what category 1-2-3 are, is reported below.</t>
  </si>
  <si>
    <t>second_cat (*)</t>
  </si>
  <si>
    <t>This was done by the genomic team, to distinguish three cases of DNA fingerprinting analysis - for the SECOND HIT. The legenda of what category 1-2-3 are, is reported below.</t>
  </si>
  <si>
    <t>Region where the sample was taken.</t>
  </si>
  <si>
    <t>District where the sample was taken.</t>
  </si>
  <si>
    <t>Village where the sample was taken.</t>
  </si>
  <si>
    <t>Coming from module C in the survey, question C5 "where did you obtain this variety?". There is a reply for every variety grown by the farmer and the matching was done comparing farm code and variety name</t>
  </si>
  <si>
    <t>Coded from seed origin. If seed origin was bought from the producers association, from CNP, MAG or INDER or from an NGO, than seed_source = reliable. Otherwise, seed_source = unreliable.</t>
  </si>
  <si>
    <t>Coming from module C in the survey, question C6 "is this the first time you used this variety?". There is a reply for every variety grown by the farmer and the matching was done comparing farm code and variety name</t>
  </si>
  <si>
    <t>Coming from module C in the survey, question C6B "If no, how many harvest cycles have you used the seeds you saved from previous harvests?". There is a reply for every variety grown by the farmer and the matching was done comparing farm code and variety name</t>
  </si>
  <si>
    <t>Coming from module C in the survey, question C8 "Plot size where you planted this variety?". There is a reply for every variety grown by the farmer and the matching was done comparing farm code and variety name</t>
  </si>
  <si>
    <t>It is a match when the respondent- and fingerprinting- identified varieties match, verbatim</t>
  </si>
  <si>
    <t>It is a match when the respondent- and fingerprinting- identified varieties match, verbatim and also in cases when SEF/uran varieties are identified as "ensayo", "colombiano", "the 3kg I bought from the experiment".</t>
  </si>
  <si>
    <t>(*) First_cat/second_cat legenda</t>
  </si>
  <si>
    <t>Samples with a similarity greater or equal than 90%</t>
  </si>
  <si>
    <t>Those samples with similarity of less than 90%</t>
  </si>
  <si>
    <t>Those samples that matches with more than one variety in the reference library, or those with invalid information from the producer identification  to compare (no response, does not know the variety, only knows the color of the seed, etc)</t>
  </si>
  <si>
    <t>Those with invalid information from the producer identification  to compare (no response does not know the variety, only knows the color of the seed, etc)</t>
  </si>
  <si>
    <t>Respondents engaged also in the experiment and data collection happened in the  2021-22 growing season</t>
  </si>
  <si>
    <t xml:space="preserve">Respondents engaged also in the on-farm experiment happened in the  2021-22 growing season </t>
  </si>
  <si>
    <t xml:space="preserve">sp_id </t>
  </si>
  <si>
    <t>ID which links respondents engaged in 2021-22 and 2024 survey data collection</t>
  </si>
  <si>
    <t>Treatment group assigned to the respondent for the experiment carried out in the 2021-22 growing season</t>
  </si>
  <si>
    <t>index_final</t>
  </si>
  <si>
    <t>Final value of the knowledge index</t>
  </si>
  <si>
    <t>1=men, 2=female</t>
  </si>
  <si>
    <t>Whether the respondent self-declared to have been engaged in the on-farm experiment carried out in the 2021-22 growing season</t>
  </si>
  <si>
    <t>tech_pac</t>
  </si>
  <si>
    <t>Years of education of the respondent</t>
  </si>
  <si>
    <t>Whether the respondent receive any technological package from extension services</t>
  </si>
  <si>
    <t>Whether the respondent is an official member of the INDER project</t>
  </si>
  <si>
    <t>SEF 1-4</t>
  </si>
  <si>
    <t>Whether the farmer grows any SEF variety (based on fingerprinting results). SEF varieties were trialed in the 2021-22 on-farm experiment.</t>
  </si>
  <si>
    <t>match-match4</t>
  </si>
  <si>
    <t>Equals 1, If the survey-identified and the fingerprinting-identified variety coincide, at the first-second-third-or fourth hit, respectively.</t>
  </si>
  <si>
    <t>Name given by the farmer to the variety, cleaned of grammatical errors, allitterations and manually cleaned as specified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</si>
</sst>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Aptos Narrow"/>
      <family val="2"/>
      <scheme val="minor"/>
    </font>
    <font>
      <b/>
      <sz val="12"/>
      <color theme="1"/>
      <name val="Aptos Narrow"/>
      <scheme val="minor"/>
    </font>
    <font>
      <b/>
      <sz val="12"/>
      <color theme="0" tint="-0.499984740745262"/>
      <name val="Aptos Narrow"/>
      <scheme val="minor"/>
    </font>
    <font>
      <sz val="12"/>
      <color theme="0" tint="-0.499984740745262"/>
      <name val="Aptos Narrow"/>
      <scheme val="minor"/>
    </font>
    <font>
      <sz val="12"/>
      <color theme="1"/>
      <name val="Aptos Narrow"/>
      <scheme val="minor"/>
    </font>
    <font>
      <i/>
      <sz val="12"/>
      <color theme="1"/>
      <name val="Aptos Narrow"/>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xf numFmtId="0" fontId="1" fillId="2" borderId="0" xfId="0" applyFont="1" applyFill="1"/>
    <xf numFmtId="0" fontId="2" fillId="0" borderId="0" xfId="0" applyFont="1"/>
    <xf numFmtId="0" fontId="3" fillId="0" borderId="0" xfId="0" applyFont="1"/>
    <xf numFmtId="0" fontId="1" fillId="0" borderId="0" xfId="0" applyFont="1" applyAlignment="1">
      <alignment horizontal="center" vertical="center"/>
    </xf>
    <xf numFmtId="0" fontId="4" fillId="0" borderId="0" xfId="0" applyFont="1" applyAlignment="1">
      <alignment horizontal="center" wrapText="1"/>
    </xf>
    <xf numFmtId="0" fontId="4" fillId="0" borderId="0" xfId="0" applyFont="1" applyAlignment="1">
      <alignment horizontal="center"/>
    </xf>
    <xf numFmtId="0" fontId="4" fillId="0" borderId="0" xfId="0" applyFont="1" applyAlignment="1">
      <alignment horizontal="center" vertical="center" wrapText="1"/>
    </xf>
    <xf numFmtId="0" fontId="4" fillId="0" borderId="0" xfId="0" applyFont="1" applyAlignment="1">
      <alignment vertical="center"/>
    </xf>
    <xf numFmtId="0" fontId="4" fillId="0" borderId="0" xfId="0" applyFont="1"/>
    <xf numFmtId="0" fontId="5" fillId="0" borderId="0" xfId="0" applyFont="1" applyAlignment="1">
      <alignment horizontal="center"/>
    </xf>
    <xf numFmtId="0" fontId="4" fillId="0" borderId="0" xfId="0" applyFont="1" applyAlignment="1">
      <alignment wrapText="1"/>
    </xf>
    <xf numFmtId="0" fontId="0" fillId="0" borderId="0" xfId="0" applyAlignment="1">
      <alignment horizontal="right"/>
    </xf>
    <xf numFmtId="0" fontId="1" fillId="0" borderId="0" xfId="0" applyFont="1" applyFill="1" applyAlignment="1">
      <alignment horizont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nellprod-my.sharepoint.com/Users/mixair/Downloads/Data_Peer_with_peerVars.csv" TargetMode="External"/><Relationship Id="rId1" Type="http://schemas.openxmlformats.org/officeDocument/2006/relationships/externalLinkPath" Target="/Users/mixair/Downloads/Data_Peer_with_peerVar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_Peer_with_peerVars"/>
    </sheetNames>
    <sheetDataSet>
      <sheetData sheetId="0">
        <row r="2">
          <cell r="B2" t="str">
            <v>F1_1C</v>
          </cell>
          <cell r="C2" t="str">
            <v>R2_F1_1C</v>
          </cell>
          <cell r="D2">
            <v>1</v>
          </cell>
          <cell r="E2">
            <v>1.4</v>
          </cell>
          <cell r="F2">
            <v>593</v>
          </cell>
          <cell r="G2">
            <v>1</v>
          </cell>
          <cell r="H2">
            <v>44</v>
          </cell>
          <cell r="I2">
            <v>16</v>
          </cell>
          <cell r="J2">
            <v>4</v>
          </cell>
          <cell r="K2">
            <v>1</v>
          </cell>
          <cell r="L2">
            <v>9.1016949999999994</v>
          </cell>
          <cell r="M2">
            <v>-83.543734999999998</v>
          </cell>
          <cell r="N2" t="str">
            <v>Sur</v>
          </cell>
          <cell r="O2">
            <v>1</v>
          </cell>
          <cell r="P2" t="str">
            <v>nambi</v>
          </cell>
          <cell r="Q2" t="str">
            <v>nambi</v>
          </cell>
          <cell r="R2" t="b">
            <v>1</v>
          </cell>
          <cell r="S2" t="str">
            <v>1_1</v>
          </cell>
          <cell r="T2">
            <v>1</v>
          </cell>
          <cell r="U2">
            <v>4</v>
          </cell>
          <cell r="V2">
            <v>2</v>
          </cell>
          <cell r="W2">
            <v>0.5</v>
          </cell>
          <cell r="X2">
            <v>54</v>
          </cell>
          <cell r="Y2">
            <v>32</v>
          </cell>
          <cell r="Z2">
            <v>0.592592593</v>
          </cell>
        </row>
        <row r="3">
          <cell r="B3" t="str">
            <v>F1_2B</v>
          </cell>
          <cell r="C3" t="str">
            <v>R2_F1_2B</v>
          </cell>
          <cell r="D3">
            <v>0</v>
          </cell>
          <cell r="E3">
            <v>1</v>
          </cell>
          <cell r="F3">
            <v>593</v>
          </cell>
          <cell r="G3">
            <v>1</v>
          </cell>
          <cell r="H3">
            <v>44</v>
          </cell>
          <cell r="I3">
            <v>16</v>
          </cell>
          <cell r="J3">
            <v>4</v>
          </cell>
          <cell r="K3">
            <v>0</v>
          </cell>
          <cell r="L3">
            <v>9.1016949999999994</v>
          </cell>
          <cell r="M3">
            <v>-83.543734999999998</v>
          </cell>
          <cell r="N3" t="str">
            <v>Sur</v>
          </cell>
          <cell r="O3">
            <v>1</v>
          </cell>
          <cell r="P3" t="str">
            <v>victoria</v>
          </cell>
          <cell r="Q3" t="str">
            <v>cabecar</v>
          </cell>
          <cell r="R3" t="b">
            <v>0</v>
          </cell>
          <cell r="S3" t="str">
            <v>1_2</v>
          </cell>
          <cell r="T3">
            <v>1</v>
          </cell>
          <cell r="U3">
            <v>4</v>
          </cell>
          <cell r="V3">
            <v>2</v>
          </cell>
          <cell r="W3">
            <v>0.5</v>
          </cell>
          <cell r="X3">
            <v>54</v>
          </cell>
          <cell r="Y3">
            <v>32</v>
          </cell>
          <cell r="Z3">
            <v>0.592592593</v>
          </cell>
        </row>
        <row r="4">
          <cell r="B4" t="str">
            <v>F2_1B</v>
          </cell>
          <cell r="C4" t="str">
            <v>R2_F2_1B</v>
          </cell>
          <cell r="D4">
            <v>0</v>
          </cell>
          <cell r="E4">
            <v>0.35</v>
          </cell>
          <cell r="F4">
            <v>540</v>
          </cell>
          <cell r="G4">
            <v>1</v>
          </cell>
          <cell r="H4">
            <v>50</v>
          </cell>
          <cell r="I4">
            <v>6</v>
          </cell>
          <cell r="J4">
            <v>4</v>
          </cell>
          <cell r="K4">
            <v>1</v>
          </cell>
          <cell r="L4">
            <v>9.1026450000000008</v>
          </cell>
          <cell r="M4">
            <v>-83.540850000000006</v>
          </cell>
          <cell r="N4" t="str">
            <v>Sur</v>
          </cell>
          <cell r="O4">
            <v>1</v>
          </cell>
          <cell r="P4" t="str">
            <v>nambi</v>
          </cell>
          <cell r="Q4" t="str">
            <v>dontknow</v>
          </cell>
          <cell r="R4" t="str">
            <v>Not applicable</v>
          </cell>
          <cell r="S4" t="str">
            <v>2_1</v>
          </cell>
          <cell r="T4">
            <v>0</v>
          </cell>
          <cell r="U4">
            <v>5</v>
          </cell>
          <cell r="V4">
            <v>4</v>
          </cell>
          <cell r="W4">
            <v>0.8</v>
          </cell>
          <cell r="X4">
            <v>60</v>
          </cell>
          <cell r="Y4">
            <v>37</v>
          </cell>
          <cell r="Z4">
            <v>0.61666666699999995</v>
          </cell>
        </row>
        <row r="5">
          <cell r="B5" t="str">
            <v>F3_1B</v>
          </cell>
          <cell r="C5" t="str">
            <v>R2_F3_1B</v>
          </cell>
          <cell r="D5">
            <v>1</v>
          </cell>
          <cell r="E5">
            <v>0.25</v>
          </cell>
          <cell r="F5">
            <v>510</v>
          </cell>
          <cell r="G5">
            <v>1</v>
          </cell>
          <cell r="H5">
            <v>40</v>
          </cell>
          <cell r="I5">
            <v>6</v>
          </cell>
          <cell r="J5">
            <v>4</v>
          </cell>
          <cell r="K5">
            <v>1</v>
          </cell>
          <cell r="L5">
            <v>9.1033749999999998</v>
          </cell>
          <cell r="M5">
            <v>-83.539309000000003</v>
          </cell>
          <cell r="N5" t="str">
            <v>Sur</v>
          </cell>
          <cell r="O5">
            <v>1</v>
          </cell>
          <cell r="P5" t="str">
            <v>nambi</v>
          </cell>
          <cell r="Q5" t="str">
            <v>nambi</v>
          </cell>
          <cell r="R5" t="b">
            <v>1</v>
          </cell>
          <cell r="S5" t="str">
            <v>3_1</v>
          </cell>
          <cell r="T5">
            <v>1</v>
          </cell>
          <cell r="U5">
            <v>5</v>
          </cell>
          <cell r="V5">
            <v>3</v>
          </cell>
          <cell r="W5">
            <v>0.6</v>
          </cell>
          <cell r="X5">
            <v>60</v>
          </cell>
          <cell r="Y5">
            <v>36</v>
          </cell>
          <cell r="Z5">
            <v>0.6</v>
          </cell>
        </row>
        <row r="6">
          <cell r="B6" t="str">
            <v>F4_1B</v>
          </cell>
          <cell r="C6" t="str">
            <v>R2_F4_1B</v>
          </cell>
          <cell r="D6">
            <v>1</v>
          </cell>
          <cell r="E6">
            <v>0.3</v>
          </cell>
          <cell r="F6">
            <v>687</v>
          </cell>
          <cell r="G6">
            <v>1</v>
          </cell>
          <cell r="H6">
            <v>61</v>
          </cell>
          <cell r="I6">
            <v>0</v>
          </cell>
          <cell r="J6">
            <v>4</v>
          </cell>
          <cell r="K6">
            <v>0</v>
          </cell>
          <cell r="L6">
            <v>9.0927819999999997</v>
          </cell>
          <cell r="M6">
            <v>-83.528445000000005</v>
          </cell>
          <cell r="N6" t="str">
            <v>Sur</v>
          </cell>
          <cell r="O6">
            <v>1</v>
          </cell>
          <cell r="P6" t="str">
            <v>sacapobres</v>
          </cell>
          <cell r="Q6" t="str">
            <v>sacapobres</v>
          </cell>
          <cell r="R6" t="b">
            <v>1</v>
          </cell>
          <cell r="S6" t="str">
            <v>4_1</v>
          </cell>
          <cell r="T6">
            <v>1</v>
          </cell>
          <cell r="U6">
            <v>0</v>
          </cell>
          <cell r="V6">
            <v>0</v>
          </cell>
          <cell r="W6" t="str">
            <v>NA</v>
          </cell>
          <cell r="X6">
            <v>48</v>
          </cell>
          <cell r="Y6">
            <v>30</v>
          </cell>
          <cell r="Z6">
            <v>0.625</v>
          </cell>
        </row>
        <row r="7">
          <cell r="B7" t="str">
            <v>F4_2B</v>
          </cell>
          <cell r="C7" t="str">
            <v>R2_F4_2B</v>
          </cell>
          <cell r="D7">
            <v>0</v>
          </cell>
          <cell r="E7">
            <v>2</v>
          </cell>
          <cell r="F7">
            <v>687</v>
          </cell>
          <cell r="G7">
            <v>1</v>
          </cell>
          <cell r="H7">
            <v>61</v>
          </cell>
          <cell r="I7">
            <v>0</v>
          </cell>
          <cell r="J7">
            <v>4</v>
          </cell>
          <cell r="K7">
            <v>1</v>
          </cell>
          <cell r="L7">
            <v>9.0927819999999997</v>
          </cell>
          <cell r="M7">
            <v>-83.528445000000005</v>
          </cell>
          <cell r="N7" t="str">
            <v>Sur</v>
          </cell>
          <cell r="O7">
            <v>1</v>
          </cell>
          <cell r="P7" t="str">
            <v>nambi</v>
          </cell>
          <cell r="Q7" t="str">
            <v>guaymi</v>
          </cell>
          <cell r="R7" t="b">
            <v>0</v>
          </cell>
          <cell r="S7" t="str">
            <v>4_2</v>
          </cell>
          <cell r="T7">
            <v>0</v>
          </cell>
          <cell r="U7">
            <v>0</v>
          </cell>
          <cell r="V7">
            <v>0</v>
          </cell>
          <cell r="W7" t="str">
            <v>NA</v>
          </cell>
          <cell r="X7">
            <v>48</v>
          </cell>
          <cell r="Y7">
            <v>30</v>
          </cell>
          <cell r="Z7">
            <v>0.625</v>
          </cell>
        </row>
        <row r="8">
          <cell r="B8" t="str">
            <v>F5_1B</v>
          </cell>
          <cell r="C8" t="str">
            <v>R2_F5_1B</v>
          </cell>
          <cell r="D8">
            <v>1</v>
          </cell>
          <cell r="E8">
            <v>0.7</v>
          </cell>
          <cell r="F8">
            <v>466</v>
          </cell>
          <cell r="G8">
            <v>1</v>
          </cell>
          <cell r="H8">
            <v>67</v>
          </cell>
          <cell r="I8">
            <v>3</v>
          </cell>
          <cell r="J8">
            <v>4</v>
          </cell>
          <cell r="K8">
            <v>1</v>
          </cell>
          <cell r="L8">
            <v>9.122401</v>
          </cell>
          <cell r="M8">
            <v>-83.544713999999999</v>
          </cell>
          <cell r="N8" t="str">
            <v>Sur</v>
          </cell>
          <cell r="O8">
            <v>1</v>
          </cell>
          <cell r="P8" t="str">
            <v>changuena</v>
          </cell>
          <cell r="Q8" t="str">
            <v>changuena</v>
          </cell>
          <cell r="R8" t="b">
            <v>1</v>
          </cell>
          <cell r="S8" t="str">
            <v>5_1</v>
          </cell>
          <cell r="T8">
            <v>1</v>
          </cell>
          <cell r="U8">
            <v>2</v>
          </cell>
          <cell r="V8">
            <v>1</v>
          </cell>
          <cell r="W8">
            <v>0.5</v>
          </cell>
          <cell r="X8">
            <v>35</v>
          </cell>
          <cell r="Y8">
            <v>22</v>
          </cell>
          <cell r="Z8">
            <v>0.62857142899999996</v>
          </cell>
        </row>
        <row r="9">
          <cell r="B9" t="str">
            <v>F5_2B</v>
          </cell>
          <cell r="C9" t="str">
            <v>R2_F5_2B</v>
          </cell>
          <cell r="D9">
            <v>1</v>
          </cell>
          <cell r="E9">
            <v>2</v>
          </cell>
          <cell r="F9">
            <v>466</v>
          </cell>
          <cell r="G9">
            <v>1</v>
          </cell>
          <cell r="H9">
            <v>67</v>
          </cell>
          <cell r="I9">
            <v>3</v>
          </cell>
          <cell r="J9">
            <v>4</v>
          </cell>
          <cell r="K9">
            <v>1</v>
          </cell>
          <cell r="L9">
            <v>9.122401</v>
          </cell>
          <cell r="M9">
            <v>-83.544713999999999</v>
          </cell>
          <cell r="N9" t="str">
            <v>Sur</v>
          </cell>
          <cell r="O9">
            <v>1</v>
          </cell>
          <cell r="P9" t="str">
            <v>nambi</v>
          </cell>
          <cell r="Q9" t="str">
            <v>nambi</v>
          </cell>
          <cell r="R9" t="b">
            <v>1</v>
          </cell>
          <cell r="S9" t="str">
            <v>5_2</v>
          </cell>
          <cell r="T9">
            <v>1</v>
          </cell>
          <cell r="U9">
            <v>2</v>
          </cell>
          <cell r="V9">
            <v>1</v>
          </cell>
          <cell r="W9">
            <v>0.5</v>
          </cell>
          <cell r="X9">
            <v>35</v>
          </cell>
          <cell r="Y9">
            <v>22</v>
          </cell>
          <cell r="Z9">
            <v>0.62857142899999996</v>
          </cell>
        </row>
        <row r="10">
          <cell r="B10" t="str">
            <v>F6_1B</v>
          </cell>
          <cell r="C10" t="str">
            <v>R2_F6_1B</v>
          </cell>
          <cell r="D10">
            <v>1</v>
          </cell>
          <cell r="E10">
            <v>0.4</v>
          </cell>
          <cell r="F10">
            <v>461</v>
          </cell>
          <cell r="G10">
            <v>1</v>
          </cell>
          <cell r="H10">
            <v>57</v>
          </cell>
          <cell r="I10">
            <v>0</v>
          </cell>
          <cell r="J10">
            <v>5</v>
          </cell>
          <cell r="K10">
            <v>1</v>
          </cell>
          <cell r="L10">
            <v>9.1255170000000003</v>
          </cell>
          <cell r="M10">
            <v>-83.539047999999994</v>
          </cell>
          <cell r="N10" t="str">
            <v>Sur</v>
          </cell>
          <cell r="O10">
            <v>1</v>
          </cell>
          <cell r="P10" t="str">
            <v>cabecar</v>
          </cell>
          <cell r="Q10" t="str">
            <v>cabecar</v>
          </cell>
          <cell r="R10" t="b">
            <v>1</v>
          </cell>
          <cell r="S10" t="str">
            <v>6_1</v>
          </cell>
          <cell r="T10">
            <v>1</v>
          </cell>
          <cell r="U10">
            <v>2</v>
          </cell>
          <cell r="V10">
            <v>1</v>
          </cell>
          <cell r="W10">
            <v>0.5</v>
          </cell>
          <cell r="X10">
            <v>31</v>
          </cell>
          <cell r="Y10">
            <v>18</v>
          </cell>
          <cell r="Z10">
            <v>0.58064516099999997</v>
          </cell>
        </row>
        <row r="11">
          <cell r="B11" t="str">
            <v>F6_2B</v>
          </cell>
          <cell r="C11" t="str">
            <v>R2_F6_2B</v>
          </cell>
          <cell r="D11">
            <v>1</v>
          </cell>
          <cell r="E11">
            <v>0.2</v>
          </cell>
          <cell r="F11">
            <v>461</v>
          </cell>
          <cell r="G11">
            <v>1</v>
          </cell>
          <cell r="H11">
            <v>57</v>
          </cell>
          <cell r="I11">
            <v>0</v>
          </cell>
          <cell r="J11">
            <v>5</v>
          </cell>
          <cell r="K11">
            <v>1</v>
          </cell>
          <cell r="L11">
            <v>9.1255170000000003</v>
          </cell>
          <cell r="M11">
            <v>-83.539047999999994</v>
          </cell>
          <cell r="N11" t="str">
            <v>Sur</v>
          </cell>
          <cell r="O11">
            <v>1</v>
          </cell>
          <cell r="P11" t="str">
            <v>nambi</v>
          </cell>
          <cell r="Q11" t="str">
            <v>nambi</v>
          </cell>
          <cell r="R11" t="b">
            <v>1</v>
          </cell>
          <cell r="S11" t="str">
            <v>6_2</v>
          </cell>
          <cell r="T11">
            <v>1</v>
          </cell>
          <cell r="U11">
            <v>2</v>
          </cell>
          <cell r="V11">
            <v>1</v>
          </cell>
          <cell r="W11">
            <v>0.5</v>
          </cell>
          <cell r="X11">
            <v>31</v>
          </cell>
          <cell r="Y11">
            <v>18</v>
          </cell>
          <cell r="Z11">
            <v>0.58064516099999997</v>
          </cell>
        </row>
        <row r="12">
          <cell r="B12" t="str">
            <v>F6_3B</v>
          </cell>
          <cell r="C12" t="str">
            <v>R2_F6_3B</v>
          </cell>
          <cell r="D12">
            <v>1</v>
          </cell>
          <cell r="E12">
            <v>0.4</v>
          </cell>
          <cell r="F12">
            <v>461</v>
          </cell>
          <cell r="G12">
            <v>1</v>
          </cell>
          <cell r="H12">
            <v>57</v>
          </cell>
          <cell r="I12">
            <v>0</v>
          </cell>
          <cell r="J12">
            <v>5</v>
          </cell>
          <cell r="K12">
            <v>0</v>
          </cell>
          <cell r="L12">
            <v>9.1255170000000003</v>
          </cell>
          <cell r="M12">
            <v>-83.539047999999994</v>
          </cell>
          <cell r="N12" t="str">
            <v>Sur</v>
          </cell>
          <cell r="O12">
            <v>1</v>
          </cell>
          <cell r="P12" t="str">
            <v>tequila</v>
          </cell>
          <cell r="Q12" t="str">
            <v>tequila</v>
          </cell>
          <cell r="R12" t="b">
            <v>1</v>
          </cell>
          <cell r="S12" t="str">
            <v>6_3</v>
          </cell>
          <cell r="T12">
            <v>1</v>
          </cell>
          <cell r="U12">
            <v>2</v>
          </cell>
          <cell r="V12">
            <v>1</v>
          </cell>
          <cell r="W12">
            <v>0.5</v>
          </cell>
          <cell r="X12">
            <v>31</v>
          </cell>
          <cell r="Y12">
            <v>18</v>
          </cell>
          <cell r="Z12">
            <v>0.58064516099999997</v>
          </cell>
        </row>
        <row r="13">
          <cell r="B13" t="str">
            <v>F7_1B</v>
          </cell>
          <cell r="C13" t="str">
            <v>R2_F7_1B</v>
          </cell>
          <cell r="D13">
            <v>1</v>
          </cell>
          <cell r="E13">
            <v>1</v>
          </cell>
          <cell r="F13">
            <v>433</v>
          </cell>
          <cell r="G13">
            <v>1</v>
          </cell>
          <cell r="H13">
            <v>40</v>
          </cell>
          <cell r="I13">
            <v>16</v>
          </cell>
          <cell r="J13">
            <v>5</v>
          </cell>
          <cell r="K13">
            <v>1</v>
          </cell>
          <cell r="L13">
            <v>9.1785200000000007</v>
          </cell>
          <cell r="M13">
            <v>-83.560424999999995</v>
          </cell>
          <cell r="N13" t="str">
            <v>Sur</v>
          </cell>
          <cell r="O13">
            <v>1</v>
          </cell>
          <cell r="P13" t="str">
            <v>nambi</v>
          </cell>
          <cell r="Q13" t="str">
            <v>nambi</v>
          </cell>
          <cell r="R13" t="b">
            <v>1</v>
          </cell>
          <cell r="S13" t="str">
            <v>7_1</v>
          </cell>
          <cell r="T13">
            <v>1</v>
          </cell>
          <cell r="U13">
            <v>0</v>
          </cell>
          <cell r="V13">
            <v>0</v>
          </cell>
          <cell r="W13" t="str">
            <v>NA</v>
          </cell>
          <cell r="X13">
            <v>15</v>
          </cell>
          <cell r="Y13">
            <v>10</v>
          </cell>
          <cell r="Z13">
            <v>0.66666666699999999</v>
          </cell>
        </row>
        <row r="14">
          <cell r="B14" t="str">
            <v>F7_2B</v>
          </cell>
          <cell r="C14" t="str">
            <v>R2_F7_2B</v>
          </cell>
          <cell r="D14">
            <v>0</v>
          </cell>
          <cell r="E14">
            <v>0.2</v>
          </cell>
          <cell r="F14">
            <v>433</v>
          </cell>
          <cell r="G14">
            <v>1</v>
          </cell>
          <cell r="H14">
            <v>40</v>
          </cell>
          <cell r="I14">
            <v>16</v>
          </cell>
          <cell r="J14">
            <v>5</v>
          </cell>
          <cell r="K14">
            <v>0</v>
          </cell>
          <cell r="L14">
            <v>9.1785200000000007</v>
          </cell>
          <cell r="M14">
            <v>-83.560424999999995</v>
          </cell>
          <cell r="N14" t="str">
            <v>Sur</v>
          </cell>
          <cell r="O14">
            <v>1</v>
          </cell>
          <cell r="P14" t="str">
            <v>victoria</v>
          </cell>
          <cell r="Q14" t="str">
            <v>cabecar</v>
          </cell>
          <cell r="R14" t="b">
            <v>0</v>
          </cell>
          <cell r="S14" t="str">
            <v>7_2</v>
          </cell>
          <cell r="T14">
            <v>1</v>
          </cell>
          <cell r="U14">
            <v>0</v>
          </cell>
          <cell r="V14">
            <v>0</v>
          </cell>
          <cell r="W14" t="str">
            <v>NA</v>
          </cell>
          <cell r="X14">
            <v>15</v>
          </cell>
          <cell r="Y14">
            <v>10</v>
          </cell>
          <cell r="Z14">
            <v>0.66666666699999999</v>
          </cell>
        </row>
        <row r="15">
          <cell r="B15" t="str">
            <v>F8_1B</v>
          </cell>
          <cell r="C15" t="str">
            <v>R2_F8_1B</v>
          </cell>
          <cell r="D15">
            <v>1</v>
          </cell>
          <cell r="E15">
            <v>0.15</v>
          </cell>
          <cell r="F15">
            <v>415</v>
          </cell>
          <cell r="G15">
            <v>1</v>
          </cell>
          <cell r="H15">
            <v>45</v>
          </cell>
          <cell r="I15">
            <v>6</v>
          </cell>
          <cell r="J15">
            <v>3</v>
          </cell>
          <cell r="K15">
            <v>0</v>
          </cell>
          <cell r="L15">
            <v>9.1579689999999996</v>
          </cell>
          <cell r="M15">
            <v>-83.575610999999995</v>
          </cell>
          <cell r="N15" t="str">
            <v>Sur</v>
          </cell>
          <cell r="O15">
            <v>1</v>
          </cell>
          <cell r="P15" t="str">
            <v>tequila</v>
          </cell>
          <cell r="Q15" t="str">
            <v>tequila</v>
          </cell>
          <cell r="R15" t="b">
            <v>1</v>
          </cell>
          <cell r="S15" t="str">
            <v>8_1</v>
          </cell>
          <cell r="T15">
            <v>1</v>
          </cell>
          <cell r="U15">
            <v>9</v>
          </cell>
          <cell r="V15">
            <v>5</v>
          </cell>
          <cell r="W15">
            <v>0.55555555599999995</v>
          </cell>
          <cell r="X15">
            <v>18</v>
          </cell>
          <cell r="Y15">
            <v>11</v>
          </cell>
          <cell r="Z15">
            <v>0.61111111100000004</v>
          </cell>
        </row>
        <row r="16">
          <cell r="B16" t="str">
            <v>F8_2B</v>
          </cell>
          <cell r="C16" t="str">
            <v>R2_F8_2B</v>
          </cell>
          <cell r="D16">
            <v>1</v>
          </cell>
          <cell r="E16">
            <v>0.15</v>
          </cell>
          <cell r="F16">
            <v>415</v>
          </cell>
          <cell r="G16">
            <v>1</v>
          </cell>
          <cell r="H16">
            <v>45</v>
          </cell>
          <cell r="I16">
            <v>6</v>
          </cell>
          <cell r="J16">
            <v>3</v>
          </cell>
          <cell r="K16">
            <v>1</v>
          </cell>
          <cell r="L16">
            <v>9.1579689999999996</v>
          </cell>
          <cell r="M16">
            <v>-83.575610999999995</v>
          </cell>
          <cell r="N16" t="str">
            <v>Sur</v>
          </cell>
          <cell r="O16">
            <v>1</v>
          </cell>
          <cell r="P16" t="str">
            <v>nambi</v>
          </cell>
          <cell r="Q16" t="str">
            <v>nambi</v>
          </cell>
          <cell r="R16" t="b">
            <v>1</v>
          </cell>
          <cell r="S16" t="str">
            <v>8_2</v>
          </cell>
          <cell r="T16">
            <v>1</v>
          </cell>
          <cell r="U16">
            <v>9</v>
          </cell>
          <cell r="V16">
            <v>5</v>
          </cell>
          <cell r="W16">
            <v>0.55555555599999995</v>
          </cell>
          <cell r="X16">
            <v>18</v>
          </cell>
          <cell r="Y16">
            <v>11</v>
          </cell>
          <cell r="Z16">
            <v>0.61111111100000004</v>
          </cell>
        </row>
        <row r="17">
          <cell r="B17" t="str">
            <v>F9_1B</v>
          </cell>
          <cell r="C17" t="str">
            <v>R2_F9_1B</v>
          </cell>
          <cell r="D17">
            <v>0</v>
          </cell>
          <cell r="E17">
            <v>2.1</v>
          </cell>
          <cell r="F17">
            <v>543</v>
          </cell>
          <cell r="G17">
            <v>1</v>
          </cell>
          <cell r="H17">
            <v>56</v>
          </cell>
          <cell r="I17">
            <v>0</v>
          </cell>
          <cell r="J17">
            <v>3</v>
          </cell>
          <cell r="K17">
            <v>0</v>
          </cell>
          <cell r="L17">
            <v>9.1378299999999992</v>
          </cell>
          <cell r="M17">
            <v>-83.553953000000007</v>
          </cell>
          <cell r="N17" t="str">
            <v>Sur</v>
          </cell>
          <cell r="O17">
            <v>1</v>
          </cell>
          <cell r="P17" t="str">
            <v>victoria</v>
          </cell>
          <cell r="Q17" t="str">
            <v>cabecar</v>
          </cell>
          <cell r="R17" t="b">
            <v>0</v>
          </cell>
          <cell r="S17" t="str">
            <v>9_1</v>
          </cell>
          <cell r="T17">
            <v>1</v>
          </cell>
          <cell r="U17">
            <v>0</v>
          </cell>
          <cell r="V17">
            <v>0</v>
          </cell>
          <cell r="W17" t="str">
            <v>NA</v>
          </cell>
          <cell r="X17">
            <v>17</v>
          </cell>
          <cell r="Y17">
            <v>15</v>
          </cell>
          <cell r="Z17">
            <v>0.88235294099999995</v>
          </cell>
        </row>
        <row r="18">
          <cell r="B18" t="str">
            <v>F11_1B</v>
          </cell>
          <cell r="C18" t="str">
            <v>R2_F11_1B</v>
          </cell>
          <cell r="D18">
            <v>0</v>
          </cell>
          <cell r="E18">
            <v>1</v>
          </cell>
          <cell r="F18">
            <v>738</v>
          </cell>
          <cell r="G18">
            <v>1</v>
          </cell>
          <cell r="H18">
            <v>31</v>
          </cell>
          <cell r="I18">
            <v>6</v>
          </cell>
          <cell r="J18">
            <v>5</v>
          </cell>
          <cell r="K18">
            <v>0</v>
          </cell>
          <cell r="L18">
            <v>9.0479780000000005</v>
          </cell>
          <cell r="M18">
            <v>-83.496003000000002</v>
          </cell>
          <cell r="N18" t="str">
            <v>Sur</v>
          </cell>
          <cell r="O18">
            <v>1</v>
          </cell>
          <cell r="P18" t="str">
            <v>sacapobres</v>
          </cell>
          <cell r="Q18" t="str">
            <v>diquis</v>
          </cell>
          <cell r="R18" t="b">
            <v>0</v>
          </cell>
          <cell r="S18" t="str">
            <v>11_1</v>
          </cell>
          <cell r="T18">
            <v>0</v>
          </cell>
          <cell r="U18">
            <v>0</v>
          </cell>
          <cell r="V18">
            <v>0</v>
          </cell>
          <cell r="W18" t="str">
            <v>NA</v>
          </cell>
          <cell r="X18">
            <v>14</v>
          </cell>
          <cell r="Y18">
            <v>9</v>
          </cell>
          <cell r="Z18">
            <v>0.64285714299999996</v>
          </cell>
        </row>
        <row r="19">
          <cell r="B19" t="str">
            <v>F11_2B</v>
          </cell>
          <cell r="C19" t="str">
            <v>R2_F11_2B</v>
          </cell>
          <cell r="D19">
            <v>1</v>
          </cell>
          <cell r="E19">
            <v>3</v>
          </cell>
          <cell r="F19">
            <v>738</v>
          </cell>
          <cell r="G19">
            <v>1</v>
          </cell>
          <cell r="H19">
            <v>31</v>
          </cell>
          <cell r="I19">
            <v>6</v>
          </cell>
          <cell r="J19">
            <v>5</v>
          </cell>
          <cell r="K19">
            <v>0</v>
          </cell>
          <cell r="L19">
            <v>9.0479780000000005</v>
          </cell>
          <cell r="M19">
            <v>-83.496003000000002</v>
          </cell>
          <cell r="N19" t="str">
            <v>Sur</v>
          </cell>
          <cell r="O19">
            <v>1</v>
          </cell>
          <cell r="P19" t="str">
            <v>sacapobres</v>
          </cell>
          <cell r="Q19" t="str">
            <v>sacapobres</v>
          </cell>
          <cell r="R19" t="b">
            <v>1</v>
          </cell>
          <cell r="S19" t="str">
            <v>11_2</v>
          </cell>
          <cell r="T19">
            <v>1</v>
          </cell>
          <cell r="U19">
            <v>0</v>
          </cell>
          <cell r="V19">
            <v>0</v>
          </cell>
          <cell r="W19" t="str">
            <v>NA</v>
          </cell>
          <cell r="X19">
            <v>14</v>
          </cell>
          <cell r="Y19">
            <v>9</v>
          </cell>
          <cell r="Z19">
            <v>0.64285714299999996</v>
          </cell>
        </row>
        <row r="20">
          <cell r="B20" t="str">
            <v>F12_1B</v>
          </cell>
          <cell r="C20" t="str">
            <v>R2_F12_1B</v>
          </cell>
          <cell r="D20">
            <v>0</v>
          </cell>
          <cell r="E20">
            <v>1</v>
          </cell>
          <cell r="F20">
            <v>614</v>
          </cell>
          <cell r="G20">
            <v>1</v>
          </cell>
          <cell r="H20">
            <v>38</v>
          </cell>
          <cell r="I20">
            <v>6</v>
          </cell>
          <cell r="J20">
            <v>6</v>
          </cell>
          <cell r="K20">
            <v>0</v>
          </cell>
          <cell r="L20">
            <v>9.0853990000000007</v>
          </cell>
          <cell r="M20">
            <v>-83.526752999999999</v>
          </cell>
          <cell r="N20" t="str">
            <v>Sur</v>
          </cell>
          <cell r="O20">
            <v>1</v>
          </cell>
          <cell r="P20" t="str">
            <v>tequila</v>
          </cell>
          <cell r="Q20" t="str">
            <v>talamanca</v>
          </cell>
          <cell r="R20" t="b">
            <v>0</v>
          </cell>
          <cell r="S20" t="str">
            <v>12_1</v>
          </cell>
          <cell r="T20">
            <v>0</v>
          </cell>
          <cell r="U20">
            <v>12</v>
          </cell>
          <cell r="V20">
            <v>6</v>
          </cell>
          <cell r="W20">
            <v>0.5</v>
          </cell>
          <cell r="X20">
            <v>57</v>
          </cell>
          <cell r="Y20">
            <v>32</v>
          </cell>
          <cell r="Z20">
            <v>0.56140350900000002</v>
          </cell>
        </row>
        <row r="21">
          <cell r="B21" t="str">
            <v>F12_2B</v>
          </cell>
          <cell r="C21" t="str">
            <v>R2_F12_2B</v>
          </cell>
          <cell r="D21">
            <v>0</v>
          </cell>
          <cell r="E21">
            <v>6</v>
          </cell>
          <cell r="F21">
            <v>614</v>
          </cell>
          <cell r="G21">
            <v>1</v>
          </cell>
          <cell r="H21">
            <v>38</v>
          </cell>
          <cell r="I21">
            <v>6</v>
          </cell>
          <cell r="J21">
            <v>6</v>
          </cell>
          <cell r="K21">
            <v>0</v>
          </cell>
          <cell r="L21">
            <v>9.0853990000000007</v>
          </cell>
          <cell r="M21">
            <v>-83.526752999999999</v>
          </cell>
          <cell r="N21" t="str">
            <v>Sur</v>
          </cell>
          <cell r="O21">
            <v>1</v>
          </cell>
          <cell r="P21" t="str">
            <v>victoria</v>
          </cell>
          <cell r="Q21" t="str">
            <v>cabecar</v>
          </cell>
          <cell r="R21" t="b">
            <v>0</v>
          </cell>
          <cell r="S21" t="str">
            <v>12_2</v>
          </cell>
          <cell r="T21">
            <v>1</v>
          </cell>
          <cell r="U21">
            <v>12</v>
          </cell>
          <cell r="V21">
            <v>6</v>
          </cell>
          <cell r="W21">
            <v>0.5</v>
          </cell>
          <cell r="X21">
            <v>57</v>
          </cell>
          <cell r="Y21">
            <v>32</v>
          </cell>
          <cell r="Z21">
            <v>0.56140350900000002</v>
          </cell>
        </row>
        <row r="22">
          <cell r="B22" t="str">
            <v>F14_1B</v>
          </cell>
          <cell r="C22" t="str">
            <v>R2_F14_1B</v>
          </cell>
          <cell r="D22">
            <v>1</v>
          </cell>
          <cell r="E22">
            <v>0.7</v>
          </cell>
          <cell r="F22">
            <v>496</v>
          </cell>
          <cell r="G22">
            <v>1</v>
          </cell>
          <cell r="H22">
            <v>49</v>
          </cell>
          <cell r="I22">
            <v>6</v>
          </cell>
          <cell r="J22">
            <v>5</v>
          </cell>
          <cell r="K22">
            <v>1</v>
          </cell>
          <cell r="L22">
            <v>9.0795720000000006</v>
          </cell>
          <cell r="M22">
            <v>-83.520120000000006</v>
          </cell>
          <cell r="N22" t="str">
            <v>Sur</v>
          </cell>
          <cell r="O22">
            <v>1</v>
          </cell>
          <cell r="P22" t="str">
            <v>nambi</v>
          </cell>
          <cell r="Q22" t="str">
            <v>nambi</v>
          </cell>
          <cell r="R22" t="b">
            <v>1</v>
          </cell>
          <cell r="S22" t="str">
            <v>14_1</v>
          </cell>
          <cell r="T22">
            <v>1</v>
          </cell>
          <cell r="U22">
            <v>5</v>
          </cell>
          <cell r="V22">
            <v>3</v>
          </cell>
          <cell r="W22">
            <v>0.6</v>
          </cell>
          <cell r="X22">
            <v>51</v>
          </cell>
          <cell r="Y22">
            <v>30</v>
          </cell>
          <cell r="Z22">
            <v>0.58823529399999996</v>
          </cell>
        </row>
        <row r="23">
          <cell r="B23" t="str">
            <v>F14_2B</v>
          </cell>
          <cell r="C23" t="str">
            <v>R2_F14_2B</v>
          </cell>
          <cell r="D23">
            <v>0</v>
          </cell>
          <cell r="E23">
            <v>0.05</v>
          </cell>
          <cell r="F23">
            <v>496</v>
          </cell>
          <cell r="G23">
            <v>1</v>
          </cell>
          <cell r="H23">
            <v>49</v>
          </cell>
          <cell r="I23">
            <v>6</v>
          </cell>
          <cell r="J23">
            <v>5</v>
          </cell>
          <cell r="K23">
            <v>1</v>
          </cell>
          <cell r="L23">
            <v>9.0795720000000006</v>
          </cell>
          <cell r="M23">
            <v>-83.520120000000006</v>
          </cell>
          <cell r="N23" t="str">
            <v>Sur</v>
          </cell>
          <cell r="O23">
            <v>1</v>
          </cell>
          <cell r="P23" t="str">
            <v>nambi</v>
          </cell>
          <cell r="Q23" t="str">
            <v>sacapobres</v>
          </cell>
          <cell r="R23" t="b">
            <v>0</v>
          </cell>
          <cell r="S23" t="str">
            <v>14_2</v>
          </cell>
          <cell r="T23">
            <v>0</v>
          </cell>
          <cell r="U23">
            <v>5</v>
          </cell>
          <cell r="V23">
            <v>3</v>
          </cell>
          <cell r="W23">
            <v>0.6</v>
          </cell>
          <cell r="X23">
            <v>51</v>
          </cell>
          <cell r="Y23">
            <v>30</v>
          </cell>
          <cell r="Z23">
            <v>0.58823529399999996</v>
          </cell>
        </row>
        <row r="24">
          <cell r="B24" t="str">
            <v>F16_1B</v>
          </cell>
          <cell r="C24" t="str">
            <v>R2_F16_1B</v>
          </cell>
          <cell r="D24">
            <v>1</v>
          </cell>
          <cell r="E24">
            <v>2</v>
          </cell>
          <cell r="F24">
            <v>449</v>
          </cell>
          <cell r="G24">
            <v>1</v>
          </cell>
          <cell r="H24">
            <v>49</v>
          </cell>
          <cell r="I24">
            <v>6</v>
          </cell>
          <cell r="J24">
            <v>4</v>
          </cell>
          <cell r="K24">
            <v>0</v>
          </cell>
          <cell r="L24">
            <v>9.1491600000000002</v>
          </cell>
          <cell r="M24">
            <v>-83.552014999999997</v>
          </cell>
          <cell r="N24" t="str">
            <v>Sur</v>
          </cell>
          <cell r="O24">
            <v>1</v>
          </cell>
          <cell r="P24" t="str">
            <v>tequila</v>
          </cell>
          <cell r="Q24" t="str">
            <v>tequila</v>
          </cell>
          <cell r="R24" t="b">
            <v>1</v>
          </cell>
          <cell r="S24" t="str">
            <v>16_1</v>
          </cell>
          <cell r="T24">
            <v>1</v>
          </cell>
          <cell r="U24">
            <v>0</v>
          </cell>
          <cell r="V24">
            <v>0</v>
          </cell>
          <cell r="W24" t="str">
            <v>NA</v>
          </cell>
          <cell r="X24">
            <v>4</v>
          </cell>
          <cell r="Y24">
            <v>4</v>
          </cell>
          <cell r="Z24">
            <v>1</v>
          </cell>
        </row>
        <row r="25">
          <cell r="B25" t="str">
            <v>F16_2B</v>
          </cell>
          <cell r="C25" t="str">
            <v>R2_F16_2B</v>
          </cell>
          <cell r="D25">
            <v>1</v>
          </cell>
          <cell r="E25">
            <v>3</v>
          </cell>
          <cell r="F25">
            <v>449</v>
          </cell>
          <cell r="G25">
            <v>1</v>
          </cell>
          <cell r="H25">
            <v>49</v>
          </cell>
          <cell r="I25">
            <v>6</v>
          </cell>
          <cell r="J25">
            <v>4</v>
          </cell>
          <cell r="K25">
            <v>1</v>
          </cell>
          <cell r="L25">
            <v>9.1491600000000002</v>
          </cell>
          <cell r="M25">
            <v>-83.552014999999997</v>
          </cell>
          <cell r="N25" t="str">
            <v>Sur</v>
          </cell>
          <cell r="O25">
            <v>1</v>
          </cell>
          <cell r="P25" t="str">
            <v>nambi</v>
          </cell>
          <cell r="Q25" t="str">
            <v>nambi</v>
          </cell>
          <cell r="R25" t="b">
            <v>1</v>
          </cell>
          <cell r="S25" t="str">
            <v>16_2</v>
          </cell>
          <cell r="T25">
            <v>1</v>
          </cell>
          <cell r="U25">
            <v>0</v>
          </cell>
          <cell r="V25">
            <v>0</v>
          </cell>
          <cell r="W25" t="str">
            <v>NA</v>
          </cell>
          <cell r="X25">
            <v>4</v>
          </cell>
          <cell r="Y25">
            <v>4</v>
          </cell>
          <cell r="Z25">
            <v>1</v>
          </cell>
        </row>
        <row r="26">
          <cell r="B26" t="str">
            <v>F21_1A</v>
          </cell>
          <cell r="C26" t="str">
            <v>R2_F21_1A</v>
          </cell>
          <cell r="D26">
            <v>0</v>
          </cell>
          <cell r="E26">
            <v>0.1</v>
          </cell>
          <cell r="F26">
            <v>405</v>
          </cell>
          <cell r="G26">
            <v>1</v>
          </cell>
          <cell r="H26">
            <v>38</v>
          </cell>
          <cell r="I26">
            <v>2</v>
          </cell>
          <cell r="J26">
            <v>6</v>
          </cell>
          <cell r="K26">
            <v>0</v>
          </cell>
          <cell r="L26">
            <v>9.1125769999999999</v>
          </cell>
          <cell r="M26">
            <v>-83.536285000000007</v>
          </cell>
          <cell r="N26" t="str">
            <v>Sur</v>
          </cell>
          <cell r="O26">
            <v>1</v>
          </cell>
          <cell r="P26" t="str">
            <v>tequila</v>
          </cell>
          <cell r="Q26" t="str">
            <v>victoria</v>
          </cell>
          <cell r="R26" t="b">
            <v>0</v>
          </cell>
          <cell r="S26" t="str">
            <v>21_1</v>
          </cell>
          <cell r="T26">
            <v>1</v>
          </cell>
          <cell r="U26">
            <v>6</v>
          </cell>
          <cell r="V26">
            <v>5</v>
          </cell>
          <cell r="W26">
            <v>0.83333333300000001</v>
          </cell>
          <cell r="X26">
            <v>41</v>
          </cell>
          <cell r="Y26">
            <v>26</v>
          </cell>
          <cell r="Z26">
            <v>0.634146341</v>
          </cell>
        </row>
        <row r="27">
          <cell r="B27" t="str">
            <v>F21_2A</v>
          </cell>
          <cell r="C27" t="str">
            <v>R2_F21_2A</v>
          </cell>
          <cell r="D27">
            <v>0</v>
          </cell>
          <cell r="E27">
            <v>0.7</v>
          </cell>
          <cell r="F27">
            <v>405</v>
          </cell>
          <cell r="G27">
            <v>1</v>
          </cell>
          <cell r="H27">
            <v>38</v>
          </cell>
          <cell r="I27">
            <v>2</v>
          </cell>
          <cell r="J27">
            <v>6</v>
          </cell>
          <cell r="K27">
            <v>1</v>
          </cell>
          <cell r="L27">
            <v>9.1125769999999999</v>
          </cell>
          <cell r="M27">
            <v>-83.536285000000007</v>
          </cell>
          <cell r="N27" t="str">
            <v>Sur</v>
          </cell>
          <cell r="O27">
            <v>1</v>
          </cell>
          <cell r="P27" t="str">
            <v>cabecar</v>
          </cell>
          <cell r="Q27" t="str">
            <v>nambi</v>
          </cell>
          <cell r="R27" t="b">
            <v>0</v>
          </cell>
          <cell r="S27" t="str">
            <v>21_2</v>
          </cell>
          <cell r="T27">
            <v>0</v>
          </cell>
          <cell r="U27">
            <v>6</v>
          </cell>
          <cell r="V27">
            <v>5</v>
          </cell>
          <cell r="W27">
            <v>0.83333333300000001</v>
          </cell>
          <cell r="X27">
            <v>41</v>
          </cell>
          <cell r="Y27">
            <v>26</v>
          </cell>
          <cell r="Z27">
            <v>0.634146341</v>
          </cell>
        </row>
        <row r="28">
          <cell r="B28" t="str">
            <v>F22_1B</v>
          </cell>
          <cell r="C28" t="str">
            <v>R2_F22_1B</v>
          </cell>
          <cell r="D28">
            <v>0</v>
          </cell>
          <cell r="E28">
            <v>7</v>
          </cell>
          <cell r="F28">
            <v>483</v>
          </cell>
          <cell r="G28">
            <v>1</v>
          </cell>
          <cell r="H28">
            <v>47</v>
          </cell>
          <cell r="I28">
            <v>6</v>
          </cell>
          <cell r="J28">
            <v>4</v>
          </cell>
          <cell r="K28">
            <v>0</v>
          </cell>
          <cell r="L28">
            <v>9.1263380000000005</v>
          </cell>
          <cell r="M28">
            <v>-83.534611999999996</v>
          </cell>
          <cell r="N28" t="str">
            <v>Sur</v>
          </cell>
          <cell r="O28">
            <v>1</v>
          </cell>
          <cell r="P28" t="str">
            <v>tequila</v>
          </cell>
          <cell r="Q28" t="str">
            <v>other</v>
          </cell>
          <cell r="R28" t="str">
            <v>Not applicable</v>
          </cell>
          <cell r="S28" t="str">
            <v>22_1</v>
          </cell>
          <cell r="T28">
            <v>0</v>
          </cell>
          <cell r="U28">
            <v>4</v>
          </cell>
          <cell r="V28">
            <v>4</v>
          </cell>
          <cell r="W28">
            <v>1</v>
          </cell>
          <cell r="X28">
            <v>35</v>
          </cell>
          <cell r="Y28">
            <v>23</v>
          </cell>
          <cell r="Z28">
            <v>0.65714285699999997</v>
          </cell>
        </row>
        <row r="29">
          <cell r="B29" t="str">
            <v>F23_1A</v>
          </cell>
          <cell r="C29" t="str">
            <v>R2_F23_1A</v>
          </cell>
          <cell r="D29">
            <v>0</v>
          </cell>
          <cell r="E29">
            <v>3</v>
          </cell>
          <cell r="F29">
            <v>451</v>
          </cell>
          <cell r="G29">
            <v>1</v>
          </cell>
          <cell r="H29">
            <v>41</v>
          </cell>
          <cell r="I29">
            <v>6</v>
          </cell>
          <cell r="J29">
            <v>3</v>
          </cell>
          <cell r="K29">
            <v>1</v>
          </cell>
          <cell r="L29">
            <v>9.0653400000000008</v>
          </cell>
          <cell r="M29">
            <v>-83.515720000000002</v>
          </cell>
          <cell r="N29" t="str">
            <v>Sur</v>
          </cell>
          <cell r="O29">
            <v>1</v>
          </cell>
          <cell r="P29" t="str">
            <v>uran</v>
          </cell>
          <cell r="Q29" t="str">
            <v>guaymi</v>
          </cell>
          <cell r="R29" t="b">
            <v>0</v>
          </cell>
          <cell r="S29" t="str">
            <v>23_1</v>
          </cell>
          <cell r="T29">
            <v>0</v>
          </cell>
          <cell r="U29">
            <v>5</v>
          </cell>
          <cell r="V29">
            <v>3</v>
          </cell>
          <cell r="W29">
            <v>0.6</v>
          </cell>
          <cell r="X29">
            <v>45</v>
          </cell>
          <cell r="Y29">
            <v>27</v>
          </cell>
          <cell r="Z29">
            <v>0.6</v>
          </cell>
        </row>
        <row r="30">
          <cell r="B30" t="str">
            <v>F23_2A</v>
          </cell>
          <cell r="C30" t="str">
            <v>R2_F23_2A</v>
          </cell>
          <cell r="D30">
            <v>0</v>
          </cell>
          <cell r="E30">
            <v>2</v>
          </cell>
          <cell r="F30">
            <v>451</v>
          </cell>
          <cell r="G30">
            <v>1</v>
          </cell>
          <cell r="H30">
            <v>41</v>
          </cell>
          <cell r="I30">
            <v>6</v>
          </cell>
          <cell r="J30">
            <v>3</v>
          </cell>
          <cell r="K30">
            <v>1</v>
          </cell>
          <cell r="L30">
            <v>9.0653400000000008</v>
          </cell>
          <cell r="M30">
            <v>-83.515720000000002</v>
          </cell>
          <cell r="N30" t="str">
            <v>Sur</v>
          </cell>
          <cell r="O30">
            <v>1</v>
          </cell>
          <cell r="P30" t="str">
            <v>nambi</v>
          </cell>
          <cell r="Q30" t="str">
            <v>uran</v>
          </cell>
          <cell r="R30" t="b">
            <v>0</v>
          </cell>
          <cell r="S30" t="str">
            <v>23_2</v>
          </cell>
          <cell r="T30">
            <v>0</v>
          </cell>
          <cell r="U30">
            <v>5</v>
          </cell>
          <cell r="V30">
            <v>3</v>
          </cell>
          <cell r="W30">
            <v>0.6</v>
          </cell>
          <cell r="X30">
            <v>45</v>
          </cell>
          <cell r="Y30">
            <v>27</v>
          </cell>
          <cell r="Z30">
            <v>0.6</v>
          </cell>
        </row>
        <row r="31">
          <cell r="B31" t="str">
            <v>F24_1A</v>
          </cell>
          <cell r="C31" t="str">
            <v>R2_F24_1A</v>
          </cell>
          <cell r="D31">
            <v>1</v>
          </cell>
          <cell r="E31">
            <v>4</v>
          </cell>
          <cell r="F31">
            <v>395</v>
          </cell>
          <cell r="G31">
            <v>1</v>
          </cell>
          <cell r="H31">
            <v>39</v>
          </cell>
          <cell r="I31">
            <v>6</v>
          </cell>
          <cell r="J31">
            <v>4</v>
          </cell>
          <cell r="K31">
            <v>1</v>
          </cell>
          <cell r="L31">
            <v>9.0746120000000001</v>
          </cell>
          <cell r="M31">
            <v>-83.510292000000007</v>
          </cell>
          <cell r="N31" t="str">
            <v>Sur</v>
          </cell>
          <cell r="O31">
            <v>1</v>
          </cell>
          <cell r="P31" t="str">
            <v>cabecar</v>
          </cell>
          <cell r="Q31" t="str">
            <v>cabecar</v>
          </cell>
          <cell r="R31" t="b">
            <v>1</v>
          </cell>
          <cell r="S31" t="str">
            <v>24_1</v>
          </cell>
          <cell r="T31">
            <v>1</v>
          </cell>
          <cell r="U31">
            <v>11</v>
          </cell>
          <cell r="V31">
            <v>8</v>
          </cell>
          <cell r="W31">
            <v>0.72727272700000001</v>
          </cell>
          <cell r="X31">
            <v>47</v>
          </cell>
          <cell r="Y31">
            <v>28</v>
          </cell>
          <cell r="Z31">
            <v>0.595744681</v>
          </cell>
        </row>
        <row r="32">
          <cell r="B32" t="str">
            <v>F24_2A</v>
          </cell>
          <cell r="C32" t="str">
            <v>R2_F24_2A</v>
          </cell>
          <cell r="D32">
            <v>0</v>
          </cell>
          <cell r="E32">
            <v>7</v>
          </cell>
          <cell r="F32">
            <v>395</v>
          </cell>
          <cell r="G32">
            <v>1</v>
          </cell>
          <cell r="H32">
            <v>39</v>
          </cell>
          <cell r="I32">
            <v>6</v>
          </cell>
          <cell r="J32">
            <v>4</v>
          </cell>
          <cell r="K32">
            <v>1</v>
          </cell>
          <cell r="L32">
            <v>9.0746120000000001</v>
          </cell>
          <cell r="M32">
            <v>-83.510292000000007</v>
          </cell>
          <cell r="N32" t="str">
            <v>Sur</v>
          </cell>
          <cell r="O32">
            <v>1</v>
          </cell>
          <cell r="P32" t="str">
            <v>cabecar</v>
          </cell>
          <cell r="Q32" t="str">
            <v>nambi</v>
          </cell>
          <cell r="R32" t="b">
            <v>0</v>
          </cell>
          <cell r="S32" t="str">
            <v>24_2</v>
          </cell>
          <cell r="T32">
            <v>0</v>
          </cell>
          <cell r="U32">
            <v>11</v>
          </cell>
          <cell r="V32">
            <v>8</v>
          </cell>
          <cell r="W32">
            <v>0.72727272700000001</v>
          </cell>
          <cell r="X32">
            <v>47</v>
          </cell>
          <cell r="Y32">
            <v>28</v>
          </cell>
          <cell r="Z32">
            <v>0.595744681</v>
          </cell>
        </row>
        <row r="33">
          <cell r="B33" t="str">
            <v>F25_1A</v>
          </cell>
          <cell r="C33" t="str">
            <v>R2_F25_1A</v>
          </cell>
          <cell r="D33">
            <v>1</v>
          </cell>
          <cell r="E33">
            <v>3</v>
          </cell>
          <cell r="F33">
            <v>410</v>
          </cell>
          <cell r="G33">
            <v>1</v>
          </cell>
          <cell r="H33">
            <v>61</v>
          </cell>
          <cell r="I33">
            <v>9</v>
          </cell>
          <cell r="J33">
            <v>4</v>
          </cell>
          <cell r="K33">
            <v>1</v>
          </cell>
          <cell r="L33">
            <v>9.0680270000000007</v>
          </cell>
          <cell r="M33">
            <v>-83.495942999999997</v>
          </cell>
          <cell r="N33" t="str">
            <v>Sur</v>
          </cell>
          <cell r="O33">
            <v>1</v>
          </cell>
          <cell r="P33" t="str">
            <v>nambi</v>
          </cell>
          <cell r="Q33" t="str">
            <v>nambi</v>
          </cell>
          <cell r="R33" t="b">
            <v>1</v>
          </cell>
          <cell r="S33" t="str">
            <v>25_1</v>
          </cell>
          <cell r="T33">
            <v>1</v>
          </cell>
          <cell r="U33">
            <v>1</v>
          </cell>
          <cell r="V33">
            <v>0</v>
          </cell>
          <cell r="W33">
            <v>0</v>
          </cell>
          <cell r="X33">
            <v>41</v>
          </cell>
          <cell r="Y33">
            <v>25</v>
          </cell>
          <cell r="Z33">
            <v>0.60975609799999997</v>
          </cell>
        </row>
        <row r="34">
          <cell r="B34" t="str">
            <v>F25_2A</v>
          </cell>
          <cell r="C34" t="str">
            <v>R2_F25_2A</v>
          </cell>
          <cell r="D34">
            <v>0</v>
          </cell>
          <cell r="E34">
            <v>2</v>
          </cell>
          <cell r="F34">
            <v>410</v>
          </cell>
          <cell r="G34">
            <v>1</v>
          </cell>
          <cell r="H34">
            <v>61</v>
          </cell>
          <cell r="I34">
            <v>9</v>
          </cell>
          <cell r="J34">
            <v>4</v>
          </cell>
          <cell r="K34">
            <v>1</v>
          </cell>
          <cell r="L34">
            <v>9.0680270000000007</v>
          </cell>
          <cell r="M34">
            <v>-83.495942999999997</v>
          </cell>
          <cell r="N34" t="str">
            <v>Sur</v>
          </cell>
          <cell r="O34">
            <v>1</v>
          </cell>
          <cell r="P34" t="str">
            <v>nambi</v>
          </cell>
          <cell r="Q34" t="str">
            <v>other</v>
          </cell>
          <cell r="R34" t="str">
            <v>Not applicable</v>
          </cell>
          <cell r="S34" t="str">
            <v>25_2</v>
          </cell>
          <cell r="T34">
            <v>0</v>
          </cell>
          <cell r="U34">
            <v>1</v>
          </cell>
          <cell r="V34">
            <v>0</v>
          </cell>
          <cell r="W34">
            <v>0</v>
          </cell>
          <cell r="X34">
            <v>41</v>
          </cell>
          <cell r="Y34">
            <v>25</v>
          </cell>
          <cell r="Z34">
            <v>0.60975609799999997</v>
          </cell>
        </row>
        <row r="35">
          <cell r="B35" t="str">
            <v>F25_3A</v>
          </cell>
          <cell r="C35" t="str">
            <v>R2_F25_3A</v>
          </cell>
          <cell r="D35">
            <v>0</v>
          </cell>
          <cell r="E35">
            <v>1</v>
          </cell>
          <cell r="F35">
            <v>410</v>
          </cell>
          <cell r="G35">
            <v>1</v>
          </cell>
          <cell r="H35">
            <v>61</v>
          </cell>
          <cell r="I35">
            <v>9</v>
          </cell>
          <cell r="J35">
            <v>4</v>
          </cell>
          <cell r="K35">
            <v>0</v>
          </cell>
          <cell r="L35">
            <v>9.0680270000000007</v>
          </cell>
          <cell r="M35">
            <v>-83.495942999999997</v>
          </cell>
          <cell r="N35" t="str">
            <v>Sur</v>
          </cell>
          <cell r="O35">
            <v>1</v>
          </cell>
          <cell r="P35" t="str">
            <v>mantequilla</v>
          </cell>
          <cell r="Q35" t="str">
            <v>other</v>
          </cell>
          <cell r="R35" t="str">
            <v>Not applicable</v>
          </cell>
          <cell r="S35" t="str">
            <v>25_3</v>
          </cell>
          <cell r="T35">
            <v>1</v>
          </cell>
          <cell r="U35">
            <v>1</v>
          </cell>
          <cell r="V35">
            <v>0</v>
          </cell>
          <cell r="W35">
            <v>0</v>
          </cell>
          <cell r="X35">
            <v>41</v>
          </cell>
          <cell r="Y35">
            <v>25</v>
          </cell>
          <cell r="Z35">
            <v>0.60975609799999997</v>
          </cell>
        </row>
        <row r="36">
          <cell r="B36" t="str">
            <v>F26_1A</v>
          </cell>
          <cell r="C36" t="str">
            <v>R2_F26_1A</v>
          </cell>
          <cell r="D36">
            <v>1</v>
          </cell>
          <cell r="E36">
            <v>1.4</v>
          </cell>
          <cell r="F36">
            <v>401</v>
          </cell>
          <cell r="G36">
            <v>1</v>
          </cell>
          <cell r="H36">
            <v>41</v>
          </cell>
          <cell r="I36">
            <v>8</v>
          </cell>
          <cell r="J36">
            <v>3</v>
          </cell>
          <cell r="K36">
            <v>0</v>
          </cell>
          <cell r="L36">
            <v>9.0759349999999994</v>
          </cell>
          <cell r="M36">
            <v>-83.513416000000007</v>
          </cell>
          <cell r="N36" t="str">
            <v>Sur</v>
          </cell>
          <cell r="O36">
            <v>1</v>
          </cell>
          <cell r="P36" t="str">
            <v>victoria</v>
          </cell>
          <cell r="Q36" t="str">
            <v>victoria</v>
          </cell>
          <cell r="R36" t="b">
            <v>1</v>
          </cell>
          <cell r="S36" t="str">
            <v>26_1</v>
          </cell>
          <cell r="T36">
            <v>1</v>
          </cell>
          <cell r="U36">
            <v>11</v>
          </cell>
          <cell r="V36">
            <v>7</v>
          </cell>
          <cell r="W36">
            <v>0.63636363600000001</v>
          </cell>
          <cell r="X36">
            <v>47</v>
          </cell>
          <cell r="Y36">
            <v>26</v>
          </cell>
          <cell r="Z36">
            <v>0.55319148900000004</v>
          </cell>
        </row>
        <row r="37">
          <cell r="B37" t="str">
            <v>F26_2A</v>
          </cell>
          <cell r="C37" t="str">
            <v>R2_F26_2A</v>
          </cell>
          <cell r="D37">
            <v>1</v>
          </cell>
          <cell r="E37">
            <v>1.4</v>
          </cell>
          <cell r="F37">
            <v>401</v>
          </cell>
          <cell r="G37">
            <v>1</v>
          </cell>
          <cell r="H37">
            <v>41</v>
          </cell>
          <cell r="I37">
            <v>8</v>
          </cell>
          <cell r="J37">
            <v>3</v>
          </cell>
          <cell r="K37">
            <v>1</v>
          </cell>
          <cell r="L37">
            <v>9.0759349999999994</v>
          </cell>
          <cell r="M37">
            <v>-83.513416000000007</v>
          </cell>
          <cell r="N37" t="str">
            <v>Sur</v>
          </cell>
          <cell r="O37">
            <v>1</v>
          </cell>
          <cell r="P37" t="str">
            <v>nambi</v>
          </cell>
          <cell r="Q37" t="str">
            <v>nambi</v>
          </cell>
          <cell r="R37" t="b">
            <v>1</v>
          </cell>
          <cell r="S37" t="str">
            <v>26_2</v>
          </cell>
          <cell r="T37">
            <v>1</v>
          </cell>
          <cell r="U37">
            <v>11</v>
          </cell>
          <cell r="V37">
            <v>7</v>
          </cell>
          <cell r="W37">
            <v>0.63636363600000001</v>
          </cell>
          <cell r="X37">
            <v>47</v>
          </cell>
          <cell r="Y37">
            <v>26</v>
          </cell>
          <cell r="Z37">
            <v>0.55319148900000004</v>
          </cell>
        </row>
        <row r="38">
          <cell r="B38" t="str">
            <v>F27_1A</v>
          </cell>
          <cell r="C38" t="str">
            <v>R2_F27_1A</v>
          </cell>
          <cell r="D38">
            <v>1</v>
          </cell>
          <cell r="E38">
            <v>0.7</v>
          </cell>
          <cell r="F38">
            <v>538</v>
          </cell>
          <cell r="G38">
            <v>1</v>
          </cell>
          <cell r="H38">
            <v>65</v>
          </cell>
          <cell r="I38">
            <v>6</v>
          </cell>
          <cell r="J38">
            <v>3</v>
          </cell>
          <cell r="K38">
            <v>0</v>
          </cell>
          <cell r="L38">
            <v>9.0813649999999999</v>
          </cell>
          <cell r="M38">
            <v>-83.521798000000004</v>
          </cell>
          <cell r="N38" t="str">
            <v>Sur</v>
          </cell>
          <cell r="O38">
            <v>1</v>
          </cell>
          <cell r="P38" t="str">
            <v>victoria</v>
          </cell>
          <cell r="Q38" t="str">
            <v>victoria</v>
          </cell>
          <cell r="R38" t="b">
            <v>1</v>
          </cell>
          <cell r="S38" t="str">
            <v>27_1</v>
          </cell>
          <cell r="T38">
            <v>1</v>
          </cell>
          <cell r="U38">
            <v>7</v>
          </cell>
          <cell r="V38">
            <v>4</v>
          </cell>
          <cell r="W38">
            <v>0.571428571</v>
          </cell>
          <cell r="X38">
            <v>53</v>
          </cell>
          <cell r="Y38">
            <v>31</v>
          </cell>
          <cell r="Z38">
            <v>0.58490565999999999</v>
          </cell>
        </row>
        <row r="39">
          <cell r="B39" t="str">
            <v>F27_2A</v>
          </cell>
          <cell r="C39" t="str">
            <v>R2_F27_2A</v>
          </cell>
          <cell r="D39">
            <v>0</v>
          </cell>
          <cell r="E39">
            <v>0.7</v>
          </cell>
          <cell r="F39">
            <v>538</v>
          </cell>
          <cell r="G39">
            <v>1</v>
          </cell>
          <cell r="H39">
            <v>65</v>
          </cell>
          <cell r="I39">
            <v>6</v>
          </cell>
          <cell r="J39">
            <v>3</v>
          </cell>
          <cell r="K39">
            <v>0</v>
          </cell>
          <cell r="L39">
            <v>9.0813649999999999</v>
          </cell>
          <cell r="M39">
            <v>-83.521798000000004</v>
          </cell>
          <cell r="N39" t="str">
            <v>Sur</v>
          </cell>
          <cell r="O39">
            <v>1</v>
          </cell>
          <cell r="P39" t="str">
            <v>victoria</v>
          </cell>
          <cell r="Q39" t="str">
            <v>panameno</v>
          </cell>
          <cell r="R39" t="b">
            <v>0</v>
          </cell>
          <cell r="S39" t="str">
            <v>27_2</v>
          </cell>
          <cell r="T39">
            <v>0</v>
          </cell>
          <cell r="U39">
            <v>7</v>
          </cell>
          <cell r="V39">
            <v>4</v>
          </cell>
          <cell r="W39">
            <v>0.571428571</v>
          </cell>
          <cell r="X39">
            <v>53</v>
          </cell>
          <cell r="Y39">
            <v>31</v>
          </cell>
          <cell r="Z39">
            <v>0.58490565999999999</v>
          </cell>
        </row>
        <row r="40">
          <cell r="B40" t="str">
            <v>F28_1B</v>
          </cell>
          <cell r="C40" t="str">
            <v>R2_F28_1B</v>
          </cell>
          <cell r="D40">
            <v>0</v>
          </cell>
          <cell r="E40">
            <v>2</v>
          </cell>
          <cell r="F40">
            <v>619</v>
          </cell>
          <cell r="G40">
            <v>1</v>
          </cell>
          <cell r="H40">
            <v>41</v>
          </cell>
          <cell r="I40">
            <v>6</v>
          </cell>
          <cell r="J40">
            <v>7</v>
          </cell>
          <cell r="K40">
            <v>0</v>
          </cell>
          <cell r="L40">
            <v>9.0856460000000006</v>
          </cell>
          <cell r="M40">
            <v>-83.526195000000001</v>
          </cell>
          <cell r="N40" t="str">
            <v>Sur</v>
          </cell>
          <cell r="O40">
            <v>1</v>
          </cell>
          <cell r="P40" t="str">
            <v>victoria</v>
          </cell>
          <cell r="Q40" t="str">
            <v>panameno</v>
          </cell>
          <cell r="R40" t="b">
            <v>0</v>
          </cell>
          <cell r="S40" t="str">
            <v>28_1</v>
          </cell>
          <cell r="T40">
            <v>0</v>
          </cell>
          <cell r="U40">
            <v>13</v>
          </cell>
          <cell r="V40">
            <v>8</v>
          </cell>
          <cell r="W40">
            <v>0.61538461499999997</v>
          </cell>
          <cell r="X40">
            <v>55</v>
          </cell>
          <cell r="Y40">
            <v>31</v>
          </cell>
          <cell r="Z40">
            <v>0.56363636399999995</v>
          </cell>
        </row>
        <row r="41">
          <cell r="B41" t="str">
            <v>F29_1A</v>
          </cell>
          <cell r="C41" t="str">
            <v>R2_F29_1A</v>
          </cell>
          <cell r="D41">
            <v>1</v>
          </cell>
          <cell r="E41">
            <v>4</v>
          </cell>
          <cell r="F41">
            <v>613</v>
          </cell>
          <cell r="G41">
            <v>1</v>
          </cell>
          <cell r="H41">
            <v>34</v>
          </cell>
          <cell r="I41">
            <v>6</v>
          </cell>
          <cell r="J41">
            <v>6</v>
          </cell>
          <cell r="K41">
            <v>1</v>
          </cell>
          <cell r="L41">
            <v>9.0858810000000005</v>
          </cell>
          <cell r="M41">
            <v>-83.526062999999994</v>
          </cell>
          <cell r="N41" t="str">
            <v>Sur</v>
          </cell>
          <cell r="O41">
            <v>1</v>
          </cell>
          <cell r="P41" t="str">
            <v>nambi</v>
          </cell>
          <cell r="Q41" t="str">
            <v>nambi</v>
          </cell>
          <cell r="R41" t="b">
            <v>1</v>
          </cell>
          <cell r="S41" t="str">
            <v>29_1</v>
          </cell>
          <cell r="T41">
            <v>1</v>
          </cell>
          <cell r="U41">
            <v>10</v>
          </cell>
          <cell r="V41">
            <v>6</v>
          </cell>
          <cell r="W41">
            <v>0.6</v>
          </cell>
          <cell r="X41">
            <v>52</v>
          </cell>
          <cell r="Y41">
            <v>29</v>
          </cell>
          <cell r="Z41">
            <v>0.55769230800000003</v>
          </cell>
        </row>
        <row r="42">
          <cell r="B42" t="str">
            <v>F29_2A</v>
          </cell>
          <cell r="C42" t="str">
            <v>R2_F29_2A</v>
          </cell>
          <cell r="D42">
            <v>1</v>
          </cell>
          <cell r="E42">
            <v>1</v>
          </cell>
          <cell r="F42">
            <v>613</v>
          </cell>
          <cell r="G42">
            <v>1</v>
          </cell>
          <cell r="H42">
            <v>34</v>
          </cell>
          <cell r="I42">
            <v>6</v>
          </cell>
          <cell r="J42">
            <v>6</v>
          </cell>
          <cell r="K42">
            <v>1</v>
          </cell>
          <cell r="L42">
            <v>9.0858810000000005</v>
          </cell>
          <cell r="M42">
            <v>-83.526062999999994</v>
          </cell>
          <cell r="N42" t="str">
            <v>Sur</v>
          </cell>
          <cell r="O42">
            <v>1</v>
          </cell>
          <cell r="P42" t="str">
            <v>cabecar</v>
          </cell>
          <cell r="Q42" t="str">
            <v>cabecar</v>
          </cell>
          <cell r="R42" t="b">
            <v>1</v>
          </cell>
          <cell r="S42" t="str">
            <v>29_2</v>
          </cell>
          <cell r="T42">
            <v>1</v>
          </cell>
          <cell r="U42">
            <v>10</v>
          </cell>
          <cell r="V42">
            <v>6</v>
          </cell>
          <cell r="W42">
            <v>0.6</v>
          </cell>
          <cell r="X42">
            <v>52</v>
          </cell>
          <cell r="Y42">
            <v>29</v>
          </cell>
          <cell r="Z42">
            <v>0.55769230800000003</v>
          </cell>
        </row>
        <row r="43">
          <cell r="B43" t="str">
            <v>F29_3A</v>
          </cell>
          <cell r="C43" t="str">
            <v>R2_F29_3A</v>
          </cell>
          <cell r="D43">
            <v>0</v>
          </cell>
          <cell r="E43">
            <v>0.7</v>
          </cell>
          <cell r="F43">
            <v>613</v>
          </cell>
          <cell r="G43">
            <v>1</v>
          </cell>
          <cell r="H43">
            <v>34</v>
          </cell>
          <cell r="I43">
            <v>6</v>
          </cell>
          <cell r="J43">
            <v>6</v>
          </cell>
          <cell r="K43">
            <v>1</v>
          </cell>
          <cell r="L43">
            <v>9.0858810000000005</v>
          </cell>
          <cell r="M43">
            <v>-83.526062999999994</v>
          </cell>
          <cell r="N43" t="str">
            <v>Sur</v>
          </cell>
          <cell r="O43">
            <v>1</v>
          </cell>
          <cell r="P43" t="str">
            <v>nambi</v>
          </cell>
          <cell r="Q43" t="str">
            <v>sacapobres</v>
          </cell>
          <cell r="R43" t="b">
            <v>0</v>
          </cell>
          <cell r="S43" t="str">
            <v>29_3</v>
          </cell>
          <cell r="T43">
            <v>0</v>
          </cell>
          <cell r="U43">
            <v>10</v>
          </cell>
          <cell r="V43">
            <v>6</v>
          </cell>
          <cell r="W43">
            <v>0.6</v>
          </cell>
          <cell r="X43">
            <v>52</v>
          </cell>
          <cell r="Y43">
            <v>29</v>
          </cell>
          <cell r="Z43">
            <v>0.55769230800000003</v>
          </cell>
        </row>
        <row r="44">
          <cell r="B44" t="str">
            <v>F29_4A</v>
          </cell>
          <cell r="C44" t="str">
            <v>R2_F29_4A</v>
          </cell>
          <cell r="D44">
            <v>0</v>
          </cell>
          <cell r="E44">
            <v>1</v>
          </cell>
          <cell r="F44">
            <v>613</v>
          </cell>
          <cell r="G44">
            <v>1</v>
          </cell>
          <cell r="H44">
            <v>34</v>
          </cell>
          <cell r="I44">
            <v>6</v>
          </cell>
          <cell r="J44">
            <v>6</v>
          </cell>
          <cell r="K44">
            <v>0</v>
          </cell>
          <cell r="L44">
            <v>9.0858810000000005</v>
          </cell>
          <cell r="M44">
            <v>-83.526062999999994</v>
          </cell>
          <cell r="N44" t="str">
            <v>Sur</v>
          </cell>
          <cell r="O44">
            <v>1</v>
          </cell>
          <cell r="P44" t="str">
            <v>SEF 64</v>
          </cell>
          <cell r="Q44" t="str">
            <v>uran</v>
          </cell>
          <cell r="R44" t="b">
            <v>0</v>
          </cell>
          <cell r="S44" t="str">
            <v>29_4</v>
          </cell>
          <cell r="T44">
            <v>0</v>
          </cell>
          <cell r="U44">
            <v>10</v>
          </cell>
          <cell r="V44">
            <v>6</v>
          </cell>
          <cell r="W44">
            <v>0.6</v>
          </cell>
          <cell r="X44">
            <v>52</v>
          </cell>
          <cell r="Y44">
            <v>29</v>
          </cell>
          <cell r="Z44">
            <v>0.55769230800000003</v>
          </cell>
        </row>
        <row r="45">
          <cell r="B45" t="str">
            <v>F30_1B</v>
          </cell>
          <cell r="C45" t="str">
            <v>R2_F30_1B</v>
          </cell>
          <cell r="D45">
            <v>0</v>
          </cell>
          <cell r="E45">
            <v>0.7</v>
          </cell>
          <cell r="F45">
            <v>385</v>
          </cell>
          <cell r="G45">
            <v>1</v>
          </cell>
          <cell r="H45">
            <v>44</v>
          </cell>
          <cell r="I45">
            <v>6</v>
          </cell>
          <cell r="J45">
            <v>3</v>
          </cell>
          <cell r="K45">
            <v>1</v>
          </cell>
          <cell r="L45">
            <v>9.0762400000000003</v>
          </cell>
          <cell r="M45">
            <v>-83.509131999999994</v>
          </cell>
          <cell r="N45" t="str">
            <v>Sur</v>
          </cell>
          <cell r="O45">
            <v>1</v>
          </cell>
          <cell r="P45" t="str">
            <v>cabecar</v>
          </cell>
          <cell r="Q45" t="str">
            <v>dontknow</v>
          </cell>
          <cell r="R45" t="str">
            <v>Not applicable</v>
          </cell>
          <cell r="S45" t="str">
            <v>30_1</v>
          </cell>
          <cell r="T45">
            <v>0</v>
          </cell>
          <cell r="U45">
            <v>10</v>
          </cell>
          <cell r="V45">
            <v>8</v>
          </cell>
          <cell r="W45">
            <v>0.8</v>
          </cell>
          <cell r="X45">
            <v>46</v>
          </cell>
          <cell r="Y45">
            <v>27</v>
          </cell>
          <cell r="Z45">
            <v>0.58695652200000004</v>
          </cell>
        </row>
        <row r="46">
          <cell r="B46" t="str">
            <v>F32_1B</v>
          </cell>
          <cell r="C46" t="str">
            <v>R2_F32_1B</v>
          </cell>
          <cell r="D46">
            <v>0</v>
          </cell>
          <cell r="E46">
            <v>1.4</v>
          </cell>
          <cell r="F46">
            <v>401</v>
          </cell>
          <cell r="G46">
            <v>1</v>
          </cell>
          <cell r="H46">
            <v>43</v>
          </cell>
          <cell r="I46">
            <v>6</v>
          </cell>
          <cell r="J46">
            <v>5</v>
          </cell>
          <cell r="K46">
            <v>0</v>
          </cell>
          <cell r="L46">
            <v>9.0737240000000003</v>
          </cell>
          <cell r="M46">
            <v>-83.510763999999995</v>
          </cell>
          <cell r="N46" t="str">
            <v>Sur</v>
          </cell>
          <cell r="O46">
            <v>1</v>
          </cell>
          <cell r="P46" t="str">
            <v>victoria</v>
          </cell>
          <cell r="Q46" t="str">
            <v>panameno</v>
          </cell>
          <cell r="R46" t="b">
            <v>0</v>
          </cell>
          <cell r="S46" t="str">
            <v>32_1</v>
          </cell>
          <cell r="T46">
            <v>0</v>
          </cell>
          <cell r="U46">
            <v>12</v>
          </cell>
          <cell r="V46">
            <v>9</v>
          </cell>
          <cell r="W46">
            <v>0.75</v>
          </cell>
          <cell r="X46">
            <v>50</v>
          </cell>
          <cell r="Y46">
            <v>30</v>
          </cell>
          <cell r="Z46">
            <v>0.6</v>
          </cell>
        </row>
        <row r="47">
          <cell r="B47" t="str">
            <v>F33_1B</v>
          </cell>
          <cell r="C47" t="str">
            <v>R2_F33_1B</v>
          </cell>
          <cell r="D47">
            <v>1</v>
          </cell>
          <cell r="E47">
            <v>3</v>
          </cell>
          <cell r="F47">
            <v>398</v>
          </cell>
          <cell r="G47">
            <v>1</v>
          </cell>
          <cell r="H47">
            <v>68</v>
          </cell>
          <cell r="I47">
            <v>6</v>
          </cell>
          <cell r="J47">
            <v>1</v>
          </cell>
          <cell r="K47">
            <v>1</v>
          </cell>
          <cell r="L47">
            <v>9.0758170000000007</v>
          </cell>
          <cell r="M47">
            <v>-83.513503</v>
          </cell>
          <cell r="N47" t="str">
            <v>Sur</v>
          </cell>
          <cell r="O47">
            <v>1</v>
          </cell>
          <cell r="P47" t="str">
            <v>nambi</v>
          </cell>
          <cell r="Q47" t="str">
            <v>nambi</v>
          </cell>
          <cell r="R47" t="b">
            <v>1</v>
          </cell>
          <cell r="S47" t="str">
            <v>33_1</v>
          </cell>
          <cell r="T47">
            <v>1</v>
          </cell>
          <cell r="U47">
            <v>12</v>
          </cell>
          <cell r="V47">
            <v>8</v>
          </cell>
          <cell r="W47">
            <v>0.66666666699999999</v>
          </cell>
          <cell r="X47">
            <v>48</v>
          </cell>
          <cell r="Y47">
            <v>27</v>
          </cell>
          <cell r="Z47">
            <v>0.5625</v>
          </cell>
        </row>
        <row r="48">
          <cell r="B48" t="str">
            <v>F34_1A</v>
          </cell>
          <cell r="C48" t="str">
            <v>R2_F34_1A</v>
          </cell>
          <cell r="D48">
            <v>0</v>
          </cell>
          <cell r="E48">
            <v>1</v>
          </cell>
          <cell r="F48">
            <v>542</v>
          </cell>
          <cell r="G48">
            <v>1</v>
          </cell>
          <cell r="H48">
            <v>57</v>
          </cell>
          <cell r="I48">
            <v>6</v>
          </cell>
          <cell r="J48">
            <v>6</v>
          </cell>
          <cell r="K48">
            <v>0</v>
          </cell>
          <cell r="L48">
            <v>9.082865</v>
          </cell>
          <cell r="M48">
            <v>-83.526219999999995</v>
          </cell>
          <cell r="N48" t="str">
            <v>Sur</v>
          </cell>
          <cell r="O48">
            <v>1</v>
          </cell>
          <cell r="P48" t="str">
            <v>generalito</v>
          </cell>
          <cell r="Q48" t="str">
            <v>victoria</v>
          </cell>
          <cell r="R48" t="b">
            <v>0</v>
          </cell>
          <cell r="S48" t="str">
            <v>34_1</v>
          </cell>
          <cell r="T48">
            <v>0</v>
          </cell>
          <cell r="U48">
            <v>13</v>
          </cell>
          <cell r="V48">
            <v>6</v>
          </cell>
          <cell r="W48">
            <v>0.46153846199999998</v>
          </cell>
          <cell r="X48">
            <v>52</v>
          </cell>
          <cell r="Y48">
            <v>30</v>
          </cell>
          <cell r="Z48">
            <v>0.57692307700000001</v>
          </cell>
        </row>
        <row r="49">
          <cell r="B49" t="str">
            <v>F34_2A</v>
          </cell>
          <cell r="C49" t="str">
            <v>R2_F34_2A</v>
          </cell>
          <cell r="D49">
            <v>1</v>
          </cell>
          <cell r="E49">
            <v>0.7</v>
          </cell>
          <cell r="F49">
            <v>542</v>
          </cell>
          <cell r="G49">
            <v>1</v>
          </cell>
          <cell r="H49">
            <v>57</v>
          </cell>
          <cell r="I49">
            <v>6</v>
          </cell>
          <cell r="J49">
            <v>6</v>
          </cell>
          <cell r="K49">
            <v>0</v>
          </cell>
          <cell r="L49">
            <v>9.082865</v>
          </cell>
          <cell r="M49">
            <v>-83.526219999999995</v>
          </cell>
          <cell r="N49" t="str">
            <v>Sur</v>
          </cell>
          <cell r="O49">
            <v>1</v>
          </cell>
          <cell r="P49" t="str">
            <v>mantequilla</v>
          </cell>
          <cell r="Q49" t="str">
            <v>mantequilla</v>
          </cell>
          <cell r="R49" t="b">
            <v>1</v>
          </cell>
          <cell r="S49" t="str">
            <v>34_2</v>
          </cell>
          <cell r="T49">
            <v>1</v>
          </cell>
          <cell r="U49">
            <v>13</v>
          </cell>
          <cell r="V49">
            <v>6</v>
          </cell>
          <cell r="W49">
            <v>0.46153846199999998</v>
          </cell>
          <cell r="X49">
            <v>52</v>
          </cell>
          <cell r="Y49">
            <v>30</v>
          </cell>
          <cell r="Z49">
            <v>0.57692307700000001</v>
          </cell>
        </row>
        <row r="50">
          <cell r="B50" t="str">
            <v>F34_3A</v>
          </cell>
          <cell r="C50" t="str">
            <v>R2_F34_3A</v>
          </cell>
          <cell r="D50">
            <v>1</v>
          </cell>
          <cell r="E50">
            <v>1</v>
          </cell>
          <cell r="F50">
            <v>542</v>
          </cell>
          <cell r="G50">
            <v>1</v>
          </cell>
          <cell r="H50">
            <v>57</v>
          </cell>
          <cell r="I50">
            <v>6</v>
          </cell>
          <cell r="J50">
            <v>6</v>
          </cell>
          <cell r="K50">
            <v>1</v>
          </cell>
          <cell r="L50">
            <v>9.082865</v>
          </cell>
          <cell r="M50">
            <v>-83.526219999999995</v>
          </cell>
          <cell r="N50" t="str">
            <v>Sur</v>
          </cell>
          <cell r="O50">
            <v>1</v>
          </cell>
          <cell r="P50" t="str">
            <v>nambi</v>
          </cell>
          <cell r="Q50" t="str">
            <v>nambi</v>
          </cell>
          <cell r="R50" t="b">
            <v>1</v>
          </cell>
          <cell r="S50" t="str">
            <v>34_3</v>
          </cell>
          <cell r="T50">
            <v>1</v>
          </cell>
          <cell r="U50">
            <v>13</v>
          </cell>
          <cell r="V50">
            <v>6</v>
          </cell>
          <cell r="W50">
            <v>0.46153846199999998</v>
          </cell>
          <cell r="X50">
            <v>52</v>
          </cell>
          <cell r="Y50">
            <v>30</v>
          </cell>
          <cell r="Z50">
            <v>0.57692307700000001</v>
          </cell>
        </row>
        <row r="51">
          <cell r="B51" t="str">
            <v>F35_1B</v>
          </cell>
          <cell r="C51" t="str">
            <v>R2_F35_1B</v>
          </cell>
          <cell r="D51">
            <v>1</v>
          </cell>
          <cell r="E51">
            <v>1</v>
          </cell>
          <cell r="F51">
            <v>401</v>
          </cell>
          <cell r="G51">
            <v>1</v>
          </cell>
          <cell r="H51">
            <v>28</v>
          </cell>
          <cell r="I51">
            <v>9</v>
          </cell>
          <cell r="J51">
            <v>6</v>
          </cell>
          <cell r="K51">
            <v>0</v>
          </cell>
          <cell r="L51">
            <v>9.0757739999999991</v>
          </cell>
          <cell r="M51">
            <v>-83.513379999999998</v>
          </cell>
          <cell r="N51" t="str">
            <v>Sur</v>
          </cell>
          <cell r="O51">
            <v>1</v>
          </cell>
          <cell r="P51" t="str">
            <v>victoria</v>
          </cell>
          <cell r="Q51" t="str">
            <v>victoria</v>
          </cell>
          <cell r="R51" t="b">
            <v>1</v>
          </cell>
          <cell r="S51" t="str">
            <v>35_1</v>
          </cell>
          <cell r="T51">
            <v>1</v>
          </cell>
          <cell r="U51">
            <v>12</v>
          </cell>
          <cell r="V51">
            <v>8</v>
          </cell>
          <cell r="W51">
            <v>0.66666666699999999</v>
          </cell>
          <cell r="X51">
            <v>48</v>
          </cell>
          <cell r="Y51">
            <v>27</v>
          </cell>
          <cell r="Z51">
            <v>0.5625</v>
          </cell>
        </row>
        <row r="52">
          <cell r="B52" t="str">
            <v>F36_1A</v>
          </cell>
          <cell r="C52" t="str">
            <v>R2_F36_1A</v>
          </cell>
          <cell r="D52">
            <v>1</v>
          </cell>
          <cell r="E52">
            <v>4</v>
          </cell>
          <cell r="F52">
            <v>388</v>
          </cell>
          <cell r="G52">
            <v>1</v>
          </cell>
          <cell r="H52">
            <v>67</v>
          </cell>
          <cell r="I52">
            <v>6</v>
          </cell>
          <cell r="J52">
            <v>3</v>
          </cell>
          <cell r="K52">
            <v>0</v>
          </cell>
          <cell r="L52">
            <v>9.0756049999999995</v>
          </cell>
          <cell r="M52">
            <v>-83.510408999999996</v>
          </cell>
          <cell r="N52" t="str">
            <v>Sur</v>
          </cell>
          <cell r="O52">
            <v>1</v>
          </cell>
          <cell r="P52" t="str">
            <v>victoria</v>
          </cell>
          <cell r="Q52" t="str">
            <v>victoria</v>
          </cell>
          <cell r="R52" t="b">
            <v>1</v>
          </cell>
          <cell r="S52" t="str">
            <v>36_1</v>
          </cell>
          <cell r="T52">
            <v>1</v>
          </cell>
          <cell r="U52">
            <v>11</v>
          </cell>
          <cell r="V52">
            <v>7</v>
          </cell>
          <cell r="W52">
            <v>0.63636363600000001</v>
          </cell>
          <cell r="X52">
            <v>47</v>
          </cell>
          <cell r="Y52">
            <v>27</v>
          </cell>
          <cell r="Z52">
            <v>0.57446808500000002</v>
          </cell>
        </row>
        <row r="53">
          <cell r="B53" t="str">
            <v>F36_2A</v>
          </cell>
          <cell r="C53" t="str">
            <v>R2_F36_2A</v>
          </cell>
          <cell r="D53">
            <v>1</v>
          </cell>
          <cell r="E53">
            <v>0.7</v>
          </cell>
          <cell r="F53">
            <v>388</v>
          </cell>
          <cell r="G53">
            <v>1</v>
          </cell>
          <cell r="H53">
            <v>67</v>
          </cell>
          <cell r="I53">
            <v>6</v>
          </cell>
          <cell r="J53">
            <v>3</v>
          </cell>
          <cell r="K53">
            <v>1</v>
          </cell>
          <cell r="L53">
            <v>9.0756049999999995</v>
          </cell>
          <cell r="M53">
            <v>-83.510408999999996</v>
          </cell>
          <cell r="N53" t="str">
            <v>Sur</v>
          </cell>
          <cell r="O53">
            <v>1</v>
          </cell>
          <cell r="P53" t="str">
            <v>nambi</v>
          </cell>
          <cell r="Q53" t="str">
            <v>nambi</v>
          </cell>
          <cell r="R53" t="b">
            <v>1</v>
          </cell>
          <cell r="S53" t="str">
            <v>36_2</v>
          </cell>
          <cell r="T53">
            <v>1</v>
          </cell>
          <cell r="U53">
            <v>11</v>
          </cell>
          <cell r="V53">
            <v>7</v>
          </cell>
          <cell r="W53">
            <v>0.63636363600000001</v>
          </cell>
          <cell r="X53">
            <v>47</v>
          </cell>
          <cell r="Y53">
            <v>27</v>
          </cell>
          <cell r="Z53">
            <v>0.57446808500000002</v>
          </cell>
        </row>
        <row r="54">
          <cell r="B54" t="str">
            <v>F37_1B</v>
          </cell>
          <cell r="C54" t="str">
            <v>R2_F37_1B</v>
          </cell>
          <cell r="D54">
            <v>0</v>
          </cell>
          <cell r="E54">
            <v>1</v>
          </cell>
          <cell r="F54">
            <v>493</v>
          </cell>
          <cell r="G54">
            <v>1</v>
          </cell>
          <cell r="H54">
            <v>55</v>
          </cell>
          <cell r="I54">
            <v>6</v>
          </cell>
          <cell r="J54">
            <v>3</v>
          </cell>
          <cell r="K54">
            <v>0</v>
          </cell>
          <cell r="L54">
            <v>9.0709730000000004</v>
          </cell>
          <cell r="M54">
            <v>-83.501238000000001</v>
          </cell>
          <cell r="N54" t="str">
            <v>Sur</v>
          </cell>
          <cell r="O54">
            <v>1</v>
          </cell>
          <cell r="P54" t="str">
            <v>tequila</v>
          </cell>
          <cell r="Q54" t="str">
            <v>talamanca</v>
          </cell>
          <cell r="R54" t="b">
            <v>0</v>
          </cell>
          <cell r="S54" t="str">
            <v>37_1</v>
          </cell>
          <cell r="T54">
            <v>0</v>
          </cell>
          <cell r="U54">
            <v>3</v>
          </cell>
          <cell r="V54">
            <v>2</v>
          </cell>
          <cell r="W54">
            <v>0.66666666699999999</v>
          </cell>
          <cell r="X54">
            <v>53</v>
          </cell>
          <cell r="Y54">
            <v>31</v>
          </cell>
          <cell r="Z54">
            <v>0.58490565999999999</v>
          </cell>
        </row>
        <row r="55">
          <cell r="B55" t="str">
            <v>F38_1A</v>
          </cell>
          <cell r="C55" t="str">
            <v>R2_F38_1A</v>
          </cell>
          <cell r="D55">
            <v>1</v>
          </cell>
          <cell r="E55">
            <v>4</v>
          </cell>
          <cell r="F55">
            <v>506</v>
          </cell>
          <cell r="G55">
            <v>1</v>
          </cell>
          <cell r="H55">
            <v>39</v>
          </cell>
          <cell r="I55">
            <v>8</v>
          </cell>
          <cell r="J55">
            <v>5</v>
          </cell>
          <cell r="K55">
            <v>1</v>
          </cell>
          <cell r="L55">
            <v>9.0723219999999998</v>
          </cell>
          <cell r="M55">
            <v>-83.515152999999998</v>
          </cell>
          <cell r="N55" t="str">
            <v>Sur</v>
          </cell>
          <cell r="O55">
            <v>1</v>
          </cell>
          <cell r="P55" t="str">
            <v>nambi</v>
          </cell>
          <cell r="Q55" t="str">
            <v>nambi</v>
          </cell>
          <cell r="R55" t="b">
            <v>1</v>
          </cell>
          <cell r="S55" t="str">
            <v>38_1</v>
          </cell>
          <cell r="T55">
            <v>1</v>
          </cell>
          <cell r="U55">
            <v>12</v>
          </cell>
          <cell r="V55">
            <v>8</v>
          </cell>
          <cell r="W55">
            <v>0.66666666699999999</v>
          </cell>
          <cell r="X55">
            <v>45</v>
          </cell>
          <cell r="Y55">
            <v>26</v>
          </cell>
          <cell r="Z55">
            <v>0.57777777799999996</v>
          </cell>
        </row>
        <row r="56">
          <cell r="B56" t="str">
            <v>F38_2A</v>
          </cell>
          <cell r="C56" t="str">
            <v>R2_F38_2A</v>
          </cell>
          <cell r="D56">
            <v>0</v>
          </cell>
          <cell r="E56">
            <v>3</v>
          </cell>
          <cell r="F56">
            <v>506</v>
          </cell>
          <cell r="G56">
            <v>1</v>
          </cell>
          <cell r="H56">
            <v>39</v>
          </cell>
          <cell r="I56">
            <v>8</v>
          </cell>
          <cell r="J56">
            <v>5</v>
          </cell>
          <cell r="K56">
            <v>1</v>
          </cell>
          <cell r="L56">
            <v>9.0723219999999998</v>
          </cell>
          <cell r="M56">
            <v>-83.515152999999998</v>
          </cell>
          <cell r="N56" t="str">
            <v>Sur</v>
          </cell>
          <cell r="O56">
            <v>1</v>
          </cell>
          <cell r="P56" t="str">
            <v>nambi</v>
          </cell>
          <cell r="Q56" t="str">
            <v>victoria</v>
          </cell>
          <cell r="R56" t="b">
            <v>0</v>
          </cell>
          <cell r="S56" t="str">
            <v>38_2</v>
          </cell>
          <cell r="T56">
            <v>0</v>
          </cell>
          <cell r="U56">
            <v>12</v>
          </cell>
          <cell r="V56">
            <v>8</v>
          </cell>
          <cell r="W56">
            <v>0.66666666699999999</v>
          </cell>
          <cell r="X56">
            <v>45</v>
          </cell>
          <cell r="Y56">
            <v>26</v>
          </cell>
          <cell r="Z56">
            <v>0.57777777799999996</v>
          </cell>
        </row>
        <row r="57">
          <cell r="B57" t="str">
            <v>F39_1B</v>
          </cell>
          <cell r="C57" t="str">
            <v>R2_F39_1B</v>
          </cell>
          <cell r="D57">
            <v>1</v>
          </cell>
          <cell r="E57">
            <v>1.5</v>
          </cell>
          <cell r="F57">
            <v>466</v>
          </cell>
          <cell r="G57">
            <v>1</v>
          </cell>
          <cell r="H57">
            <v>38</v>
          </cell>
          <cell r="I57">
            <v>6</v>
          </cell>
          <cell r="J57">
            <v>5</v>
          </cell>
          <cell r="K57">
            <v>0</v>
          </cell>
          <cell r="L57">
            <v>9.0674679999999999</v>
          </cell>
          <cell r="M57">
            <v>-83.523953000000006</v>
          </cell>
          <cell r="N57" t="str">
            <v>Sur</v>
          </cell>
          <cell r="O57">
            <v>1</v>
          </cell>
          <cell r="P57" t="str">
            <v>victoria</v>
          </cell>
          <cell r="Q57" t="str">
            <v>victoria</v>
          </cell>
          <cell r="R57" t="b">
            <v>1</v>
          </cell>
          <cell r="S57" t="str">
            <v>39_1</v>
          </cell>
          <cell r="T57">
            <v>1</v>
          </cell>
          <cell r="U57">
            <v>0</v>
          </cell>
          <cell r="V57">
            <v>0</v>
          </cell>
          <cell r="W57" t="str">
            <v>NA</v>
          </cell>
          <cell r="X57">
            <v>42</v>
          </cell>
          <cell r="Y57">
            <v>23</v>
          </cell>
          <cell r="Z57">
            <v>0.54761904800000005</v>
          </cell>
        </row>
        <row r="58">
          <cell r="B58" t="str">
            <v>F40_1A</v>
          </cell>
          <cell r="C58" t="str">
            <v>R2_F40_1A</v>
          </cell>
          <cell r="D58">
            <v>0</v>
          </cell>
          <cell r="E58">
            <v>0.2</v>
          </cell>
          <cell r="F58">
            <v>555</v>
          </cell>
          <cell r="G58">
            <v>1</v>
          </cell>
          <cell r="H58">
            <v>39</v>
          </cell>
          <cell r="I58">
            <v>6</v>
          </cell>
          <cell r="J58">
            <v>3</v>
          </cell>
          <cell r="K58">
            <v>0</v>
          </cell>
          <cell r="L58">
            <v>9.0616800000000008</v>
          </cell>
          <cell r="M58">
            <v>-83.510412000000002</v>
          </cell>
          <cell r="N58" t="str">
            <v>Sur</v>
          </cell>
          <cell r="O58">
            <v>1</v>
          </cell>
          <cell r="P58" t="str">
            <v>tequila</v>
          </cell>
          <cell r="Q58" t="str">
            <v>panameno</v>
          </cell>
          <cell r="R58" t="b">
            <v>0</v>
          </cell>
          <cell r="S58" t="str">
            <v>40_1</v>
          </cell>
          <cell r="T58">
            <v>0</v>
          </cell>
          <cell r="U58">
            <v>2</v>
          </cell>
          <cell r="V58">
            <v>1</v>
          </cell>
          <cell r="W58">
            <v>0.5</v>
          </cell>
          <cell r="X58">
            <v>45</v>
          </cell>
          <cell r="Y58">
            <v>25</v>
          </cell>
          <cell r="Z58">
            <v>0.55555555599999995</v>
          </cell>
        </row>
        <row r="59">
          <cell r="B59" t="str">
            <v>F40_2A</v>
          </cell>
          <cell r="C59" t="str">
            <v>R2_F40_2A</v>
          </cell>
          <cell r="D59">
            <v>0</v>
          </cell>
          <cell r="E59">
            <v>0.7</v>
          </cell>
          <cell r="F59">
            <v>555</v>
          </cell>
          <cell r="G59">
            <v>1</v>
          </cell>
          <cell r="H59">
            <v>39</v>
          </cell>
          <cell r="I59">
            <v>6</v>
          </cell>
          <cell r="J59">
            <v>3</v>
          </cell>
          <cell r="K59">
            <v>1</v>
          </cell>
          <cell r="L59">
            <v>9.0616800000000008</v>
          </cell>
          <cell r="M59">
            <v>-83.510412000000002</v>
          </cell>
          <cell r="N59" t="str">
            <v>Sur</v>
          </cell>
          <cell r="O59">
            <v>1</v>
          </cell>
          <cell r="P59" t="str">
            <v>cabecar</v>
          </cell>
          <cell r="Q59" t="str">
            <v>victoria</v>
          </cell>
          <cell r="R59" t="b">
            <v>0</v>
          </cell>
          <cell r="S59" t="str">
            <v>40_2</v>
          </cell>
          <cell r="T59">
            <v>1</v>
          </cell>
          <cell r="U59">
            <v>2</v>
          </cell>
          <cell r="V59">
            <v>1</v>
          </cell>
          <cell r="W59">
            <v>0.5</v>
          </cell>
          <cell r="X59">
            <v>45</v>
          </cell>
          <cell r="Y59">
            <v>25</v>
          </cell>
          <cell r="Z59">
            <v>0.55555555599999995</v>
          </cell>
        </row>
        <row r="60">
          <cell r="B60" t="str">
            <v>F41_1A</v>
          </cell>
          <cell r="C60" t="str">
            <v>R2_F41_1A</v>
          </cell>
          <cell r="D60">
            <v>1</v>
          </cell>
          <cell r="E60">
            <v>3</v>
          </cell>
          <cell r="F60">
            <v>541</v>
          </cell>
          <cell r="G60">
            <v>1</v>
          </cell>
          <cell r="H60">
            <v>28</v>
          </cell>
          <cell r="I60">
            <v>6</v>
          </cell>
          <cell r="J60">
            <v>3</v>
          </cell>
          <cell r="K60">
            <v>0</v>
          </cell>
          <cell r="L60">
            <v>9.0642219999999991</v>
          </cell>
          <cell r="M60">
            <v>-83.519739999999999</v>
          </cell>
          <cell r="N60" t="str">
            <v>Sur</v>
          </cell>
          <cell r="O60">
            <v>1</v>
          </cell>
          <cell r="P60" t="str">
            <v>victoria</v>
          </cell>
          <cell r="Q60" t="str">
            <v>victoria</v>
          </cell>
          <cell r="R60" t="b">
            <v>1</v>
          </cell>
          <cell r="S60" t="str">
            <v>41_1</v>
          </cell>
          <cell r="T60">
            <v>1</v>
          </cell>
          <cell r="U60">
            <v>2</v>
          </cell>
          <cell r="V60">
            <v>0</v>
          </cell>
          <cell r="W60">
            <v>0</v>
          </cell>
          <cell r="X60">
            <v>40</v>
          </cell>
          <cell r="Y60">
            <v>21</v>
          </cell>
          <cell r="Z60">
            <v>0.52500000000000002</v>
          </cell>
        </row>
        <row r="61">
          <cell r="B61" t="str">
            <v>F41_2A</v>
          </cell>
          <cell r="C61" t="str">
            <v>R2_F41_2A</v>
          </cell>
          <cell r="D61">
            <v>1</v>
          </cell>
          <cell r="E61">
            <v>0.5</v>
          </cell>
          <cell r="F61">
            <v>541</v>
          </cell>
          <cell r="G61">
            <v>1</v>
          </cell>
          <cell r="H61">
            <v>28</v>
          </cell>
          <cell r="I61">
            <v>6</v>
          </cell>
          <cell r="J61">
            <v>3</v>
          </cell>
          <cell r="K61">
            <v>1</v>
          </cell>
          <cell r="L61">
            <v>9.0642219999999991</v>
          </cell>
          <cell r="M61">
            <v>-83.519739999999999</v>
          </cell>
          <cell r="N61" t="str">
            <v>Sur</v>
          </cell>
          <cell r="O61">
            <v>1</v>
          </cell>
          <cell r="P61" t="str">
            <v>nambi</v>
          </cell>
          <cell r="Q61" t="str">
            <v>nambi</v>
          </cell>
          <cell r="R61" t="b">
            <v>1</v>
          </cell>
          <cell r="S61" t="str">
            <v>41_2</v>
          </cell>
          <cell r="T61">
            <v>1</v>
          </cell>
          <cell r="U61">
            <v>2</v>
          </cell>
          <cell r="V61">
            <v>0</v>
          </cell>
          <cell r="W61">
            <v>0</v>
          </cell>
          <cell r="X61">
            <v>40</v>
          </cell>
          <cell r="Y61">
            <v>21</v>
          </cell>
          <cell r="Z61">
            <v>0.52500000000000002</v>
          </cell>
        </row>
        <row r="62">
          <cell r="B62" t="str">
            <v>F41_3A</v>
          </cell>
          <cell r="C62" t="str">
            <v>R2_F41_3A</v>
          </cell>
          <cell r="D62">
            <v>0</v>
          </cell>
          <cell r="E62">
            <v>1</v>
          </cell>
          <cell r="F62">
            <v>541</v>
          </cell>
          <cell r="G62">
            <v>1</v>
          </cell>
          <cell r="H62">
            <v>28</v>
          </cell>
          <cell r="I62">
            <v>6</v>
          </cell>
          <cell r="J62">
            <v>3</v>
          </cell>
          <cell r="K62">
            <v>0</v>
          </cell>
          <cell r="L62">
            <v>9.0642219999999991</v>
          </cell>
          <cell r="M62">
            <v>-83.519739999999999</v>
          </cell>
          <cell r="N62" t="str">
            <v>Sur</v>
          </cell>
          <cell r="O62">
            <v>1</v>
          </cell>
          <cell r="P62" t="str">
            <v>victoria</v>
          </cell>
          <cell r="Q62" t="str">
            <v>cabecar</v>
          </cell>
          <cell r="R62" t="b">
            <v>0</v>
          </cell>
          <cell r="S62" t="str">
            <v>41_3</v>
          </cell>
          <cell r="T62">
            <v>1</v>
          </cell>
          <cell r="U62">
            <v>2</v>
          </cell>
          <cell r="V62">
            <v>0</v>
          </cell>
          <cell r="W62">
            <v>0</v>
          </cell>
          <cell r="X62">
            <v>40</v>
          </cell>
          <cell r="Y62">
            <v>21</v>
          </cell>
          <cell r="Z62">
            <v>0.52500000000000002</v>
          </cell>
        </row>
        <row r="63">
          <cell r="B63" t="str">
            <v>F42_1A</v>
          </cell>
          <cell r="C63" t="str">
            <v>R2_F42_1A</v>
          </cell>
          <cell r="D63">
            <v>0</v>
          </cell>
          <cell r="E63">
            <v>1</v>
          </cell>
          <cell r="F63">
            <v>439</v>
          </cell>
          <cell r="G63">
            <v>1</v>
          </cell>
          <cell r="H63">
            <v>34</v>
          </cell>
          <cell r="I63">
            <v>6</v>
          </cell>
          <cell r="J63">
            <v>5</v>
          </cell>
          <cell r="K63">
            <v>1</v>
          </cell>
          <cell r="L63">
            <v>9.0691369999999996</v>
          </cell>
          <cell r="M63">
            <v>-83.515017999999998</v>
          </cell>
          <cell r="N63" t="str">
            <v>Sur</v>
          </cell>
          <cell r="O63">
            <v>1</v>
          </cell>
          <cell r="P63" t="str">
            <v>uran</v>
          </cell>
          <cell r="Q63" t="str">
            <v>guaymi</v>
          </cell>
          <cell r="R63" t="b">
            <v>0</v>
          </cell>
          <cell r="S63" t="str">
            <v>42_1</v>
          </cell>
          <cell r="T63">
            <v>0</v>
          </cell>
          <cell r="U63">
            <v>4</v>
          </cell>
          <cell r="V63">
            <v>1</v>
          </cell>
          <cell r="W63">
            <v>0.25</v>
          </cell>
          <cell r="X63">
            <v>45</v>
          </cell>
          <cell r="Y63">
            <v>27</v>
          </cell>
          <cell r="Z63">
            <v>0.6</v>
          </cell>
        </row>
        <row r="64">
          <cell r="B64" t="str">
            <v>F42_2A</v>
          </cell>
          <cell r="C64" t="str">
            <v>R2_F42_2A</v>
          </cell>
          <cell r="D64">
            <v>0</v>
          </cell>
          <cell r="E64">
            <v>1.5</v>
          </cell>
          <cell r="F64">
            <v>439</v>
          </cell>
          <cell r="G64">
            <v>1</v>
          </cell>
          <cell r="H64">
            <v>34</v>
          </cell>
          <cell r="I64">
            <v>6</v>
          </cell>
          <cell r="J64">
            <v>5</v>
          </cell>
          <cell r="K64">
            <v>1</v>
          </cell>
          <cell r="L64">
            <v>9.0691369999999996</v>
          </cell>
          <cell r="M64">
            <v>-83.515017999999998</v>
          </cell>
          <cell r="N64" t="str">
            <v>Sur</v>
          </cell>
          <cell r="O64">
            <v>1</v>
          </cell>
          <cell r="P64" t="str">
            <v>nambi</v>
          </cell>
          <cell r="Q64" t="str">
            <v>uran</v>
          </cell>
          <cell r="R64" t="b">
            <v>0</v>
          </cell>
          <cell r="S64" t="str">
            <v>42_2</v>
          </cell>
          <cell r="T64">
            <v>0</v>
          </cell>
          <cell r="U64">
            <v>4</v>
          </cell>
          <cell r="V64">
            <v>1</v>
          </cell>
          <cell r="W64">
            <v>0.25</v>
          </cell>
          <cell r="X64">
            <v>45</v>
          </cell>
          <cell r="Y64">
            <v>27</v>
          </cell>
          <cell r="Z64">
            <v>0.6</v>
          </cell>
        </row>
        <row r="65">
          <cell r="B65" t="str">
            <v>F43_1A</v>
          </cell>
          <cell r="C65" t="str">
            <v>R2_F43_1A</v>
          </cell>
          <cell r="D65">
            <v>1</v>
          </cell>
          <cell r="E65">
            <v>1</v>
          </cell>
          <cell r="F65">
            <v>629</v>
          </cell>
          <cell r="G65">
            <v>1</v>
          </cell>
          <cell r="H65">
            <v>48</v>
          </cell>
          <cell r="I65">
            <v>6</v>
          </cell>
          <cell r="J65">
            <v>3</v>
          </cell>
          <cell r="K65">
            <v>1</v>
          </cell>
          <cell r="L65">
            <v>9.088025</v>
          </cell>
          <cell r="M65">
            <v>-83.528341999999995</v>
          </cell>
          <cell r="N65" t="str">
            <v>Sur</v>
          </cell>
          <cell r="O65">
            <v>1</v>
          </cell>
          <cell r="P65" t="str">
            <v>uran</v>
          </cell>
          <cell r="Q65" t="str">
            <v>uran</v>
          </cell>
          <cell r="R65" t="b">
            <v>1</v>
          </cell>
          <cell r="S65" t="str">
            <v>43_1</v>
          </cell>
          <cell r="T65">
            <v>0</v>
          </cell>
          <cell r="U65">
            <v>10</v>
          </cell>
          <cell r="V65">
            <v>5</v>
          </cell>
          <cell r="W65">
            <v>0.5</v>
          </cell>
          <cell r="X65">
            <v>52</v>
          </cell>
          <cell r="Y65">
            <v>28</v>
          </cell>
          <cell r="Z65">
            <v>0.53846153799999996</v>
          </cell>
        </row>
        <row r="66">
          <cell r="B66" t="str">
            <v>F43_2A</v>
          </cell>
          <cell r="C66" t="str">
            <v>R2_F43_2A</v>
          </cell>
          <cell r="D66">
            <v>1</v>
          </cell>
          <cell r="E66">
            <v>1</v>
          </cell>
          <cell r="F66">
            <v>629</v>
          </cell>
          <cell r="G66">
            <v>1</v>
          </cell>
          <cell r="H66">
            <v>48</v>
          </cell>
          <cell r="I66">
            <v>6</v>
          </cell>
          <cell r="J66">
            <v>3</v>
          </cell>
          <cell r="K66">
            <v>1</v>
          </cell>
          <cell r="L66">
            <v>9.088025</v>
          </cell>
          <cell r="M66">
            <v>-83.528341999999995</v>
          </cell>
          <cell r="N66" t="str">
            <v>Sur</v>
          </cell>
          <cell r="O66">
            <v>1</v>
          </cell>
          <cell r="P66" t="str">
            <v>cabecar</v>
          </cell>
          <cell r="Q66" t="str">
            <v>cabecar</v>
          </cell>
          <cell r="R66" t="b">
            <v>1</v>
          </cell>
          <cell r="S66" t="str">
            <v>43_2</v>
          </cell>
          <cell r="T66">
            <v>1</v>
          </cell>
          <cell r="U66">
            <v>10</v>
          </cell>
          <cell r="V66">
            <v>5</v>
          </cell>
          <cell r="W66">
            <v>0.5</v>
          </cell>
          <cell r="X66">
            <v>52</v>
          </cell>
          <cell r="Y66">
            <v>28</v>
          </cell>
          <cell r="Z66">
            <v>0.53846153799999996</v>
          </cell>
        </row>
        <row r="67">
          <cell r="B67" t="str">
            <v>F44_1A</v>
          </cell>
          <cell r="C67" t="str">
            <v>R2_F44_1A</v>
          </cell>
          <cell r="D67">
            <v>0</v>
          </cell>
          <cell r="E67">
            <v>1</v>
          </cell>
          <cell r="F67">
            <v>554</v>
          </cell>
          <cell r="G67">
            <v>1</v>
          </cell>
          <cell r="H67">
            <v>58</v>
          </cell>
          <cell r="I67">
            <v>6</v>
          </cell>
          <cell r="J67">
            <v>1</v>
          </cell>
          <cell r="K67">
            <v>1</v>
          </cell>
          <cell r="L67">
            <v>9.0613930000000007</v>
          </cell>
          <cell r="M67">
            <v>-83.509919999999994</v>
          </cell>
          <cell r="N67" t="str">
            <v>Sur</v>
          </cell>
          <cell r="O67">
            <v>1</v>
          </cell>
          <cell r="P67" t="str">
            <v>nambi</v>
          </cell>
          <cell r="Q67" t="str">
            <v>guaymi</v>
          </cell>
          <cell r="R67" t="b">
            <v>0</v>
          </cell>
          <cell r="S67" t="str">
            <v>44_1</v>
          </cell>
          <cell r="T67">
            <v>0</v>
          </cell>
          <cell r="U67">
            <v>2</v>
          </cell>
          <cell r="V67">
            <v>1</v>
          </cell>
          <cell r="W67">
            <v>0.5</v>
          </cell>
          <cell r="X67">
            <v>45</v>
          </cell>
          <cell r="Y67">
            <v>25</v>
          </cell>
          <cell r="Z67">
            <v>0.55555555599999995</v>
          </cell>
        </row>
        <row r="68">
          <cell r="B68" t="str">
            <v>F44_2A</v>
          </cell>
          <cell r="C68" t="str">
            <v>R2_F44_2A</v>
          </cell>
          <cell r="D68">
            <v>0</v>
          </cell>
          <cell r="E68">
            <v>0.7</v>
          </cell>
          <cell r="F68">
            <v>554</v>
          </cell>
          <cell r="G68">
            <v>1</v>
          </cell>
          <cell r="H68">
            <v>58</v>
          </cell>
          <cell r="I68">
            <v>6</v>
          </cell>
          <cell r="J68">
            <v>1</v>
          </cell>
          <cell r="K68">
            <v>1</v>
          </cell>
          <cell r="L68">
            <v>9.0613930000000007</v>
          </cell>
          <cell r="M68">
            <v>-83.509919999999994</v>
          </cell>
          <cell r="N68" t="str">
            <v>Sur</v>
          </cell>
          <cell r="O68">
            <v>1</v>
          </cell>
          <cell r="P68" t="str">
            <v>uran</v>
          </cell>
          <cell r="Q68" t="str">
            <v>tiquete</v>
          </cell>
          <cell r="R68" t="b">
            <v>0</v>
          </cell>
          <cell r="S68" t="str">
            <v>44_2</v>
          </cell>
          <cell r="T68">
            <v>1</v>
          </cell>
          <cell r="U68">
            <v>2</v>
          </cell>
          <cell r="V68">
            <v>1</v>
          </cell>
          <cell r="W68">
            <v>0.5</v>
          </cell>
          <cell r="X68">
            <v>45</v>
          </cell>
          <cell r="Y68">
            <v>25</v>
          </cell>
          <cell r="Z68">
            <v>0.55555555599999995</v>
          </cell>
        </row>
        <row r="69">
          <cell r="B69" t="str">
            <v>F45_1B</v>
          </cell>
          <cell r="C69" t="str">
            <v>R2_F45_1B</v>
          </cell>
          <cell r="D69">
            <v>1</v>
          </cell>
          <cell r="E69">
            <v>0.7</v>
          </cell>
          <cell r="F69">
            <v>724</v>
          </cell>
          <cell r="G69">
            <v>1</v>
          </cell>
          <cell r="H69">
            <v>62</v>
          </cell>
          <cell r="I69">
            <v>7</v>
          </cell>
          <cell r="J69">
            <v>1</v>
          </cell>
          <cell r="K69">
            <v>0</v>
          </cell>
          <cell r="L69">
            <v>9.1046259999999997</v>
          </cell>
          <cell r="M69">
            <v>-83.511132000000003</v>
          </cell>
          <cell r="N69" t="str">
            <v>Sur</v>
          </cell>
          <cell r="O69">
            <v>1</v>
          </cell>
          <cell r="P69" t="str">
            <v>victoria</v>
          </cell>
          <cell r="Q69" t="str">
            <v>victoria</v>
          </cell>
          <cell r="R69" t="b">
            <v>1</v>
          </cell>
          <cell r="S69" t="str">
            <v>45_1</v>
          </cell>
          <cell r="T69">
            <v>1</v>
          </cell>
          <cell r="U69">
            <v>12</v>
          </cell>
          <cell r="V69">
            <v>9</v>
          </cell>
          <cell r="W69">
            <v>0.75</v>
          </cell>
          <cell r="X69">
            <v>30</v>
          </cell>
          <cell r="Y69">
            <v>22</v>
          </cell>
          <cell r="Z69">
            <v>0.73333333300000003</v>
          </cell>
        </row>
        <row r="70">
          <cell r="B70" t="str">
            <v>F46_1A</v>
          </cell>
          <cell r="C70" t="str">
            <v>R2_F46_1A</v>
          </cell>
          <cell r="D70">
            <v>1</v>
          </cell>
          <cell r="E70">
            <v>2</v>
          </cell>
          <cell r="F70">
            <v>600</v>
          </cell>
          <cell r="G70">
            <v>1</v>
          </cell>
          <cell r="H70">
            <v>43</v>
          </cell>
          <cell r="I70">
            <v>6</v>
          </cell>
          <cell r="J70">
            <v>6</v>
          </cell>
          <cell r="K70">
            <v>1</v>
          </cell>
          <cell r="L70">
            <v>9.1007960000000008</v>
          </cell>
          <cell r="M70">
            <v>-83.542968999999999</v>
          </cell>
          <cell r="N70" t="str">
            <v>Sur</v>
          </cell>
          <cell r="O70">
            <v>1</v>
          </cell>
          <cell r="P70" t="str">
            <v>nambi</v>
          </cell>
          <cell r="Q70" t="str">
            <v>nambi</v>
          </cell>
          <cell r="R70" t="b">
            <v>1</v>
          </cell>
          <cell r="S70" t="str">
            <v>46_1</v>
          </cell>
          <cell r="T70">
            <v>1</v>
          </cell>
          <cell r="U70">
            <v>4</v>
          </cell>
          <cell r="V70">
            <v>3</v>
          </cell>
          <cell r="W70">
            <v>0.75</v>
          </cell>
          <cell r="X70">
            <v>61</v>
          </cell>
          <cell r="Y70">
            <v>37</v>
          </cell>
          <cell r="Z70">
            <v>0.60655737700000001</v>
          </cell>
        </row>
        <row r="71">
          <cell r="B71" t="str">
            <v>F46_2A</v>
          </cell>
          <cell r="C71" t="str">
            <v>R2_F46_2A</v>
          </cell>
          <cell r="D71">
            <v>0</v>
          </cell>
          <cell r="E71">
            <v>1</v>
          </cell>
          <cell r="F71">
            <v>600</v>
          </cell>
          <cell r="G71">
            <v>1</v>
          </cell>
          <cell r="H71">
            <v>43</v>
          </cell>
          <cell r="I71">
            <v>6</v>
          </cell>
          <cell r="J71">
            <v>6</v>
          </cell>
          <cell r="K71">
            <v>1</v>
          </cell>
          <cell r="L71">
            <v>9.1007960000000008</v>
          </cell>
          <cell r="M71">
            <v>-83.542968999999999</v>
          </cell>
          <cell r="N71" t="str">
            <v>Sur</v>
          </cell>
          <cell r="O71">
            <v>1</v>
          </cell>
          <cell r="P71" t="str">
            <v>cabecar</v>
          </cell>
          <cell r="Q71" t="str">
            <v>dontknow</v>
          </cell>
          <cell r="R71" t="str">
            <v>Not applicable</v>
          </cell>
          <cell r="S71" t="str">
            <v>46_2</v>
          </cell>
          <cell r="T71">
            <v>0</v>
          </cell>
          <cell r="U71">
            <v>4</v>
          </cell>
          <cell r="V71">
            <v>3</v>
          </cell>
          <cell r="W71">
            <v>0.75</v>
          </cell>
          <cell r="X71">
            <v>61</v>
          </cell>
          <cell r="Y71">
            <v>37</v>
          </cell>
          <cell r="Z71">
            <v>0.60655737700000001</v>
          </cell>
        </row>
        <row r="72">
          <cell r="B72" t="str">
            <v>F47_1A</v>
          </cell>
          <cell r="C72" t="str">
            <v>R2_F47_1A</v>
          </cell>
          <cell r="D72">
            <v>0</v>
          </cell>
          <cell r="E72">
            <v>1</v>
          </cell>
          <cell r="F72">
            <v>588</v>
          </cell>
          <cell r="G72">
            <v>1</v>
          </cell>
          <cell r="H72">
            <v>25</v>
          </cell>
          <cell r="I72">
            <v>4</v>
          </cell>
          <cell r="J72">
            <v>7</v>
          </cell>
          <cell r="K72">
            <v>0</v>
          </cell>
          <cell r="L72">
            <v>9.0536049999999992</v>
          </cell>
          <cell r="M72">
            <v>-83.487380000000002</v>
          </cell>
          <cell r="N72" t="str">
            <v>Sur</v>
          </cell>
          <cell r="O72">
            <v>1</v>
          </cell>
          <cell r="P72" t="str">
            <v>victoria</v>
          </cell>
          <cell r="Q72" t="str">
            <v>cabecar</v>
          </cell>
          <cell r="R72" t="b">
            <v>0</v>
          </cell>
          <cell r="S72" t="str">
            <v>47_1</v>
          </cell>
          <cell r="T72">
            <v>0</v>
          </cell>
          <cell r="U72">
            <v>2</v>
          </cell>
          <cell r="V72">
            <v>2</v>
          </cell>
          <cell r="W72">
            <v>1</v>
          </cell>
          <cell r="X72">
            <v>23</v>
          </cell>
          <cell r="Y72">
            <v>16</v>
          </cell>
          <cell r="Z72">
            <v>0.69565217400000001</v>
          </cell>
        </row>
        <row r="73">
          <cell r="B73" t="str">
            <v>F47_2A</v>
          </cell>
          <cell r="C73" t="str">
            <v>R2_F47_2A</v>
          </cell>
          <cell r="D73">
            <v>0</v>
          </cell>
          <cell r="E73">
            <v>1</v>
          </cell>
          <cell r="F73">
            <v>588</v>
          </cell>
          <cell r="G73">
            <v>1</v>
          </cell>
          <cell r="H73">
            <v>25</v>
          </cell>
          <cell r="I73">
            <v>4</v>
          </cell>
          <cell r="J73">
            <v>7</v>
          </cell>
          <cell r="K73">
            <v>0</v>
          </cell>
          <cell r="L73">
            <v>9.0536049999999992</v>
          </cell>
          <cell r="M73">
            <v>-83.487380000000002</v>
          </cell>
          <cell r="N73" t="str">
            <v>Sur</v>
          </cell>
          <cell r="O73">
            <v>1</v>
          </cell>
          <cell r="P73" t="str">
            <v>tequila</v>
          </cell>
          <cell r="Q73" t="str">
            <v>sacapobres</v>
          </cell>
          <cell r="R73" t="b">
            <v>0</v>
          </cell>
          <cell r="S73" t="str">
            <v>47_2</v>
          </cell>
          <cell r="T73">
            <v>0</v>
          </cell>
          <cell r="U73">
            <v>2</v>
          </cell>
          <cell r="V73">
            <v>2</v>
          </cell>
          <cell r="W73">
            <v>1</v>
          </cell>
          <cell r="X73">
            <v>23</v>
          </cell>
          <cell r="Y73">
            <v>16</v>
          </cell>
          <cell r="Z73">
            <v>0.69565217400000001</v>
          </cell>
        </row>
        <row r="74">
          <cell r="B74" t="str">
            <v>F48_1A</v>
          </cell>
          <cell r="C74" t="str">
            <v>R2_F48_1A</v>
          </cell>
          <cell r="D74">
            <v>1</v>
          </cell>
          <cell r="E74">
            <v>1.4</v>
          </cell>
          <cell r="F74">
            <v>480</v>
          </cell>
          <cell r="G74">
            <v>1</v>
          </cell>
          <cell r="H74">
            <v>54</v>
          </cell>
          <cell r="I74">
            <v>6</v>
          </cell>
          <cell r="J74">
            <v>6</v>
          </cell>
          <cell r="K74">
            <v>1</v>
          </cell>
          <cell r="L74">
            <v>9.0539419999999993</v>
          </cell>
          <cell r="M74">
            <v>-83.477609000000001</v>
          </cell>
          <cell r="N74" t="str">
            <v>Sur</v>
          </cell>
          <cell r="O74">
            <v>1</v>
          </cell>
          <cell r="P74" t="str">
            <v>nambi</v>
          </cell>
          <cell r="Q74" t="str">
            <v>nambi</v>
          </cell>
          <cell r="R74" t="b">
            <v>1</v>
          </cell>
          <cell r="S74" t="str">
            <v>48_1</v>
          </cell>
          <cell r="T74">
            <v>1</v>
          </cell>
          <cell r="U74">
            <v>2</v>
          </cell>
          <cell r="V74">
            <v>2</v>
          </cell>
          <cell r="W74">
            <v>1</v>
          </cell>
          <cell r="X74">
            <v>36</v>
          </cell>
          <cell r="Y74">
            <v>29</v>
          </cell>
          <cell r="Z74">
            <v>0.80555555599999995</v>
          </cell>
        </row>
        <row r="75">
          <cell r="B75" t="str">
            <v>F48_2A</v>
          </cell>
          <cell r="C75" t="str">
            <v>R2_F48_2A</v>
          </cell>
          <cell r="D75">
            <v>1</v>
          </cell>
          <cell r="E75">
            <v>1</v>
          </cell>
          <cell r="F75">
            <v>480</v>
          </cell>
          <cell r="G75">
            <v>1</v>
          </cell>
          <cell r="H75">
            <v>54</v>
          </cell>
          <cell r="I75">
            <v>6</v>
          </cell>
          <cell r="J75">
            <v>6</v>
          </cell>
          <cell r="K75">
            <v>1</v>
          </cell>
          <cell r="L75">
            <v>9.0539419999999993</v>
          </cell>
          <cell r="M75">
            <v>-83.477609000000001</v>
          </cell>
          <cell r="N75" t="str">
            <v>Sur</v>
          </cell>
          <cell r="O75">
            <v>1</v>
          </cell>
          <cell r="P75" t="str">
            <v>cabecar</v>
          </cell>
          <cell r="Q75" t="str">
            <v>cabecar</v>
          </cell>
          <cell r="R75" t="b">
            <v>1</v>
          </cell>
          <cell r="S75" t="str">
            <v>48_2</v>
          </cell>
          <cell r="T75">
            <v>1</v>
          </cell>
          <cell r="U75">
            <v>2</v>
          </cell>
          <cell r="V75">
            <v>2</v>
          </cell>
          <cell r="W75">
            <v>1</v>
          </cell>
          <cell r="X75">
            <v>36</v>
          </cell>
          <cell r="Y75">
            <v>29</v>
          </cell>
          <cell r="Z75">
            <v>0.80555555599999995</v>
          </cell>
        </row>
        <row r="76">
          <cell r="B76" t="str">
            <v>F48_3A</v>
          </cell>
          <cell r="C76" t="str">
            <v>R2_F48_3A</v>
          </cell>
          <cell r="D76">
            <v>0</v>
          </cell>
          <cell r="E76">
            <v>1.4</v>
          </cell>
          <cell r="F76">
            <v>480</v>
          </cell>
          <cell r="G76">
            <v>1</v>
          </cell>
          <cell r="H76">
            <v>54</v>
          </cell>
          <cell r="I76">
            <v>6</v>
          </cell>
          <cell r="J76">
            <v>6</v>
          </cell>
          <cell r="K76">
            <v>0</v>
          </cell>
          <cell r="L76">
            <v>9.0539419999999993</v>
          </cell>
          <cell r="M76">
            <v>-83.477609000000001</v>
          </cell>
          <cell r="N76" t="str">
            <v>Sur</v>
          </cell>
          <cell r="O76">
            <v>1</v>
          </cell>
          <cell r="P76" t="str">
            <v>RCB 593</v>
          </cell>
          <cell r="Q76" t="str">
            <v>talamanca</v>
          </cell>
          <cell r="R76" t="b">
            <v>0</v>
          </cell>
          <cell r="S76" t="str">
            <v>48_3</v>
          </cell>
          <cell r="T76">
            <v>0</v>
          </cell>
          <cell r="U76">
            <v>2</v>
          </cell>
          <cell r="V76">
            <v>2</v>
          </cell>
          <cell r="W76">
            <v>1</v>
          </cell>
          <cell r="X76">
            <v>36</v>
          </cell>
          <cell r="Y76">
            <v>29</v>
          </cell>
          <cell r="Z76">
            <v>0.80555555599999995</v>
          </cell>
        </row>
        <row r="77">
          <cell r="B77" t="str">
            <v>F49_1A</v>
          </cell>
          <cell r="C77" t="str">
            <v>R2_F49_1A</v>
          </cell>
          <cell r="D77">
            <v>1</v>
          </cell>
          <cell r="E77">
            <v>1</v>
          </cell>
          <cell r="F77">
            <v>588</v>
          </cell>
          <cell r="G77">
            <v>1</v>
          </cell>
          <cell r="H77">
            <v>68</v>
          </cell>
          <cell r="I77">
            <v>6</v>
          </cell>
          <cell r="J77">
            <v>1</v>
          </cell>
          <cell r="K77">
            <v>1</v>
          </cell>
          <cell r="L77">
            <v>9.0536589999999997</v>
          </cell>
          <cell r="M77">
            <v>-83.487390000000005</v>
          </cell>
          <cell r="N77" t="str">
            <v>Sur</v>
          </cell>
          <cell r="O77">
            <v>1</v>
          </cell>
          <cell r="P77" t="str">
            <v>nambi</v>
          </cell>
          <cell r="Q77" t="str">
            <v>nambi</v>
          </cell>
          <cell r="R77" t="b">
            <v>1</v>
          </cell>
          <cell r="S77" t="str">
            <v>49_1</v>
          </cell>
          <cell r="T77">
            <v>1</v>
          </cell>
          <cell r="U77">
            <v>2</v>
          </cell>
          <cell r="V77">
            <v>0</v>
          </cell>
          <cell r="W77">
            <v>0</v>
          </cell>
          <cell r="X77">
            <v>23</v>
          </cell>
          <cell r="Y77">
            <v>14</v>
          </cell>
          <cell r="Z77">
            <v>0.60869565199999998</v>
          </cell>
        </row>
        <row r="78">
          <cell r="B78" t="str">
            <v>F49_2A</v>
          </cell>
          <cell r="C78" t="str">
            <v>R2_F49_2A</v>
          </cell>
          <cell r="D78">
            <v>1</v>
          </cell>
          <cell r="E78">
            <v>1</v>
          </cell>
          <cell r="F78">
            <v>588</v>
          </cell>
          <cell r="G78">
            <v>1</v>
          </cell>
          <cell r="H78">
            <v>68</v>
          </cell>
          <cell r="I78">
            <v>6</v>
          </cell>
          <cell r="J78">
            <v>1</v>
          </cell>
          <cell r="K78">
            <v>1</v>
          </cell>
          <cell r="L78">
            <v>9.0536589999999997</v>
          </cell>
          <cell r="M78">
            <v>-83.487390000000005</v>
          </cell>
          <cell r="N78" t="str">
            <v>Sur</v>
          </cell>
          <cell r="O78">
            <v>1</v>
          </cell>
          <cell r="P78" t="str">
            <v>cabecar</v>
          </cell>
          <cell r="Q78" t="str">
            <v>cabecar</v>
          </cell>
          <cell r="R78" t="b">
            <v>1</v>
          </cell>
          <cell r="S78" t="str">
            <v>49_2</v>
          </cell>
          <cell r="T78">
            <v>1</v>
          </cell>
          <cell r="U78">
            <v>2</v>
          </cell>
          <cell r="V78">
            <v>0</v>
          </cell>
          <cell r="W78">
            <v>0</v>
          </cell>
          <cell r="X78">
            <v>23</v>
          </cell>
          <cell r="Y78">
            <v>14</v>
          </cell>
          <cell r="Z78">
            <v>0.60869565199999998</v>
          </cell>
        </row>
        <row r="79">
          <cell r="B79" t="str">
            <v>F50_1A</v>
          </cell>
          <cell r="C79" t="str">
            <v>R2_F50_1A</v>
          </cell>
          <cell r="D79">
            <v>0</v>
          </cell>
          <cell r="E79">
            <v>1</v>
          </cell>
          <cell r="F79">
            <v>497</v>
          </cell>
          <cell r="G79">
            <v>1</v>
          </cell>
          <cell r="H79">
            <v>27</v>
          </cell>
          <cell r="I79">
            <v>11</v>
          </cell>
          <cell r="J79">
            <v>6</v>
          </cell>
          <cell r="K79">
            <v>1</v>
          </cell>
          <cell r="L79">
            <v>9.0542569999999998</v>
          </cell>
          <cell r="M79">
            <v>-83.475498000000002</v>
          </cell>
          <cell r="N79" t="str">
            <v>Sur</v>
          </cell>
          <cell r="O79">
            <v>1</v>
          </cell>
          <cell r="P79" t="str">
            <v>nambi</v>
          </cell>
          <cell r="Q79" t="str">
            <v>other</v>
          </cell>
          <cell r="R79" t="str">
            <v>Not applicable</v>
          </cell>
          <cell r="S79" t="str">
            <v>50_1</v>
          </cell>
          <cell r="T79">
            <v>1</v>
          </cell>
          <cell r="U79">
            <v>3</v>
          </cell>
          <cell r="V79">
            <v>2</v>
          </cell>
          <cell r="W79">
            <v>0.66666666699999999</v>
          </cell>
          <cell r="X79">
            <v>38</v>
          </cell>
          <cell r="Y79">
            <v>30</v>
          </cell>
          <cell r="Z79">
            <v>0.78947368399999995</v>
          </cell>
        </row>
        <row r="80">
          <cell r="B80" t="str">
            <v>F50_2A</v>
          </cell>
          <cell r="C80" t="str">
            <v>R2_F50_2A</v>
          </cell>
          <cell r="D80">
            <v>1</v>
          </cell>
          <cell r="E80">
            <v>1</v>
          </cell>
          <cell r="F80">
            <v>497</v>
          </cell>
          <cell r="G80">
            <v>1</v>
          </cell>
          <cell r="H80">
            <v>27</v>
          </cell>
          <cell r="I80">
            <v>11</v>
          </cell>
          <cell r="J80">
            <v>6</v>
          </cell>
          <cell r="K80">
            <v>1</v>
          </cell>
          <cell r="L80">
            <v>9.0542569999999998</v>
          </cell>
          <cell r="M80">
            <v>-83.475498000000002</v>
          </cell>
          <cell r="N80" t="str">
            <v>Sur</v>
          </cell>
          <cell r="O80">
            <v>1</v>
          </cell>
          <cell r="P80" t="str">
            <v>cabecar</v>
          </cell>
          <cell r="Q80" t="str">
            <v>cabecar</v>
          </cell>
          <cell r="R80" t="b">
            <v>1</v>
          </cell>
          <cell r="S80" t="str">
            <v>50_2</v>
          </cell>
          <cell r="T80">
            <v>1</v>
          </cell>
          <cell r="U80">
            <v>3</v>
          </cell>
          <cell r="V80">
            <v>2</v>
          </cell>
          <cell r="W80">
            <v>0.66666666699999999</v>
          </cell>
          <cell r="X80">
            <v>38</v>
          </cell>
          <cell r="Y80">
            <v>30</v>
          </cell>
          <cell r="Z80">
            <v>0.78947368399999995</v>
          </cell>
        </row>
        <row r="81">
          <cell r="B81" t="str">
            <v>F51_1B</v>
          </cell>
          <cell r="C81" t="str">
            <v>R2_F51_1B</v>
          </cell>
          <cell r="D81">
            <v>1</v>
          </cell>
          <cell r="E81">
            <v>0.7</v>
          </cell>
          <cell r="F81">
            <v>525</v>
          </cell>
          <cell r="G81">
            <v>1</v>
          </cell>
          <cell r="H81">
            <v>52</v>
          </cell>
          <cell r="I81">
            <v>16</v>
          </cell>
          <cell r="J81">
            <v>4</v>
          </cell>
          <cell r="K81">
            <v>1</v>
          </cell>
          <cell r="L81">
            <v>9.0502610000000008</v>
          </cell>
          <cell r="M81">
            <v>-83.480733000000001</v>
          </cell>
          <cell r="N81" t="str">
            <v>Sur</v>
          </cell>
          <cell r="O81">
            <v>1</v>
          </cell>
          <cell r="P81" t="str">
            <v>nambi</v>
          </cell>
          <cell r="Q81" t="str">
            <v>nambi</v>
          </cell>
          <cell r="R81" t="b">
            <v>1</v>
          </cell>
          <cell r="S81" t="str">
            <v>51_1</v>
          </cell>
          <cell r="T81">
            <v>1</v>
          </cell>
          <cell r="U81">
            <v>0</v>
          </cell>
          <cell r="V81">
            <v>0</v>
          </cell>
          <cell r="W81" t="str">
            <v>NA</v>
          </cell>
          <cell r="X81">
            <v>31</v>
          </cell>
          <cell r="Y81">
            <v>20</v>
          </cell>
          <cell r="Z81">
            <v>0.64516129</v>
          </cell>
        </row>
        <row r="82">
          <cell r="B82" t="str">
            <v>F52_1B</v>
          </cell>
          <cell r="C82" t="str">
            <v>R2_F52_1B</v>
          </cell>
          <cell r="D82">
            <v>1</v>
          </cell>
          <cell r="E82">
            <v>2.1</v>
          </cell>
          <cell r="F82">
            <v>354</v>
          </cell>
          <cell r="G82">
            <v>1</v>
          </cell>
          <cell r="H82">
            <v>44</v>
          </cell>
          <cell r="I82">
            <v>6</v>
          </cell>
          <cell r="J82">
            <v>7</v>
          </cell>
          <cell r="K82">
            <v>1</v>
          </cell>
          <cell r="L82">
            <v>9.0686699999999991</v>
          </cell>
          <cell r="M82">
            <v>-83.371823000000006</v>
          </cell>
          <cell r="N82" t="str">
            <v>Sur</v>
          </cell>
          <cell r="O82">
            <v>1</v>
          </cell>
          <cell r="P82" t="str">
            <v>nambi</v>
          </cell>
          <cell r="Q82" t="str">
            <v>nambi</v>
          </cell>
          <cell r="R82" t="b">
            <v>1</v>
          </cell>
          <cell r="S82" t="str">
            <v>52_1</v>
          </cell>
          <cell r="T82">
            <v>1</v>
          </cell>
          <cell r="U82">
            <v>0</v>
          </cell>
          <cell r="V82">
            <v>0</v>
          </cell>
          <cell r="W82" t="str">
            <v>NA</v>
          </cell>
          <cell r="X82">
            <v>2</v>
          </cell>
          <cell r="Y82">
            <v>2</v>
          </cell>
          <cell r="Z82">
            <v>1</v>
          </cell>
        </row>
        <row r="83">
          <cell r="B83" t="str">
            <v>F53_1B</v>
          </cell>
          <cell r="C83" t="str">
            <v>R2_F53_1B</v>
          </cell>
          <cell r="D83">
            <v>1</v>
          </cell>
          <cell r="E83">
            <v>0.5</v>
          </cell>
          <cell r="F83">
            <v>534</v>
          </cell>
          <cell r="G83">
            <v>0</v>
          </cell>
          <cell r="H83">
            <v>51</v>
          </cell>
          <cell r="I83">
            <v>11</v>
          </cell>
          <cell r="J83">
            <v>3</v>
          </cell>
          <cell r="K83">
            <v>1</v>
          </cell>
          <cell r="L83">
            <v>9.1023849999999999</v>
          </cell>
          <cell r="M83">
            <v>-83.466532000000001</v>
          </cell>
          <cell r="N83" t="str">
            <v>Sur</v>
          </cell>
          <cell r="O83">
            <v>1</v>
          </cell>
          <cell r="P83" t="str">
            <v>nambi</v>
          </cell>
          <cell r="Q83" t="str">
            <v>nambi</v>
          </cell>
          <cell r="R83" t="b">
            <v>1</v>
          </cell>
          <cell r="S83" t="str">
            <v>53_1</v>
          </cell>
          <cell r="T83">
            <v>1</v>
          </cell>
          <cell r="U83">
            <v>11</v>
          </cell>
          <cell r="V83">
            <v>9</v>
          </cell>
          <cell r="W83">
            <v>0.81818181800000001</v>
          </cell>
          <cell r="X83">
            <v>46</v>
          </cell>
          <cell r="Y83">
            <v>35</v>
          </cell>
          <cell r="Z83">
            <v>0.76086956500000003</v>
          </cell>
        </row>
        <row r="84">
          <cell r="B84" t="str">
            <v>F54_1A</v>
          </cell>
          <cell r="C84" t="str">
            <v>R2_F54_1A</v>
          </cell>
          <cell r="D84">
            <v>1</v>
          </cell>
          <cell r="E84">
            <v>3</v>
          </cell>
          <cell r="F84">
            <v>560</v>
          </cell>
          <cell r="G84">
            <v>1</v>
          </cell>
          <cell r="H84">
            <v>40</v>
          </cell>
          <cell r="I84">
            <v>5</v>
          </cell>
          <cell r="J84">
            <v>4</v>
          </cell>
          <cell r="K84">
            <v>1</v>
          </cell>
          <cell r="L84">
            <v>9.1002960000000002</v>
          </cell>
          <cell r="M84">
            <v>-83.499420999999998</v>
          </cell>
          <cell r="N84" t="str">
            <v>Sur</v>
          </cell>
          <cell r="O84">
            <v>1</v>
          </cell>
          <cell r="P84" t="str">
            <v>cabecar</v>
          </cell>
          <cell r="Q84" t="str">
            <v>cabecar</v>
          </cell>
          <cell r="R84" t="b">
            <v>1</v>
          </cell>
          <cell r="S84" t="str">
            <v>54_1</v>
          </cell>
          <cell r="T84">
            <v>1</v>
          </cell>
          <cell r="U84">
            <v>0</v>
          </cell>
          <cell r="V84">
            <v>0</v>
          </cell>
          <cell r="W84" t="str">
            <v>NA</v>
          </cell>
          <cell r="X84">
            <v>37</v>
          </cell>
          <cell r="Y84">
            <v>28</v>
          </cell>
          <cell r="Z84">
            <v>0.756756757</v>
          </cell>
        </row>
        <row r="85">
          <cell r="B85" t="str">
            <v>F55_1B</v>
          </cell>
          <cell r="C85" t="str">
            <v>R2_F55_1B</v>
          </cell>
          <cell r="D85">
            <v>1</v>
          </cell>
          <cell r="E85">
            <v>3</v>
          </cell>
          <cell r="F85">
            <v>549</v>
          </cell>
          <cell r="G85">
            <v>1</v>
          </cell>
          <cell r="H85">
            <v>38</v>
          </cell>
          <cell r="I85">
            <v>6</v>
          </cell>
          <cell r="J85">
            <v>5</v>
          </cell>
          <cell r="K85">
            <v>1</v>
          </cell>
          <cell r="L85">
            <v>9.0892350000000004</v>
          </cell>
          <cell r="M85">
            <v>-83.500634000000005</v>
          </cell>
          <cell r="N85" t="str">
            <v>Sur</v>
          </cell>
          <cell r="O85">
            <v>1</v>
          </cell>
          <cell r="P85" t="str">
            <v>cabecar</v>
          </cell>
          <cell r="Q85" t="str">
            <v>cabecar</v>
          </cell>
          <cell r="R85" t="b">
            <v>1</v>
          </cell>
          <cell r="S85" t="str">
            <v>55_1</v>
          </cell>
          <cell r="T85">
            <v>1</v>
          </cell>
          <cell r="U85">
            <v>0</v>
          </cell>
          <cell r="V85">
            <v>0</v>
          </cell>
          <cell r="W85" t="str">
            <v>NA</v>
          </cell>
          <cell r="X85">
            <v>24</v>
          </cell>
          <cell r="Y85">
            <v>18</v>
          </cell>
          <cell r="Z85">
            <v>0.75</v>
          </cell>
        </row>
        <row r="86">
          <cell r="B86" t="str">
            <v>F56_1A</v>
          </cell>
          <cell r="C86" t="str">
            <v>R2_F56_1A</v>
          </cell>
          <cell r="D86">
            <v>1</v>
          </cell>
          <cell r="E86">
            <v>0.7</v>
          </cell>
          <cell r="F86">
            <v>733</v>
          </cell>
          <cell r="G86">
            <v>0</v>
          </cell>
          <cell r="H86">
            <v>47</v>
          </cell>
          <cell r="I86">
            <v>6</v>
          </cell>
          <cell r="J86">
            <v>4</v>
          </cell>
          <cell r="K86">
            <v>1</v>
          </cell>
          <cell r="L86">
            <v>9.1170390000000001</v>
          </cell>
          <cell r="M86">
            <v>-83.461973999999998</v>
          </cell>
          <cell r="N86" t="str">
            <v>Sur</v>
          </cell>
          <cell r="O86">
            <v>1</v>
          </cell>
          <cell r="P86" t="str">
            <v>nambi</v>
          </cell>
          <cell r="Q86" t="str">
            <v>nambi</v>
          </cell>
          <cell r="R86" t="b">
            <v>1</v>
          </cell>
          <cell r="S86" t="str">
            <v>56_1</v>
          </cell>
          <cell r="T86">
            <v>1</v>
          </cell>
          <cell r="U86">
            <v>1</v>
          </cell>
          <cell r="V86">
            <v>1</v>
          </cell>
          <cell r="W86">
            <v>1</v>
          </cell>
          <cell r="X86">
            <v>20</v>
          </cell>
          <cell r="Y86">
            <v>11</v>
          </cell>
          <cell r="Z86">
            <v>0.55000000000000004</v>
          </cell>
        </row>
        <row r="87">
          <cell r="B87" t="str">
            <v>F56_2A</v>
          </cell>
          <cell r="C87" t="str">
            <v>R2_F56_2A</v>
          </cell>
          <cell r="D87">
            <v>1</v>
          </cell>
          <cell r="E87">
            <v>0.7</v>
          </cell>
          <cell r="F87">
            <v>733</v>
          </cell>
          <cell r="G87">
            <v>0</v>
          </cell>
          <cell r="H87">
            <v>47</v>
          </cell>
          <cell r="I87">
            <v>6</v>
          </cell>
          <cell r="J87">
            <v>4</v>
          </cell>
          <cell r="K87">
            <v>1</v>
          </cell>
          <cell r="L87">
            <v>9.1170390000000001</v>
          </cell>
          <cell r="M87">
            <v>-83.461973999999998</v>
          </cell>
          <cell r="N87" t="str">
            <v>Sur</v>
          </cell>
          <cell r="O87">
            <v>1</v>
          </cell>
          <cell r="P87" t="str">
            <v>cabecar</v>
          </cell>
          <cell r="Q87" t="str">
            <v>cabecar</v>
          </cell>
          <cell r="R87" t="b">
            <v>1</v>
          </cell>
          <cell r="S87" t="str">
            <v>56_2</v>
          </cell>
          <cell r="T87">
            <v>1</v>
          </cell>
          <cell r="U87">
            <v>1</v>
          </cell>
          <cell r="V87">
            <v>1</v>
          </cell>
          <cell r="W87">
            <v>1</v>
          </cell>
          <cell r="X87">
            <v>20</v>
          </cell>
          <cell r="Y87">
            <v>11</v>
          </cell>
          <cell r="Z87">
            <v>0.55000000000000004</v>
          </cell>
        </row>
        <row r="88">
          <cell r="B88" t="str">
            <v>F57_1A</v>
          </cell>
          <cell r="C88" t="str">
            <v>R2_F57_1A</v>
          </cell>
          <cell r="D88">
            <v>1</v>
          </cell>
          <cell r="E88">
            <v>0.2</v>
          </cell>
          <cell r="F88">
            <v>556</v>
          </cell>
          <cell r="G88">
            <v>1</v>
          </cell>
          <cell r="H88">
            <v>47</v>
          </cell>
          <cell r="I88">
            <v>6</v>
          </cell>
          <cell r="J88">
            <v>4</v>
          </cell>
          <cell r="K88">
            <v>1</v>
          </cell>
          <cell r="L88">
            <v>9.1023379999999996</v>
          </cell>
          <cell r="M88">
            <v>-83.460561999999996</v>
          </cell>
          <cell r="N88" t="str">
            <v>Sur</v>
          </cell>
          <cell r="O88">
            <v>1</v>
          </cell>
          <cell r="P88" t="str">
            <v>uran</v>
          </cell>
          <cell r="Q88" t="str">
            <v>uran</v>
          </cell>
          <cell r="R88" t="b">
            <v>1</v>
          </cell>
          <cell r="S88" t="str">
            <v>57_1</v>
          </cell>
          <cell r="T88">
            <v>0</v>
          </cell>
          <cell r="U88">
            <v>4</v>
          </cell>
          <cell r="V88">
            <v>4</v>
          </cell>
          <cell r="W88">
            <v>1</v>
          </cell>
          <cell r="X88">
            <v>49</v>
          </cell>
          <cell r="Y88">
            <v>38</v>
          </cell>
          <cell r="Z88">
            <v>0.77551020400000004</v>
          </cell>
        </row>
        <row r="89">
          <cell r="B89" t="str">
            <v>F57_2B</v>
          </cell>
          <cell r="C89" t="str">
            <v>R2_F57_1B</v>
          </cell>
          <cell r="D89">
            <v>1</v>
          </cell>
          <cell r="E89">
            <v>0.52500000000000002</v>
          </cell>
          <cell r="F89">
            <v>556</v>
          </cell>
          <cell r="G89">
            <v>1</v>
          </cell>
          <cell r="H89">
            <v>47</v>
          </cell>
          <cell r="I89">
            <v>6</v>
          </cell>
          <cell r="J89">
            <v>4</v>
          </cell>
          <cell r="K89">
            <v>1</v>
          </cell>
          <cell r="L89">
            <v>9.1023379999999996</v>
          </cell>
          <cell r="M89">
            <v>-83.460561999999996</v>
          </cell>
          <cell r="N89" t="str">
            <v>Sur</v>
          </cell>
          <cell r="O89">
            <v>1</v>
          </cell>
          <cell r="P89" t="str">
            <v>cabecar</v>
          </cell>
          <cell r="Q89" t="str">
            <v>cabecar</v>
          </cell>
          <cell r="R89" t="b">
            <v>1</v>
          </cell>
          <cell r="S89" t="str">
            <v>57_1</v>
          </cell>
          <cell r="T89">
            <v>1</v>
          </cell>
          <cell r="U89">
            <v>4</v>
          </cell>
          <cell r="V89">
            <v>4</v>
          </cell>
          <cell r="W89">
            <v>1</v>
          </cell>
          <cell r="X89">
            <v>49</v>
          </cell>
          <cell r="Y89">
            <v>38</v>
          </cell>
          <cell r="Z89">
            <v>0.77551020400000004</v>
          </cell>
        </row>
        <row r="90">
          <cell r="B90" t="str">
            <v>F57_3C</v>
          </cell>
          <cell r="C90" t="str">
            <v>R2_F57_1C</v>
          </cell>
          <cell r="D90">
            <v>1</v>
          </cell>
          <cell r="E90">
            <v>0.7</v>
          </cell>
          <cell r="F90">
            <v>556</v>
          </cell>
          <cell r="G90">
            <v>1</v>
          </cell>
          <cell r="H90">
            <v>47</v>
          </cell>
          <cell r="I90">
            <v>6</v>
          </cell>
          <cell r="J90">
            <v>4</v>
          </cell>
          <cell r="K90">
            <v>1</v>
          </cell>
          <cell r="L90">
            <v>9.1023379999999996</v>
          </cell>
          <cell r="M90">
            <v>-83.460561999999996</v>
          </cell>
          <cell r="N90" t="str">
            <v>Sur</v>
          </cell>
          <cell r="O90">
            <v>1</v>
          </cell>
          <cell r="P90" t="str">
            <v>nambi</v>
          </cell>
          <cell r="Q90" t="str">
            <v>nambi</v>
          </cell>
          <cell r="R90" t="b">
            <v>1</v>
          </cell>
          <cell r="S90" t="str">
            <v>57_1</v>
          </cell>
          <cell r="T90">
            <v>1</v>
          </cell>
          <cell r="U90">
            <v>4</v>
          </cell>
          <cell r="V90">
            <v>4</v>
          </cell>
          <cell r="W90">
            <v>1</v>
          </cell>
          <cell r="X90">
            <v>49</v>
          </cell>
          <cell r="Y90">
            <v>38</v>
          </cell>
          <cell r="Z90">
            <v>0.77551020400000004</v>
          </cell>
        </row>
        <row r="91">
          <cell r="B91" t="str">
            <v>F58_1A</v>
          </cell>
          <cell r="C91" t="str">
            <v>R2_F58_1A</v>
          </cell>
          <cell r="D91">
            <v>1</v>
          </cell>
          <cell r="E91">
            <v>10</v>
          </cell>
          <cell r="F91">
            <v>549</v>
          </cell>
          <cell r="G91">
            <v>1</v>
          </cell>
          <cell r="H91">
            <v>35</v>
          </cell>
          <cell r="I91">
            <v>6</v>
          </cell>
          <cell r="J91">
            <v>6</v>
          </cell>
          <cell r="K91">
            <v>1</v>
          </cell>
          <cell r="L91">
            <v>9.0949449999999992</v>
          </cell>
          <cell r="M91">
            <v>-83.466362000000004</v>
          </cell>
          <cell r="N91" t="str">
            <v>Sur</v>
          </cell>
          <cell r="O91">
            <v>1</v>
          </cell>
          <cell r="P91" t="str">
            <v>cabecar</v>
          </cell>
          <cell r="Q91" t="str">
            <v>cabecar</v>
          </cell>
          <cell r="R91" t="b">
            <v>1</v>
          </cell>
          <cell r="S91" t="str">
            <v>58_1</v>
          </cell>
          <cell r="T91">
            <v>1</v>
          </cell>
          <cell r="U91">
            <v>11</v>
          </cell>
          <cell r="V91">
            <v>8</v>
          </cell>
          <cell r="W91">
            <v>0.72727272700000001</v>
          </cell>
          <cell r="X91">
            <v>36</v>
          </cell>
          <cell r="Y91">
            <v>26</v>
          </cell>
          <cell r="Z91">
            <v>0.72222222199999997</v>
          </cell>
        </row>
        <row r="92">
          <cell r="B92" t="str">
            <v>F58_2A</v>
          </cell>
          <cell r="C92" t="str">
            <v>R2_F58_2A</v>
          </cell>
          <cell r="D92">
            <v>1</v>
          </cell>
          <cell r="E92">
            <v>0.75</v>
          </cell>
          <cell r="F92">
            <v>549</v>
          </cell>
          <cell r="G92">
            <v>1</v>
          </cell>
          <cell r="H92">
            <v>35</v>
          </cell>
          <cell r="I92">
            <v>6</v>
          </cell>
          <cell r="J92">
            <v>6</v>
          </cell>
          <cell r="K92">
            <v>1</v>
          </cell>
          <cell r="L92">
            <v>9.0949449999999992</v>
          </cell>
          <cell r="M92">
            <v>-83.466362000000004</v>
          </cell>
          <cell r="N92" t="str">
            <v>Sur</v>
          </cell>
          <cell r="O92">
            <v>1</v>
          </cell>
          <cell r="P92" t="str">
            <v>nambi</v>
          </cell>
          <cell r="Q92" t="str">
            <v>nambi</v>
          </cell>
          <cell r="R92" t="b">
            <v>1</v>
          </cell>
          <cell r="S92" t="str">
            <v>58_2</v>
          </cell>
          <cell r="T92">
            <v>1</v>
          </cell>
          <cell r="U92">
            <v>11</v>
          </cell>
          <cell r="V92">
            <v>8</v>
          </cell>
          <cell r="W92">
            <v>0.72727272700000001</v>
          </cell>
          <cell r="X92">
            <v>36</v>
          </cell>
          <cell r="Y92">
            <v>26</v>
          </cell>
          <cell r="Z92">
            <v>0.72222222199999997</v>
          </cell>
        </row>
        <row r="93">
          <cell r="B93" t="str">
            <v>F59_1B</v>
          </cell>
          <cell r="C93" t="str">
            <v>R2_F59_1B</v>
          </cell>
          <cell r="D93">
            <v>0</v>
          </cell>
          <cell r="E93">
            <v>0.3</v>
          </cell>
          <cell r="F93">
            <v>759</v>
          </cell>
          <cell r="G93">
            <v>1</v>
          </cell>
          <cell r="H93">
            <v>54</v>
          </cell>
          <cell r="I93">
            <v>5</v>
          </cell>
          <cell r="J93">
            <v>7</v>
          </cell>
          <cell r="K93">
            <v>0</v>
          </cell>
          <cell r="L93">
            <v>9.1306840000000005</v>
          </cell>
          <cell r="M93">
            <v>-83.475223</v>
          </cell>
          <cell r="N93" t="str">
            <v>Sur</v>
          </cell>
          <cell r="O93">
            <v>1</v>
          </cell>
          <cell r="P93" t="str">
            <v>talamanca</v>
          </cell>
          <cell r="Q93" t="str">
            <v>negro</v>
          </cell>
          <cell r="R93" t="str">
            <v>Not applicable</v>
          </cell>
          <cell r="S93" t="str">
            <v>59_1</v>
          </cell>
          <cell r="T93">
            <v>0</v>
          </cell>
          <cell r="U93">
            <v>8</v>
          </cell>
          <cell r="V93">
            <v>2</v>
          </cell>
          <cell r="W93">
            <v>0.25</v>
          </cell>
          <cell r="X93">
            <v>21</v>
          </cell>
          <cell r="Y93">
            <v>12</v>
          </cell>
          <cell r="Z93">
            <v>0.571428571</v>
          </cell>
        </row>
        <row r="94">
          <cell r="B94" t="str">
            <v>F59_2B</v>
          </cell>
          <cell r="C94" t="str">
            <v>R2_F59_2B</v>
          </cell>
          <cell r="D94">
            <v>1</v>
          </cell>
          <cell r="E94">
            <v>0.3</v>
          </cell>
          <cell r="F94">
            <v>759</v>
          </cell>
          <cell r="G94">
            <v>1</v>
          </cell>
          <cell r="H94">
            <v>54</v>
          </cell>
          <cell r="I94">
            <v>5</v>
          </cell>
          <cell r="J94">
            <v>7</v>
          </cell>
          <cell r="K94">
            <v>1</v>
          </cell>
          <cell r="L94">
            <v>9.1306840000000005</v>
          </cell>
          <cell r="M94">
            <v>-83.475223</v>
          </cell>
          <cell r="N94" t="str">
            <v>Sur</v>
          </cell>
          <cell r="O94">
            <v>1</v>
          </cell>
          <cell r="P94" t="str">
            <v>nambi</v>
          </cell>
          <cell r="Q94" t="str">
            <v>nambi</v>
          </cell>
          <cell r="R94" t="b">
            <v>1</v>
          </cell>
          <cell r="S94" t="str">
            <v>59_2</v>
          </cell>
          <cell r="T94">
            <v>1</v>
          </cell>
          <cell r="U94">
            <v>8</v>
          </cell>
          <cell r="V94">
            <v>2</v>
          </cell>
          <cell r="W94">
            <v>0.25</v>
          </cell>
          <cell r="X94">
            <v>21</v>
          </cell>
          <cell r="Y94">
            <v>12</v>
          </cell>
          <cell r="Z94">
            <v>0.571428571</v>
          </cell>
        </row>
        <row r="95">
          <cell r="B95" t="str">
            <v>F59_3B</v>
          </cell>
          <cell r="C95" t="str">
            <v>R2_F59_3B</v>
          </cell>
          <cell r="D95">
            <v>0</v>
          </cell>
          <cell r="E95">
            <v>1</v>
          </cell>
          <cell r="F95">
            <v>759</v>
          </cell>
          <cell r="G95">
            <v>1</v>
          </cell>
          <cell r="H95">
            <v>54</v>
          </cell>
          <cell r="I95">
            <v>5</v>
          </cell>
          <cell r="J95">
            <v>7</v>
          </cell>
          <cell r="K95">
            <v>0</v>
          </cell>
          <cell r="L95">
            <v>9.1306840000000005</v>
          </cell>
          <cell r="M95">
            <v>-83.475223</v>
          </cell>
          <cell r="N95" t="str">
            <v>Sur</v>
          </cell>
          <cell r="O95">
            <v>1</v>
          </cell>
          <cell r="P95" t="str">
            <v>tequila</v>
          </cell>
          <cell r="Q95" t="str">
            <v>rojo</v>
          </cell>
          <cell r="R95" t="str">
            <v>Not applicable</v>
          </cell>
          <cell r="S95" t="str">
            <v>59_3</v>
          </cell>
          <cell r="T95">
            <v>0</v>
          </cell>
          <cell r="U95">
            <v>8</v>
          </cell>
          <cell r="V95">
            <v>2</v>
          </cell>
          <cell r="W95">
            <v>0.25</v>
          </cell>
          <cell r="X95">
            <v>21</v>
          </cell>
          <cell r="Y95">
            <v>12</v>
          </cell>
          <cell r="Z95">
            <v>0.571428571</v>
          </cell>
        </row>
        <row r="96">
          <cell r="B96" t="str">
            <v>F60_1B</v>
          </cell>
          <cell r="C96" t="str">
            <v>R2_F60_1B</v>
          </cell>
          <cell r="D96">
            <v>0</v>
          </cell>
          <cell r="E96">
            <v>0.35</v>
          </cell>
          <cell r="F96">
            <v>773</v>
          </cell>
          <cell r="G96">
            <v>1</v>
          </cell>
          <cell r="H96">
            <v>28</v>
          </cell>
          <cell r="I96">
            <v>9</v>
          </cell>
          <cell r="J96">
            <v>3</v>
          </cell>
          <cell r="K96">
            <v>0</v>
          </cell>
          <cell r="L96">
            <v>9.1257199999999994</v>
          </cell>
          <cell r="M96">
            <v>-83.471711999999997</v>
          </cell>
          <cell r="N96" t="str">
            <v>Sur</v>
          </cell>
          <cell r="O96">
            <v>1</v>
          </cell>
          <cell r="P96" t="str">
            <v>tequila</v>
          </cell>
          <cell r="Q96" t="str">
            <v>cabecar</v>
          </cell>
          <cell r="R96" t="b">
            <v>0</v>
          </cell>
          <cell r="S96" t="str">
            <v>60_1</v>
          </cell>
          <cell r="T96">
            <v>0</v>
          </cell>
          <cell r="U96">
            <v>5</v>
          </cell>
          <cell r="V96">
            <v>1</v>
          </cell>
          <cell r="W96">
            <v>0.2</v>
          </cell>
          <cell r="X96">
            <v>26</v>
          </cell>
          <cell r="Y96">
            <v>15</v>
          </cell>
          <cell r="Z96">
            <v>0.57692307700000001</v>
          </cell>
        </row>
        <row r="97">
          <cell r="B97" t="str">
            <v>F60_2B</v>
          </cell>
          <cell r="C97" t="str">
            <v>R2_F60_2B</v>
          </cell>
          <cell r="D97">
            <v>1</v>
          </cell>
          <cell r="E97">
            <v>0.17499999999999999</v>
          </cell>
          <cell r="F97">
            <v>773</v>
          </cell>
          <cell r="G97">
            <v>1</v>
          </cell>
          <cell r="H97">
            <v>28</v>
          </cell>
          <cell r="I97">
            <v>9</v>
          </cell>
          <cell r="J97">
            <v>3</v>
          </cell>
          <cell r="K97">
            <v>0</v>
          </cell>
          <cell r="L97">
            <v>9.1257199999999994</v>
          </cell>
          <cell r="M97">
            <v>-83.471711999999997</v>
          </cell>
          <cell r="N97" t="str">
            <v>Sur</v>
          </cell>
          <cell r="O97">
            <v>1</v>
          </cell>
          <cell r="P97" t="str">
            <v>tequila</v>
          </cell>
          <cell r="Q97" t="str">
            <v>tequila</v>
          </cell>
          <cell r="R97" t="b">
            <v>1</v>
          </cell>
          <cell r="S97" t="str">
            <v>60_2</v>
          </cell>
          <cell r="T97">
            <v>1</v>
          </cell>
          <cell r="U97">
            <v>5</v>
          </cell>
          <cell r="V97">
            <v>1</v>
          </cell>
          <cell r="W97">
            <v>0.2</v>
          </cell>
          <cell r="X97">
            <v>26</v>
          </cell>
          <cell r="Y97">
            <v>15</v>
          </cell>
          <cell r="Z97">
            <v>0.57692307700000001</v>
          </cell>
        </row>
        <row r="98">
          <cell r="B98" t="str">
            <v>F61_1B</v>
          </cell>
          <cell r="C98" t="str">
            <v>R2_F61_1B</v>
          </cell>
          <cell r="D98">
            <v>0</v>
          </cell>
          <cell r="E98">
            <v>0.05</v>
          </cell>
          <cell r="F98">
            <v>561</v>
          </cell>
          <cell r="G98">
            <v>1</v>
          </cell>
          <cell r="H98">
            <v>63</v>
          </cell>
          <cell r="I98">
            <v>3</v>
          </cell>
          <cell r="J98">
            <v>4</v>
          </cell>
          <cell r="K98">
            <v>0</v>
          </cell>
          <cell r="L98">
            <v>9.1014359999999996</v>
          </cell>
          <cell r="M98">
            <v>-83.473845999999995</v>
          </cell>
          <cell r="N98" t="str">
            <v>Sur</v>
          </cell>
          <cell r="O98">
            <v>1</v>
          </cell>
          <cell r="P98" t="str">
            <v>talamanca</v>
          </cell>
          <cell r="Q98" t="str">
            <v>other</v>
          </cell>
          <cell r="R98" t="str">
            <v>Not applicable</v>
          </cell>
          <cell r="S98" t="str">
            <v>61_1</v>
          </cell>
          <cell r="T98">
            <v>0</v>
          </cell>
          <cell r="U98">
            <v>12</v>
          </cell>
          <cell r="V98">
            <v>9</v>
          </cell>
          <cell r="W98">
            <v>0.75</v>
          </cell>
          <cell r="X98">
            <v>44</v>
          </cell>
          <cell r="Y98">
            <v>32</v>
          </cell>
          <cell r="Z98">
            <v>0.72727272700000001</v>
          </cell>
        </row>
        <row r="99">
          <cell r="B99" t="str">
            <v>F61_2B</v>
          </cell>
          <cell r="C99" t="str">
            <v>R2_F61_2B</v>
          </cell>
          <cell r="D99">
            <v>0</v>
          </cell>
          <cell r="E99">
            <v>0.18</v>
          </cell>
          <cell r="F99">
            <v>561</v>
          </cell>
          <cell r="G99">
            <v>1</v>
          </cell>
          <cell r="H99">
            <v>63</v>
          </cell>
          <cell r="I99">
            <v>3</v>
          </cell>
          <cell r="J99">
            <v>4</v>
          </cell>
          <cell r="K99">
            <v>1</v>
          </cell>
          <cell r="L99">
            <v>9.1014359999999996</v>
          </cell>
          <cell r="M99">
            <v>-83.473845999999995</v>
          </cell>
          <cell r="N99" t="str">
            <v>Sur</v>
          </cell>
          <cell r="O99">
            <v>1</v>
          </cell>
          <cell r="P99" t="str">
            <v>changuena</v>
          </cell>
          <cell r="Q99" t="str">
            <v>cabecar</v>
          </cell>
          <cell r="R99" t="b">
            <v>0</v>
          </cell>
          <cell r="S99" t="str">
            <v>61_2</v>
          </cell>
          <cell r="T99">
            <v>1</v>
          </cell>
          <cell r="U99">
            <v>12</v>
          </cell>
          <cell r="V99">
            <v>9</v>
          </cell>
          <cell r="W99">
            <v>0.75</v>
          </cell>
          <cell r="X99">
            <v>44</v>
          </cell>
          <cell r="Y99">
            <v>32</v>
          </cell>
          <cell r="Z99">
            <v>0.72727272700000001</v>
          </cell>
        </row>
        <row r="100">
          <cell r="B100" t="str">
            <v>F62_1B</v>
          </cell>
          <cell r="C100" t="str">
            <v>R2_F62_1B</v>
          </cell>
          <cell r="D100">
            <v>1</v>
          </cell>
          <cell r="E100">
            <v>1.4</v>
          </cell>
          <cell r="F100">
            <v>777</v>
          </cell>
          <cell r="G100">
            <v>1</v>
          </cell>
          <cell r="H100">
            <v>58</v>
          </cell>
          <cell r="I100">
            <v>6</v>
          </cell>
          <cell r="J100">
            <v>3</v>
          </cell>
          <cell r="K100">
            <v>1</v>
          </cell>
          <cell r="L100">
            <v>9.1071650000000002</v>
          </cell>
          <cell r="M100">
            <v>-83.483227999999997</v>
          </cell>
          <cell r="N100" t="str">
            <v>Sur</v>
          </cell>
          <cell r="O100">
            <v>1</v>
          </cell>
          <cell r="P100" t="str">
            <v>cabecar</v>
          </cell>
          <cell r="Q100" t="str">
            <v>cabecar</v>
          </cell>
          <cell r="R100" t="b">
            <v>1</v>
          </cell>
          <cell r="S100" t="str">
            <v>62_1</v>
          </cell>
          <cell r="T100">
            <v>1</v>
          </cell>
          <cell r="U100">
            <v>5</v>
          </cell>
          <cell r="V100">
            <v>3</v>
          </cell>
          <cell r="W100">
            <v>0.6</v>
          </cell>
          <cell r="X100">
            <v>61</v>
          </cell>
          <cell r="Y100">
            <v>41</v>
          </cell>
          <cell r="Z100">
            <v>0.67213114799999996</v>
          </cell>
        </row>
        <row r="101">
          <cell r="B101" t="str">
            <v>F62_2B</v>
          </cell>
          <cell r="C101" t="str">
            <v>R2_F62_2B</v>
          </cell>
          <cell r="D101">
            <v>0</v>
          </cell>
          <cell r="E101">
            <v>0.04</v>
          </cell>
          <cell r="F101">
            <v>777</v>
          </cell>
          <cell r="G101">
            <v>1</v>
          </cell>
          <cell r="H101">
            <v>58</v>
          </cell>
          <cell r="I101">
            <v>6</v>
          </cell>
          <cell r="J101">
            <v>3</v>
          </cell>
          <cell r="K101">
            <v>0</v>
          </cell>
          <cell r="L101">
            <v>9.1071650000000002</v>
          </cell>
          <cell r="M101">
            <v>-83.483227999999997</v>
          </cell>
          <cell r="N101" t="str">
            <v>Sur</v>
          </cell>
          <cell r="O101">
            <v>1</v>
          </cell>
          <cell r="P101" t="str">
            <v>sacapobres</v>
          </cell>
          <cell r="Q101" t="str">
            <v>aguacatillo</v>
          </cell>
          <cell r="R101" t="b">
            <v>0</v>
          </cell>
          <cell r="S101" t="str">
            <v>62_2</v>
          </cell>
          <cell r="T101">
            <v>1</v>
          </cell>
          <cell r="U101">
            <v>5</v>
          </cell>
          <cell r="V101">
            <v>3</v>
          </cell>
          <cell r="W101">
            <v>0.6</v>
          </cell>
          <cell r="X101">
            <v>61</v>
          </cell>
          <cell r="Y101">
            <v>41</v>
          </cell>
          <cell r="Z101">
            <v>0.67213114799999996</v>
          </cell>
        </row>
        <row r="102">
          <cell r="B102" t="str">
            <v>F62_3B</v>
          </cell>
          <cell r="C102" t="str">
            <v>R2_F62_3B</v>
          </cell>
          <cell r="D102">
            <v>0</v>
          </cell>
          <cell r="E102">
            <v>0.04</v>
          </cell>
          <cell r="F102">
            <v>777</v>
          </cell>
          <cell r="G102">
            <v>1</v>
          </cell>
          <cell r="H102">
            <v>58</v>
          </cell>
          <cell r="I102">
            <v>6</v>
          </cell>
          <cell r="J102">
            <v>3</v>
          </cell>
          <cell r="K102">
            <v>0</v>
          </cell>
          <cell r="L102">
            <v>9.1071650000000002</v>
          </cell>
          <cell r="M102">
            <v>-83.483227999999997</v>
          </cell>
          <cell r="N102" t="str">
            <v>Sur</v>
          </cell>
          <cell r="O102">
            <v>1</v>
          </cell>
          <cell r="P102" t="str">
            <v>tequila</v>
          </cell>
          <cell r="Q102" t="str">
            <v>brunca</v>
          </cell>
          <cell r="R102" t="b">
            <v>0</v>
          </cell>
          <cell r="S102" t="str">
            <v>62_3</v>
          </cell>
          <cell r="T102">
            <v>1</v>
          </cell>
          <cell r="U102">
            <v>5</v>
          </cell>
          <cell r="V102">
            <v>3</v>
          </cell>
          <cell r="W102">
            <v>0.6</v>
          </cell>
          <cell r="X102">
            <v>61</v>
          </cell>
          <cell r="Y102">
            <v>41</v>
          </cell>
          <cell r="Z102">
            <v>0.67213114799999996</v>
          </cell>
        </row>
        <row r="103">
          <cell r="B103" t="str">
            <v>F62_4B</v>
          </cell>
          <cell r="C103" t="str">
            <v>R2_F62_4B</v>
          </cell>
          <cell r="D103">
            <v>0</v>
          </cell>
          <cell r="E103">
            <v>0.02</v>
          </cell>
          <cell r="F103">
            <v>777</v>
          </cell>
          <cell r="G103">
            <v>1</v>
          </cell>
          <cell r="H103">
            <v>58</v>
          </cell>
          <cell r="I103">
            <v>6</v>
          </cell>
          <cell r="J103">
            <v>3</v>
          </cell>
          <cell r="K103">
            <v>0</v>
          </cell>
          <cell r="L103">
            <v>9.1071650000000002</v>
          </cell>
          <cell r="M103">
            <v>-83.483227999999997</v>
          </cell>
          <cell r="N103" t="str">
            <v>Sur</v>
          </cell>
          <cell r="O103">
            <v>1</v>
          </cell>
          <cell r="P103" t="str">
            <v>tequila</v>
          </cell>
          <cell r="Q103" t="str">
            <v>talamanca</v>
          </cell>
          <cell r="R103" t="b">
            <v>0</v>
          </cell>
          <cell r="S103" t="str">
            <v>62_4</v>
          </cell>
          <cell r="T103">
            <v>0</v>
          </cell>
          <cell r="U103">
            <v>5</v>
          </cell>
          <cell r="V103">
            <v>3</v>
          </cell>
          <cell r="W103">
            <v>0.6</v>
          </cell>
          <cell r="X103">
            <v>61</v>
          </cell>
          <cell r="Y103">
            <v>41</v>
          </cell>
          <cell r="Z103">
            <v>0.67213114799999996</v>
          </cell>
        </row>
        <row r="104">
          <cell r="B104" t="str">
            <v>F63_1B</v>
          </cell>
          <cell r="C104" t="str">
            <v>R2_F63_1B</v>
          </cell>
          <cell r="D104">
            <v>1</v>
          </cell>
          <cell r="E104">
            <v>0.25</v>
          </cell>
          <cell r="F104">
            <v>542</v>
          </cell>
          <cell r="G104">
            <v>1</v>
          </cell>
          <cell r="H104">
            <v>38</v>
          </cell>
          <cell r="I104">
            <v>6</v>
          </cell>
          <cell r="J104">
            <v>4</v>
          </cell>
          <cell r="K104">
            <v>1</v>
          </cell>
          <cell r="L104">
            <v>9.0938929999999996</v>
          </cell>
          <cell r="M104">
            <v>-83.466446000000005</v>
          </cell>
          <cell r="N104" t="str">
            <v>Sur</v>
          </cell>
          <cell r="O104">
            <v>1</v>
          </cell>
          <cell r="P104" t="str">
            <v>uran</v>
          </cell>
          <cell r="Q104" t="str">
            <v>uran</v>
          </cell>
          <cell r="R104" t="b">
            <v>1</v>
          </cell>
          <cell r="S104" t="str">
            <v>63_1</v>
          </cell>
          <cell r="T104">
            <v>0</v>
          </cell>
          <cell r="U104">
            <v>8</v>
          </cell>
          <cell r="V104">
            <v>7</v>
          </cell>
          <cell r="W104">
            <v>0.875</v>
          </cell>
          <cell r="X104">
            <v>34</v>
          </cell>
          <cell r="Y104">
            <v>26</v>
          </cell>
          <cell r="Z104">
            <v>0.764705882</v>
          </cell>
        </row>
        <row r="105">
          <cell r="B105" t="str">
            <v>F63_2B</v>
          </cell>
          <cell r="C105" t="str">
            <v>R2_F63_2B</v>
          </cell>
          <cell r="D105">
            <v>0</v>
          </cell>
          <cell r="E105">
            <v>0.25</v>
          </cell>
          <cell r="F105">
            <v>542</v>
          </cell>
          <cell r="G105">
            <v>1</v>
          </cell>
          <cell r="H105">
            <v>38</v>
          </cell>
          <cell r="I105">
            <v>6</v>
          </cell>
          <cell r="J105">
            <v>4</v>
          </cell>
          <cell r="K105">
            <v>0</v>
          </cell>
          <cell r="L105">
            <v>9.0938929999999996</v>
          </cell>
          <cell r="M105">
            <v>-83.466446000000005</v>
          </cell>
          <cell r="N105" t="str">
            <v>Sur</v>
          </cell>
          <cell r="O105">
            <v>1</v>
          </cell>
          <cell r="P105" t="str">
            <v>tequila</v>
          </cell>
          <cell r="Q105" t="str">
            <v>talamanca</v>
          </cell>
          <cell r="R105" t="b">
            <v>0</v>
          </cell>
          <cell r="S105" t="str">
            <v>63_2</v>
          </cell>
          <cell r="T105">
            <v>0</v>
          </cell>
          <cell r="U105">
            <v>8</v>
          </cell>
          <cell r="V105">
            <v>7</v>
          </cell>
          <cell r="W105">
            <v>0.875</v>
          </cell>
          <cell r="X105">
            <v>34</v>
          </cell>
          <cell r="Y105">
            <v>26</v>
          </cell>
          <cell r="Z105">
            <v>0.764705882</v>
          </cell>
        </row>
        <row r="106">
          <cell r="B106" t="str">
            <v>F63_3B</v>
          </cell>
          <cell r="C106" t="str">
            <v>R2_F63_3B</v>
          </cell>
          <cell r="D106">
            <v>1</v>
          </cell>
          <cell r="E106">
            <v>1.5</v>
          </cell>
          <cell r="F106">
            <v>542</v>
          </cell>
          <cell r="G106">
            <v>1</v>
          </cell>
          <cell r="H106">
            <v>38</v>
          </cell>
          <cell r="I106">
            <v>6</v>
          </cell>
          <cell r="J106">
            <v>4</v>
          </cell>
          <cell r="K106">
            <v>1</v>
          </cell>
          <cell r="L106">
            <v>9.0938929999999996</v>
          </cell>
          <cell r="M106">
            <v>-83.466446000000005</v>
          </cell>
          <cell r="N106" t="str">
            <v>Sur</v>
          </cell>
          <cell r="O106">
            <v>1</v>
          </cell>
          <cell r="P106" t="str">
            <v>cabecar</v>
          </cell>
          <cell r="Q106" t="str">
            <v>cabecar</v>
          </cell>
          <cell r="R106" t="b">
            <v>1</v>
          </cell>
          <cell r="S106" t="str">
            <v>63_3</v>
          </cell>
          <cell r="T106">
            <v>1</v>
          </cell>
          <cell r="U106">
            <v>8</v>
          </cell>
          <cell r="V106">
            <v>7</v>
          </cell>
          <cell r="W106">
            <v>0.875</v>
          </cell>
          <cell r="X106">
            <v>34</v>
          </cell>
          <cell r="Y106">
            <v>26</v>
          </cell>
          <cell r="Z106">
            <v>0.764705882</v>
          </cell>
        </row>
        <row r="107">
          <cell r="B107" t="str">
            <v>F63_4B</v>
          </cell>
          <cell r="C107" t="str">
            <v>R2_F63_4B</v>
          </cell>
          <cell r="D107">
            <v>1</v>
          </cell>
          <cell r="E107">
            <v>2.5</v>
          </cell>
          <cell r="F107">
            <v>542</v>
          </cell>
          <cell r="G107">
            <v>1</v>
          </cell>
          <cell r="H107">
            <v>38</v>
          </cell>
          <cell r="I107">
            <v>6</v>
          </cell>
          <cell r="J107">
            <v>4</v>
          </cell>
          <cell r="K107">
            <v>1</v>
          </cell>
          <cell r="L107">
            <v>9.0938929999999996</v>
          </cell>
          <cell r="M107">
            <v>-83.466446000000005</v>
          </cell>
          <cell r="N107" t="str">
            <v>Sur</v>
          </cell>
          <cell r="O107">
            <v>1</v>
          </cell>
          <cell r="P107" t="str">
            <v>nambi</v>
          </cell>
          <cell r="Q107" t="str">
            <v>nambi</v>
          </cell>
          <cell r="R107" t="b">
            <v>1</v>
          </cell>
          <cell r="S107" t="str">
            <v>63_4</v>
          </cell>
          <cell r="T107">
            <v>1</v>
          </cell>
          <cell r="U107">
            <v>8</v>
          </cell>
          <cell r="V107">
            <v>7</v>
          </cell>
          <cell r="W107">
            <v>0.875</v>
          </cell>
          <cell r="X107">
            <v>34</v>
          </cell>
          <cell r="Y107">
            <v>26</v>
          </cell>
          <cell r="Z107">
            <v>0.764705882</v>
          </cell>
        </row>
        <row r="108">
          <cell r="B108" t="str">
            <v>F65_1B</v>
          </cell>
          <cell r="C108" t="str">
            <v>R2_F65_1B</v>
          </cell>
          <cell r="D108">
            <v>1</v>
          </cell>
          <cell r="E108">
            <v>2.1</v>
          </cell>
          <cell r="F108">
            <v>551</v>
          </cell>
          <cell r="G108">
            <v>1</v>
          </cell>
          <cell r="H108">
            <v>30</v>
          </cell>
          <cell r="I108">
            <v>11</v>
          </cell>
          <cell r="J108">
            <v>1</v>
          </cell>
          <cell r="K108">
            <v>1</v>
          </cell>
          <cell r="L108">
            <v>9.0952850000000005</v>
          </cell>
          <cell r="M108">
            <v>-83.466592000000006</v>
          </cell>
          <cell r="N108" t="str">
            <v>Sur</v>
          </cell>
          <cell r="O108">
            <v>1</v>
          </cell>
          <cell r="P108" t="str">
            <v>cabecar</v>
          </cell>
          <cell r="Q108" t="str">
            <v>cabecar</v>
          </cell>
          <cell r="R108" t="b">
            <v>1</v>
          </cell>
          <cell r="S108" t="str">
            <v>65_1</v>
          </cell>
          <cell r="T108">
            <v>1</v>
          </cell>
          <cell r="U108">
            <v>11</v>
          </cell>
          <cell r="V108">
            <v>8</v>
          </cell>
          <cell r="W108">
            <v>0.72727272700000001</v>
          </cell>
          <cell r="X108">
            <v>38</v>
          </cell>
          <cell r="Y108">
            <v>27</v>
          </cell>
          <cell r="Z108">
            <v>0.71052631600000005</v>
          </cell>
        </row>
        <row r="109">
          <cell r="B109" t="str">
            <v>F65_2B</v>
          </cell>
          <cell r="C109" t="str">
            <v>R2_F65_2B</v>
          </cell>
          <cell r="D109">
            <v>1</v>
          </cell>
          <cell r="E109">
            <v>1.75</v>
          </cell>
          <cell r="F109">
            <v>551</v>
          </cell>
          <cell r="G109">
            <v>1</v>
          </cell>
          <cell r="H109">
            <v>30</v>
          </cell>
          <cell r="I109">
            <v>11</v>
          </cell>
          <cell r="J109">
            <v>1</v>
          </cell>
          <cell r="K109">
            <v>1</v>
          </cell>
          <cell r="L109">
            <v>9.0952850000000005</v>
          </cell>
          <cell r="M109">
            <v>-83.466592000000006</v>
          </cell>
          <cell r="N109" t="str">
            <v>Sur</v>
          </cell>
          <cell r="O109">
            <v>1</v>
          </cell>
          <cell r="P109" t="str">
            <v>nambi</v>
          </cell>
          <cell r="Q109" t="str">
            <v>nambi</v>
          </cell>
          <cell r="R109" t="b">
            <v>1</v>
          </cell>
          <cell r="S109" t="str">
            <v>65_2</v>
          </cell>
          <cell r="T109">
            <v>1</v>
          </cell>
          <cell r="U109">
            <v>11</v>
          </cell>
          <cell r="V109">
            <v>8</v>
          </cell>
          <cell r="W109">
            <v>0.72727272700000001</v>
          </cell>
          <cell r="X109">
            <v>38</v>
          </cell>
          <cell r="Y109">
            <v>27</v>
          </cell>
          <cell r="Z109">
            <v>0.71052631600000005</v>
          </cell>
        </row>
        <row r="110">
          <cell r="B110" t="str">
            <v>F66_1B</v>
          </cell>
          <cell r="C110" t="str">
            <v>R2_F66_1B</v>
          </cell>
          <cell r="D110">
            <v>1</v>
          </cell>
          <cell r="E110">
            <v>2</v>
          </cell>
          <cell r="F110">
            <v>536</v>
          </cell>
          <cell r="G110">
            <v>1</v>
          </cell>
          <cell r="H110">
            <v>33</v>
          </cell>
          <cell r="I110">
            <v>11</v>
          </cell>
          <cell r="J110">
            <v>4</v>
          </cell>
          <cell r="K110">
            <v>1</v>
          </cell>
          <cell r="L110">
            <v>9.1011740000000003</v>
          </cell>
          <cell r="M110">
            <v>-83.468390999999997</v>
          </cell>
          <cell r="N110" t="str">
            <v>Sur</v>
          </cell>
          <cell r="O110">
            <v>1</v>
          </cell>
          <cell r="P110" t="str">
            <v>cabecar</v>
          </cell>
          <cell r="Q110" t="str">
            <v>cabecar</v>
          </cell>
          <cell r="R110" t="b">
            <v>1</v>
          </cell>
          <cell r="S110" t="str">
            <v>66_1</v>
          </cell>
          <cell r="T110">
            <v>1</v>
          </cell>
          <cell r="U110">
            <v>13</v>
          </cell>
          <cell r="V110">
            <v>11</v>
          </cell>
          <cell r="W110">
            <v>0.84615384599999999</v>
          </cell>
          <cell r="X110">
            <v>45</v>
          </cell>
          <cell r="Y110">
            <v>34</v>
          </cell>
          <cell r="Z110">
            <v>0.75555555600000002</v>
          </cell>
        </row>
        <row r="111">
          <cell r="B111" t="str">
            <v>F67_1B</v>
          </cell>
          <cell r="C111" t="str">
            <v>R2_F67_1B</v>
          </cell>
          <cell r="D111">
            <v>1</v>
          </cell>
          <cell r="E111">
            <v>3</v>
          </cell>
          <cell r="F111">
            <v>563</v>
          </cell>
          <cell r="G111">
            <v>1</v>
          </cell>
          <cell r="H111">
            <v>43</v>
          </cell>
          <cell r="I111">
            <v>6</v>
          </cell>
          <cell r="J111">
            <v>5</v>
          </cell>
          <cell r="K111">
            <v>1</v>
          </cell>
          <cell r="L111">
            <v>9.1016449999999995</v>
          </cell>
          <cell r="M111">
            <v>-83.473695000000006</v>
          </cell>
          <cell r="N111" t="str">
            <v>Sur</v>
          </cell>
          <cell r="O111">
            <v>1</v>
          </cell>
          <cell r="P111" t="str">
            <v>cabecar</v>
          </cell>
          <cell r="Q111" t="str">
            <v>cabecar</v>
          </cell>
          <cell r="R111" t="b">
            <v>1</v>
          </cell>
          <cell r="S111" t="str">
            <v>67_1</v>
          </cell>
          <cell r="T111">
            <v>1</v>
          </cell>
          <cell r="U111">
            <v>13</v>
          </cell>
          <cell r="V111">
            <v>9</v>
          </cell>
          <cell r="W111">
            <v>0.69230769199999997</v>
          </cell>
          <cell r="X111">
            <v>48</v>
          </cell>
          <cell r="Y111">
            <v>35</v>
          </cell>
          <cell r="Z111">
            <v>0.72916666699999999</v>
          </cell>
        </row>
        <row r="112">
          <cell r="B112" t="str">
            <v>F67_2B</v>
          </cell>
          <cell r="C112" t="str">
            <v>R2_F67_2B</v>
          </cell>
          <cell r="D112">
            <v>1</v>
          </cell>
          <cell r="E112">
            <v>1</v>
          </cell>
          <cell r="F112">
            <v>563</v>
          </cell>
          <cell r="G112">
            <v>1</v>
          </cell>
          <cell r="H112">
            <v>43</v>
          </cell>
          <cell r="I112">
            <v>6</v>
          </cell>
          <cell r="J112">
            <v>5</v>
          </cell>
          <cell r="K112">
            <v>1</v>
          </cell>
          <cell r="L112">
            <v>9.1016449999999995</v>
          </cell>
          <cell r="M112">
            <v>-83.473695000000006</v>
          </cell>
          <cell r="N112" t="str">
            <v>Sur</v>
          </cell>
          <cell r="O112">
            <v>1</v>
          </cell>
          <cell r="P112" t="str">
            <v>nambi</v>
          </cell>
          <cell r="Q112" t="str">
            <v>nambi</v>
          </cell>
          <cell r="R112" t="b">
            <v>1</v>
          </cell>
          <cell r="S112" t="str">
            <v>67_2</v>
          </cell>
          <cell r="T112">
            <v>1</v>
          </cell>
          <cell r="U112">
            <v>13</v>
          </cell>
          <cell r="V112">
            <v>9</v>
          </cell>
          <cell r="W112">
            <v>0.69230769199999997</v>
          </cell>
          <cell r="X112">
            <v>48</v>
          </cell>
          <cell r="Y112">
            <v>35</v>
          </cell>
          <cell r="Z112">
            <v>0.72916666699999999</v>
          </cell>
        </row>
        <row r="113">
          <cell r="B113" t="str">
            <v>F68_1B</v>
          </cell>
          <cell r="C113" t="str">
            <v>R2_F68_1B</v>
          </cell>
          <cell r="D113">
            <v>1</v>
          </cell>
          <cell r="E113">
            <v>2.5</v>
          </cell>
          <cell r="F113">
            <v>394</v>
          </cell>
          <cell r="G113">
            <v>1</v>
          </cell>
          <cell r="H113">
            <v>30</v>
          </cell>
          <cell r="I113">
            <v>11</v>
          </cell>
          <cell r="J113">
            <v>4</v>
          </cell>
          <cell r="K113">
            <v>1</v>
          </cell>
          <cell r="L113">
            <v>9.0740300000000005</v>
          </cell>
          <cell r="M113">
            <v>-83.510493999999994</v>
          </cell>
          <cell r="N113" t="str">
            <v>Sur</v>
          </cell>
          <cell r="O113">
            <v>1</v>
          </cell>
          <cell r="P113" t="str">
            <v>cabecar</v>
          </cell>
          <cell r="Q113" t="str">
            <v>cabecar</v>
          </cell>
          <cell r="R113" t="b">
            <v>1</v>
          </cell>
          <cell r="S113" t="str">
            <v>68_1</v>
          </cell>
          <cell r="T113">
            <v>1</v>
          </cell>
          <cell r="U113">
            <v>12</v>
          </cell>
          <cell r="V113">
            <v>8</v>
          </cell>
          <cell r="W113">
            <v>0.66666666699999999</v>
          </cell>
          <cell r="X113">
            <v>48</v>
          </cell>
          <cell r="Y113">
            <v>28</v>
          </cell>
          <cell r="Z113">
            <v>0.58333333300000001</v>
          </cell>
        </row>
        <row r="114">
          <cell r="B114" t="str">
            <v>F69_1B</v>
          </cell>
          <cell r="C114" t="str">
            <v>R2_F69_1B</v>
          </cell>
          <cell r="D114">
            <v>0</v>
          </cell>
          <cell r="E114">
            <v>0.7</v>
          </cell>
          <cell r="F114">
            <v>248</v>
          </cell>
          <cell r="G114">
            <v>1</v>
          </cell>
          <cell r="H114">
            <v>51</v>
          </cell>
          <cell r="I114">
            <v>6</v>
          </cell>
          <cell r="J114">
            <v>6</v>
          </cell>
          <cell r="K114">
            <v>0</v>
          </cell>
          <cell r="L114">
            <v>9.0827150000000003</v>
          </cell>
          <cell r="M114">
            <v>-83.432715000000002</v>
          </cell>
          <cell r="N114" t="str">
            <v>Sur</v>
          </cell>
          <cell r="O114">
            <v>1</v>
          </cell>
          <cell r="P114" t="str">
            <v>victoria</v>
          </cell>
          <cell r="Q114" t="str">
            <v>cabecar</v>
          </cell>
          <cell r="R114" t="b">
            <v>0</v>
          </cell>
          <cell r="S114" t="str">
            <v>69_1</v>
          </cell>
          <cell r="T114">
            <v>1</v>
          </cell>
          <cell r="U114">
            <v>10</v>
          </cell>
          <cell r="V114">
            <v>7</v>
          </cell>
          <cell r="W114">
            <v>0.7</v>
          </cell>
          <cell r="X114">
            <v>20</v>
          </cell>
          <cell r="Y114">
            <v>14</v>
          </cell>
          <cell r="Z114">
            <v>0.7</v>
          </cell>
        </row>
        <row r="115">
          <cell r="B115" t="str">
            <v>F69_2B</v>
          </cell>
          <cell r="C115" t="str">
            <v>R2_F69_2B</v>
          </cell>
          <cell r="D115">
            <v>1</v>
          </cell>
          <cell r="E115">
            <v>0.7</v>
          </cell>
          <cell r="F115">
            <v>248</v>
          </cell>
          <cell r="G115">
            <v>1</v>
          </cell>
          <cell r="H115">
            <v>51</v>
          </cell>
          <cell r="I115">
            <v>6</v>
          </cell>
          <cell r="J115">
            <v>6</v>
          </cell>
          <cell r="K115">
            <v>1</v>
          </cell>
          <cell r="L115">
            <v>9.0827150000000003</v>
          </cell>
          <cell r="M115">
            <v>-83.432715000000002</v>
          </cell>
          <cell r="N115" t="str">
            <v>Sur</v>
          </cell>
          <cell r="O115">
            <v>1</v>
          </cell>
          <cell r="P115" t="str">
            <v>nambi</v>
          </cell>
          <cell r="Q115" t="str">
            <v>nambi</v>
          </cell>
          <cell r="R115" t="b">
            <v>1</v>
          </cell>
          <cell r="S115" t="str">
            <v>69_2</v>
          </cell>
          <cell r="T115">
            <v>1</v>
          </cell>
          <cell r="U115">
            <v>10</v>
          </cell>
          <cell r="V115">
            <v>7</v>
          </cell>
          <cell r="W115">
            <v>0.7</v>
          </cell>
          <cell r="X115">
            <v>20</v>
          </cell>
          <cell r="Y115">
            <v>14</v>
          </cell>
          <cell r="Z115">
            <v>0.7</v>
          </cell>
        </row>
        <row r="116">
          <cell r="B116" t="str">
            <v>F69_3B</v>
          </cell>
          <cell r="C116" t="str">
            <v>R2_F69_3B</v>
          </cell>
          <cell r="D116">
            <v>0</v>
          </cell>
          <cell r="E116">
            <v>0.35</v>
          </cell>
          <cell r="F116">
            <v>248</v>
          </cell>
          <cell r="G116">
            <v>1</v>
          </cell>
          <cell r="H116">
            <v>51</v>
          </cell>
          <cell r="I116">
            <v>6</v>
          </cell>
          <cell r="J116">
            <v>6</v>
          </cell>
          <cell r="K116">
            <v>1</v>
          </cell>
          <cell r="L116">
            <v>9.0827150000000003</v>
          </cell>
          <cell r="M116">
            <v>-83.432715000000002</v>
          </cell>
          <cell r="N116" t="str">
            <v>Sur</v>
          </cell>
          <cell r="O116">
            <v>1</v>
          </cell>
          <cell r="P116" t="str">
            <v>nambi</v>
          </cell>
          <cell r="Q116" t="str">
            <v>generalito</v>
          </cell>
          <cell r="R116" t="b">
            <v>0</v>
          </cell>
          <cell r="S116" t="str">
            <v>69_3</v>
          </cell>
          <cell r="T116">
            <v>0</v>
          </cell>
          <cell r="U116">
            <v>10</v>
          </cell>
          <cell r="V116">
            <v>7</v>
          </cell>
          <cell r="W116">
            <v>0.7</v>
          </cell>
          <cell r="X116">
            <v>20</v>
          </cell>
          <cell r="Y116">
            <v>14</v>
          </cell>
          <cell r="Z116">
            <v>0.7</v>
          </cell>
        </row>
        <row r="117">
          <cell r="B117" t="str">
            <v>F69_4B</v>
          </cell>
          <cell r="C117" t="str">
            <v>R2_F69_4B</v>
          </cell>
          <cell r="D117">
            <v>1</v>
          </cell>
          <cell r="E117">
            <v>6.25E-2</v>
          </cell>
          <cell r="F117">
            <v>248</v>
          </cell>
          <cell r="G117">
            <v>1</v>
          </cell>
          <cell r="H117">
            <v>51</v>
          </cell>
          <cell r="I117">
            <v>6</v>
          </cell>
          <cell r="J117">
            <v>6</v>
          </cell>
          <cell r="K117">
            <v>0</v>
          </cell>
          <cell r="L117">
            <v>9.0827150000000003</v>
          </cell>
          <cell r="M117">
            <v>-83.432715000000002</v>
          </cell>
          <cell r="N117" t="str">
            <v>Sur</v>
          </cell>
          <cell r="O117">
            <v>1</v>
          </cell>
          <cell r="P117" t="str">
            <v>mantequilla</v>
          </cell>
          <cell r="Q117" t="str">
            <v>mantequilla</v>
          </cell>
          <cell r="R117" t="b">
            <v>1</v>
          </cell>
          <cell r="S117" t="str">
            <v>69_4</v>
          </cell>
          <cell r="T117">
            <v>1</v>
          </cell>
          <cell r="U117">
            <v>10</v>
          </cell>
          <cell r="V117">
            <v>7</v>
          </cell>
          <cell r="W117">
            <v>0.7</v>
          </cell>
          <cell r="X117">
            <v>20</v>
          </cell>
          <cell r="Y117">
            <v>14</v>
          </cell>
          <cell r="Z117">
            <v>0.7</v>
          </cell>
        </row>
        <row r="118">
          <cell r="B118" t="str">
            <v>F70_1B</v>
          </cell>
          <cell r="C118" t="str">
            <v>R2_F70_1B</v>
          </cell>
          <cell r="D118">
            <v>0</v>
          </cell>
          <cell r="E118">
            <v>3.5</v>
          </cell>
          <cell r="F118">
            <v>479</v>
          </cell>
          <cell r="G118">
            <v>1</v>
          </cell>
          <cell r="H118">
            <v>36</v>
          </cell>
          <cell r="I118">
            <v>6</v>
          </cell>
          <cell r="J118">
            <v>6</v>
          </cell>
          <cell r="K118">
            <v>0</v>
          </cell>
          <cell r="L118">
            <v>9.0708470000000005</v>
          </cell>
          <cell r="M118">
            <v>-83.404458000000005</v>
          </cell>
          <cell r="N118" t="str">
            <v>Sur</v>
          </cell>
          <cell r="O118">
            <v>1</v>
          </cell>
          <cell r="P118" t="str">
            <v>victoria</v>
          </cell>
          <cell r="Q118" t="str">
            <v>cabecar</v>
          </cell>
          <cell r="R118" t="b">
            <v>0</v>
          </cell>
          <cell r="S118" t="str">
            <v>70_1</v>
          </cell>
          <cell r="T118">
            <v>1</v>
          </cell>
          <cell r="U118">
            <v>4</v>
          </cell>
          <cell r="V118">
            <v>3</v>
          </cell>
          <cell r="W118">
            <v>0.75</v>
          </cell>
          <cell r="X118">
            <v>16</v>
          </cell>
          <cell r="Y118">
            <v>11</v>
          </cell>
          <cell r="Z118">
            <v>0.6875</v>
          </cell>
        </row>
        <row r="119">
          <cell r="B119" t="str">
            <v>F70_2B</v>
          </cell>
          <cell r="C119" t="str">
            <v>R2_F70_2B</v>
          </cell>
          <cell r="D119">
            <v>1</v>
          </cell>
          <cell r="E119">
            <v>1.4</v>
          </cell>
          <cell r="F119">
            <v>479</v>
          </cell>
          <cell r="G119">
            <v>1</v>
          </cell>
          <cell r="H119">
            <v>36</v>
          </cell>
          <cell r="I119">
            <v>6</v>
          </cell>
          <cell r="J119">
            <v>6</v>
          </cell>
          <cell r="K119">
            <v>1</v>
          </cell>
          <cell r="L119">
            <v>9.0708470000000005</v>
          </cell>
          <cell r="M119">
            <v>-83.404458000000005</v>
          </cell>
          <cell r="N119" t="str">
            <v>Sur</v>
          </cell>
          <cell r="O119">
            <v>1</v>
          </cell>
          <cell r="P119" t="str">
            <v>nambi</v>
          </cell>
          <cell r="Q119" t="str">
            <v>nambi</v>
          </cell>
          <cell r="R119" t="b">
            <v>1</v>
          </cell>
          <cell r="S119" t="str">
            <v>70_2</v>
          </cell>
          <cell r="T119">
            <v>1</v>
          </cell>
          <cell r="U119">
            <v>4</v>
          </cell>
          <cell r="V119">
            <v>3</v>
          </cell>
          <cell r="W119">
            <v>0.75</v>
          </cell>
          <cell r="X119">
            <v>16</v>
          </cell>
          <cell r="Y119">
            <v>11</v>
          </cell>
          <cell r="Z119">
            <v>0.6875</v>
          </cell>
        </row>
        <row r="120">
          <cell r="B120" t="str">
            <v>F71_1B</v>
          </cell>
          <cell r="C120" t="str">
            <v>R2_F71_1B</v>
          </cell>
          <cell r="D120">
            <v>1</v>
          </cell>
          <cell r="E120">
            <v>1.4</v>
          </cell>
          <cell r="F120">
            <v>527</v>
          </cell>
          <cell r="G120">
            <v>1</v>
          </cell>
          <cell r="H120">
            <v>36</v>
          </cell>
          <cell r="I120">
            <v>10</v>
          </cell>
          <cell r="J120">
            <v>4</v>
          </cell>
          <cell r="K120">
            <v>1</v>
          </cell>
          <cell r="L120">
            <v>9.0716079999999994</v>
          </cell>
          <cell r="M120">
            <v>-83.402443000000005</v>
          </cell>
          <cell r="N120" t="str">
            <v>Sur</v>
          </cell>
          <cell r="O120">
            <v>1</v>
          </cell>
          <cell r="P120" t="str">
            <v>nambi</v>
          </cell>
          <cell r="Q120" t="str">
            <v>nambi</v>
          </cell>
          <cell r="R120" t="b">
            <v>1</v>
          </cell>
          <cell r="S120" t="str">
            <v>71_1</v>
          </cell>
          <cell r="T120">
            <v>1</v>
          </cell>
          <cell r="U120">
            <v>3</v>
          </cell>
          <cell r="V120">
            <v>3</v>
          </cell>
          <cell r="W120">
            <v>1</v>
          </cell>
          <cell r="X120">
            <v>12</v>
          </cell>
          <cell r="Y120">
            <v>8</v>
          </cell>
          <cell r="Z120">
            <v>0.66666666699999999</v>
          </cell>
        </row>
        <row r="121">
          <cell r="B121" t="str">
            <v>F71_2B</v>
          </cell>
          <cell r="C121" t="str">
            <v>R2_F71_2B</v>
          </cell>
          <cell r="D121">
            <v>0</v>
          </cell>
          <cell r="E121">
            <v>1.05</v>
          </cell>
          <cell r="F121">
            <v>527</v>
          </cell>
          <cell r="G121">
            <v>1</v>
          </cell>
          <cell r="H121">
            <v>36</v>
          </cell>
          <cell r="I121">
            <v>10</v>
          </cell>
          <cell r="J121">
            <v>4</v>
          </cell>
          <cell r="K121">
            <v>1</v>
          </cell>
          <cell r="L121">
            <v>9.0716079999999994</v>
          </cell>
          <cell r="M121">
            <v>-83.402443000000005</v>
          </cell>
          <cell r="N121" t="str">
            <v>Sur</v>
          </cell>
          <cell r="O121">
            <v>1</v>
          </cell>
          <cell r="P121" t="str">
            <v>uran</v>
          </cell>
          <cell r="Q121" t="str">
            <v>assay</v>
          </cell>
          <cell r="R121" t="str">
            <v>Not applicable</v>
          </cell>
          <cell r="S121" t="str">
            <v>71_2</v>
          </cell>
          <cell r="T121">
            <v>0</v>
          </cell>
          <cell r="U121">
            <v>3</v>
          </cell>
          <cell r="V121">
            <v>3</v>
          </cell>
          <cell r="W121">
            <v>1</v>
          </cell>
          <cell r="X121">
            <v>12</v>
          </cell>
          <cell r="Y121">
            <v>8</v>
          </cell>
          <cell r="Z121">
            <v>0.66666666699999999</v>
          </cell>
        </row>
        <row r="122">
          <cell r="B122" t="str">
            <v>F71_3B</v>
          </cell>
          <cell r="C122" t="str">
            <v>R2_F71_3B</v>
          </cell>
          <cell r="D122">
            <v>0</v>
          </cell>
          <cell r="E122">
            <v>0.875</v>
          </cell>
          <cell r="F122">
            <v>527</v>
          </cell>
          <cell r="G122">
            <v>1</v>
          </cell>
          <cell r="H122">
            <v>36</v>
          </cell>
          <cell r="I122">
            <v>10</v>
          </cell>
          <cell r="J122">
            <v>4</v>
          </cell>
          <cell r="K122">
            <v>0</v>
          </cell>
          <cell r="L122">
            <v>9.0716079999999994</v>
          </cell>
          <cell r="M122">
            <v>-83.402443000000005</v>
          </cell>
          <cell r="N122" t="str">
            <v>Sur</v>
          </cell>
          <cell r="O122">
            <v>1</v>
          </cell>
          <cell r="P122" t="str">
            <v>victoria</v>
          </cell>
          <cell r="Q122" t="str">
            <v>cabecar</v>
          </cell>
          <cell r="R122" t="b">
            <v>0</v>
          </cell>
          <cell r="S122" t="str">
            <v>71_3</v>
          </cell>
          <cell r="T122">
            <v>1</v>
          </cell>
          <cell r="U122">
            <v>3</v>
          </cell>
          <cell r="V122">
            <v>3</v>
          </cell>
          <cell r="W122">
            <v>1</v>
          </cell>
          <cell r="X122">
            <v>12</v>
          </cell>
          <cell r="Y122">
            <v>8</v>
          </cell>
          <cell r="Z122">
            <v>0.66666666699999999</v>
          </cell>
        </row>
        <row r="123">
          <cell r="B123" t="str">
            <v>F72_1B</v>
          </cell>
          <cell r="C123" t="str">
            <v>R2_F72_1B</v>
          </cell>
          <cell r="D123">
            <v>1</v>
          </cell>
          <cell r="E123">
            <v>1.5</v>
          </cell>
          <cell r="F123">
            <v>385</v>
          </cell>
          <cell r="G123">
            <v>1</v>
          </cell>
          <cell r="H123">
            <v>50</v>
          </cell>
          <cell r="I123">
            <v>4</v>
          </cell>
          <cell r="J123">
            <v>6</v>
          </cell>
          <cell r="K123">
            <v>1</v>
          </cell>
          <cell r="L123">
            <v>9.1261360000000007</v>
          </cell>
          <cell r="M123">
            <v>-83.364399000000006</v>
          </cell>
          <cell r="N123" t="str">
            <v>Sur</v>
          </cell>
          <cell r="O123">
            <v>1</v>
          </cell>
          <cell r="P123" t="str">
            <v>nambi</v>
          </cell>
          <cell r="Q123" t="str">
            <v>nambi</v>
          </cell>
          <cell r="R123" t="b">
            <v>1</v>
          </cell>
          <cell r="S123" t="str">
            <v>72_1</v>
          </cell>
          <cell r="T123">
            <v>1</v>
          </cell>
          <cell r="U123">
            <v>0</v>
          </cell>
          <cell r="V123">
            <v>0</v>
          </cell>
          <cell r="W123" t="str">
            <v>NA</v>
          </cell>
          <cell r="X123">
            <v>0</v>
          </cell>
          <cell r="Y123">
            <v>0</v>
          </cell>
          <cell r="Z123" t="str">
            <v>NA</v>
          </cell>
        </row>
        <row r="124">
          <cell r="B124" t="str">
            <v>F73_1B</v>
          </cell>
          <cell r="C124" t="str">
            <v>R2_F73_1B</v>
          </cell>
          <cell r="D124">
            <v>1</v>
          </cell>
          <cell r="E124">
            <v>2.8</v>
          </cell>
          <cell r="F124">
            <v>550</v>
          </cell>
          <cell r="G124">
            <v>1</v>
          </cell>
          <cell r="H124">
            <v>60</v>
          </cell>
          <cell r="I124">
            <v>6</v>
          </cell>
          <cell r="J124">
            <v>4</v>
          </cell>
          <cell r="K124">
            <v>1</v>
          </cell>
          <cell r="L124">
            <v>9.0989450000000005</v>
          </cell>
          <cell r="M124">
            <v>-83.467894999999999</v>
          </cell>
          <cell r="N124" t="str">
            <v>Sur</v>
          </cell>
          <cell r="O124">
            <v>1</v>
          </cell>
          <cell r="P124" t="str">
            <v>nambi</v>
          </cell>
          <cell r="Q124" t="str">
            <v>nambi</v>
          </cell>
          <cell r="R124" t="b">
            <v>1</v>
          </cell>
          <cell r="S124" t="str">
            <v>73_1</v>
          </cell>
          <cell r="T124">
            <v>1</v>
          </cell>
          <cell r="U124">
            <v>16</v>
          </cell>
          <cell r="V124">
            <v>13</v>
          </cell>
          <cell r="W124">
            <v>0.8125</v>
          </cell>
          <cell r="X124">
            <v>42</v>
          </cell>
          <cell r="Y124">
            <v>32</v>
          </cell>
          <cell r="Z124">
            <v>0.76190476200000001</v>
          </cell>
        </row>
        <row r="125">
          <cell r="B125" t="str">
            <v>F73_2B</v>
          </cell>
          <cell r="C125" t="str">
            <v>R2_F73_2B</v>
          </cell>
          <cell r="D125">
            <v>0</v>
          </cell>
          <cell r="E125">
            <v>1.4</v>
          </cell>
          <cell r="F125">
            <v>550</v>
          </cell>
          <cell r="G125">
            <v>1</v>
          </cell>
          <cell r="H125">
            <v>60</v>
          </cell>
          <cell r="I125">
            <v>6</v>
          </cell>
          <cell r="J125">
            <v>4</v>
          </cell>
          <cell r="K125">
            <v>0</v>
          </cell>
          <cell r="L125">
            <v>9.0989450000000005</v>
          </cell>
          <cell r="M125">
            <v>-83.467894999999999</v>
          </cell>
          <cell r="N125" t="str">
            <v>Sur</v>
          </cell>
          <cell r="O125">
            <v>1</v>
          </cell>
          <cell r="P125" t="str">
            <v>tequila</v>
          </cell>
          <cell r="Q125" t="str">
            <v>other</v>
          </cell>
          <cell r="R125" t="str">
            <v>Not applicable</v>
          </cell>
          <cell r="S125" t="str">
            <v>73_2</v>
          </cell>
          <cell r="T125">
            <v>0</v>
          </cell>
          <cell r="U125">
            <v>16</v>
          </cell>
          <cell r="V125">
            <v>13</v>
          </cell>
          <cell r="W125">
            <v>0.8125</v>
          </cell>
          <cell r="X125">
            <v>42</v>
          </cell>
          <cell r="Y125">
            <v>32</v>
          </cell>
          <cell r="Z125">
            <v>0.76190476200000001</v>
          </cell>
        </row>
        <row r="126">
          <cell r="B126" t="str">
            <v>F73_3B</v>
          </cell>
          <cell r="C126" t="str">
            <v>R2_F73_3B</v>
          </cell>
          <cell r="D126">
            <v>1</v>
          </cell>
          <cell r="E126">
            <v>0.7</v>
          </cell>
          <cell r="F126">
            <v>550</v>
          </cell>
          <cell r="G126">
            <v>1</v>
          </cell>
          <cell r="H126">
            <v>60</v>
          </cell>
          <cell r="I126">
            <v>6</v>
          </cell>
          <cell r="J126">
            <v>4</v>
          </cell>
          <cell r="K126">
            <v>1</v>
          </cell>
          <cell r="L126">
            <v>9.0989450000000005</v>
          </cell>
          <cell r="M126">
            <v>-83.467894999999999</v>
          </cell>
          <cell r="N126" t="str">
            <v>Sur</v>
          </cell>
          <cell r="O126">
            <v>1</v>
          </cell>
          <cell r="P126" t="str">
            <v>cabecar</v>
          </cell>
          <cell r="Q126" t="str">
            <v>cabecar</v>
          </cell>
          <cell r="R126" t="b">
            <v>1</v>
          </cell>
          <cell r="S126" t="str">
            <v>73_3</v>
          </cell>
          <cell r="T126">
            <v>1</v>
          </cell>
          <cell r="U126">
            <v>16</v>
          </cell>
          <cell r="V126">
            <v>13</v>
          </cell>
          <cell r="W126">
            <v>0.8125</v>
          </cell>
          <cell r="X126">
            <v>42</v>
          </cell>
          <cell r="Y126">
            <v>32</v>
          </cell>
          <cell r="Z126">
            <v>0.76190476200000001</v>
          </cell>
        </row>
        <row r="127">
          <cell r="B127" t="str">
            <v>F74_1B</v>
          </cell>
          <cell r="C127" t="str">
            <v>R2_F74_1B</v>
          </cell>
          <cell r="D127">
            <v>1</v>
          </cell>
          <cell r="E127">
            <v>1.4</v>
          </cell>
          <cell r="F127">
            <v>357</v>
          </cell>
          <cell r="G127">
            <v>1</v>
          </cell>
          <cell r="H127">
            <v>49</v>
          </cell>
          <cell r="I127">
            <v>6</v>
          </cell>
          <cell r="J127">
            <v>3</v>
          </cell>
          <cell r="K127">
            <v>1</v>
          </cell>
          <cell r="L127">
            <v>9.0989179999999994</v>
          </cell>
          <cell r="M127">
            <v>-83.440843000000001</v>
          </cell>
          <cell r="N127" t="str">
            <v>Sur</v>
          </cell>
          <cell r="O127">
            <v>1</v>
          </cell>
          <cell r="P127" t="str">
            <v>cabecar</v>
          </cell>
          <cell r="Q127" t="str">
            <v>cabecar</v>
          </cell>
          <cell r="R127" t="b">
            <v>1</v>
          </cell>
          <cell r="S127" t="str">
            <v>74_1</v>
          </cell>
          <cell r="T127">
            <v>1</v>
          </cell>
          <cell r="U127">
            <v>0</v>
          </cell>
          <cell r="V127">
            <v>0</v>
          </cell>
          <cell r="W127" t="str">
            <v>NA</v>
          </cell>
          <cell r="X127">
            <v>33</v>
          </cell>
          <cell r="Y127">
            <v>25</v>
          </cell>
          <cell r="Z127">
            <v>0.75757575799999999</v>
          </cell>
        </row>
        <row r="128">
          <cell r="B128" t="str">
            <v>F75_1B</v>
          </cell>
          <cell r="C128" t="str">
            <v>R2_F75_1B</v>
          </cell>
          <cell r="D128">
            <v>1</v>
          </cell>
          <cell r="E128">
            <v>0.5</v>
          </cell>
          <cell r="F128">
            <v>410</v>
          </cell>
          <cell r="G128">
            <v>1</v>
          </cell>
          <cell r="H128">
            <v>55</v>
          </cell>
          <cell r="I128">
            <v>6</v>
          </cell>
          <cell r="J128">
            <v>3</v>
          </cell>
          <cell r="K128">
            <v>1</v>
          </cell>
          <cell r="L128">
            <v>9.0961960000000008</v>
          </cell>
          <cell r="M128">
            <v>-83.433519000000004</v>
          </cell>
          <cell r="N128" t="str">
            <v>Sur</v>
          </cell>
          <cell r="O128">
            <v>1</v>
          </cell>
          <cell r="P128" t="str">
            <v>cabecar</v>
          </cell>
          <cell r="Q128" t="str">
            <v>cabecar</v>
          </cell>
          <cell r="R128" t="b">
            <v>1</v>
          </cell>
          <cell r="S128" t="str">
            <v>75_1</v>
          </cell>
          <cell r="T128">
            <v>1</v>
          </cell>
          <cell r="U128">
            <v>0</v>
          </cell>
          <cell r="V128">
            <v>0</v>
          </cell>
          <cell r="W128" t="str">
            <v>NA</v>
          </cell>
          <cell r="X128">
            <v>10</v>
          </cell>
          <cell r="Y128">
            <v>8</v>
          </cell>
          <cell r="Z128">
            <v>0.8</v>
          </cell>
        </row>
        <row r="129">
          <cell r="B129" t="str">
            <v>F75_2B</v>
          </cell>
          <cell r="C129" t="str">
            <v>R2_F75_2B</v>
          </cell>
          <cell r="D129">
            <v>1</v>
          </cell>
          <cell r="E129">
            <v>1</v>
          </cell>
          <cell r="F129">
            <v>410</v>
          </cell>
          <cell r="G129">
            <v>1</v>
          </cell>
          <cell r="H129">
            <v>55</v>
          </cell>
          <cell r="I129">
            <v>6</v>
          </cell>
          <cell r="J129">
            <v>3</v>
          </cell>
          <cell r="K129">
            <v>1</v>
          </cell>
          <cell r="L129">
            <v>9.0961960000000008</v>
          </cell>
          <cell r="M129">
            <v>-83.433519000000004</v>
          </cell>
          <cell r="N129" t="str">
            <v>Sur</v>
          </cell>
          <cell r="O129">
            <v>1</v>
          </cell>
          <cell r="P129" t="str">
            <v>nambi</v>
          </cell>
          <cell r="Q129" t="str">
            <v>nambi</v>
          </cell>
          <cell r="R129" t="b">
            <v>1</v>
          </cell>
          <cell r="S129" t="str">
            <v>75_2</v>
          </cell>
          <cell r="T129">
            <v>1</v>
          </cell>
          <cell r="U129">
            <v>0</v>
          </cell>
          <cell r="V129">
            <v>0</v>
          </cell>
          <cell r="W129" t="str">
            <v>NA</v>
          </cell>
          <cell r="X129">
            <v>10</v>
          </cell>
          <cell r="Y129">
            <v>8</v>
          </cell>
          <cell r="Z129">
            <v>0.8</v>
          </cell>
        </row>
        <row r="130">
          <cell r="B130" t="str">
            <v>F76_1B</v>
          </cell>
          <cell r="C130" t="str">
            <v>R2_F76_1B</v>
          </cell>
          <cell r="D130">
            <v>1</v>
          </cell>
          <cell r="E130">
            <v>4.2</v>
          </cell>
          <cell r="F130">
            <v>465</v>
          </cell>
          <cell r="G130">
            <v>1</v>
          </cell>
          <cell r="H130">
            <v>23</v>
          </cell>
          <cell r="I130">
            <v>7</v>
          </cell>
          <cell r="J130">
            <v>1</v>
          </cell>
          <cell r="K130">
            <v>1</v>
          </cell>
          <cell r="L130">
            <v>9.0988399999999992</v>
          </cell>
          <cell r="M130">
            <v>-83.434583000000003</v>
          </cell>
          <cell r="N130" t="str">
            <v>Sur</v>
          </cell>
          <cell r="O130">
            <v>1</v>
          </cell>
          <cell r="P130" t="str">
            <v>nambi</v>
          </cell>
          <cell r="Q130" t="str">
            <v>nambi</v>
          </cell>
          <cell r="R130" t="b">
            <v>1</v>
          </cell>
          <cell r="S130" t="str">
            <v>76_1</v>
          </cell>
          <cell r="T130">
            <v>1</v>
          </cell>
          <cell r="U130">
            <v>0</v>
          </cell>
          <cell r="V130">
            <v>0</v>
          </cell>
          <cell r="W130" t="str">
            <v>NA</v>
          </cell>
          <cell r="X130">
            <v>10</v>
          </cell>
          <cell r="Y130">
            <v>8</v>
          </cell>
          <cell r="Z130">
            <v>0.8</v>
          </cell>
        </row>
        <row r="131">
          <cell r="B131" t="str">
            <v>F76_2B</v>
          </cell>
          <cell r="C131" t="str">
            <v>R2_F76_2B</v>
          </cell>
          <cell r="D131">
            <v>1</v>
          </cell>
          <cell r="E131">
            <v>5.6</v>
          </cell>
          <cell r="F131">
            <v>465</v>
          </cell>
          <cell r="G131">
            <v>1</v>
          </cell>
          <cell r="H131">
            <v>23</v>
          </cell>
          <cell r="I131">
            <v>7</v>
          </cell>
          <cell r="J131">
            <v>1</v>
          </cell>
          <cell r="K131">
            <v>1</v>
          </cell>
          <cell r="L131">
            <v>9.0988399999999992</v>
          </cell>
          <cell r="M131">
            <v>-83.434583000000003</v>
          </cell>
          <cell r="N131" t="str">
            <v>Sur</v>
          </cell>
          <cell r="O131">
            <v>1</v>
          </cell>
          <cell r="P131" t="str">
            <v>cabecar</v>
          </cell>
          <cell r="Q131" t="str">
            <v>cabecar</v>
          </cell>
          <cell r="R131" t="b">
            <v>1</v>
          </cell>
          <cell r="S131" t="str">
            <v>76_2</v>
          </cell>
          <cell r="T131">
            <v>1</v>
          </cell>
          <cell r="U131">
            <v>0</v>
          </cell>
          <cell r="V131">
            <v>0</v>
          </cell>
          <cell r="W131" t="str">
            <v>NA</v>
          </cell>
          <cell r="X131">
            <v>10</v>
          </cell>
          <cell r="Y131">
            <v>8</v>
          </cell>
          <cell r="Z131">
            <v>0.8</v>
          </cell>
        </row>
        <row r="132">
          <cell r="B132" t="str">
            <v>F77_1B</v>
          </cell>
          <cell r="C132" t="str">
            <v>R2_F77_1B</v>
          </cell>
          <cell r="D132">
            <v>1</v>
          </cell>
          <cell r="E132">
            <v>2.1</v>
          </cell>
          <cell r="F132">
            <v>285</v>
          </cell>
          <cell r="G132">
            <v>0</v>
          </cell>
          <cell r="H132">
            <v>43</v>
          </cell>
          <cell r="I132">
            <v>6</v>
          </cell>
          <cell r="J132">
            <v>4</v>
          </cell>
          <cell r="K132">
            <v>1</v>
          </cell>
          <cell r="L132">
            <v>9.0815850000000005</v>
          </cell>
          <cell r="M132">
            <v>-83.463510999999997</v>
          </cell>
          <cell r="N132" t="str">
            <v>Sur</v>
          </cell>
          <cell r="O132">
            <v>1</v>
          </cell>
          <cell r="P132" t="str">
            <v>cabecar</v>
          </cell>
          <cell r="Q132" t="str">
            <v>cabecar</v>
          </cell>
          <cell r="R132" t="b">
            <v>1</v>
          </cell>
          <cell r="S132" t="str">
            <v>77_1</v>
          </cell>
          <cell r="T132">
            <v>1</v>
          </cell>
          <cell r="U132">
            <v>0</v>
          </cell>
          <cell r="V132">
            <v>0</v>
          </cell>
          <cell r="W132" t="str">
            <v>NA</v>
          </cell>
          <cell r="X132">
            <v>33</v>
          </cell>
          <cell r="Y132">
            <v>24</v>
          </cell>
          <cell r="Z132">
            <v>0.72727272700000001</v>
          </cell>
        </row>
        <row r="133">
          <cell r="B133" t="str">
            <v>F78_1B</v>
          </cell>
          <cell r="C133" t="str">
            <v>R2_F78_1B</v>
          </cell>
          <cell r="D133">
            <v>1</v>
          </cell>
          <cell r="E133">
            <v>2.1</v>
          </cell>
          <cell r="F133">
            <v>247</v>
          </cell>
          <cell r="G133">
            <v>1</v>
          </cell>
          <cell r="H133">
            <v>55</v>
          </cell>
          <cell r="I133">
            <v>6</v>
          </cell>
          <cell r="J133">
            <v>3</v>
          </cell>
          <cell r="K133">
            <v>1</v>
          </cell>
          <cell r="L133">
            <v>9.0845190000000002</v>
          </cell>
          <cell r="M133">
            <v>-83.435931999999994</v>
          </cell>
          <cell r="N133" t="str">
            <v>Sur</v>
          </cell>
          <cell r="O133">
            <v>1</v>
          </cell>
          <cell r="P133" t="str">
            <v>cabecar</v>
          </cell>
          <cell r="Q133" t="str">
            <v>cabecar</v>
          </cell>
          <cell r="R133" t="b">
            <v>1</v>
          </cell>
          <cell r="S133" t="str">
            <v>78_1</v>
          </cell>
          <cell r="T133">
            <v>1</v>
          </cell>
          <cell r="U133">
            <v>11</v>
          </cell>
          <cell r="V133">
            <v>7</v>
          </cell>
          <cell r="W133">
            <v>0.63636363600000001</v>
          </cell>
          <cell r="X133">
            <v>23</v>
          </cell>
          <cell r="Y133">
            <v>16</v>
          </cell>
          <cell r="Z133">
            <v>0.69565217400000001</v>
          </cell>
        </row>
        <row r="134">
          <cell r="B134" t="str">
            <v>F78_2B</v>
          </cell>
          <cell r="C134" t="str">
            <v>R2_F78_2B</v>
          </cell>
          <cell r="D134">
            <v>1</v>
          </cell>
          <cell r="E134">
            <v>1.4</v>
          </cell>
          <cell r="F134">
            <v>247</v>
          </cell>
          <cell r="G134">
            <v>1</v>
          </cell>
          <cell r="H134">
            <v>55</v>
          </cell>
          <cell r="I134">
            <v>6</v>
          </cell>
          <cell r="J134">
            <v>3</v>
          </cell>
          <cell r="K134">
            <v>1</v>
          </cell>
          <cell r="L134">
            <v>9.0845190000000002</v>
          </cell>
          <cell r="M134">
            <v>-83.435931999999994</v>
          </cell>
          <cell r="N134" t="str">
            <v>Sur</v>
          </cell>
          <cell r="O134">
            <v>1</v>
          </cell>
          <cell r="P134" t="str">
            <v>nambi</v>
          </cell>
          <cell r="Q134" t="str">
            <v>nambi</v>
          </cell>
          <cell r="R134" t="b">
            <v>1</v>
          </cell>
          <cell r="S134" t="str">
            <v>78_2</v>
          </cell>
          <cell r="T134">
            <v>1</v>
          </cell>
          <cell r="U134">
            <v>11</v>
          </cell>
          <cell r="V134">
            <v>7</v>
          </cell>
          <cell r="W134">
            <v>0.63636363600000001</v>
          </cell>
          <cell r="X134">
            <v>23</v>
          </cell>
          <cell r="Y134">
            <v>16</v>
          </cell>
          <cell r="Z134">
            <v>0.69565217400000001</v>
          </cell>
        </row>
        <row r="135">
          <cell r="B135" t="str">
            <v>F78_3B</v>
          </cell>
          <cell r="C135" t="str">
            <v>R2_F78_3B</v>
          </cell>
          <cell r="D135">
            <v>0</v>
          </cell>
          <cell r="E135">
            <v>0.28000000000000003</v>
          </cell>
          <cell r="F135">
            <v>247</v>
          </cell>
          <cell r="G135">
            <v>1</v>
          </cell>
          <cell r="H135">
            <v>55</v>
          </cell>
          <cell r="I135">
            <v>6</v>
          </cell>
          <cell r="J135">
            <v>3</v>
          </cell>
          <cell r="K135">
            <v>0</v>
          </cell>
          <cell r="L135">
            <v>9.0845190000000002</v>
          </cell>
          <cell r="M135">
            <v>-83.435931999999994</v>
          </cell>
          <cell r="N135" t="str">
            <v>Sur</v>
          </cell>
          <cell r="O135">
            <v>1</v>
          </cell>
          <cell r="P135" t="str">
            <v>sacapobres</v>
          </cell>
          <cell r="Q135" t="str">
            <v>aguacatillo</v>
          </cell>
          <cell r="R135" t="b">
            <v>0</v>
          </cell>
          <cell r="S135" t="str">
            <v>78_3</v>
          </cell>
          <cell r="T135">
            <v>1</v>
          </cell>
          <cell r="U135">
            <v>11</v>
          </cell>
          <cell r="V135">
            <v>7</v>
          </cell>
          <cell r="W135">
            <v>0.63636363600000001</v>
          </cell>
          <cell r="X135">
            <v>23</v>
          </cell>
          <cell r="Y135">
            <v>16</v>
          </cell>
          <cell r="Z135">
            <v>0.69565217400000001</v>
          </cell>
        </row>
        <row r="136">
          <cell r="B136" t="str">
            <v>F80_1B</v>
          </cell>
          <cell r="C136" t="str">
            <v>R2_F80_1B</v>
          </cell>
          <cell r="D136">
            <v>1</v>
          </cell>
          <cell r="E136">
            <v>2</v>
          </cell>
          <cell r="F136">
            <v>316</v>
          </cell>
          <cell r="G136">
            <v>1</v>
          </cell>
          <cell r="H136">
            <v>50</v>
          </cell>
          <cell r="I136">
            <v>6</v>
          </cell>
          <cell r="J136">
            <v>5</v>
          </cell>
          <cell r="K136">
            <v>1</v>
          </cell>
          <cell r="L136">
            <v>9.0756720000000008</v>
          </cell>
          <cell r="M136">
            <v>-83.435041999999996</v>
          </cell>
          <cell r="N136" t="str">
            <v>Sur</v>
          </cell>
          <cell r="O136">
            <v>1</v>
          </cell>
          <cell r="P136" t="str">
            <v>nambi</v>
          </cell>
          <cell r="Q136" t="str">
            <v>nambi</v>
          </cell>
          <cell r="R136" t="b">
            <v>1</v>
          </cell>
          <cell r="S136" t="str">
            <v>80_1</v>
          </cell>
          <cell r="T136">
            <v>1</v>
          </cell>
          <cell r="U136">
            <v>0</v>
          </cell>
          <cell r="V136">
            <v>0</v>
          </cell>
          <cell r="W136" t="str">
            <v>NA</v>
          </cell>
          <cell r="X136">
            <v>15</v>
          </cell>
          <cell r="Y136">
            <v>11</v>
          </cell>
          <cell r="Z136">
            <v>0.73333333300000003</v>
          </cell>
        </row>
        <row r="137">
          <cell r="B137" t="str">
            <v>F80_2B</v>
          </cell>
          <cell r="C137" t="str">
            <v>R2_F80_2B</v>
          </cell>
          <cell r="D137">
            <v>0</v>
          </cell>
          <cell r="E137">
            <v>0.5</v>
          </cell>
          <cell r="F137">
            <v>316</v>
          </cell>
          <cell r="G137">
            <v>1</v>
          </cell>
          <cell r="H137">
            <v>50</v>
          </cell>
          <cell r="I137">
            <v>6</v>
          </cell>
          <cell r="J137">
            <v>5</v>
          </cell>
          <cell r="K137">
            <v>1</v>
          </cell>
          <cell r="L137">
            <v>9.0756720000000008</v>
          </cell>
          <cell r="M137">
            <v>-83.435041999999996</v>
          </cell>
          <cell r="N137" t="str">
            <v>Sur</v>
          </cell>
          <cell r="O137">
            <v>1</v>
          </cell>
          <cell r="P137" t="str">
            <v>uran</v>
          </cell>
          <cell r="Q137" t="str">
            <v>sacapobres</v>
          </cell>
          <cell r="R137" t="b">
            <v>0</v>
          </cell>
          <cell r="S137" t="str">
            <v>80_2</v>
          </cell>
          <cell r="T137">
            <v>0</v>
          </cell>
          <cell r="U137">
            <v>0</v>
          </cell>
          <cell r="V137">
            <v>0</v>
          </cell>
          <cell r="W137" t="str">
            <v>NA</v>
          </cell>
          <cell r="X137">
            <v>15</v>
          </cell>
          <cell r="Y137">
            <v>11</v>
          </cell>
          <cell r="Z137">
            <v>0.73333333300000003</v>
          </cell>
        </row>
        <row r="138">
          <cell r="B138" t="str">
            <v>F81_1B</v>
          </cell>
          <cell r="C138" t="str">
            <v>R2_F81_1B</v>
          </cell>
          <cell r="D138">
            <v>1</v>
          </cell>
          <cell r="E138">
            <v>2.1</v>
          </cell>
          <cell r="F138">
            <v>537</v>
          </cell>
          <cell r="G138">
            <v>1</v>
          </cell>
          <cell r="H138">
            <v>27</v>
          </cell>
          <cell r="I138">
            <v>11</v>
          </cell>
          <cell r="J138">
            <v>3</v>
          </cell>
          <cell r="K138">
            <v>1</v>
          </cell>
          <cell r="L138">
            <v>9.0656660000000002</v>
          </cell>
          <cell r="M138">
            <v>-83.433426999999995</v>
          </cell>
          <cell r="N138" t="str">
            <v>Sur</v>
          </cell>
          <cell r="O138">
            <v>1</v>
          </cell>
          <cell r="P138" t="str">
            <v>nambi</v>
          </cell>
          <cell r="Q138" t="str">
            <v>nambi</v>
          </cell>
          <cell r="R138" t="b">
            <v>1</v>
          </cell>
          <cell r="S138" t="str">
            <v>81_1</v>
          </cell>
          <cell r="T138">
            <v>1</v>
          </cell>
          <cell r="U138">
            <v>0</v>
          </cell>
          <cell r="V138">
            <v>0</v>
          </cell>
          <cell r="W138" t="str">
            <v>NA</v>
          </cell>
          <cell r="X138">
            <v>0</v>
          </cell>
          <cell r="Y138">
            <v>0</v>
          </cell>
          <cell r="Z138" t="str">
            <v>NA</v>
          </cell>
        </row>
        <row r="139">
          <cell r="B139" t="str">
            <v>F81_2B</v>
          </cell>
          <cell r="C139" t="str">
            <v>R2_F81_2B</v>
          </cell>
          <cell r="D139">
            <v>1</v>
          </cell>
          <cell r="E139">
            <v>2.1</v>
          </cell>
          <cell r="F139">
            <v>537</v>
          </cell>
          <cell r="G139">
            <v>1</v>
          </cell>
          <cell r="H139">
            <v>27</v>
          </cell>
          <cell r="I139">
            <v>11</v>
          </cell>
          <cell r="J139">
            <v>3</v>
          </cell>
          <cell r="K139">
            <v>1</v>
          </cell>
          <cell r="L139">
            <v>9.0656660000000002</v>
          </cell>
          <cell r="M139">
            <v>-83.433426999999995</v>
          </cell>
          <cell r="N139" t="str">
            <v>Sur</v>
          </cell>
          <cell r="O139">
            <v>1</v>
          </cell>
          <cell r="P139" t="str">
            <v>cabecar</v>
          </cell>
          <cell r="Q139" t="str">
            <v>cabecar</v>
          </cell>
          <cell r="R139" t="b">
            <v>1</v>
          </cell>
          <cell r="S139" t="str">
            <v>81_2</v>
          </cell>
          <cell r="T139">
            <v>1</v>
          </cell>
          <cell r="U139">
            <v>0</v>
          </cell>
          <cell r="V139">
            <v>0</v>
          </cell>
          <cell r="W139" t="str">
            <v>NA</v>
          </cell>
          <cell r="X139">
            <v>0</v>
          </cell>
          <cell r="Y139">
            <v>0</v>
          </cell>
          <cell r="Z139" t="str">
            <v>NA</v>
          </cell>
        </row>
        <row r="140">
          <cell r="B140" t="str">
            <v>F82_1B</v>
          </cell>
          <cell r="C140" t="str">
            <v>R2_F82_1B</v>
          </cell>
          <cell r="D140">
            <v>1</v>
          </cell>
          <cell r="E140">
            <v>2.8</v>
          </cell>
          <cell r="F140">
            <v>249</v>
          </cell>
          <cell r="G140">
            <v>1</v>
          </cell>
          <cell r="H140">
            <v>49</v>
          </cell>
          <cell r="I140">
            <v>6</v>
          </cell>
          <cell r="J140">
            <v>4</v>
          </cell>
          <cell r="K140">
            <v>1</v>
          </cell>
          <cell r="L140">
            <v>9.0831560000000007</v>
          </cell>
          <cell r="M140">
            <v>-83.432981999999996</v>
          </cell>
          <cell r="N140" t="str">
            <v>Sur</v>
          </cell>
          <cell r="O140">
            <v>1</v>
          </cell>
          <cell r="P140" t="str">
            <v>cabecar</v>
          </cell>
          <cell r="Q140" t="str">
            <v>cabecar</v>
          </cell>
          <cell r="R140" t="b">
            <v>1</v>
          </cell>
          <cell r="S140" t="str">
            <v>82_1</v>
          </cell>
          <cell r="T140">
            <v>1</v>
          </cell>
          <cell r="U140">
            <v>12</v>
          </cell>
          <cell r="V140">
            <v>9</v>
          </cell>
          <cell r="W140">
            <v>0.75</v>
          </cell>
          <cell r="X140">
            <v>25</v>
          </cell>
          <cell r="Y140">
            <v>18</v>
          </cell>
          <cell r="Z140">
            <v>0.72</v>
          </cell>
        </row>
        <row r="141">
          <cell r="B141" t="str">
            <v>F82_2B</v>
          </cell>
          <cell r="C141" t="str">
            <v>R2_F82_2B</v>
          </cell>
          <cell r="D141">
            <v>0</v>
          </cell>
          <cell r="E141">
            <v>2.1</v>
          </cell>
          <cell r="F141">
            <v>249</v>
          </cell>
          <cell r="G141">
            <v>1</v>
          </cell>
          <cell r="H141">
            <v>49</v>
          </cell>
          <cell r="I141">
            <v>6</v>
          </cell>
          <cell r="J141">
            <v>4</v>
          </cell>
          <cell r="K141">
            <v>1</v>
          </cell>
          <cell r="L141">
            <v>9.0831560000000007</v>
          </cell>
          <cell r="M141">
            <v>-83.432981999999996</v>
          </cell>
          <cell r="N141" t="str">
            <v>Sur</v>
          </cell>
          <cell r="O141">
            <v>1</v>
          </cell>
          <cell r="P141" t="str">
            <v>cabecar</v>
          </cell>
          <cell r="Q141" t="str">
            <v>rojo</v>
          </cell>
          <cell r="R141" t="str">
            <v>Not applicable</v>
          </cell>
          <cell r="S141" t="str">
            <v>82_2</v>
          </cell>
          <cell r="T141">
            <v>0</v>
          </cell>
          <cell r="U141">
            <v>12</v>
          </cell>
          <cell r="V141">
            <v>9</v>
          </cell>
          <cell r="W141">
            <v>0.75</v>
          </cell>
          <cell r="X141">
            <v>25</v>
          </cell>
          <cell r="Y141">
            <v>18</v>
          </cell>
          <cell r="Z141">
            <v>0.72</v>
          </cell>
        </row>
        <row r="142">
          <cell r="B142" t="str">
            <v>F83_1B</v>
          </cell>
          <cell r="C142" t="str">
            <v>R2_F83_1B</v>
          </cell>
          <cell r="D142">
            <v>0</v>
          </cell>
          <cell r="E142">
            <v>0.5</v>
          </cell>
          <cell r="F142">
            <v>739</v>
          </cell>
          <cell r="G142">
            <v>1</v>
          </cell>
          <cell r="H142">
            <v>54</v>
          </cell>
          <cell r="I142">
            <v>6</v>
          </cell>
          <cell r="J142">
            <v>3</v>
          </cell>
          <cell r="K142">
            <v>0</v>
          </cell>
          <cell r="L142">
            <v>9.1318129999999993</v>
          </cell>
          <cell r="M142">
            <v>-83.474144999999993</v>
          </cell>
          <cell r="N142" t="str">
            <v>Sur</v>
          </cell>
          <cell r="O142">
            <v>1</v>
          </cell>
          <cell r="P142" t="str">
            <v>RCB 593</v>
          </cell>
          <cell r="Q142" t="str">
            <v>other</v>
          </cell>
          <cell r="R142" t="str">
            <v>Not applicable</v>
          </cell>
          <cell r="S142" t="str">
            <v>83_1</v>
          </cell>
          <cell r="T142">
            <v>0</v>
          </cell>
          <cell r="U142">
            <v>9</v>
          </cell>
          <cell r="V142">
            <v>3</v>
          </cell>
          <cell r="W142">
            <v>0.33333333300000001</v>
          </cell>
          <cell r="X142">
            <v>22</v>
          </cell>
          <cell r="Y142">
            <v>13</v>
          </cell>
          <cell r="Z142">
            <v>0.590909091</v>
          </cell>
        </row>
        <row r="143">
          <cell r="B143" t="str">
            <v>F83_2B</v>
          </cell>
          <cell r="C143" t="str">
            <v>R2_F83_2B</v>
          </cell>
          <cell r="D143">
            <v>0</v>
          </cell>
          <cell r="E143">
            <v>0.5</v>
          </cell>
          <cell r="F143">
            <v>739</v>
          </cell>
          <cell r="G143">
            <v>1</v>
          </cell>
          <cell r="H143">
            <v>54</v>
          </cell>
          <cell r="I143">
            <v>6</v>
          </cell>
          <cell r="J143">
            <v>3</v>
          </cell>
          <cell r="K143">
            <v>0</v>
          </cell>
          <cell r="L143">
            <v>9.1318129999999993</v>
          </cell>
          <cell r="M143">
            <v>-83.474144999999993</v>
          </cell>
          <cell r="N143" t="str">
            <v>Sur</v>
          </cell>
          <cell r="O143">
            <v>1</v>
          </cell>
          <cell r="P143" t="str">
            <v>victoria</v>
          </cell>
          <cell r="Q143" t="str">
            <v>panameno</v>
          </cell>
          <cell r="R143" t="b">
            <v>0</v>
          </cell>
          <cell r="S143" t="str">
            <v>83_2</v>
          </cell>
          <cell r="T143">
            <v>0</v>
          </cell>
          <cell r="U143">
            <v>9</v>
          </cell>
          <cell r="V143">
            <v>3</v>
          </cell>
          <cell r="W143">
            <v>0.33333333300000001</v>
          </cell>
          <cell r="X143">
            <v>22</v>
          </cell>
          <cell r="Y143">
            <v>13</v>
          </cell>
          <cell r="Z143">
            <v>0.590909091</v>
          </cell>
        </row>
        <row r="144">
          <cell r="B144" t="str">
            <v>F84_1B</v>
          </cell>
          <cell r="C144" t="str">
            <v>R2_F84_1B</v>
          </cell>
          <cell r="D144">
            <v>1</v>
          </cell>
          <cell r="E144">
            <v>8</v>
          </cell>
          <cell r="F144">
            <v>701</v>
          </cell>
          <cell r="G144">
            <v>1</v>
          </cell>
          <cell r="H144">
            <v>57</v>
          </cell>
          <cell r="I144">
            <v>6</v>
          </cell>
          <cell r="J144">
            <v>3</v>
          </cell>
          <cell r="K144">
            <v>1</v>
          </cell>
          <cell r="L144">
            <v>9.1198340000000009</v>
          </cell>
          <cell r="M144">
            <v>-83.461777999999995</v>
          </cell>
          <cell r="N144" t="str">
            <v>Sur</v>
          </cell>
          <cell r="O144">
            <v>1</v>
          </cell>
          <cell r="P144" t="str">
            <v>cabecar</v>
          </cell>
          <cell r="Q144" t="str">
            <v>cabecar</v>
          </cell>
          <cell r="R144" t="b">
            <v>1</v>
          </cell>
          <cell r="S144" t="str">
            <v>84_1</v>
          </cell>
          <cell r="T144">
            <v>1</v>
          </cell>
          <cell r="U144">
            <v>2</v>
          </cell>
          <cell r="V144">
            <v>2</v>
          </cell>
          <cell r="W144">
            <v>1</v>
          </cell>
          <cell r="X144">
            <v>17</v>
          </cell>
          <cell r="Y144">
            <v>11</v>
          </cell>
          <cell r="Z144">
            <v>0.64705882400000003</v>
          </cell>
        </row>
        <row r="145">
          <cell r="B145" t="str">
            <v>F86_1B</v>
          </cell>
          <cell r="C145" t="str">
            <v>R2_F86_1B</v>
          </cell>
          <cell r="D145">
            <v>0</v>
          </cell>
          <cell r="E145">
            <v>1.05</v>
          </cell>
          <cell r="F145">
            <v>245</v>
          </cell>
          <cell r="G145">
            <v>1</v>
          </cell>
          <cell r="H145">
            <v>48</v>
          </cell>
          <cell r="I145">
            <v>0</v>
          </cell>
          <cell r="J145">
            <v>4</v>
          </cell>
          <cell r="K145">
            <v>1</v>
          </cell>
          <cell r="L145">
            <v>9.0825549999999993</v>
          </cell>
          <cell r="M145">
            <v>-83.432419999999993</v>
          </cell>
          <cell r="N145" t="str">
            <v>Sur</v>
          </cell>
          <cell r="O145">
            <v>1</v>
          </cell>
          <cell r="P145" t="str">
            <v>cabecar</v>
          </cell>
          <cell r="Q145" t="str">
            <v>rojo</v>
          </cell>
          <cell r="R145" t="str">
            <v>Not applicable</v>
          </cell>
          <cell r="S145" t="str">
            <v>86_1</v>
          </cell>
          <cell r="T145">
            <v>0</v>
          </cell>
          <cell r="U145">
            <v>11</v>
          </cell>
          <cell r="V145">
            <v>9</v>
          </cell>
          <cell r="W145">
            <v>0.81818181800000001</v>
          </cell>
          <cell r="X145">
            <v>21</v>
          </cell>
          <cell r="Y145">
            <v>16</v>
          </cell>
          <cell r="Z145">
            <v>0.76190476200000001</v>
          </cell>
        </row>
        <row r="146">
          <cell r="B146" t="str">
            <v>F86_2B</v>
          </cell>
          <cell r="C146" t="str">
            <v>R2_F86_2B</v>
          </cell>
          <cell r="D146">
            <v>0</v>
          </cell>
          <cell r="E146">
            <v>1.05</v>
          </cell>
          <cell r="F146">
            <v>245</v>
          </cell>
          <cell r="G146">
            <v>1</v>
          </cell>
          <cell r="H146">
            <v>48</v>
          </cell>
          <cell r="I146">
            <v>0</v>
          </cell>
          <cell r="J146">
            <v>4</v>
          </cell>
          <cell r="K146">
            <v>1</v>
          </cell>
          <cell r="L146">
            <v>9.0825549999999993</v>
          </cell>
          <cell r="M146">
            <v>-83.432419999999993</v>
          </cell>
          <cell r="N146" t="str">
            <v>Sur</v>
          </cell>
          <cell r="O146">
            <v>1</v>
          </cell>
          <cell r="P146" t="str">
            <v>nambi</v>
          </cell>
          <cell r="Q146" t="str">
            <v>brunca</v>
          </cell>
          <cell r="R146" t="b">
            <v>0</v>
          </cell>
          <cell r="S146" t="str">
            <v>86_2</v>
          </cell>
          <cell r="T146">
            <v>0</v>
          </cell>
          <cell r="U146">
            <v>11</v>
          </cell>
          <cell r="V146">
            <v>9</v>
          </cell>
          <cell r="W146">
            <v>0.81818181800000001</v>
          </cell>
          <cell r="X146">
            <v>21</v>
          </cell>
          <cell r="Y146">
            <v>16</v>
          </cell>
          <cell r="Z146">
            <v>0.76190476200000001</v>
          </cell>
        </row>
        <row r="147">
          <cell r="B147" t="str">
            <v>F86_3B</v>
          </cell>
          <cell r="C147" t="str">
            <v>R2_F86_3B</v>
          </cell>
          <cell r="D147">
            <v>0</v>
          </cell>
          <cell r="E147">
            <v>0.35</v>
          </cell>
          <cell r="F147">
            <v>245</v>
          </cell>
          <cell r="G147">
            <v>1</v>
          </cell>
          <cell r="H147">
            <v>48</v>
          </cell>
          <cell r="I147">
            <v>0</v>
          </cell>
          <cell r="J147">
            <v>4</v>
          </cell>
          <cell r="K147">
            <v>0</v>
          </cell>
          <cell r="L147">
            <v>9.0825549999999993</v>
          </cell>
          <cell r="M147">
            <v>-83.432419999999993</v>
          </cell>
          <cell r="N147" t="str">
            <v>Sur</v>
          </cell>
          <cell r="O147">
            <v>1</v>
          </cell>
          <cell r="P147" t="str">
            <v>victoria</v>
          </cell>
          <cell r="Q147" t="str">
            <v>cabecar</v>
          </cell>
          <cell r="R147" t="b">
            <v>0</v>
          </cell>
          <cell r="S147" t="str">
            <v>86_3</v>
          </cell>
          <cell r="T147">
            <v>1</v>
          </cell>
          <cell r="U147">
            <v>11</v>
          </cell>
          <cell r="V147">
            <v>9</v>
          </cell>
          <cell r="W147">
            <v>0.81818181800000001</v>
          </cell>
          <cell r="X147">
            <v>21</v>
          </cell>
          <cell r="Y147">
            <v>16</v>
          </cell>
          <cell r="Z147">
            <v>0.76190476200000001</v>
          </cell>
        </row>
        <row r="148">
          <cell r="B148" t="str">
            <v>F87_1B</v>
          </cell>
          <cell r="C148" t="str">
            <v>R2_F87_1B</v>
          </cell>
          <cell r="D148">
            <v>1</v>
          </cell>
          <cell r="E148">
            <v>0.7</v>
          </cell>
          <cell r="F148">
            <v>505</v>
          </cell>
          <cell r="G148">
            <v>1</v>
          </cell>
          <cell r="H148">
            <v>24</v>
          </cell>
          <cell r="I148">
            <v>6</v>
          </cell>
          <cell r="J148">
            <v>3</v>
          </cell>
          <cell r="K148">
            <v>1</v>
          </cell>
          <cell r="L148">
            <v>9.0688169999999992</v>
          </cell>
          <cell r="M148">
            <v>-83.399699999999996</v>
          </cell>
          <cell r="N148" t="str">
            <v>Sur</v>
          </cell>
          <cell r="O148">
            <v>1</v>
          </cell>
          <cell r="P148" t="str">
            <v>nambi</v>
          </cell>
          <cell r="Q148" t="str">
            <v>nambi</v>
          </cell>
          <cell r="R148" t="b">
            <v>1</v>
          </cell>
          <cell r="S148" t="str">
            <v>87_1</v>
          </cell>
          <cell r="T148">
            <v>1</v>
          </cell>
          <cell r="U148">
            <v>5</v>
          </cell>
          <cell r="V148">
            <v>4</v>
          </cell>
          <cell r="W148">
            <v>0.8</v>
          </cell>
          <cell r="X148">
            <v>5</v>
          </cell>
          <cell r="Y148">
            <v>4</v>
          </cell>
          <cell r="Z148">
            <v>0.8</v>
          </cell>
        </row>
        <row r="149">
          <cell r="B149" t="str">
            <v>F88_1B</v>
          </cell>
          <cell r="C149" t="str">
            <v>R2_F88_1B</v>
          </cell>
          <cell r="D149">
            <v>0</v>
          </cell>
          <cell r="E149">
            <v>2.8</v>
          </cell>
          <cell r="F149">
            <v>644</v>
          </cell>
          <cell r="G149">
            <v>1</v>
          </cell>
          <cell r="H149">
            <v>53</v>
          </cell>
          <cell r="I149">
            <v>6</v>
          </cell>
          <cell r="J149">
            <v>3</v>
          </cell>
          <cell r="K149">
            <v>0</v>
          </cell>
          <cell r="L149">
            <v>9.1036020000000004</v>
          </cell>
          <cell r="M149">
            <v>-83.479114999999993</v>
          </cell>
          <cell r="N149" t="str">
            <v>Sur</v>
          </cell>
          <cell r="O149">
            <v>1</v>
          </cell>
          <cell r="P149" t="str">
            <v>victoria</v>
          </cell>
          <cell r="Q149" t="str">
            <v>cabecar</v>
          </cell>
          <cell r="R149" t="b">
            <v>0</v>
          </cell>
          <cell r="S149" t="str">
            <v>88_1</v>
          </cell>
          <cell r="T149">
            <v>1</v>
          </cell>
          <cell r="U149">
            <v>8</v>
          </cell>
          <cell r="V149">
            <v>6</v>
          </cell>
          <cell r="W149">
            <v>0.75</v>
          </cell>
          <cell r="X149">
            <v>61</v>
          </cell>
          <cell r="Y149">
            <v>42</v>
          </cell>
          <cell r="Z149">
            <v>0.68852458999999999</v>
          </cell>
        </row>
        <row r="150">
          <cell r="B150" t="str">
            <v>F88_2B</v>
          </cell>
          <cell r="C150" t="str">
            <v>R2_F88_2B</v>
          </cell>
          <cell r="D150">
            <v>1</v>
          </cell>
          <cell r="E150">
            <v>0.15</v>
          </cell>
          <cell r="F150">
            <v>644</v>
          </cell>
          <cell r="G150">
            <v>1</v>
          </cell>
          <cell r="H150">
            <v>53</v>
          </cell>
          <cell r="I150">
            <v>6</v>
          </cell>
          <cell r="J150">
            <v>3</v>
          </cell>
          <cell r="K150">
            <v>1</v>
          </cell>
          <cell r="L150">
            <v>9.1036020000000004</v>
          </cell>
          <cell r="M150">
            <v>-83.479114999999993</v>
          </cell>
          <cell r="N150" t="str">
            <v>Sur</v>
          </cell>
          <cell r="O150">
            <v>1</v>
          </cell>
          <cell r="P150" t="str">
            <v>brunca</v>
          </cell>
          <cell r="Q150" t="str">
            <v>brunca</v>
          </cell>
          <cell r="R150" t="b">
            <v>1</v>
          </cell>
          <cell r="S150" t="str">
            <v>88_2</v>
          </cell>
          <cell r="T150">
            <v>1</v>
          </cell>
          <cell r="U150">
            <v>8</v>
          </cell>
          <cell r="V150">
            <v>6</v>
          </cell>
          <cell r="W150">
            <v>0.75</v>
          </cell>
          <cell r="X150">
            <v>61</v>
          </cell>
          <cell r="Y150">
            <v>42</v>
          </cell>
          <cell r="Z150">
            <v>0.68852458999999999</v>
          </cell>
        </row>
        <row r="151">
          <cell r="B151" t="str">
            <v>F88_3B</v>
          </cell>
          <cell r="C151" t="str">
            <v>R2_F88_3B</v>
          </cell>
          <cell r="D151">
            <v>0</v>
          </cell>
          <cell r="E151">
            <v>1.2E-2</v>
          </cell>
          <cell r="F151">
            <v>644</v>
          </cell>
          <cell r="G151">
            <v>1</v>
          </cell>
          <cell r="H151">
            <v>53</v>
          </cell>
          <cell r="I151">
            <v>6</v>
          </cell>
          <cell r="J151">
            <v>3</v>
          </cell>
          <cell r="K151">
            <v>0</v>
          </cell>
          <cell r="L151">
            <v>9.1036020000000004</v>
          </cell>
          <cell r="M151">
            <v>-83.479114999999993</v>
          </cell>
          <cell r="N151" t="str">
            <v>Sur</v>
          </cell>
          <cell r="O151">
            <v>1</v>
          </cell>
          <cell r="P151" t="str">
            <v>generalito</v>
          </cell>
          <cell r="Q151" t="str">
            <v>other</v>
          </cell>
          <cell r="R151" t="str">
            <v>Not applicable</v>
          </cell>
          <cell r="S151" t="str">
            <v>88_3</v>
          </cell>
          <cell r="T151">
            <v>0</v>
          </cell>
          <cell r="U151">
            <v>8</v>
          </cell>
          <cell r="V151">
            <v>6</v>
          </cell>
          <cell r="W151">
            <v>0.75</v>
          </cell>
          <cell r="X151">
            <v>61</v>
          </cell>
          <cell r="Y151">
            <v>42</v>
          </cell>
          <cell r="Z151">
            <v>0.68852458999999999</v>
          </cell>
        </row>
        <row r="152">
          <cell r="B152" t="str">
            <v>F88_4B</v>
          </cell>
          <cell r="C152" t="str">
            <v>R2_F88_4B</v>
          </cell>
          <cell r="D152">
            <v>0</v>
          </cell>
          <cell r="E152">
            <v>1.2E-2</v>
          </cell>
          <cell r="F152">
            <v>644</v>
          </cell>
          <cell r="G152">
            <v>1</v>
          </cell>
          <cell r="H152">
            <v>53</v>
          </cell>
          <cell r="I152">
            <v>6</v>
          </cell>
          <cell r="J152">
            <v>3</v>
          </cell>
          <cell r="K152">
            <v>0</v>
          </cell>
          <cell r="L152">
            <v>9.1036020000000004</v>
          </cell>
          <cell r="M152">
            <v>-83.479114999999993</v>
          </cell>
          <cell r="N152" t="str">
            <v>Sur</v>
          </cell>
          <cell r="O152">
            <v>1</v>
          </cell>
          <cell r="P152" t="str">
            <v>generalito</v>
          </cell>
          <cell r="Q152" t="str">
            <v>other</v>
          </cell>
          <cell r="R152" t="str">
            <v>Not applicable</v>
          </cell>
          <cell r="S152" t="str">
            <v>88_4</v>
          </cell>
          <cell r="T152">
            <v>0</v>
          </cell>
          <cell r="U152">
            <v>8</v>
          </cell>
          <cell r="V152">
            <v>6</v>
          </cell>
          <cell r="W152">
            <v>0.75</v>
          </cell>
          <cell r="X152">
            <v>61</v>
          </cell>
          <cell r="Y152">
            <v>42</v>
          </cell>
          <cell r="Z152">
            <v>0.68852458999999999</v>
          </cell>
        </row>
        <row r="153">
          <cell r="B153" t="str">
            <v>F88_5B</v>
          </cell>
          <cell r="C153" t="str">
            <v>R2_F88_5B</v>
          </cell>
          <cell r="D153">
            <v>1</v>
          </cell>
          <cell r="E153">
            <v>1.2E-2</v>
          </cell>
          <cell r="F153">
            <v>644</v>
          </cell>
          <cell r="G153">
            <v>1</v>
          </cell>
          <cell r="H153">
            <v>53</v>
          </cell>
          <cell r="I153">
            <v>6</v>
          </cell>
          <cell r="J153">
            <v>3</v>
          </cell>
          <cell r="K153">
            <v>0</v>
          </cell>
          <cell r="L153">
            <v>9.1036020000000004</v>
          </cell>
          <cell r="M153">
            <v>-83.479114999999993</v>
          </cell>
          <cell r="N153" t="str">
            <v>Sur</v>
          </cell>
          <cell r="O153">
            <v>1</v>
          </cell>
          <cell r="P153" t="str">
            <v>mantequilla</v>
          </cell>
          <cell r="Q153" t="str">
            <v>mantequilla</v>
          </cell>
          <cell r="R153" t="b">
            <v>1</v>
          </cell>
          <cell r="S153" t="str">
            <v>88_5</v>
          </cell>
          <cell r="T153">
            <v>1</v>
          </cell>
          <cell r="U153">
            <v>8</v>
          </cell>
          <cell r="V153">
            <v>6</v>
          </cell>
          <cell r="W153">
            <v>0.75</v>
          </cell>
          <cell r="X153">
            <v>61</v>
          </cell>
          <cell r="Y153">
            <v>42</v>
          </cell>
          <cell r="Z153">
            <v>0.68852458999999999</v>
          </cell>
        </row>
        <row r="154">
          <cell r="B154" t="str">
            <v>F89_1B</v>
          </cell>
          <cell r="C154" t="str">
            <v>R2_F89_1B</v>
          </cell>
          <cell r="D154">
            <v>0</v>
          </cell>
          <cell r="E154">
            <v>2</v>
          </cell>
          <cell r="F154">
            <v>432</v>
          </cell>
          <cell r="G154">
            <v>1</v>
          </cell>
          <cell r="H154">
            <v>34</v>
          </cell>
          <cell r="I154">
            <v>4</v>
          </cell>
          <cell r="J154">
            <v>7</v>
          </cell>
          <cell r="K154">
            <v>1</v>
          </cell>
          <cell r="L154">
            <v>9.0869940000000007</v>
          </cell>
          <cell r="M154">
            <v>-83.476482000000004</v>
          </cell>
          <cell r="N154" t="str">
            <v>Sur</v>
          </cell>
          <cell r="O154">
            <v>1</v>
          </cell>
          <cell r="P154" t="str">
            <v>cabecar</v>
          </cell>
          <cell r="Q154" t="str">
            <v>rojo</v>
          </cell>
          <cell r="R154" t="str">
            <v>Not applicable</v>
          </cell>
          <cell r="S154" t="str">
            <v>89_1</v>
          </cell>
          <cell r="T154">
            <v>0</v>
          </cell>
          <cell r="U154">
            <v>0</v>
          </cell>
          <cell r="V154">
            <v>0</v>
          </cell>
          <cell r="W154" t="str">
            <v>NA</v>
          </cell>
          <cell r="X154">
            <v>39</v>
          </cell>
          <cell r="Y154">
            <v>30</v>
          </cell>
          <cell r="Z154">
            <v>0.76923076899999998</v>
          </cell>
        </row>
        <row r="155">
          <cell r="B155" t="str">
            <v>F89_2B</v>
          </cell>
          <cell r="C155" t="str">
            <v>R2_F89_2B</v>
          </cell>
          <cell r="D155">
            <v>0</v>
          </cell>
          <cell r="E155">
            <v>1</v>
          </cell>
          <cell r="F155">
            <v>432</v>
          </cell>
          <cell r="G155">
            <v>1</v>
          </cell>
          <cell r="H155">
            <v>34</v>
          </cell>
          <cell r="I155">
            <v>4</v>
          </cell>
          <cell r="J155">
            <v>7</v>
          </cell>
          <cell r="K155">
            <v>1</v>
          </cell>
          <cell r="L155">
            <v>9.0869940000000007</v>
          </cell>
          <cell r="M155">
            <v>-83.476482000000004</v>
          </cell>
          <cell r="N155" t="str">
            <v>Sur</v>
          </cell>
          <cell r="O155">
            <v>1</v>
          </cell>
          <cell r="P155" t="str">
            <v>nambi</v>
          </cell>
          <cell r="Q155" t="str">
            <v>negro</v>
          </cell>
          <cell r="R155" t="str">
            <v>Not applicable</v>
          </cell>
          <cell r="S155" t="str">
            <v>89_2</v>
          </cell>
          <cell r="T155">
            <v>0</v>
          </cell>
          <cell r="U155">
            <v>0</v>
          </cell>
          <cell r="V155">
            <v>0</v>
          </cell>
          <cell r="W155" t="str">
            <v>NA</v>
          </cell>
          <cell r="X155">
            <v>39</v>
          </cell>
          <cell r="Y155">
            <v>30</v>
          </cell>
          <cell r="Z155">
            <v>0.76923076899999998</v>
          </cell>
        </row>
        <row r="156">
          <cell r="B156" t="str">
            <v>F90_1B</v>
          </cell>
          <cell r="C156" t="str">
            <v>R2_F90_1B</v>
          </cell>
          <cell r="D156">
            <v>1</v>
          </cell>
          <cell r="E156">
            <v>3.5</v>
          </cell>
          <cell r="F156">
            <v>251</v>
          </cell>
          <cell r="G156">
            <v>1</v>
          </cell>
          <cell r="H156">
            <v>20</v>
          </cell>
          <cell r="I156">
            <v>11</v>
          </cell>
          <cell r="J156">
            <v>4</v>
          </cell>
          <cell r="K156">
            <v>1</v>
          </cell>
          <cell r="L156">
            <v>9.0851179999999996</v>
          </cell>
          <cell r="M156">
            <v>-83.436904999999996</v>
          </cell>
          <cell r="N156" t="str">
            <v>Sur</v>
          </cell>
          <cell r="O156">
            <v>1</v>
          </cell>
          <cell r="P156" t="str">
            <v>cabecar</v>
          </cell>
          <cell r="Q156" t="str">
            <v>cabecar</v>
          </cell>
          <cell r="R156" t="b">
            <v>1</v>
          </cell>
          <cell r="S156" t="str">
            <v>90_1</v>
          </cell>
          <cell r="T156">
            <v>1</v>
          </cell>
          <cell r="U156">
            <v>12</v>
          </cell>
          <cell r="V156">
            <v>8</v>
          </cell>
          <cell r="W156">
            <v>0.66666666699999999</v>
          </cell>
          <cell r="X156">
            <v>24</v>
          </cell>
          <cell r="Y156">
            <v>17</v>
          </cell>
          <cell r="Z156">
            <v>0.70833333300000001</v>
          </cell>
        </row>
        <row r="157">
          <cell r="B157" t="str">
            <v>F90_2B</v>
          </cell>
          <cell r="C157" t="str">
            <v>R2_F90_2B</v>
          </cell>
          <cell r="D157">
            <v>1</v>
          </cell>
          <cell r="E157">
            <v>2.8</v>
          </cell>
          <cell r="F157">
            <v>251</v>
          </cell>
          <cell r="G157">
            <v>1</v>
          </cell>
          <cell r="H157">
            <v>20</v>
          </cell>
          <cell r="I157">
            <v>11</v>
          </cell>
          <cell r="J157">
            <v>4</v>
          </cell>
          <cell r="K157">
            <v>1</v>
          </cell>
          <cell r="L157">
            <v>9.0851179999999996</v>
          </cell>
          <cell r="M157">
            <v>-83.436904999999996</v>
          </cell>
          <cell r="N157" t="str">
            <v>Sur</v>
          </cell>
          <cell r="O157">
            <v>1</v>
          </cell>
          <cell r="P157" t="str">
            <v>nambi</v>
          </cell>
          <cell r="Q157" t="str">
            <v>nambi</v>
          </cell>
          <cell r="R157" t="b">
            <v>1</v>
          </cell>
          <cell r="S157" t="str">
            <v>90_2</v>
          </cell>
          <cell r="T157">
            <v>1</v>
          </cell>
          <cell r="U157">
            <v>12</v>
          </cell>
          <cell r="V157">
            <v>8</v>
          </cell>
          <cell r="W157">
            <v>0.66666666699999999</v>
          </cell>
          <cell r="X157">
            <v>24</v>
          </cell>
          <cell r="Y157">
            <v>17</v>
          </cell>
          <cell r="Z157">
            <v>0.70833333300000001</v>
          </cell>
        </row>
        <row r="158">
          <cell r="B158" t="str">
            <v>F91_1B</v>
          </cell>
          <cell r="C158" t="str">
            <v>R2_F91_1B</v>
          </cell>
          <cell r="D158">
            <v>0</v>
          </cell>
          <cell r="E158">
            <v>0.17499999999999999</v>
          </cell>
          <cell r="F158">
            <v>436</v>
          </cell>
          <cell r="G158">
            <v>1</v>
          </cell>
          <cell r="H158">
            <v>34</v>
          </cell>
          <cell r="I158">
            <v>1</v>
          </cell>
          <cell r="J158">
            <v>4</v>
          </cell>
          <cell r="K158">
            <v>0</v>
          </cell>
          <cell r="L158">
            <v>9.1021169999999998</v>
          </cell>
          <cell r="M158">
            <v>-83.445235999999994</v>
          </cell>
          <cell r="N158" t="str">
            <v>Sur</v>
          </cell>
          <cell r="O158">
            <v>1</v>
          </cell>
          <cell r="P158" t="str">
            <v>SEF 64</v>
          </cell>
          <cell r="Q158" t="str">
            <v>uran</v>
          </cell>
          <cell r="R158" t="b">
            <v>0</v>
          </cell>
          <cell r="S158" t="str">
            <v>91_1</v>
          </cell>
          <cell r="T158">
            <v>0</v>
          </cell>
          <cell r="U158">
            <v>0</v>
          </cell>
          <cell r="V158">
            <v>0</v>
          </cell>
          <cell r="W158" t="str">
            <v>NA</v>
          </cell>
          <cell r="X158">
            <v>37</v>
          </cell>
          <cell r="Y158">
            <v>30</v>
          </cell>
          <cell r="Z158">
            <v>0.81081081099999996</v>
          </cell>
        </row>
        <row r="159">
          <cell r="B159" t="str">
            <v>F91_2B</v>
          </cell>
          <cell r="C159" t="str">
            <v>R2_F91_2B</v>
          </cell>
          <cell r="D159">
            <v>1</v>
          </cell>
          <cell r="E159">
            <v>0.7</v>
          </cell>
          <cell r="F159">
            <v>436</v>
          </cell>
          <cell r="G159">
            <v>1</v>
          </cell>
          <cell r="H159">
            <v>34</v>
          </cell>
          <cell r="I159">
            <v>1</v>
          </cell>
          <cell r="J159">
            <v>4</v>
          </cell>
          <cell r="K159">
            <v>1</v>
          </cell>
          <cell r="L159">
            <v>9.1021169999999998</v>
          </cell>
          <cell r="M159">
            <v>-83.445235999999994</v>
          </cell>
          <cell r="N159" t="str">
            <v>Sur</v>
          </cell>
          <cell r="O159">
            <v>1</v>
          </cell>
          <cell r="P159" t="str">
            <v>cabecar</v>
          </cell>
          <cell r="Q159" t="str">
            <v>cabecar</v>
          </cell>
          <cell r="R159" t="b">
            <v>1</v>
          </cell>
          <cell r="S159" t="str">
            <v>91_2</v>
          </cell>
          <cell r="T159">
            <v>1</v>
          </cell>
          <cell r="U159">
            <v>0</v>
          </cell>
          <cell r="V159">
            <v>0</v>
          </cell>
          <cell r="W159" t="str">
            <v>NA</v>
          </cell>
          <cell r="X159">
            <v>37</v>
          </cell>
          <cell r="Y159">
            <v>30</v>
          </cell>
          <cell r="Z159">
            <v>0.81081081099999996</v>
          </cell>
        </row>
        <row r="160">
          <cell r="B160" t="str">
            <v>F92_1B</v>
          </cell>
          <cell r="C160" t="str">
            <v>R2_F92_1B</v>
          </cell>
          <cell r="D160">
            <v>1</v>
          </cell>
          <cell r="E160">
            <v>5</v>
          </cell>
          <cell r="F160">
            <v>553</v>
          </cell>
          <cell r="G160">
            <v>1</v>
          </cell>
          <cell r="H160">
            <v>32</v>
          </cell>
          <cell r="I160">
            <v>6</v>
          </cell>
          <cell r="J160">
            <v>4</v>
          </cell>
          <cell r="K160">
            <v>1</v>
          </cell>
          <cell r="L160">
            <v>9.106071</v>
          </cell>
          <cell r="M160">
            <v>-83.464177000000007</v>
          </cell>
          <cell r="N160" t="str">
            <v>Sur</v>
          </cell>
          <cell r="O160">
            <v>1</v>
          </cell>
          <cell r="P160" t="str">
            <v>cabecar</v>
          </cell>
          <cell r="Q160" t="str">
            <v>cabecar</v>
          </cell>
          <cell r="R160" t="b">
            <v>1</v>
          </cell>
          <cell r="S160" t="str">
            <v>92_1</v>
          </cell>
          <cell r="T160">
            <v>1</v>
          </cell>
          <cell r="U160">
            <v>3</v>
          </cell>
          <cell r="V160">
            <v>3</v>
          </cell>
          <cell r="W160">
            <v>1</v>
          </cell>
          <cell r="X160">
            <v>42</v>
          </cell>
          <cell r="Y160">
            <v>31</v>
          </cell>
          <cell r="Z160">
            <v>0.73809523799999999</v>
          </cell>
        </row>
        <row r="161">
          <cell r="B161" t="str">
            <v>F93_1B</v>
          </cell>
          <cell r="C161" t="str">
            <v>R2_F93_1B</v>
          </cell>
          <cell r="D161">
            <v>1</v>
          </cell>
          <cell r="E161">
            <v>7</v>
          </cell>
          <cell r="F161">
            <v>532</v>
          </cell>
          <cell r="G161">
            <v>1</v>
          </cell>
          <cell r="H161">
            <v>44</v>
          </cell>
          <cell r="I161">
            <v>0</v>
          </cell>
          <cell r="J161">
            <v>4</v>
          </cell>
          <cell r="K161">
            <v>1</v>
          </cell>
          <cell r="L161">
            <v>9.1021599999999996</v>
          </cell>
          <cell r="M161">
            <v>-83.466616999999999</v>
          </cell>
          <cell r="N161" t="str">
            <v>Sur</v>
          </cell>
          <cell r="O161">
            <v>1</v>
          </cell>
          <cell r="P161" t="str">
            <v>cabecar</v>
          </cell>
          <cell r="Q161" t="str">
            <v>cabecar</v>
          </cell>
          <cell r="R161" t="b">
            <v>1</v>
          </cell>
          <cell r="S161" t="str">
            <v>93_1</v>
          </cell>
          <cell r="T161">
            <v>1</v>
          </cell>
          <cell r="U161">
            <v>13</v>
          </cell>
          <cell r="V161">
            <v>10</v>
          </cell>
          <cell r="W161">
            <v>0.76923076899999998</v>
          </cell>
          <cell r="X161">
            <v>46</v>
          </cell>
          <cell r="Y161">
            <v>35</v>
          </cell>
          <cell r="Z161">
            <v>0.76086956500000003</v>
          </cell>
        </row>
        <row r="162">
          <cell r="B162" t="str">
            <v>F94_1B</v>
          </cell>
          <cell r="C162" t="str">
            <v>R2_F94_1B</v>
          </cell>
          <cell r="D162">
            <v>0</v>
          </cell>
          <cell r="E162">
            <v>0.25</v>
          </cell>
          <cell r="F162">
            <v>705</v>
          </cell>
          <cell r="G162">
            <v>1</v>
          </cell>
          <cell r="H162">
            <v>55</v>
          </cell>
          <cell r="I162">
            <v>6</v>
          </cell>
          <cell r="J162">
            <v>3</v>
          </cell>
          <cell r="K162">
            <v>1</v>
          </cell>
          <cell r="L162">
            <v>9.1340769999999996</v>
          </cell>
          <cell r="M162">
            <v>-83.472813000000002</v>
          </cell>
          <cell r="N162" t="str">
            <v>Sur</v>
          </cell>
          <cell r="O162">
            <v>1</v>
          </cell>
          <cell r="P162" t="str">
            <v>nambi</v>
          </cell>
          <cell r="Q162" t="str">
            <v>negro</v>
          </cell>
          <cell r="R162" t="str">
            <v>Not applicable</v>
          </cell>
          <cell r="S162" t="str">
            <v>94_1</v>
          </cell>
          <cell r="T162">
            <v>0</v>
          </cell>
          <cell r="U162">
            <v>5</v>
          </cell>
          <cell r="V162">
            <v>1</v>
          </cell>
          <cell r="W162">
            <v>0.2</v>
          </cell>
          <cell r="X162">
            <v>19</v>
          </cell>
          <cell r="Y162">
            <v>11</v>
          </cell>
          <cell r="Z162">
            <v>0.57894736800000002</v>
          </cell>
        </row>
        <row r="163">
          <cell r="B163" t="str">
            <v>F94_2B</v>
          </cell>
          <cell r="C163" t="str">
            <v>R2_F94_2B</v>
          </cell>
          <cell r="D163">
            <v>0</v>
          </cell>
          <cell r="E163">
            <v>0.52500000000000002</v>
          </cell>
          <cell r="F163">
            <v>705</v>
          </cell>
          <cell r="G163">
            <v>1</v>
          </cell>
          <cell r="H163">
            <v>55</v>
          </cell>
          <cell r="I163">
            <v>6</v>
          </cell>
          <cell r="J163">
            <v>3</v>
          </cell>
          <cell r="K163">
            <v>0</v>
          </cell>
          <cell r="L163">
            <v>9.1340769999999996</v>
          </cell>
          <cell r="M163">
            <v>-83.472813000000002</v>
          </cell>
          <cell r="N163" t="str">
            <v>Sur</v>
          </cell>
          <cell r="O163">
            <v>1</v>
          </cell>
          <cell r="P163" t="str">
            <v>tequila</v>
          </cell>
          <cell r="Q163" t="str">
            <v>rojo</v>
          </cell>
          <cell r="R163" t="str">
            <v>Not applicable</v>
          </cell>
          <cell r="S163" t="str">
            <v>94_2</v>
          </cell>
          <cell r="T163">
            <v>0</v>
          </cell>
          <cell r="U163">
            <v>5</v>
          </cell>
          <cell r="V163">
            <v>1</v>
          </cell>
          <cell r="W163">
            <v>0.2</v>
          </cell>
          <cell r="X163">
            <v>19</v>
          </cell>
          <cell r="Y163">
            <v>11</v>
          </cell>
          <cell r="Z163">
            <v>0.57894736800000002</v>
          </cell>
        </row>
        <row r="164">
          <cell r="B164" t="str">
            <v>F94_3B</v>
          </cell>
          <cell r="C164" t="str">
            <v>R2_F94_3B</v>
          </cell>
          <cell r="D164">
            <v>0</v>
          </cell>
          <cell r="E164">
            <v>0.17499999999999999</v>
          </cell>
          <cell r="F164">
            <v>705</v>
          </cell>
          <cell r="G164">
            <v>1</v>
          </cell>
          <cell r="H164">
            <v>55</v>
          </cell>
          <cell r="I164">
            <v>6</v>
          </cell>
          <cell r="J164">
            <v>3</v>
          </cell>
          <cell r="K164">
            <v>0</v>
          </cell>
          <cell r="L164">
            <v>9.1340769999999996</v>
          </cell>
          <cell r="M164">
            <v>-83.472813000000002</v>
          </cell>
          <cell r="N164" t="str">
            <v>Sur</v>
          </cell>
          <cell r="O164">
            <v>1</v>
          </cell>
          <cell r="P164" t="str">
            <v>tequila</v>
          </cell>
          <cell r="Q164" t="str">
            <v>rojo</v>
          </cell>
          <cell r="R164" t="str">
            <v>Not applicable</v>
          </cell>
          <cell r="S164" t="str">
            <v>94_3</v>
          </cell>
          <cell r="T164">
            <v>0</v>
          </cell>
          <cell r="U164">
            <v>5</v>
          </cell>
          <cell r="V164">
            <v>1</v>
          </cell>
          <cell r="W164">
            <v>0.2</v>
          </cell>
          <cell r="X164">
            <v>19</v>
          </cell>
          <cell r="Y164">
            <v>11</v>
          </cell>
          <cell r="Z164">
            <v>0.57894736800000002</v>
          </cell>
        </row>
        <row r="165">
          <cell r="B165" t="str">
            <v>F94_4B</v>
          </cell>
          <cell r="C165" t="str">
            <v>R2_F94_4B</v>
          </cell>
          <cell r="D165">
            <v>1</v>
          </cell>
          <cell r="E165">
            <v>0.7</v>
          </cell>
          <cell r="F165">
            <v>705</v>
          </cell>
          <cell r="G165">
            <v>1</v>
          </cell>
          <cell r="H165">
            <v>55</v>
          </cell>
          <cell r="I165">
            <v>6</v>
          </cell>
          <cell r="J165">
            <v>3</v>
          </cell>
          <cell r="K165">
            <v>1</v>
          </cell>
          <cell r="L165">
            <v>9.1340769999999996</v>
          </cell>
          <cell r="M165">
            <v>-83.472813000000002</v>
          </cell>
          <cell r="N165" t="str">
            <v>Sur</v>
          </cell>
          <cell r="O165">
            <v>1</v>
          </cell>
          <cell r="P165" t="str">
            <v>cabecar</v>
          </cell>
          <cell r="Q165" t="str">
            <v>cabecar</v>
          </cell>
          <cell r="R165" t="b">
            <v>1</v>
          </cell>
          <cell r="S165" t="str">
            <v>94_4</v>
          </cell>
          <cell r="T165">
            <v>1</v>
          </cell>
          <cell r="U165">
            <v>5</v>
          </cell>
          <cell r="V165">
            <v>1</v>
          </cell>
          <cell r="W165">
            <v>0.2</v>
          </cell>
          <cell r="X165">
            <v>19</v>
          </cell>
          <cell r="Y165">
            <v>11</v>
          </cell>
          <cell r="Z165">
            <v>0.57894736800000002</v>
          </cell>
        </row>
        <row r="166">
          <cell r="B166" t="str">
            <v>F95_1B</v>
          </cell>
          <cell r="C166" t="str">
            <v>R2_F95_1B</v>
          </cell>
          <cell r="D166">
            <v>1</v>
          </cell>
          <cell r="E166">
            <v>2</v>
          </cell>
          <cell r="F166">
            <v>483</v>
          </cell>
          <cell r="G166">
            <v>1</v>
          </cell>
          <cell r="H166">
            <v>39</v>
          </cell>
          <cell r="I166">
            <v>0</v>
          </cell>
          <cell r="J166">
            <v>4</v>
          </cell>
          <cell r="K166">
            <v>1</v>
          </cell>
          <cell r="L166">
            <v>9.1443530000000006</v>
          </cell>
          <cell r="M166">
            <v>-83.476909000000006</v>
          </cell>
          <cell r="N166" t="str">
            <v>Sur</v>
          </cell>
          <cell r="O166">
            <v>1</v>
          </cell>
          <cell r="P166" t="str">
            <v>cabecar</v>
          </cell>
          <cell r="Q166" t="str">
            <v>cabecar</v>
          </cell>
          <cell r="R166" t="b">
            <v>1</v>
          </cell>
          <cell r="S166" t="str">
            <v>95_1</v>
          </cell>
          <cell r="T166">
            <v>1</v>
          </cell>
          <cell r="U166">
            <v>0</v>
          </cell>
          <cell r="V166">
            <v>0</v>
          </cell>
          <cell r="W166" t="str">
            <v>NA</v>
          </cell>
          <cell r="X166">
            <v>11</v>
          </cell>
          <cell r="Y166">
            <v>3</v>
          </cell>
          <cell r="Z166">
            <v>0.27272727299999999</v>
          </cell>
        </row>
        <row r="167">
          <cell r="B167" t="str">
            <v>F96_1B</v>
          </cell>
          <cell r="C167" t="str">
            <v>R2_F96_1B</v>
          </cell>
          <cell r="D167">
            <v>1</v>
          </cell>
          <cell r="E167">
            <v>2.1</v>
          </cell>
          <cell r="F167">
            <v>540</v>
          </cell>
          <cell r="G167">
            <v>1</v>
          </cell>
          <cell r="H167">
            <v>37</v>
          </cell>
          <cell r="I167">
            <v>4</v>
          </cell>
          <cell r="J167">
            <v>7</v>
          </cell>
          <cell r="K167">
            <v>1</v>
          </cell>
          <cell r="L167">
            <v>9.1085619999999992</v>
          </cell>
          <cell r="M167">
            <v>-83.460251999999997</v>
          </cell>
          <cell r="N167" t="str">
            <v>Sur</v>
          </cell>
          <cell r="O167">
            <v>1</v>
          </cell>
          <cell r="P167" t="str">
            <v>cabecar</v>
          </cell>
          <cell r="Q167" t="str">
            <v>cabecar</v>
          </cell>
          <cell r="R167" t="b">
            <v>1</v>
          </cell>
          <cell r="S167" t="str">
            <v>96_1</v>
          </cell>
          <cell r="T167">
            <v>1</v>
          </cell>
          <cell r="U167">
            <v>1</v>
          </cell>
          <cell r="V167">
            <v>1</v>
          </cell>
          <cell r="W167">
            <v>1</v>
          </cell>
          <cell r="X167">
            <v>40</v>
          </cell>
          <cell r="Y167">
            <v>30</v>
          </cell>
          <cell r="Z167">
            <v>0.75</v>
          </cell>
        </row>
        <row r="168">
          <cell r="B168" t="str">
            <v>F97_1B</v>
          </cell>
          <cell r="C168" t="str">
            <v>R2_F97_1B</v>
          </cell>
          <cell r="D168">
            <v>1</v>
          </cell>
          <cell r="E168">
            <v>1</v>
          </cell>
          <cell r="F168">
            <v>564</v>
          </cell>
          <cell r="G168">
            <v>1</v>
          </cell>
          <cell r="H168">
            <v>51</v>
          </cell>
          <cell r="I168">
            <v>6</v>
          </cell>
          <cell r="J168">
            <v>4</v>
          </cell>
          <cell r="K168">
            <v>1</v>
          </cell>
          <cell r="L168">
            <v>9.1060960000000009</v>
          </cell>
          <cell r="M168">
            <v>-83.456614000000002</v>
          </cell>
          <cell r="N168" t="str">
            <v>Sur</v>
          </cell>
          <cell r="O168">
            <v>1</v>
          </cell>
          <cell r="P168" t="str">
            <v>nambi</v>
          </cell>
          <cell r="Q168" t="str">
            <v>nambi</v>
          </cell>
          <cell r="R168" t="b">
            <v>1</v>
          </cell>
          <cell r="S168" t="str">
            <v>97_1</v>
          </cell>
          <cell r="T168">
            <v>1</v>
          </cell>
          <cell r="U168">
            <v>3</v>
          </cell>
          <cell r="V168">
            <v>2</v>
          </cell>
          <cell r="W168">
            <v>0.66666666699999999</v>
          </cell>
          <cell r="X168">
            <v>48</v>
          </cell>
          <cell r="Y168">
            <v>37</v>
          </cell>
          <cell r="Z168">
            <v>0.77083333300000001</v>
          </cell>
        </row>
        <row r="169">
          <cell r="B169" t="str">
            <v>F97_2B</v>
          </cell>
          <cell r="C169" t="str">
            <v>R2_F97_2B</v>
          </cell>
          <cell r="D169">
            <v>0</v>
          </cell>
          <cell r="E169">
            <v>2</v>
          </cell>
          <cell r="F169">
            <v>564</v>
          </cell>
          <cell r="G169">
            <v>1</v>
          </cell>
          <cell r="H169">
            <v>51</v>
          </cell>
          <cell r="I169">
            <v>6</v>
          </cell>
          <cell r="J169">
            <v>4</v>
          </cell>
          <cell r="K169">
            <v>0</v>
          </cell>
          <cell r="L169">
            <v>9.1060960000000009</v>
          </cell>
          <cell r="M169">
            <v>-83.456614000000002</v>
          </cell>
          <cell r="N169" t="str">
            <v>Sur</v>
          </cell>
          <cell r="O169">
            <v>1</v>
          </cell>
          <cell r="P169" t="str">
            <v>victoria</v>
          </cell>
          <cell r="Q169" t="str">
            <v>cabecar</v>
          </cell>
          <cell r="R169" t="b">
            <v>0</v>
          </cell>
          <cell r="S169" t="str">
            <v>97_2</v>
          </cell>
          <cell r="T169">
            <v>1</v>
          </cell>
          <cell r="U169">
            <v>3</v>
          </cell>
          <cell r="V169">
            <v>2</v>
          </cell>
          <cell r="W169">
            <v>0.66666666699999999</v>
          </cell>
          <cell r="X169">
            <v>48</v>
          </cell>
          <cell r="Y169">
            <v>37</v>
          </cell>
          <cell r="Z169">
            <v>0.77083333300000001</v>
          </cell>
        </row>
        <row r="170">
          <cell r="B170" t="str">
            <v>F98_1B</v>
          </cell>
          <cell r="C170" t="str">
            <v>R2_F98_1B</v>
          </cell>
          <cell r="D170">
            <v>1</v>
          </cell>
          <cell r="E170">
            <v>1.75</v>
          </cell>
          <cell r="F170">
            <v>314</v>
          </cell>
          <cell r="G170">
            <v>1</v>
          </cell>
          <cell r="H170">
            <v>36</v>
          </cell>
          <cell r="I170">
            <v>8</v>
          </cell>
          <cell r="J170">
            <v>4</v>
          </cell>
          <cell r="K170">
            <v>1</v>
          </cell>
          <cell r="L170">
            <v>9.0494660000000007</v>
          </cell>
          <cell r="M170">
            <v>-83.457668999999996</v>
          </cell>
          <cell r="N170" t="str">
            <v>Sur</v>
          </cell>
          <cell r="O170">
            <v>1</v>
          </cell>
          <cell r="P170" t="str">
            <v>cabecar</v>
          </cell>
          <cell r="Q170" t="str">
            <v>cabecar</v>
          </cell>
          <cell r="R170" t="b">
            <v>1</v>
          </cell>
          <cell r="S170" t="str">
            <v>98_1</v>
          </cell>
          <cell r="T170">
            <v>1</v>
          </cell>
          <cell r="U170">
            <v>8</v>
          </cell>
          <cell r="V170">
            <v>8</v>
          </cell>
          <cell r="W170">
            <v>1</v>
          </cell>
          <cell r="X170">
            <v>44</v>
          </cell>
          <cell r="Y170">
            <v>31</v>
          </cell>
          <cell r="Z170">
            <v>0.70454545499999999</v>
          </cell>
        </row>
        <row r="171">
          <cell r="B171" t="str">
            <v>F98_2B</v>
          </cell>
          <cell r="C171" t="str">
            <v>R2_F98_2B</v>
          </cell>
          <cell r="D171">
            <v>1</v>
          </cell>
          <cell r="E171">
            <v>1.05</v>
          </cell>
          <cell r="F171">
            <v>314</v>
          </cell>
          <cell r="G171">
            <v>1</v>
          </cell>
          <cell r="H171">
            <v>36</v>
          </cell>
          <cell r="I171">
            <v>8</v>
          </cell>
          <cell r="J171">
            <v>4</v>
          </cell>
          <cell r="K171">
            <v>1</v>
          </cell>
          <cell r="L171">
            <v>9.0494660000000007</v>
          </cell>
          <cell r="M171">
            <v>-83.457668999999996</v>
          </cell>
          <cell r="N171" t="str">
            <v>Sur</v>
          </cell>
          <cell r="O171">
            <v>1</v>
          </cell>
          <cell r="P171" t="str">
            <v>nambi</v>
          </cell>
          <cell r="Q171" t="str">
            <v>nambi</v>
          </cell>
          <cell r="R171" t="b">
            <v>1</v>
          </cell>
          <cell r="S171" t="str">
            <v>98_2</v>
          </cell>
          <cell r="T171">
            <v>1</v>
          </cell>
          <cell r="U171">
            <v>8</v>
          </cell>
          <cell r="V171">
            <v>8</v>
          </cell>
          <cell r="W171">
            <v>1</v>
          </cell>
          <cell r="X171">
            <v>44</v>
          </cell>
          <cell r="Y171">
            <v>31</v>
          </cell>
          <cell r="Z171">
            <v>0.70454545499999999</v>
          </cell>
        </row>
        <row r="172">
          <cell r="B172" t="str">
            <v>F99_1B</v>
          </cell>
          <cell r="C172" t="str">
            <v>R2_F99_1B</v>
          </cell>
          <cell r="D172">
            <v>1</v>
          </cell>
          <cell r="E172">
            <v>0.7</v>
          </cell>
          <cell r="F172">
            <v>310</v>
          </cell>
          <cell r="G172">
            <v>1</v>
          </cell>
          <cell r="H172">
            <v>49</v>
          </cell>
          <cell r="I172">
            <v>3</v>
          </cell>
          <cell r="J172">
            <v>6</v>
          </cell>
          <cell r="K172">
            <v>1</v>
          </cell>
          <cell r="L172">
            <v>9.0505300000000002</v>
          </cell>
          <cell r="M172">
            <v>-83.457303999999993</v>
          </cell>
          <cell r="N172" t="str">
            <v>Sur</v>
          </cell>
          <cell r="O172">
            <v>1</v>
          </cell>
          <cell r="P172" t="str">
            <v>cabecar</v>
          </cell>
          <cell r="Q172" t="str">
            <v>cabecar</v>
          </cell>
          <cell r="R172" t="b">
            <v>1</v>
          </cell>
          <cell r="S172" t="str">
            <v>99_1</v>
          </cell>
          <cell r="T172">
            <v>1</v>
          </cell>
          <cell r="U172">
            <v>9</v>
          </cell>
          <cell r="V172">
            <v>9</v>
          </cell>
          <cell r="W172">
            <v>1</v>
          </cell>
          <cell r="X172">
            <v>45</v>
          </cell>
          <cell r="Y172">
            <v>32</v>
          </cell>
          <cell r="Z172">
            <v>0.71111111100000002</v>
          </cell>
        </row>
        <row r="173">
          <cell r="B173" t="str">
            <v>F100_1B</v>
          </cell>
          <cell r="C173" t="str">
            <v>R2_F100_1B</v>
          </cell>
          <cell r="D173">
            <v>0</v>
          </cell>
          <cell r="E173">
            <v>3</v>
          </cell>
          <cell r="F173">
            <v>324</v>
          </cell>
          <cell r="G173">
            <v>1</v>
          </cell>
          <cell r="H173">
            <v>67</v>
          </cell>
          <cell r="I173">
            <v>6</v>
          </cell>
          <cell r="J173">
            <v>1</v>
          </cell>
          <cell r="K173">
            <v>0</v>
          </cell>
          <cell r="L173">
            <v>9.0482739999999993</v>
          </cell>
          <cell r="M173">
            <v>-83.443753999999998</v>
          </cell>
          <cell r="N173" t="str">
            <v>Sur</v>
          </cell>
          <cell r="O173">
            <v>1</v>
          </cell>
          <cell r="P173" t="str">
            <v>tequila</v>
          </cell>
          <cell r="Q173" t="str">
            <v>rojo</v>
          </cell>
          <cell r="R173" t="str">
            <v>Not applicable</v>
          </cell>
          <cell r="S173" t="str">
            <v>100_1</v>
          </cell>
          <cell r="T173">
            <v>0</v>
          </cell>
          <cell r="U173">
            <v>0</v>
          </cell>
          <cell r="V173">
            <v>0</v>
          </cell>
          <cell r="W173" t="str">
            <v>NA</v>
          </cell>
          <cell r="X173">
            <v>37</v>
          </cell>
          <cell r="Y173">
            <v>29</v>
          </cell>
          <cell r="Z173">
            <v>0.78378378400000004</v>
          </cell>
        </row>
        <row r="174">
          <cell r="B174" t="str">
            <v>F100_2B</v>
          </cell>
          <cell r="C174" t="str">
            <v>R2_F100_2B</v>
          </cell>
          <cell r="D174">
            <v>0</v>
          </cell>
          <cell r="E174">
            <v>1</v>
          </cell>
          <cell r="F174">
            <v>324</v>
          </cell>
          <cell r="G174">
            <v>1</v>
          </cell>
          <cell r="H174">
            <v>67</v>
          </cell>
          <cell r="I174">
            <v>6</v>
          </cell>
          <cell r="J174">
            <v>1</v>
          </cell>
          <cell r="K174">
            <v>1</v>
          </cell>
          <cell r="L174">
            <v>9.0482739999999993</v>
          </cell>
          <cell r="M174">
            <v>-83.443753999999998</v>
          </cell>
          <cell r="N174" t="str">
            <v>Sur</v>
          </cell>
          <cell r="O174">
            <v>1</v>
          </cell>
          <cell r="P174" t="str">
            <v>nambi</v>
          </cell>
          <cell r="Q174" t="str">
            <v>other</v>
          </cell>
          <cell r="R174" t="str">
            <v>Not applicable</v>
          </cell>
          <cell r="S174" t="str">
            <v>100_2</v>
          </cell>
          <cell r="T174">
            <v>0</v>
          </cell>
          <cell r="U174">
            <v>0</v>
          </cell>
          <cell r="V174">
            <v>0</v>
          </cell>
          <cell r="W174" t="str">
            <v>NA</v>
          </cell>
          <cell r="X174">
            <v>37</v>
          </cell>
          <cell r="Y174">
            <v>29</v>
          </cell>
          <cell r="Z174">
            <v>0.78378378400000004</v>
          </cell>
        </row>
        <row r="175">
          <cell r="B175" t="str">
            <v>F101_1B</v>
          </cell>
          <cell r="C175" t="str">
            <v>R2_F101_1B</v>
          </cell>
          <cell r="D175">
            <v>0</v>
          </cell>
          <cell r="E175">
            <v>1.4</v>
          </cell>
          <cell r="F175">
            <v>610</v>
          </cell>
          <cell r="G175">
            <v>1</v>
          </cell>
          <cell r="H175">
            <v>43</v>
          </cell>
          <cell r="I175">
            <v>6</v>
          </cell>
          <cell r="J175">
            <v>5</v>
          </cell>
          <cell r="K175">
            <v>0</v>
          </cell>
          <cell r="L175">
            <v>9.0400399999999994</v>
          </cell>
          <cell r="M175">
            <v>-83.478690999999998</v>
          </cell>
          <cell r="N175" t="str">
            <v>Sur</v>
          </cell>
          <cell r="O175">
            <v>1</v>
          </cell>
          <cell r="P175" t="str">
            <v>tequila</v>
          </cell>
          <cell r="Q175" t="str">
            <v>sacapobres</v>
          </cell>
          <cell r="R175" t="b">
            <v>0</v>
          </cell>
          <cell r="S175" t="str">
            <v>101_1</v>
          </cell>
          <cell r="T175">
            <v>0</v>
          </cell>
          <cell r="U175">
            <v>0</v>
          </cell>
          <cell r="V175">
            <v>0</v>
          </cell>
          <cell r="W175" t="str">
            <v>NA</v>
          </cell>
          <cell r="X175">
            <v>29</v>
          </cell>
          <cell r="Y175">
            <v>24</v>
          </cell>
          <cell r="Z175">
            <v>0.82758620699999996</v>
          </cell>
        </row>
        <row r="176">
          <cell r="B176" t="str">
            <v>F101_2B</v>
          </cell>
          <cell r="C176" t="str">
            <v>R2_F101_2B</v>
          </cell>
          <cell r="D176">
            <v>0</v>
          </cell>
          <cell r="E176">
            <v>0.7</v>
          </cell>
          <cell r="F176">
            <v>610</v>
          </cell>
          <cell r="G176">
            <v>1</v>
          </cell>
          <cell r="H176">
            <v>43</v>
          </cell>
          <cell r="I176">
            <v>6</v>
          </cell>
          <cell r="J176">
            <v>5</v>
          </cell>
          <cell r="K176">
            <v>1</v>
          </cell>
          <cell r="L176">
            <v>9.0400399999999994</v>
          </cell>
          <cell r="M176">
            <v>-83.478690999999998</v>
          </cell>
          <cell r="N176" t="str">
            <v>Sur</v>
          </cell>
          <cell r="O176">
            <v>1</v>
          </cell>
          <cell r="P176" t="str">
            <v>nambi</v>
          </cell>
          <cell r="Q176" t="str">
            <v>negro</v>
          </cell>
          <cell r="R176" t="str">
            <v>Not applicable</v>
          </cell>
          <cell r="S176" t="str">
            <v>101_2</v>
          </cell>
          <cell r="T176">
            <v>0</v>
          </cell>
          <cell r="U176">
            <v>0</v>
          </cell>
          <cell r="V176">
            <v>0</v>
          </cell>
          <cell r="W176" t="str">
            <v>NA</v>
          </cell>
          <cell r="X176">
            <v>29</v>
          </cell>
          <cell r="Y176">
            <v>24</v>
          </cell>
          <cell r="Z176">
            <v>0.82758620699999996</v>
          </cell>
        </row>
        <row r="177">
          <cell r="B177" t="str">
            <v>F102_1B</v>
          </cell>
          <cell r="C177" t="str">
            <v>R2_F102_1B</v>
          </cell>
          <cell r="D177">
            <v>1</v>
          </cell>
          <cell r="E177">
            <v>1.4</v>
          </cell>
          <cell r="F177">
            <v>563</v>
          </cell>
          <cell r="G177">
            <v>1</v>
          </cell>
          <cell r="H177">
            <v>24</v>
          </cell>
          <cell r="I177">
            <v>16</v>
          </cell>
          <cell r="J177">
            <v>4</v>
          </cell>
          <cell r="K177">
            <v>1</v>
          </cell>
          <cell r="L177">
            <v>9.0923110000000005</v>
          </cell>
          <cell r="M177">
            <v>-83.467770999999999</v>
          </cell>
          <cell r="N177" t="str">
            <v>Sur</v>
          </cell>
          <cell r="O177">
            <v>1</v>
          </cell>
          <cell r="P177" t="str">
            <v>cabecar</v>
          </cell>
          <cell r="Q177" t="str">
            <v>cabecar</v>
          </cell>
          <cell r="R177" t="b">
            <v>1</v>
          </cell>
          <cell r="S177" t="str">
            <v>102_1</v>
          </cell>
          <cell r="T177">
            <v>1</v>
          </cell>
          <cell r="U177">
            <v>11</v>
          </cell>
          <cell r="V177">
            <v>8</v>
          </cell>
          <cell r="W177">
            <v>0.72727272700000001</v>
          </cell>
          <cell r="X177">
            <v>37</v>
          </cell>
          <cell r="Y177">
            <v>27</v>
          </cell>
          <cell r="Z177">
            <v>0.72972972999999997</v>
          </cell>
        </row>
        <row r="178">
          <cell r="B178" t="str">
            <v>F103_1B</v>
          </cell>
          <cell r="C178" t="str">
            <v>R2_F103_1B</v>
          </cell>
          <cell r="D178">
            <v>0</v>
          </cell>
          <cell r="E178">
            <v>2.5</v>
          </cell>
          <cell r="F178">
            <v>552</v>
          </cell>
          <cell r="G178">
            <v>1</v>
          </cell>
          <cell r="H178">
            <v>65</v>
          </cell>
          <cell r="I178">
            <v>6</v>
          </cell>
          <cell r="J178">
            <v>1</v>
          </cell>
          <cell r="K178">
            <v>1</v>
          </cell>
          <cell r="L178">
            <v>8.8916240000000002</v>
          </cell>
          <cell r="M178">
            <v>-83.198621000000003</v>
          </cell>
          <cell r="N178" t="str">
            <v>Sur</v>
          </cell>
          <cell r="O178">
            <v>1</v>
          </cell>
          <cell r="P178" t="str">
            <v>brunca</v>
          </cell>
          <cell r="Q178" t="str">
            <v>nambi</v>
          </cell>
          <cell r="R178" t="b">
            <v>0</v>
          </cell>
          <cell r="S178" t="str">
            <v>103_1</v>
          </cell>
          <cell r="T178">
            <v>1</v>
          </cell>
          <cell r="U178">
            <v>5</v>
          </cell>
          <cell r="V178">
            <v>2</v>
          </cell>
          <cell r="W178">
            <v>0.4</v>
          </cell>
          <cell r="X178">
            <v>26</v>
          </cell>
          <cell r="Y178">
            <v>16</v>
          </cell>
          <cell r="Z178">
            <v>0.61538461499999997</v>
          </cell>
        </row>
        <row r="179">
          <cell r="B179" t="str">
            <v>F104_1B</v>
          </cell>
          <cell r="C179" t="str">
            <v>R2_F104_1B</v>
          </cell>
          <cell r="D179">
            <v>1</v>
          </cell>
          <cell r="E179">
            <v>2</v>
          </cell>
          <cell r="F179">
            <v>554</v>
          </cell>
          <cell r="G179">
            <v>1</v>
          </cell>
          <cell r="H179">
            <v>69</v>
          </cell>
          <cell r="I179">
            <v>5</v>
          </cell>
          <cell r="J179">
            <v>3</v>
          </cell>
          <cell r="K179">
            <v>1</v>
          </cell>
          <cell r="L179">
            <v>8.8924280000000007</v>
          </cell>
          <cell r="M179">
            <v>-83.197243</v>
          </cell>
          <cell r="N179" t="str">
            <v>Sur</v>
          </cell>
          <cell r="O179">
            <v>1</v>
          </cell>
          <cell r="P179" t="str">
            <v>nambi</v>
          </cell>
          <cell r="Q179" t="str">
            <v>nambi</v>
          </cell>
          <cell r="R179" t="b">
            <v>1</v>
          </cell>
          <cell r="S179" t="str">
            <v>104_1</v>
          </cell>
          <cell r="T179">
            <v>1</v>
          </cell>
          <cell r="U179">
            <v>4</v>
          </cell>
          <cell r="V179">
            <v>2</v>
          </cell>
          <cell r="W179">
            <v>0.5</v>
          </cell>
          <cell r="X179">
            <v>25</v>
          </cell>
          <cell r="Y179">
            <v>16</v>
          </cell>
          <cell r="Z179">
            <v>0.64</v>
          </cell>
        </row>
        <row r="180">
          <cell r="B180" t="str">
            <v>F104_2B</v>
          </cell>
          <cell r="C180" t="str">
            <v>R2_F104_2B</v>
          </cell>
          <cell r="D180">
            <v>0</v>
          </cell>
          <cell r="E180">
            <v>5</v>
          </cell>
          <cell r="F180">
            <v>554</v>
          </cell>
          <cell r="G180">
            <v>1</v>
          </cell>
          <cell r="H180">
            <v>69</v>
          </cell>
          <cell r="I180">
            <v>5</v>
          </cell>
          <cell r="J180">
            <v>3</v>
          </cell>
          <cell r="K180">
            <v>1</v>
          </cell>
          <cell r="L180">
            <v>8.8924280000000007</v>
          </cell>
          <cell r="M180">
            <v>-83.197243</v>
          </cell>
          <cell r="N180" t="str">
            <v>Sur</v>
          </cell>
          <cell r="O180">
            <v>1</v>
          </cell>
          <cell r="P180" t="str">
            <v>changuena</v>
          </cell>
          <cell r="Q180" t="str">
            <v>cabecar</v>
          </cell>
          <cell r="R180" t="b">
            <v>0</v>
          </cell>
          <cell r="S180" t="str">
            <v>104_2</v>
          </cell>
          <cell r="T180">
            <v>0</v>
          </cell>
          <cell r="U180">
            <v>4</v>
          </cell>
          <cell r="V180">
            <v>2</v>
          </cell>
          <cell r="W180">
            <v>0.5</v>
          </cell>
          <cell r="X180">
            <v>25</v>
          </cell>
          <cell r="Y180">
            <v>16</v>
          </cell>
          <cell r="Z180">
            <v>0.64</v>
          </cell>
        </row>
        <row r="181">
          <cell r="B181" t="str">
            <v>F105_1B</v>
          </cell>
          <cell r="C181" t="str">
            <v>R2_F105_1B</v>
          </cell>
          <cell r="D181">
            <v>1</v>
          </cell>
          <cell r="E181">
            <v>2.5</v>
          </cell>
          <cell r="F181">
            <v>791</v>
          </cell>
          <cell r="G181">
            <v>1</v>
          </cell>
          <cell r="H181">
            <v>44</v>
          </cell>
          <cell r="I181">
            <v>9</v>
          </cell>
          <cell r="J181">
            <v>4</v>
          </cell>
          <cell r="K181">
            <v>1</v>
          </cell>
          <cell r="L181">
            <v>8.8678749999999997</v>
          </cell>
          <cell r="M181">
            <v>-83.178207999999998</v>
          </cell>
          <cell r="N181" t="str">
            <v>Sur</v>
          </cell>
          <cell r="O181">
            <v>1</v>
          </cell>
          <cell r="P181" t="str">
            <v>changuena</v>
          </cell>
          <cell r="Q181" t="str">
            <v>changuena</v>
          </cell>
          <cell r="R181" t="b">
            <v>1</v>
          </cell>
          <cell r="S181" t="str">
            <v>105_1</v>
          </cell>
          <cell r="T181">
            <v>1</v>
          </cell>
          <cell r="U181">
            <v>0</v>
          </cell>
          <cell r="V181">
            <v>0</v>
          </cell>
          <cell r="W181" t="str">
            <v>NA</v>
          </cell>
          <cell r="X181">
            <v>6</v>
          </cell>
          <cell r="Y181">
            <v>3</v>
          </cell>
          <cell r="Z181">
            <v>0.5</v>
          </cell>
        </row>
        <row r="182">
          <cell r="B182" t="str">
            <v>F105_2B</v>
          </cell>
          <cell r="C182" t="str">
            <v>R2_F105_2B</v>
          </cell>
          <cell r="D182">
            <v>1</v>
          </cell>
          <cell r="E182">
            <v>2</v>
          </cell>
          <cell r="F182">
            <v>791</v>
          </cell>
          <cell r="G182">
            <v>1</v>
          </cell>
          <cell r="H182">
            <v>44</v>
          </cell>
          <cell r="I182">
            <v>9</v>
          </cell>
          <cell r="J182">
            <v>4</v>
          </cell>
          <cell r="K182">
            <v>1</v>
          </cell>
          <cell r="L182">
            <v>8.8678749999999997</v>
          </cell>
          <cell r="M182">
            <v>-83.178207999999998</v>
          </cell>
          <cell r="N182" t="str">
            <v>Sur</v>
          </cell>
          <cell r="O182">
            <v>1</v>
          </cell>
          <cell r="P182" t="str">
            <v>nambi</v>
          </cell>
          <cell r="Q182" t="str">
            <v>nambi</v>
          </cell>
          <cell r="R182" t="b">
            <v>1</v>
          </cell>
          <cell r="S182" t="str">
            <v>105_2</v>
          </cell>
          <cell r="T182">
            <v>1</v>
          </cell>
          <cell r="U182">
            <v>0</v>
          </cell>
          <cell r="V182">
            <v>0</v>
          </cell>
          <cell r="W182" t="str">
            <v>NA</v>
          </cell>
          <cell r="X182">
            <v>6</v>
          </cell>
          <cell r="Y182">
            <v>3</v>
          </cell>
          <cell r="Z182">
            <v>0.5</v>
          </cell>
        </row>
        <row r="183">
          <cell r="B183" t="str">
            <v>F105_3B</v>
          </cell>
          <cell r="C183" t="str">
            <v>R2_F105_3B</v>
          </cell>
          <cell r="D183">
            <v>0</v>
          </cell>
          <cell r="E183">
            <v>0.5</v>
          </cell>
          <cell r="F183">
            <v>791</v>
          </cell>
          <cell r="G183">
            <v>1</v>
          </cell>
          <cell r="H183">
            <v>44</v>
          </cell>
          <cell r="I183">
            <v>9</v>
          </cell>
          <cell r="J183">
            <v>4</v>
          </cell>
          <cell r="K183">
            <v>1</v>
          </cell>
          <cell r="L183">
            <v>8.8678749999999997</v>
          </cell>
          <cell r="M183">
            <v>-83.178207999999998</v>
          </cell>
          <cell r="N183" t="str">
            <v>Sur</v>
          </cell>
          <cell r="O183">
            <v>1</v>
          </cell>
          <cell r="P183" t="str">
            <v>nambi</v>
          </cell>
          <cell r="Q183" t="str">
            <v>quiura</v>
          </cell>
          <cell r="R183" t="b">
            <v>0</v>
          </cell>
          <cell r="S183" t="str">
            <v>105_3</v>
          </cell>
          <cell r="T183">
            <v>0</v>
          </cell>
          <cell r="U183">
            <v>0</v>
          </cell>
          <cell r="V183">
            <v>0</v>
          </cell>
          <cell r="W183" t="str">
            <v>NA</v>
          </cell>
          <cell r="X183">
            <v>6</v>
          </cell>
          <cell r="Y183">
            <v>3</v>
          </cell>
          <cell r="Z183">
            <v>0.5</v>
          </cell>
        </row>
        <row r="184">
          <cell r="B184" t="str">
            <v>F107_1B</v>
          </cell>
          <cell r="C184" t="str">
            <v>R2_F107_1B</v>
          </cell>
          <cell r="D184">
            <v>1</v>
          </cell>
          <cell r="E184">
            <v>2.5</v>
          </cell>
          <cell r="F184">
            <v>558</v>
          </cell>
          <cell r="G184">
            <v>1</v>
          </cell>
          <cell r="H184">
            <v>43</v>
          </cell>
          <cell r="I184">
            <v>5</v>
          </cell>
          <cell r="J184">
            <v>1</v>
          </cell>
          <cell r="K184">
            <v>1</v>
          </cell>
          <cell r="L184">
            <v>9.0062180000000005</v>
          </cell>
          <cell r="M184">
            <v>-83.328001999999998</v>
          </cell>
          <cell r="N184" t="str">
            <v>Sur</v>
          </cell>
          <cell r="O184">
            <v>1</v>
          </cell>
          <cell r="P184" t="str">
            <v>nambi</v>
          </cell>
          <cell r="Q184" t="str">
            <v>nambi</v>
          </cell>
          <cell r="R184" t="b">
            <v>1</v>
          </cell>
          <cell r="S184" t="str">
            <v>107_1</v>
          </cell>
          <cell r="T184">
            <v>1</v>
          </cell>
          <cell r="U184">
            <v>2</v>
          </cell>
          <cell r="V184">
            <v>1</v>
          </cell>
          <cell r="W184">
            <v>0.5</v>
          </cell>
          <cell r="X184">
            <v>2</v>
          </cell>
          <cell r="Y184">
            <v>1</v>
          </cell>
          <cell r="Z184">
            <v>0.5</v>
          </cell>
        </row>
        <row r="185">
          <cell r="B185" t="str">
            <v>F107_2B</v>
          </cell>
          <cell r="C185" t="str">
            <v>R2_F107_2B</v>
          </cell>
          <cell r="D185">
            <v>0</v>
          </cell>
          <cell r="E185">
            <v>2</v>
          </cell>
          <cell r="F185">
            <v>558</v>
          </cell>
          <cell r="G185">
            <v>1</v>
          </cell>
          <cell r="H185">
            <v>43</v>
          </cell>
          <cell r="I185">
            <v>5</v>
          </cell>
          <cell r="J185">
            <v>1</v>
          </cell>
          <cell r="K185">
            <v>1</v>
          </cell>
          <cell r="L185">
            <v>9.0062180000000005</v>
          </cell>
          <cell r="M185">
            <v>-83.328001999999998</v>
          </cell>
          <cell r="N185" t="str">
            <v>Sur</v>
          </cell>
          <cell r="O185">
            <v>1</v>
          </cell>
          <cell r="P185" t="str">
            <v>changuena</v>
          </cell>
          <cell r="Q185" t="str">
            <v>cabecar</v>
          </cell>
          <cell r="R185" t="b">
            <v>0</v>
          </cell>
          <cell r="S185" t="str">
            <v>107_2</v>
          </cell>
          <cell r="T185">
            <v>1</v>
          </cell>
          <cell r="U185">
            <v>2</v>
          </cell>
          <cell r="V185">
            <v>1</v>
          </cell>
          <cell r="W185">
            <v>0.5</v>
          </cell>
          <cell r="X185">
            <v>2</v>
          </cell>
          <cell r="Y185">
            <v>1</v>
          </cell>
          <cell r="Z185">
            <v>0.5</v>
          </cell>
        </row>
        <row r="186">
          <cell r="B186" t="str">
            <v>F108_1B</v>
          </cell>
          <cell r="C186" t="str">
            <v>R2_F108_1B</v>
          </cell>
          <cell r="D186">
            <v>0</v>
          </cell>
          <cell r="E186">
            <v>1.5</v>
          </cell>
          <cell r="F186">
            <v>988</v>
          </cell>
          <cell r="G186">
            <v>0</v>
          </cell>
          <cell r="H186">
            <v>44</v>
          </cell>
          <cell r="I186">
            <v>6</v>
          </cell>
          <cell r="J186">
            <v>6</v>
          </cell>
          <cell r="K186">
            <v>0</v>
          </cell>
          <cell r="L186">
            <v>8.8879149999999996</v>
          </cell>
          <cell r="M186">
            <v>-83.143912999999998</v>
          </cell>
          <cell r="N186" t="str">
            <v>Sur</v>
          </cell>
          <cell r="O186">
            <v>1</v>
          </cell>
          <cell r="P186" t="str">
            <v>generalito</v>
          </cell>
          <cell r="Q186" t="str">
            <v>quiura</v>
          </cell>
          <cell r="R186" t="b">
            <v>0</v>
          </cell>
          <cell r="S186" t="str">
            <v>108_1</v>
          </cell>
          <cell r="T186">
            <v>0</v>
          </cell>
          <cell r="U186">
            <v>0</v>
          </cell>
          <cell r="V186">
            <v>0</v>
          </cell>
          <cell r="W186" t="str">
            <v>NA</v>
          </cell>
          <cell r="X186">
            <v>9</v>
          </cell>
          <cell r="Y186">
            <v>7</v>
          </cell>
          <cell r="Z186">
            <v>0.77777777800000003</v>
          </cell>
        </row>
        <row r="187">
          <cell r="B187" t="str">
            <v>F108_2B</v>
          </cell>
          <cell r="C187" t="str">
            <v>R2_F108_2B</v>
          </cell>
          <cell r="D187">
            <v>0</v>
          </cell>
          <cell r="E187">
            <v>1.5</v>
          </cell>
          <cell r="F187">
            <v>988</v>
          </cell>
          <cell r="G187">
            <v>0</v>
          </cell>
          <cell r="H187">
            <v>44</v>
          </cell>
          <cell r="I187">
            <v>6</v>
          </cell>
          <cell r="J187">
            <v>6</v>
          </cell>
          <cell r="K187">
            <v>0</v>
          </cell>
          <cell r="L187">
            <v>8.8879149999999996</v>
          </cell>
          <cell r="M187">
            <v>-83.143912999999998</v>
          </cell>
          <cell r="N187" t="str">
            <v>Sur</v>
          </cell>
          <cell r="O187">
            <v>1</v>
          </cell>
          <cell r="P187" t="str">
            <v>sacapobres</v>
          </cell>
          <cell r="Q187" t="str">
            <v>other</v>
          </cell>
          <cell r="R187" t="str">
            <v>Not applicable</v>
          </cell>
          <cell r="S187" t="str">
            <v>108_2</v>
          </cell>
          <cell r="T187">
            <v>0</v>
          </cell>
          <cell r="U187">
            <v>0</v>
          </cell>
          <cell r="V187">
            <v>0</v>
          </cell>
          <cell r="W187" t="str">
            <v>NA</v>
          </cell>
          <cell r="X187">
            <v>9</v>
          </cell>
          <cell r="Y187">
            <v>7</v>
          </cell>
          <cell r="Z187">
            <v>0.77777777800000003</v>
          </cell>
        </row>
        <row r="188">
          <cell r="B188" t="str">
            <v>F108_3B</v>
          </cell>
          <cell r="C188" t="str">
            <v>R2_F108_3B</v>
          </cell>
          <cell r="D188">
            <v>1</v>
          </cell>
          <cell r="E188">
            <v>0.25</v>
          </cell>
          <cell r="F188">
            <v>988</v>
          </cell>
          <cell r="G188">
            <v>0</v>
          </cell>
          <cell r="H188">
            <v>44</v>
          </cell>
          <cell r="I188">
            <v>6</v>
          </cell>
          <cell r="J188">
            <v>6</v>
          </cell>
          <cell r="K188">
            <v>0</v>
          </cell>
          <cell r="L188">
            <v>8.8879149999999996</v>
          </cell>
          <cell r="M188">
            <v>-83.143912999999998</v>
          </cell>
          <cell r="N188" t="str">
            <v>Sur</v>
          </cell>
          <cell r="O188">
            <v>1</v>
          </cell>
          <cell r="P188" t="str">
            <v>mantequilla</v>
          </cell>
          <cell r="Q188" t="str">
            <v>mantequilla</v>
          </cell>
          <cell r="R188" t="b">
            <v>1</v>
          </cell>
          <cell r="S188" t="str">
            <v>108_3</v>
          </cell>
          <cell r="T188">
            <v>1</v>
          </cell>
          <cell r="U188">
            <v>0</v>
          </cell>
          <cell r="V188">
            <v>0</v>
          </cell>
          <cell r="W188" t="str">
            <v>NA</v>
          </cell>
          <cell r="X188">
            <v>9</v>
          </cell>
          <cell r="Y188">
            <v>7</v>
          </cell>
          <cell r="Z188">
            <v>0.77777777800000003</v>
          </cell>
        </row>
        <row r="189">
          <cell r="B189" t="str">
            <v>F108_4B</v>
          </cell>
          <cell r="C189" t="str">
            <v>R2_F108_4B</v>
          </cell>
          <cell r="D189">
            <v>1</v>
          </cell>
          <cell r="E189">
            <v>0.25</v>
          </cell>
          <cell r="F189">
            <v>988</v>
          </cell>
          <cell r="G189">
            <v>0</v>
          </cell>
          <cell r="H189">
            <v>44</v>
          </cell>
          <cell r="I189">
            <v>6</v>
          </cell>
          <cell r="J189">
            <v>6</v>
          </cell>
          <cell r="K189">
            <v>1</v>
          </cell>
          <cell r="L189">
            <v>8.8879149999999996</v>
          </cell>
          <cell r="M189">
            <v>-83.143912999999998</v>
          </cell>
          <cell r="N189" t="str">
            <v>Sur</v>
          </cell>
          <cell r="O189">
            <v>1</v>
          </cell>
          <cell r="P189" t="str">
            <v>nambi</v>
          </cell>
          <cell r="Q189" t="str">
            <v>nambi</v>
          </cell>
          <cell r="R189" t="b">
            <v>1</v>
          </cell>
          <cell r="S189" t="str">
            <v>108_4</v>
          </cell>
          <cell r="T189">
            <v>1</v>
          </cell>
          <cell r="U189">
            <v>0</v>
          </cell>
          <cell r="V189">
            <v>0</v>
          </cell>
          <cell r="W189" t="str">
            <v>NA</v>
          </cell>
          <cell r="X189">
            <v>9</v>
          </cell>
          <cell r="Y189">
            <v>7</v>
          </cell>
          <cell r="Z189">
            <v>0.77777777800000003</v>
          </cell>
        </row>
        <row r="190">
          <cell r="B190" t="str">
            <v>F108_5B</v>
          </cell>
          <cell r="C190" t="str">
            <v>R2_F108_5B</v>
          </cell>
          <cell r="D190">
            <v>1</v>
          </cell>
          <cell r="E190">
            <v>0.25</v>
          </cell>
          <cell r="F190">
            <v>988</v>
          </cell>
          <cell r="G190">
            <v>0</v>
          </cell>
          <cell r="H190">
            <v>44</v>
          </cell>
          <cell r="I190">
            <v>6</v>
          </cell>
          <cell r="J190">
            <v>6</v>
          </cell>
          <cell r="K190">
            <v>1</v>
          </cell>
          <cell r="L190">
            <v>8.8879149999999996</v>
          </cell>
          <cell r="M190">
            <v>-83.143912999999998</v>
          </cell>
          <cell r="N190" t="str">
            <v>Sur</v>
          </cell>
          <cell r="O190">
            <v>1</v>
          </cell>
          <cell r="P190" t="str">
            <v>brunca</v>
          </cell>
          <cell r="Q190" t="str">
            <v>brunca</v>
          </cell>
          <cell r="R190" t="b">
            <v>1</v>
          </cell>
          <cell r="S190" t="str">
            <v>108_5</v>
          </cell>
          <cell r="T190">
            <v>1</v>
          </cell>
          <cell r="U190">
            <v>0</v>
          </cell>
          <cell r="V190">
            <v>0</v>
          </cell>
          <cell r="W190" t="str">
            <v>NA</v>
          </cell>
          <cell r="X190">
            <v>9</v>
          </cell>
          <cell r="Y190">
            <v>7</v>
          </cell>
          <cell r="Z190">
            <v>0.77777777800000003</v>
          </cell>
        </row>
        <row r="191">
          <cell r="B191" t="str">
            <v>F109_1B</v>
          </cell>
          <cell r="C191" t="str">
            <v>R2_F109_1B</v>
          </cell>
          <cell r="D191">
            <v>1</v>
          </cell>
          <cell r="E191">
            <v>1</v>
          </cell>
          <cell r="F191">
            <v>811</v>
          </cell>
          <cell r="G191">
            <v>1</v>
          </cell>
          <cell r="H191">
            <v>46</v>
          </cell>
          <cell r="I191">
            <v>6</v>
          </cell>
          <cell r="J191">
            <v>6</v>
          </cell>
          <cell r="K191">
            <v>1</v>
          </cell>
          <cell r="L191">
            <v>8.9369770000000006</v>
          </cell>
          <cell r="M191">
            <v>-83.200232</v>
          </cell>
          <cell r="N191" t="str">
            <v>Sur</v>
          </cell>
          <cell r="O191">
            <v>1</v>
          </cell>
          <cell r="P191" t="str">
            <v>changuena</v>
          </cell>
          <cell r="Q191" t="str">
            <v>changuena</v>
          </cell>
          <cell r="R191" t="b">
            <v>1</v>
          </cell>
          <cell r="S191" t="str">
            <v>109_1</v>
          </cell>
          <cell r="T191">
            <v>1</v>
          </cell>
          <cell r="U191">
            <v>8</v>
          </cell>
          <cell r="V191">
            <v>5</v>
          </cell>
          <cell r="W191">
            <v>0.625</v>
          </cell>
          <cell r="X191">
            <v>40</v>
          </cell>
          <cell r="Y191">
            <v>30</v>
          </cell>
          <cell r="Z191">
            <v>0.75</v>
          </cell>
        </row>
        <row r="192">
          <cell r="B192" t="str">
            <v>F110_1B</v>
          </cell>
          <cell r="C192" t="str">
            <v>R2_F110_1B</v>
          </cell>
          <cell r="D192">
            <v>1</v>
          </cell>
          <cell r="E192">
            <v>0.25</v>
          </cell>
          <cell r="F192">
            <v>813</v>
          </cell>
          <cell r="G192">
            <v>1</v>
          </cell>
          <cell r="H192">
            <v>37</v>
          </cell>
          <cell r="I192">
            <v>6</v>
          </cell>
          <cell r="J192">
            <v>3</v>
          </cell>
          <cell r="K192">
            <v>1</v>
          </cell>
          <cell r="L192">
            <v>8.9346910000000008</v>
          </cell>
          <cell r="M192">
            <v>-83.200670000000002</v>
          </cell>
          <cell r="N192" t="str">
            <v>Sur</v>
          </cell>
          <cell r="O192">
            <v>1</v>
          </cell>
          <cell r="P192" t="str">
            <v>uran</v>
          </cell>
          <cell r="Q192" t="str">
            <v>uran</v>
          </cell>
          <cell r="R192" t="b">
            <v>1</v>
          </cell>
          <cell r="S192" t="str">
            <v>110_1</v>
          </cell>
          <cell r="T192">
            <v>0</v>
          </cell>
          <cell r="U192">
            <v>7</v>
          </cell>
          <cell r="V192">
            <v>6</v>
          </cell>
          <cell r="W192">
            <v>0.85714285700000004</v>
          </cell>
          <cell r="X192">
            <v>42</v>
          </cell>
          <cell r="Y192">
            <v>34</v>
          </cell>
          <cell r="Z192">
            <v>0.80952380999999995</v>
          </cell>
        </row>
        <row r="193">
          <cell r="B193" t="str">
            <v>F110_2B</v>
          </cell>
          <cell r="C193" t="str">
            <v>R2_F110_2B</v>
          </cell>
          <cell r="D193">
            <v>0</v>
          </cell>
          <cell r="E193">
            <v>3</v>
          </cell>
          <cell r="F193">
            <v>813</v>
          </cell>
          <cell r="G193">
            <v>1</v>
          </cell>
          <cell r="H193">
            <v>37</v>
          </cell>
          <cell r="I193">
            <v>6</v>
          </cell>
          <cell r="J193">
            <v>3</v>
          </cell>
          <cell r="K193">
            <v>1</v>
          </cell>
          <cell r="L193">
            <v>8.9346910000000008</v>
          </cell>
          <cell r="M193">
            <v>-83.200670000000002</v>
          </cell>
          <cell r="N193" t="str">
            <v>Sur</v>
          </cell>
          <cell r="O193">
            <v>1</v>
          </cell>
          <cell r="P193" t="str">
            <v>changuena</v>
          </cell>
          <cell r="Q193" t="str">
            <v>cabecar</v>
          </cell>
          <cell r="R193" t="b">
            <v>0</v>
          </cell>
          <cell r="S193" t="str">
            <v>110_2</v>
          </cell>
          <cell r="T193">
            <v>0</v>
          </cell>
          <cell r="U193">
            <v>7</v>
          </cell>
          <cell r="V193">
            <v>6</v>
          </cell>
          <cell r="W193">
            <v>0.85714285700000004</v>
          </cell>
          <cell r="X193">
            <v>42</v>
          </cell>
          <cell r="Y193">
            <v>34</v>
          </cell>
          <cell r="Z193">
            <v>0.80952380999999995</v>
          </cell>
        </row>
        <row r="194">
          <cell r="B194" t="str">
            <v>F111_1A</v>
          </cell>
          <cell r="C194" t="str">
            <v>R2_F111_1A</v>
          </cell>
          <cell r="D194">
            <v>0</v>
          </cell>
          <cell r="E194">
            <v>1.5</v>
          </cell>
          <cell r="F194">
            <v>383</v>
          </cell>
          <cell r="G194">
            <v>1</v>
          </cell>
          <cell r="H194">
            <v>27</v>
          </cell>
          <cell r="I194">
            <v>6</v>
          </cell>
          <cell r="J194">
            <v>4</v>
          </cell>
          <cell r="K194">
            <v>1</v>
          </cell>
          <cell r="L194">
            <v>9.0021319999999996</v>
          </cell>
          <cell r="M194">
            <v>-83.105748000000006</v>
          </cell>
          <cell r="N194" t="str">
            <v>Sur</v>
          </cell>
          <cell r="O194">
            <v>1</v>
          </cell>
          <cell r="P194" t="str">
            <v>nambi</v>
          </cell>
          <cell r="Q194" t="str">
            <v>cabecar</v>
          </cell>
          <cell r="R194" t="b">
            <v>0</v>
          </cell>
          <cell r="S194" t="str">
            <v>111_1</v>
          </cell>
          <cell r="T194">
            <v>0</v>
          </cell>
          <cell r="U194">
            <v>0</v>
          </cell>
          <cell r="V194">
            <v>0</v>
          </cell>
          <cell r="W194" t="str">
            <v>NA</v>
          </cell>
          <cell r="X194">
            <v>0</v>
          </cell>
          <cell r="Y194">
            <v>0</v>
          </cell>
          <cell r="Z194" t="str">
            <v>NA</v>
          </cell>
        </row>
        <row r="195">
          <cell r="B195" t="str">
            <v>F111_2B</v>
          </cell>
          <cell r="C195" t="str">
            <v>R2_F111_2B</v>
          </cell>
          <cell r="D195">
            <v>1</v>
          </cell>
          <cell r="E195">
            <v>2.5</v>
          </cell>
          <cell r="F195">
            <v>383</v>
          </cell>
          <cell r="G195">
            <v>1</v>
          </cell>
          <cell r="H195">
            <v>27</v>
          </cell>
          <cell r="I195">
            <v>6</v>
          </cell>
          <cell r="J195">
            <v>4</v>
          </cell>
          <cell r="K195">
            <v>1</v>
          </cell>
          <cell r="L195">
            <v>9.0021319999999996</v>
          </cell>
          <cell r="M195">
            <v>-83.105748000000006</v>
          </cell>
          <cell r="N195" t="str">
            <v>Sur</v>
          </cell>
          <cell r="O195">
            <v>1</v>
          </cell>
          <cell r="P195" t="str">
            <v>nambi</v>
          </cell>
          <cell r="Q195" t="str">
            <v>nambi</v>
          </cell>
          <cell r="R195" t="b">
            <v>1</v>
          </cell>
          <cell r="S195" t="str">
            <v>111_2</v>
          </cell>
          <cell r="T195">
            <v>1</v>
          </cell>
          <cell r="U195">
            <v>0</v>
          </cell>
          <cell r="V195">
            <v>0</v>
          </cell>
          <cell r="W195" t="str">
            <v>NA</v>
          </cell>
          <cell r="X195">
            <v>0</v>
          </cell>
          <cell r="Y195">
            <v>0</v>
          </cell>
          <cell r="Z195" t="str">
            <v>NA</v>
          </cell>
        </row>
        <row r="196">
          <cell r="B196" t="str">
            <v>F112_1B</v>
          </cell>
          <cell r="C196" t="str">
            <v>R2_F112_1B</v>
          </cell>
          <cell r="D196">
            <v>1</v>
          </cell>
          <cell r="E196">
            <v>2</v>
          </cell>
          <cell r="F196">
            <v>468</v>
          </cell>
          <cell r="G196">
            <v>1</v>
          </cell>
          <cell r="H196">
            <v>70</v>
          </cell>
          <cell r="I196">
            <v>4</v>
          </cell>
          <cell r="J196">
            <v>1</v>
          </cell>
          <cell r="K196">
            <v>1</v>
          </cell>
          <cell r="L196">
            <v>8.9628420000000002</v>
          </cell>
          <cell r="M196">
            <v>-83.238041999999993</v>
          </cell>
          <cell r="N196" t="str">
            <v>Sur</v>
          </cell>
          <cell r="O196">
            <v>1</v>
          </cell>
          <cell r="P196" t="str">
            <v>nambi</v>
          </cell>
          <cell r="Q196" t="str">
            <v>nambi</v>
          </cell>
          <cell r="R196" t="b">
            <v>1</v>
          </cell>
          <cell r="S196" t="str">
            <v>112_1</v>
          </cell>
          <cell r="T196">
            <v>1</v>
          </cell>
          <cell r="U196">
            <v>0</v>
          </cell>
          <cell r="V196">
            <v>0</v>
          </cell>
          <cell r="W196" t="str">
            <v>NA</v>
          </cell>
          <cell r="X196">
            <v>6</v>
          </cell>
          <cell r="Y196">
            <v>4</v>
          </cell>
          <cell r="Z196">
            <v>0.66666666699999999</v>
          </cell>
        </row>
        <row r="197">
          <cell r="B197" t="str">
            <v>F112_2B</v>
          </cell>
          <cell r="C197" t="str">
            <v>R2_F112_2B</v>
          </cell>
          <cell r="D197">
            <v>0</v>
          </cell>
          <cell r="E197">
            <v>1.5</v>
          </cell>
          <cell r="F197">
            <v>468</v>
          </cell>
          <cell r="G197">
            <v>1</v>
          </cell>
          <cell r="H197">
            <v>70</v>
          </cell>
          <cell r="I197">
            <v>4</v>
          </cell>
          <cell r="J197">
            <v>1</v>
          </cell>
          <cell r="K197">
            <v>0</v>
          </cell>
          <cell r="L197">
            <v>8.9628420000000002</v>
          </cell>
          <cell r="M197">
            <v>-83.238041999999993</v>
          </cell>
          <cell r="N197" t="str">
            <v>Sur</v>
          </cell>
          <cell r="O197">
            <v>1</v>
          </cell>
          <cell r="P197" t="str">
            <v>victoria</v>
          </cell>
          <cell r="Q197" t="str">
            <v>other</v>
          </cell>
          <cell r="R197" t="str">
            <v>Not applicable</v>
          </cell>
          <cell r="S197" t="str">
            <v>112_2</v>
          </cell>
          <cell r="T197">
            <v>1</v>
          </cell>
          <cell r="U197">
            <v>0</v>
          </cell>
          <cell r="V197">
            <v>0</v>
          </cell>
          <cell r="W197" t="str">
            <v>NA</v>
          </cell>
          <cell r="X197">
            <v>6</v>
          </cell>
          <cell r="Y197">
            <v>4</v>
          </cell>
          <cell r="Z197">
            <v>0.66666666699999999</v>
          </cell>
        </row>
        <row r="198">
          <cell r="B198" t="str">
            <v>F113_1B</v>
          </cell>
          <cell r="C198" t="str">
            <v>R2_F113_1B</v>
          </cell>
          <cell r="D198">
            <v>0</v>
          </cell>
          <cell r="E198">
            <v>3</v>
          </cell>
          <cell r="F198">
            <v>865</v>
          </cell>
          <cell r="G198">
            <v>1</v>
          </cell>
          <cell r="H198">
            <v>51</v>
          </cell>
          <cell r="I198">
            <v>11</v>
          </cell>
          <cell r="J198">
            <v>6</v>
          </cell>
          <cell r="K198">
            <v>0</v>
          </cell>
          <cell r="L198">
            <v>8.9250030000000002</v>
          </cell>
          <cell r="M198">
            <v>-83.200902999999997</v>
          </cell>
          <cell r="N198" t="str">
            <v>Sur</v>
          </cell>
          <cell r="O198">
            <v>1</v>
          </cell>
          <cell r="P198" t="str">
            <v>victoria</v>
          </cell>
          <cell r="Q198" t="str">
            <v>cabecar</v>
          </cell>
          <cell r="R198" t="b">
            <v>0</v>
          </cell>
          <cell r="S198" t="str">
            <v>113_1</v>
          </cell>
          <cell r="T198">
            <v>1</v>
          </cell>
          <cell r="U198">
            <v>0</v>
          </cell>
          <cell r="V198">
            <v>0</v>
          </cell>
          <cell r="W198" t="str">
            <v>NA</v>
          </cell>
          <cell r="X198">
            <v>36</v>
          </cell>
          <cell r="Y198">
            <v>29</v>
          </cell>
          <cell r="Z198">
            <v>0.80555555599999995</v>
          </cell>
        </row>
        <row r="199">
          <cell r="B199" t="str">
            <v>F114_1B</v>
          </cell>
          <cell r="C199" t="str">
            <v>R2_F114_1B</v>
          </cell>
          <cell r="D199">
            <v>1</v>
          </cell>
          <cell r="E199">
            <v>1</v>
          </cell>
          <cell r="F199">
            <v>673</v>
          </cell>
          <cell r="G199">
            <v>1</v>
          </cell>
          <cell r="H199">
            <v>66</v>
          </cell>
          <cell r="I199">
            <v>1</v>
          </cell>
          <cell r="J199">
            <v>4</v>
          </cell>
          <cell r="K199">
            <v>1</v>
          </cell>
          <cell r="L199">
            <v>8.9152009999999997</v>
          </cell>
          <cell r="M199">
            <v>-83.209605999999994</v>
          </cell>
          <cell r="N199" t="str">
            <v>Sur</v>
          </cell>
          <cell r="O199">
            <v>1</v>
          </cell>
          <cell r="P199" t="str">
            <v>changuena</v>
          </cell>
          <cell r="Q199" t="str">
            <v>changuena</v>
          </cell>
          <cell r="R199" t="b">
            <v>1</v>
          </cell>
          <cell r="S199" t="str">
            <v>114_1</v>
          </cell>
          <cell r="T199">
            <v>1</v>
          </cell>
          <cell r="U199">
            <v>0</v>
          </cell>
          <cell r="V199">
            <v>0</v>
          </cell>
          <cell r="W199" t="str">
            <v>NA</v>
          </cell>
          <cell r="X199">
            <v>40</v>
          </cell>
          <cell r="Y199">
            <v>26</v>
          </cell>
          <cell r="Z199">
            <v>0.65</v>
          </cell>
        </row>
        <row r="200">
          <cell r="B200" t="str">
            <v>F114_2B</v>
          </cell>
          <cell r="C200" t="str">
            <v>R2_F114_2B</v>
          </cell>
          <cell r="D200">
            <v>1</v>
          </cell>
          <cell r="E200">
            <v>1</v>
          </cell>
          <cell r="F200">
            <v>673</v>
          </cell>
          <cell r="G200">
            <v>1</v>
          </cell>
          <cell r="H200">
            <v>66</v>
          </cell>
          <cell r="I200">
            <v>1</v>
          </cell>
          <cell r="J200">
            <v>4</v>
          </cell>
          <cell r="K200">
            <v>1</v>
          </cell>
          <cell r="L200">
            <v>8.9152009999999997</v>
          </cell>
          <cell r="M200">
            <v>-83.209605999999994</v>
          </cell>
          <cell r="N200" t="str">
            <v>Sur</v>
          </cell>
          <cell r="O200">
            <v>1</v>
          </cell>
          <cell r="P200" t="str">
            <v>nambi</v>
          </cell>
          <cell r="Q200" t="str">
            <v>nambi</v>
          </cell>
          <cell r="R200" t="b">
            <v>1</v>
          </cell>
          <cell r="S200" t="str">
            <v>114_2</v>
          </cell>
          <cell r="T200">
            <v>1</v>
          </cell>
          <cell r="U200">
            <v>0</v>
          </cell>
          <cell r="V200">
            <v>0</v>
          </cell>
          <cell r="W200" t="str">
            <v>NA</v>
          </cell>
          <cell r="X200">
            <v>40</v>
          </cell>
          <cell r="Y200">
            <v>26</v>
          </cell>
          <cell r="Z200">
            <v>0.65</v>
          </cell>
        </row>
        <row r="201">
          <cell r="B201" t="str">
            <v>F114_3B</v>
          </cell>
          <cell r="C201" t="str">
            <v>R2_F114_3B</v>
          </cell>
          <cell r="D201">
            <v>0</v>
          </cell>
          <cell r="E201">
            <v>1</v>
          </cell>
          <cell r="F201">
            <v>673</v>
          </cell>
          <cell r="G201">
            <v>1</v>
          </cell>
          <cell r="H201">
            <v>66</v>
          </cell>
          <cell r="I201">
            <v>1</v>
          </cell>
          <cell r="J201">
            <v>4</v>
          </cell>
          <cell r="K201">
            <v>1</v>
          </cell>
          <cell r="L201">
            <v>8.9152009999999997</v>
          </cell>
          <cell r="M201">
            <v>-83.209605999999994</v>
          </cell>
          <cell r="N201" t="str">
            <v>Sur</v>
          </cell>
          <cell r="O201">
            <v>1</v>
          </cell>
          <cell r="P201" t="str">
            <v>changuena</v>
          </cell>
          <cell r="Q201" t="str">
            <v>cabecar</v>
          </cell>
          <cell r="R201" t="b">
            <v>0</v>
          </cell>
          <cell r="S201" t="str">
            <v>114_3</v>
          </cell>
          <cell r="T201">
            <v>1</v>
          </cell>
          <cell r="U201">
            <v>0</v>
          </cell>
          <cell r="V201">
            <v>0</v>
          </cell>
          <cell r="W201" t="str">
            <v>NA</v>
          </cell>
          <cell r="X201">
            <v>40</v>
          </cell>
          <cell r="Y201">
            <v>26</v>
          </cell>
          <cell r="Z201">
            <v>0.65</v>
          </cell>
        </row>
        <row r="202">
          <cell r="B202" t="str">
            <v>F115_1B</v>
          </cell>
          <cell r="C202" t="str">
            <v>R2_F115_1B</v>
          </cell>
          <cell r="D202">
            <v>1</v>
          </cell>
          <cell r="E202">
            <v>2.5</v>
          </cell>
          <cell r="F202">
            <v>778</v>
          </cell>
          <cell r="G202">
            <v>1</v>
          </cell>
          <cell r="H202">
            <v>55</v>
          </cell>
          <cell r="I202">
            <v>6</v>
          </cell>
          <cell r="J202">
            <v>3</v>
          </cell>
          <cell r="K202">
            <v>1</v>
          </cell>
          <cell r="L202">
            <v>8.9353420000000003</v>
          </cell>
          <cell r="M202">
            <v>-83.204583999999997</v>
          </cell>
          <cell r="N202" t="str">
            <v>Sur</v>
          </cell>
          <cell r="O202">
            <v>1</v>
          </cell>
          <cell r="P202" t="str">
            <v>nambi</v>
          </cell>
          <cell r="Q202" t="str">
            <v>nambi</v>
          </cell>
          <cell r="R202" t="b">
            <v>1</v>
          </cell>
          <cell r="S202" t="str">
            <v>115_1</v>
          </cell>
          <cell r="T202">
            <v>1</v>
          </cell>
          <cell r="U202">
            <v>1</v>
          </cell>
          <cell r="V202">
            <v>1</v>
          </cell>
          <cell r="W202">
            <v>1</v>
          </cell>
          <cell r="X202">
            <v>29</v>
          </cell>
          <cell r="Y202">
            <v>23</v>
          </cell>
          <cell r="Z202">
            <v>0.79310344799999999</v>
          </cell>
        </row>
        <row r="203">
          <cell r="B203" t="str">
            <v>F115_2B</v>
          </cell>
          <cell r="C203" t="str">
            <v>R2_F115_2B</v>
          </cell>
          <cell r="D203">
            <v>1</v>
          </cell>
          <cell r="E203">
            <v>2.5</v>
          </cell>
          <cell r="F203">
            <v>778</v>
          </cell>
          <cell r="G203">
            <v>1</v>
          </cell>
          <cell r="H203">
            <v>55</v>
          </cell>
          <cell r="I203">
            <v>6</v>
          </cell>
          <cell r="J203">
            <v>3</v>
          </cell>
          <cell r="K203">
            <v>1</v>
          </cell>
          <cell r="L203">
            <v>8.9353420000000003</v>
          </cell>
          <cell r="M203">
            <v>-83.204583999999997</v>
          </cell>
          <cell r="N203" t="str">
            <v>Sur</v>
          </cell>
          <cell r="O203">
            <v>1</v>
          </cell>
          <cell r="P203" t="str">
            <v>cabecar</v>
          </cell>
          <cell r="Q203" t="str">
            <v>cabecar</v>
          </cell>
          <cell r="R203" t="b">
            <v>1</v>
          </cell>
          <cell r="S203" t="str">
            <v>115_2</v>
          </cell>
          <cell r="T203">
            <v>1</v>
          </cell>
          <cell r="U203">
            <v>1</v>
          </cell>
          <cell r="V203">
            <v>1</v>
          </cell>
          <cell r="W203">
            <v>1</v>
          </cell>
          <cell r="X203">
            <v>29</v>
          </cell>
          <cell r="Y203">
            <v>23</v>
          </cell>
          <cell r="Z203">
            <v>0.79310344799999999</v>
          </cell>
        </row>
        <row r="204">
          <cell r="B204" t="str">
            <v>F116_1B</v>
          </cell>
          <cell r="C204" t="str">
            <v>R2_F116_1B</v>
          </cell>
          <cell r="D204">
            <v>1</v>
          </cell>
          <cell r="E204">
            <v>1</v>
          </cell>
          <cell r="F204">
            <v>464</v>
          </cell>
          <cell r="G204">
            <v>1</v>
          </cell>
          <cell r="H204">
            <v>32</v>
          </cell>
          <cell r="I204">
            <v>6</v>
          </cell>
          <cell r="J204">
            <v>3</v>
          </cell>
          <cell r="K204">
            <v>1</v>
          </cell>
          <cell r="L204">
            <v>8.9264410000000005</v>
          </cell>
          <cell r="M204">
            <v>-83.223490999999996</v>
          </cell>
          <cell r="N204" t="str">
            <v>Sur</v>
          </cell>
          <cell r="O204">
            <v>1</v>
          </cell>
          <cell r="P204" t="str">
            <v>cabecar</v>
          </cell>
          <cell r="Q204" t="str">
            <v>cabecar</v>
          </cell>
          <cell r="R204" t="b">
            <v>1</v>
          </cell>
          <cell r="S204" t="str">
            <v>116_1</v>
          </cell>
          <cell r="T204">
            <v>1</v>
          </cell>
          <cell r="U204">
            <v>2</v>
          </cell>
          <cell r="V204">
            <v>2</v>
          </cell>
          <cell r="W204">
            <v>1</v>
          </cell>
          <cell r="X204">
            <v>37</v>
          </cell>
          <cell r="Y204">
            <v>27</v>
          </cell>
          <cell r="Z204">
            <v>0.72972972999999997</v>
          </cell>
        </row>
        <row r="205">
          <cell r="B205" t="str">
            <v>F116_2B</v>
          </cell>
          <cell r="C205" t="str">
            <v>R2_F116_2B</v>
          </cell>
          <cell r="D205">
            <v>1</v>
          </cell>
          <cell r="E205">
            <v>0.5</v>
          </cell>
          <cell r="F205">
            <v>464</v>
          </cell>
          <cell r="G205">
            <v>1</v>
          </cell>
          <cell r="H205">
            <v>32</v>
          </cell>
          <cell r="I205">
            <v>6</v>
          </cell>
          <cell r="J205">
            <v>3</v>
          </cell>
          <cell r="K205">
            <v>1</v>
          </cell>
          <cell r="L205">
            <v>8.9264410000000005</v>
          </cell>
          <cell r="M205">
            <v>-83.223490999999996</v>
          </cell>
          <cell r="N205" t="str">
            <v>Sur</v>
          </cell>
          <cell r="O205">
            <v>1</v>
          </cell>
          <cell r="P205" t="str">
            <v>nambi</v>
          </cell>
          <cell r="Q205" t="str">
            <v>nambi</v>
          </cell>
          <cell r="R205" t="b">
            <v>1</v>
          </cell>
          <cell r="S205" t="str">
            <v>116_2</v>
          </cell>
          <cell r="T205">
            <v>1</v>
          </cell>
          <cell r="U205">
            <v>2</v>
          </cell>
          <cell r="V205">
            <v>2</v>
          </cell>
          <cell r="W205">
            <v>1</v>
          </cell>
          <cell r="X205">
            <v>37</v>
          </cell>
          <cell r="Y205">
            <v>27</v>
          </cell>
          <cell r="Z205">
            <v>0.72972972999999997</v>
          </cell>
        </row>
        <row r="206">
          <cell r="B206" t="str">
            <v>F117_1B</v>
          </cell>
          <cell r="C206" t="str">
            <v>R2_F117_1B</v>
          </cell>
          <cell r="D206">
            <v>1</v>
          </cell>
          <cell r="E206">
            <v>1</v>
          </cell>
          <cell r="F206">
            <v>575</v>
          </cell>
          <cell r="G206">
            <v>1</v>
          </cell>
          <cell r="H206">
            <v>24</v>
          </cell>
          <cell r="I206">
            <v>9</v>
          </cell>
          <cell r="J206">
            <v>4</v>
          </cell>
          <cell r="K206">
            <v>0</v>
          </cell>
          <cell r="L206">
            <v>9.0082719999999998</v>
          </cell>
          <cell r="M206">
            <v>-83.327668000000003</v>
          </cell>
          <cell r="N206" t="str">
            <v>Sur</v>
          </cell>
          <cell r="O206">
            <v>1</v>
          </cell>
          <cell r="P206" t="str">
            <v>mantequilla</v>
          </cell>
          <cell r="Q206" t="str">
            <v>mantequilla</v>
          </cell>
          <cell r="R206" t="b">
            <v>1</v>
          </cell>
          <cell r="S206" t="str">
            <v>117_1</v>
          </cell>
          <cell r="T206">
            <v>1</v>
          </cell>
          <cell r="U206">
            <v>2</v>
          </cell>
          <cell r="V206">
            <v>2</v>
          </cell>
          <cell r="W206">
            <v>1</v>
          </cell>
          <cell r="X206">
            <v>2</v>
          </cell>
          <cell r="Y206">
            <v>2</v>
          </cell>
          <cell r="Z206">
            <v>1</v>
          </cell>
        </row>
        <row r="207">
          <cell r="B207" t="str">
            <v>F117_2B</v>
          </cell>
          <cell r="C207" t="str">
            <v>R2_F117_2B</v>
          </cell>
          <cell r="D207">
            <v>0</v>
          </cell>
          <cell r="E207">
            <v>2.1</v>
          </cell>
          <cell r="F207">
            <v>575</v>
          </cell>
          <cell r="G207">
            <v>1</v>
          </cell>
          <cell r="H207">
            <v>24</v>
          </cell>
          <cell r="I207">
            <v>9</v>
          </cell>
          <cell r="J207">
            <v>4</v>
          </cell>
          <cell r="K207">
            <v>1</v>
          </cell>
          <cell r="L207">
            <v>9.0082719999999998</v>
          </cell>
          <cell r="M207">
            <v>-83.327668000000003</v>
          </cell>
          <cell r="N207" t="str">
            <v>Sur</v>
          </cell>
          <cell r="O207">
            <v>1</v>
          </cell>
          <cell r="P207" t="str">
            <v>changuena</v>
          </cell>
          <cell r="Q207" t="str">
            <v>cabecar</v>
          </cell>
          <cell r="R207" t="b">
            <v>0</v>
          </cell>
          <cell r="S207" t="str">
            <v>117_2</v>
          </cell>
          <cell r="T207">
            <v>0</v>
          </cell>
          <cell r="U207">
            <v>2</v>
          </cell>
          <cell r="V207">
            <v>2</v>
          </cell>
          <cell r="W207">
            <v>1</v>
          </cell>
          <cell r="X207">
            <v>2</v>
          </cell>
          <cell r="Y207">
            <v>2</v>
          </cell>
          <cell r="Z207">
            <v>1</v>
          </cell>
        </row>
        <row r="208">
          <cell r="B208" t="str">
            <v>F118_1B</v>
          </cell>
          <cell r="C208" t="str">
            <v>R2_F118_1B</v>
          </cell>
          <cell r="D208">
            <v>1</v>
          </cell>
          <cell r="E208">
            <v>1.05</v>
          </cell>
          <cell r="F208">
            <v>344</v>
          </cell>
          <cell r="G208">
            <v>1</v>
          </cell>
          <cell r="H208">
            <v>32</v>
          </cell>
          <cell r="I208">
            <v>6</v>
          </cell>
          <cell r="J208">
            <v>3</v>
          </cell>
          <cell r="K208">
            <v>1</v>
          </cell>
          <cell r="L208">
            <v>8.9336549999999999</v>
          </cell>
          <cell r="M208">
            <v>-83.226529999999997</v>
          </cell>
          <cell r="N208" t="str">
            <v>Sur</v>
          </cell>
          <cell r="O208">
            <v>1</v>
          </cell>
          <cell r="P208" t="str">
            <v>nambi</v>
          </cell>
          <cell r="Q208" t="str">
            <v>nambi</v>
          </cell>
          <cell r="R208" t="b">
            <v>1</v>
          </cell>
          <cell r="S208" t="str">
            <v>118_1</v>
          </cell>
          <cell r="T208">
            <v>1</v>
          </cell>
          <cell r="U208">
            <v>2</v>
          </cell>
          <cell r="V208">
            <v>1</v>
          </cell>
          <cell r="W208">
            <v>0.5</v>
          </cell>
          <cell r="X208">
            <v>29</v>
          </cell>
          <cell r="Y208">
            <v>21</v>
          </cell>
          <cell r="Z208">
            <v>0.72413793100000001</v>
          </cell>
        </row>
        <row r="209">
          <cell r="B209" t="str">
            <v>F118_2B</v>
          </cell>
          <cell r="C209" t="str">
            <v>R2_F118_2B</v>
          </cell>
          <cell r="D209">
            <v>1</v>
          </cell>
          <cell r="E209">
            <v>0.7</v>
          </cell>
          <cell r="F209">
            <v>344</v>
          </cell>
          <cell r="G209">
            <v>1</v>
          </cell>
          <cell r="H209">
            <v>32</v>
          </cell>
          <cell r="I209">
            <v>6</v>
          </cell>
          <cell r="J209">
            <v>3</v>
          </cell>
          <cell r="K209">
            <v>1</v>
          </cell>
          <cell r="L209">
            <v>8.9336549999999999</v>
          </cell>
          <cell r="M209">
            <v>-83.226529999999997</v>
          </cell>
          <cell r="N209" t="str">
            <v>Sur</v>
          </cell>
          <cell r="O209">
            <v>1</v>
          </cell>
          <cell r="P209" t="str">
            <v>changuena</v>
          </cell>
          <cell r="Q209" t="str">
            <v>changuena</v>
          </cell>
          <cell r="R209" t="b">
            <v>1</v>
          </cell>
          <cell r="S209" t="str">
            <v>118_2</v>
          </cell>
          <cell r="T209">
            <v>1</v>
          </cell>
          <cell r="U209">
            <v>2</v>
          </cell>
          <cell r="V209">
            <v>1</v>
          </cell>
          <cell r="W209">
            <v>0.5</v>
          </cell>
          <cell r="X209">
            <v>29</v>
          </cell>
          <cell r="Y209">
            <v>21</v>
          </cell>
          <cell r="Z209">
            <v>0.72413793100000001</v>
          </cell>
        </row>
        <row r="210">
          <cell r="B210" t="str">
            <v>F119_1B</v>
          </cell>
          <cell r="C210" t="str">
            <v>R2_F119_1B</v>
          </cell>
          <cell r="D210">
            <v>1</v>
          </cell>
          <cell r="E210">
            <v>2</v>
          </cell>
          <cell r="F210">
            <v>428</v>
          </cell>
          <cell r="G210">
            <v>1</v>
          </cell>
          <cell r="H210">
            <v>58</v>
          </cell>
          <cell r="I210">
            <v>1</v>
          </cell>
          <cell r="J210">
            <v>3</v>
          </cell>
          <cell r="K210">
            <v>1</v>
          </cell>
          <cell r="L210">
            <v>8.9291389999999993</v>
          </cell>
          <cell r="M210">
            <v>-83.223056</v>
          </cell>
          <cell r="N210" t="str">
            <v>Sur</v>
          </cell>
          <cell r="O210">
            <v>1</v>
          </cell>
          <cell r="P210" t="str">
            <v>changuena</v>
          </cell>
          <cell r="Q210" t="str">
            <v>changuena</v>
          </cell>
          <cell r="R210" t="b">
            <v>1</v>
          </cell>
          <cell r="S210" t="str">
            <v>119_1</v>
          </cell>
          <cell r="T210">
            <v>1</v>
          </cell>
          <cell r="U210">
            <v>2</v>
          </cell>
          <cell r="V210">
            <v>2</v>
          </cell>
          <cell r="W210">
            <v>1</v>
          </cell>
          <cell r="X210">
            <v>32</v>
          </cell>
          <cell r="Y210">
            <v>23</v>
          </cell>
          <cell r="Z210">
            <v>0.71875</v>
          </cell>
        </row>
        <row r="211">
          <cell r="B211" t="str">
            <v>F119_2B</v>
          </cell>
          <cell r="C211" t="str">
            <v>R2_F119_2B</v>
          </cell>
          <cell r="D211">
            <v>1</v>
          </cell>
          <cell r="E211">
            <v>1</v>
          </cell>
          <cell r="F211">
            <v>428</v>
          </cell>
          <cell r="G211">
            <v>1</v>
          </cell>
          <cell r="H211">
            <v>58</v>
          </cell>
          <cell r="I211">
            <v>1</v>
          </cell>
          <cell r="J211">
            <v>3</v>
          </cell>
          <cell r="K211">
            <v>1</v>
          </cell>
          <cell r="L211">
            <v>8.9291389999999993</v>
          </cell>
          <cell r="M211">
            <v>-83.223056</v>
          </cell>
          <cell r="N211" t="str">
            <v>Sur</v>
          </cell>
          <cell r="O211">
            <v>1</v>
          </cell>
          <cell r="P211" t="str">
            <v>nambi</v>
          </cell>
          <cell r="Q211" t="str">
            <v>nambi</v>
          </cell>
          <cell r="R211" t="b">
            <v>1</v>
          </cell>
          <cell r="S211" t="str">
            <v>119_2</v>
          </cell>
          <cell r="T211">
            <v>1</v>
          </cell>
          <cell r="U211">
            <v>2</v>
          </cell>
          <cell r="V211">
            <v>2</v>
          </cell>
          <cell r="W211">
            <v>1</v>
          </cell>
          <cell r="X211">
            <v>32</v>
          </cell>
          <cell r="Y211">
            <v>23</v>
          </cell>
          <cell r="Z211">
            <v>0.71875</v>
          </cell>
        </row>
        <row r="212">
          <cell r="B212" t="str">
            <v>F120_1B</v>
          </cell>
          <cell r="C212" t="str">
            <v>R2_F120_1B</v>
          </cell>
          <cell r="D212">
            <v>1</v>
          </cell>
          <cell r="E212">
            <v>5</v>
          </cell>
          <cell r="F212">
            <v>802</v>
          </cell>
          <cell r="G212">
            <v>1</v>
          </cell>
          <cell r="H212">
            <v>56</v>
          </cell>
          <cell r="I212">
            <v>2</v>
          </cell>
          <cell r="J212">
            <v>4</v>
          </cell>
          <cell r="K212">
            <v>1</v>
          </cell>
          <cell r="L212">
            <v>8.9346119999999996</v>
          </cell>
          <cell r="M212">
            <v>-83.201102000000006</v>
          </cell>
          <cell r="N212" t="str">
            <v>Sur</v>
          </cell>
          <cell r="O212">
            <v>1</v>
          </cell>
          <cell r="P212" t="str">
            <v>changuena</v>
          </cell>
          <cell r="Q212" t="str">
            <v>changuena</v>
          </cell>
          <cell r="R212" t="b">
            <v>1</v>
          </cell>
          <cell r="S212" t="str">
            <v>120_1</v>
          </cell>
          <cell r="T212">
            <v>1</v>
          </cell>
          <cell r="U212">
            <v>7</v>
          </cell>
          <cell r="V212">
            <v>4</v>
          </cell>
          <cell r="W212">
            <v>0.571428571</v>
          </cell>
          <cell r="X212">
            <v>46</v>
          </cell>
          <cell r="Y212">
            <v>34</v>
          </cell>
          <cell r="Z212">
            <v>0.73913043499999997</v>
          </cell>
        </row>
        <row r="213">
          <cell r="B213" t="str">
            <v>F120_2B</v>
          </cell>
          <cell r="C213" t="str">
            <v>R2_F120_2B</v>
          </cell>
          <cell r="D213">
            <v>1</v>
          </cell>
          <cell r="E213">
            <v>2</v>
          </cell>
          <cell r="F213">
            <v>802</v>
          </cell>
          <cell r="G213">
            <v>1</v>
          </cell>
          <cell r="H213">
            <v>56</v>
          </cell>
          <cell r="I213">
            <v>2</v>
          </cell>
          <cell r="J213">
            <v>4</v>
          </cell>
          <cell r="K213">
            <v>1</v>
          </cell>
          <cell r="L213">
            <v>8.9346119999999996</v>
          </cell>
          <cell r="M213">
            <v>-83.201102000000006</v>
          </cell>
          <cell r="N213" t="str">
            <v>Sur</v>
          </cell>
          <cell r="O213">
            <v>1</v>
          </cell>
          <cell r="P213" t="str">
            <v>nambi</v>
          </cell>
          <cell r="Q213" t="str">
            <v>nambi</v>
          </cell>
          <cell r="R213" t="b">
            <v>1</v>
          </cell>
          <cell r="S213" t="str">
            <v>120_2</v>
          </cell>
          <cell r="T213">
            <v>1</v>
          </cell>
          <cell r="U213">
            <v>7</v>
          </cell>
          <cell r="V213">
            <v>4</v>
          </cell>
          <cell r="W213">
            <v>0.571428571</v>
          </cell>
          <cell r="X213">
            <v>46</v>
          </cell>
          <cell r="Y213">
            <v>34</v>
          </cell>
          <cell r="Z213">
            <v>0.73913043499999997</v>
          </cell>
        </row>
        <row r="214">
          <cell r="B214" t="str">
            <v>F123_1B</v>
          </cell>
          <cell r="C214" t="str">
            <v>R2_F123_1B</v>
          </cell>
          <cell r="D214">
            <v>1</v>
          </cell>
          <cell r="E214">
            <v>1.5</v>
          </cell>
          <cell r="F214">
            <v>619</v>
          </cell>
          <cell r="G214">
            <v>1</v>
          </cell>
          <cell r="H214">
            <v>51</v>
          </cell>
          <cell r="I214">
            <v>6</v>
          </cell>
          <cell r="J214">
            <v>4</v>
          </cell>
          <cell r="K214">
            <v>1</v>
          </cell>
          <cell r="L214">
            <v>8.9198730000000008</v>
          </cell>
          <cell r="M214">
            <v>-83.191322999999997</v>
          </cell>
          <cell r="N214" t="str">
            <v>Sur</v>
          </cell>
          <cell r="O214">
            <v>1</v>
          </cell>
          <cell r="P214" t="str">
            <v>nambi</v>
          </cell>
          <cell r="Q214" t="str">
            <v>nambi</v>
          </cell>
          <cell r="R214" t="b">
            <v>1</v>
          </cell>
          <cell r="S214" t="str">
            <v>123_1</v>
          </cell>
          <cell r="T214">
            <v>1</v>
          </cell>
          <cell r="U214">
            <v>10</v>
          </cell>
          <cell r="V214">
            <v>8</v>
          </cell>
          <cell r="W214">
            <v>0.8</v>
          </cell>
          <cell r="X214">
            <v>37</v>
          </cell>
          <cell r="Y214">
            <v>27</v>
          </cell>
          <cell r="Z214">
            <v>0.72972972999999997</v>
          </cell>
        </row>
        <row r="215">
          <cell r="B215" t="str">
            <v>F123_2B</v>
          </cell>
          <cell r="C215" t="str">
            <v>R2_F123_2B</v>
          </cell>
          <cell r="D215">
            <v>0</v>
          </cell>
          <cell r="E215">
            <v>1.5</v>
          </cell>
          <cell r="F215">
            <v>619</v>
          </cell>
          <cell r="G215">
            <v>1</v>
          </cell>
          <cell r="H215">
            <v>51</v>
          </cell>
          <cell r="I215">
            <v>6</v>
          </cell>
          <cell r="J215">
            <v>4</v>
          </cell>
          <cell r="K215">
            <v>0</v>
          </cell>
          <cell r="L215">
            <v>8.9198730000000008</v>
          </cell>
          <cell r="M215">
            <v>-83.191322999999997</v>
          </cell>
          <cell r="N215" t="str">
            <v>Sur</v>
          </cell>
          <cell r="O215">
            <v>1</v>
          </cell>
          <cell r="P215" t="str">
            <v>SEF 64</v>
          </cell>
          <cell r="Q215" t="str">
            <v>cabecar</v>
          </cell>
          <cell r="R215" t="b">
            <v>0</v>
          </cell>
          <cell r="S215" t="str">
            <v>123_2</v>
          </cell>
          <cell r="T215">
            <v>0</v>
          </cell>
          <cell r="U215">
            <v>10</v>
          </cell>
          <cell r="V215">
            <v>8</v>
          </cell>
          <cell r="W215">
            <v>0.8</v>
          </cell>
          <cell r="X215">
            <v>37</v>
          </cell>
          <cell r="Y215">
            <v>27</v>
          </cell>
          <cell r="Z215">
            <v>0.72972972999999997</v>
          </cell>
        </row>
        <row r="216">
          <cell r="B216" t="str">
            <v>F124_1B</v>
          </cell>
          <cell r="C216" t="str">
            <v>R2_F124_1B</v>
          </cell>
          <cell r="D216">
            <v>1</v>
          </cell>
          <cell r="E216">
            <v>1.5</v>
          </cell>
          <cell r="F216">
            <v>772</v>
          </cell>
          <cell r="G216">
            <v>1</v>
          </cell>
          <cell r="H216">
            <v>51</v>
          </cell>
          <cell r="I216">
            <v>6</v>
          </cell>
          <cell r="J216">
            <v>6</v>
          </cell>
          <cell r="K216">
            <v>1</v>
          </cell>
          <cell r="L216">
            <v>8.9223269999999992</v>
          </cell>
          <cell r="M216">
            <v>-83.180914000000001</v>
          </cell>
          <cell r="N216" t="str">
            <v>Sur</v>
          </cell>
          <cell r="O216">
            <v>1</v>
          </cell>
          <cell r="P216" t="str">
            <v>nambi</v>
          </cell>
          <cell r="Q216" t="str">
            <v>nambi</v>
          </cell>
          <cell r="R216" t="b">
            <v>1</v>
          </cell>
          <cell r="S216" t="str">
            <v>124_1</v>
          </cell>
          <cell r="T216">
            <v>1</v>
          </cell>
          <cell r="U216">
            <v>0</v>
          </cell>
          <cell r="V216">
            <v>0</v>
          </cell>
          <cell r="W216" t="str">
            <v>NA</v>
          </cell>
          <cell r="X216">
            <v>35</v>
          </cell>
          <cell r="Y216">
            <v>24</v>
          </cell>
          <cell r="Z216">
            <v>0.68571428599999995</v>
          </cell>
        </row>
        <row r="217">
          <cell r="B217" t="str">
            <v>F124_2B</v>
          </cell>
          <cell r="C217" t="str">
            <v>R2_F124_2B</v>
          </cell>
          <cell r="D217">
            <v>1</v>
          </cell>
          <cell r="E217">
            <v>1.5</v>
          </cell>
          <cell r="F217">
            <v>772</v>
          </cell>
          <cell r="G217">
            <v>1</v>
          </cell>
          <cell r="H217">
            <v>51</v>
          </cell>
          <cell r="I217">
            <v>6</v>
          </cell>
          <cell r="J217">
            <v>6</v>
          </cell>
          <cell r="K217">
            <v>1</v>
          </cell>
          <cell r="L217">
            <v>8.9223269999999992</v>
          </cell>
          <cell r="M217">
            <v>-83.180914000000001</v>
          </cell>
          <cell r="N217" t="str">
            <v>Sur</v>
          </cell>
          <cell r="O217">
            <v>1</v>
          </cell>
          <cell r="P217" t="str">
            <v>cabecar</v>
          </cell>
          <cell r="Q217" t="str">
            <v>cabecar</v>
          </cell>
          <cell r="R217" t="b">
            <v>1</v>
          </cell>
          <cell r="S217" t="str">
            <v>124_2</v>
          </cell>
          <cell r="T217">
            <v>1</v>
          </cell>
          <cell r="U217">
            <v>0</v>
          </cell>
          <cell r="V217">
            <v>0</v>
          </cell>
          <cell r="W217" t="str">
            <v>NA</v>
          </cell>
          <cell r="X217">
            <v>35</v>
          </cell>
          <cell r="Y217">
            <v>24</v>
          </cell>
          <cell r="Z217">
            <v>0.68571428599999995</v>
          </cell>
        </row>
        <row r="218">
          <cell r="B218" t="str">
            <v>F125_1B</v>
          </cell>
          <cell r="C218" t="str">
            <v>R2_F125_1B</v>
          </cell>
          <cell r="D218">
            <v>1</v>
          </cell>
          <cell r="E218">
            <v>1</v>
          </cell>
          <cell r="F218">
            <v>662</v>
          </cell>
          <cell r="G218">
            <v>1</v>
          </cell>
          <cell r="H218">
            <v>54</v>
          </cell>
          <cell r="I218">
            <v>6</v>
          </cell>
          <cell r="J218">
            <v>5</v>
          </cell>
          <cell r="K218">
            <v>1</v>
          </cell>
          <cell r="L218">
            <v>8.9192789999999995</v>
          </cell>
          <cell r="M218">
            <v>-83.188846999999996</v>
          </cell>
          <cell r="N218" t="str">
            <v>Sur</v>
          </cell>
          <cell r="O218">
            <v>1</v>
          </cell>
          <cell r="P218" t="str">
            <v>cabecar</v>
          </cell>
          <cell r="Q218" t="str">
            <v>cabecar</v>
          </cell>
          <cell r="R218" t="b">
            <v>1</v>
          </cell>
          <cell r="S218" t="str">
            <v>125_1</v>
          </cell>
          <cell r="T218">
            <v>1</v>
          </cell>
          <cell r="U218">
            <v>2</v>
          </cell>
          <cell r="V218">
            <v>1</v>
          </cell>
          <cell r="W218">
            <v>0.5</v>
          </cell>
          <cell r="X218">
            <v>37</v>
          </cell>
          <cell r="Y218">
            <v>27</v>
          </cell>
          <cell r="Z218">
            <v>0.72972972999999997</v>
          </cell>
        </row>
        <row r="219">
          <cell r="B219" t="str">
            <v>F125_2B</v>
          </cell>
          <cell r="C219" t="str">
            <v>R2_F125_2B</v>
          </cell>
          <cell r="D219">
            <v>0</v>
          </cell>
          <cell r="E219">
            <v>1</v>
          </cell>
          <cell r="F219">
            <v>662</v>
          </cell>
          <cell r="G219">
            <v>1</v>
          </cell>
          <cell r="H219">
            <v>54</v>
          </cell>
          <cell r="I219">
            <v>6</v>
          </cell>
          <cell r="J219">
            <v>5</v>
          </cell>
          <cell r="K219">
            <v>1</v>
          </cell>
          <cell r="L219">
            <v>8.9192789999999995</v>
          </cell>
          <cell r="M219">
            <v>-83.188846999999996</v>
          </cell>
          <cell r="N219" t="str">
            <v>Sur</v>
          </cell>
          <cell r="O219">
            <v>1</v>
          </cell>
          <cell r="P219" t="str">
            <v>cabecar</v>
          </cell>
          <cell r="Q219" t="str">
            <v>changuena</v>
          </cell>
          <cell r="R219" t="b">
            <v>0</v>
          </cell>
          <cell r="S219" t="str">
            <v>125_2</v>
          </cell>
          <cell r="T219">
            <v>0</v>
          </cell>
          <cell r="U219">
            <v>2</v>
          </cell>
          <cell r="V219">
            <v>1</v>
          </cell>
          <cell r="W219">
            <v>0.5</v>
          </cell>
          <cell r="X219">
            <v>37</v>
          </cell>
          <cell r="Y219">
            <v>27</v>
          </cell>
          <cell r="Z219">
            <v>0.72972972999999997</v>
          </cell>
        </row>
        <row r="220">
          <cell r="B220" t="str">
            <v>F126_1B</v>
          </cell>
          <cell r="C220" t="str">
            <v>R2_F126_1B</v>
          </cell>
          <cell r="D220">
            <v>1</v>
          </cell>
          <cell r="E220">
            <v>2</v>
          </cell>
          <cell r="F220">
            <v>625</v>
          </cell>
          <cell r="G220">
            <v>1</v>
          </cell>
          <cell r="H220">
            <v>54</v>
          </cell>
          <cell r="I220">
            <v>6</v>
          </cell>
          <cell r="J220">
            <v>4</v>
          </cell>
          <cell r="K220">
            <v>1</v>
          </cell>
          <cell r="L220">
            <v>8.9209910000000008</v>
          </cell>
          <cell r="M220">
            <v>-83.194559999999996</v>
          </cell>
          <cell r="N220" t="str">
            <v>Sur</v>
          </cell>
          <cell r="O220">
            <v>1</v>
          </cell>
          <cell r="P220" t="str">
            <v>nambi</v>
          </cell>
          <cell r="Q220" t="str">
            <v>nambi</v>
          </cell>
          <cell r="R220" t="b">
            <v>1</v>
          </cell>
          <cell r="S220" t="str">
            <v>126_1</v>
          </cell>
          <cell r="T220">
            <v>1</v>
          </cell>
          <cell r="U220">
            <v>7</v>
          </cell>
          <cell r="V220">
            <v>6</v>
          </cell>
          <cell r="W220">
            <v>0.85714285700000004</v>
          </cell>
          <cell r="X220">
            <v>38</v>
          </cell>
          <cell r="Y220">
            <v>28</v>
          </cell>
          <cell r="Z220">
            <v>0.73684210500000002</v>
          </cell>
        </row>
        <row r="221">
          <cell r="B221" t="str">
            <v>F126_2B</v>
          </cell>
          <cell r="C221" t="str">
            <v>R2_F126_2B</v>
          </cell>
          <cell r="D221">
            <v>0</v>
          </cell>
          <cell r="E221">
            <v>2</v>
          </cell>
          <cell r="F221">
            <v>625</v>
          </cell>
          <cell r="G221">
            <v>1</v>
          </cell>
          <cell r="H221">
            <v>54</v>
          </cell>
          <cell r="I221">
            <v>6</v>
          </cell>
          <cell r="J221">
            <v>4</v>
          </cell>
          <cell r="K221">
            <v>0</v>
          </cell>
          <cell r="L221">
            <v>8.9209910000000008</v>
          </cell>
          <cell r="M221">
            <v>-83.194559999999996</v>
          </cell>
          <cell r="N221" t="str">
            <v>Sur</v>
          </cell>
          <cell r="O221">
            <v>1</v>
          </cell>
          <cell r="P221" t="str">
            <v>victoria</v>
          </cell>
          <cell r="Q221" t="str">
            <v>quiura</v>
          </cell>
          <cell r="R221" t="b">
            <v>0</v>
          </cell>
          <cell r="S221" t="str">
            <v>126_2</v>
          </cell>
          <cell r="T221">
            <v>0</v>
          </cell>
          <cell r="U221">
            <v>7</v>
          </cell>
          <cell r="V221">
            <v>6</v>
          </cell>
          <cell r="W221">
            <v>0.85714285700000004</v>
          </cell>
          <cell r="X221">
            <v>38</v>
          </cell>
          <cell r="Y221">
            <v>28</v>
          </cell>
          <cell r="Z221">
            <v>0.73684210500000002</v>
          </cell>
        </row>
        <row r="222">
          <cell r="B222" t="str">
            <v>F126_3B</v>
          </cell>
          <cell r="C222" t="str">
            <v>R2_F126_3B</v>
          </cell>
          <cell r="D222">
            <v>0</v>
          </cell>
          <cell r="E222">
            <v>1.5</v>
          </cell>
          <cell r="F222">
            <v>625</v>
          </cell>
          <cell r="G222">
            <v>1</v>
          </cell>
          <cell r="H222">
            <v>54</v>
          </cell>
          <cell r="I222">
            <v>6</v>
          </cell>
          <cell r="J222">
            <v>4</v>
          </cell>
          <cell r="K222">
            <v>0</v>
          </cell>
          <cell r="L222">
            <v>8.9209910000000008</v>
          </cell>
          <cell r="M222">
            <v>-83.194559999999996</v>
          </cell>
          <cell r="N222" t="str">
            <v>Sur</v>
          </cell>
          <cell r="O222">
            <v>1</v>
          </cell>
          <cell r="P222" t="str">
            <v>victoria</v>
          </cell>
          <cell r="Q222" t="str">
            <v>cabecar</v>
          </cell>
          <cell r="R222" t="b">
            <v>0</v>
          </cell>
          <cell r="S222" t="str">
            <v>126_3</v>
          </cell>
          <cell r="T222">
            <v>1</v>
          </cell>
          <cell r="U222">
            <v>7</v>
          </cell>
          <cell r="V222">
            <v>6</v>
          </cell>
          <cell r="W222">
            <v>0.85714285700000004</v>
          </cell>
          <cell r="X222">
            <v>38</v>
          </cell>
          <cell r="Y222">
            <v>28</v>
          </cell>
          <cell r="Z222">
            <v>0.73684210500000002</v>
          </cell>
        </row>
        <row r="223">
          <cell r="B223" t="str">
            <v>F127_1B</v>
          </cell>
          <cell r="C223" t="str">
            <v>R2_F127_1B</v>
          </cell>
          <cell r="D223">
            <v>0</v>
          </cell>
          <cell r="E223">
            <v>1.5</v>
          </cell>
          <cell r="F223">
            <v>167</v>
          </cell>
          <cell r="G223">
            <v>1</v>
          </cell>
          <cell r="H223">
            <v>50</v>
          </cell>
          <cell r="I223">
            <v>4</v>
          </cell>
          <cell r="J223">
            <v>5</v>
          </cell>
          <cell r="K223">
            <v>0</v>
          </cell>
          <cell r="L223">
            <v>8.982037</v>
          </cell>
          <cell r="M223">
            <v>-83.244077000000004</v>
          </cell>
          <cell r="N223" t="str">
            <v>Sur</v>
          </cell>
          <cell r="O223">
            <v>1</v>
          </cell>
          <cell r="P223" t="str">
            <v>victoria</v>
          </cell>
          <cell r="Q223" t="str">
            <v>cabecar</v>
          </cell>
          <cell r="R223" t="b">
            <v>0</v>
          </cell>
          <cell r="S223" t="str">
            <v>127_1</v>
          </cell>
          <cell r="T223">
            <v>1</v>
          </cell>
          <cell r="U223">
            <v>0</v>
          </cell>
          <cell r="V223">
            <v>0</v>
          </cell>
          <cell r="W223" t="str">
            <v>NA</v>
          </cell>
          <cell r="X223">
            <v>0</v>
          </cell>
          <cell r="Y223">
            <v>0</v>
          </cell>
          <cell r="Z223" t="str">
            <v>NA</v>
          </cell>
        </row>
        <row r="224">
          <cell r="B224" t="str">
            <v>F127_2B</v>
          </cell>
          <cell r="C224" t="str">
            <v>R2_F127_2B</v>
          </cell>
          <cell r="D224">
            <v>1</v>
          </cell>
          <cell r="E224">
            <v>0.25</v>
          </cell>
          <cell r="F224">
            <v>167</v>
          </cell>
          <cell r="G224">
            <v>1</v>
          </cell>
          <cell r="H224">
            <v>50</v>
          </cell>
          <cell r="I224">
            <v>4</v>
          </cell>
          <cell r="J224">
            <v>5</v>
          </cell>
          <cell r="K224">
            <v>1</v>
          </cell>
          <cell r="L224">
            <v>8.982037</v>
          </cell>
          <cell r="M224">
            <v>-83.244077000000004</v>
          </cell>
          <cell r="N224" t="str">
            <v>Sur</v>
          </cell>
          <cell r="O224">
            <v>1</v>
          </cell>
          <cell r="P224" t="str">
            <v>uran</v>
          </cell>
          <cell r="Q224" t="str">
            <v>uran</v>
          </cell>
          <cell r="R224" t="b">
            <v>1</v>
          </cell>
          <cell r="S224" t="str">
            <v>127_2</v>
          </cell>
          <cell r="T224">
            <v>0</v>
          </cell>
          <cell r="U224">
            <v>0</v>
          </cell>
          <cell r="V224">
            <v>0</v>
          </cell>
          <cell r="W224" t="str">
            <v>NA</v>
          </cell>
          <cell r="X224">
            <v>0</v>
          </cell>
          <cell r="Y224">
            <v>0</v>
          </cell>
          <cell r="Z224" t="str">
            <v>NA</v>
          </cell>
        </row>
        <row r="225">
          <cell r="B225" t="str">
            <v>F127_3B</v>
          </cell>
          <cell r="C225" t="str">
            <v>R2_F127_3B</v>
          </cell>
          <cell r="D225">
            <v>1</v>
          </cell>
          <cell r="E225">
            <v>0.5</v>
          </cell>
          <cell r="F225">
            <v>167</v>
          </cell>
          <cell r="G225">
            <v>1</v>
          </cell>
          <cell r="H225">
            <v>50</v>
          </cell>
          <cell r="I225">
            <v>4</v>
          </cell>
          <cell r="J225">
            <v>5</v>
          </cell>
          <cell r="K225">
            <v>1</v>
          </cell>
          <cell r="L225">
            <v>8.982037</v>
          </cell>
          <cell r="M225">
            <v>-83.244077000000004</v>
          </cell>
          <cell r="N225" t="str">
            <v>Sur</v>
          </cell>
          <cell r="O225">
            <v>1</v>
          </cell>
          <cell r="P225" t="str">
            <v>nambi</v>
          </cell>
          <cell r="Q225" t="str">
            <v>nambi</v>
          </cell>
          <cell r="R225" t="b">
            <v>1</v>
          </cell>
          <cell r="S225" t="str">
            <v>127_3</v>
          </cell>
          <cell r="T225">
            <v>1</v>
          </cell>
          <cell r="U225">
            <v>0</v>
          </cell>
          <cell r="V225">
            <v>0</v>
          </cell>
          <cell r="W225" t="str">
            <v>NA</v>
          </cell>
          <cell r="X225">
            <v>0</v>
          </cell>
          <cell r="Y225">
            <v>0</v>
          </cell>
          <cell r="Z225" t="str">
            <v>NA</v>
          </cell>
        </row>
        <row r="226">
          <cell r="B226" t="str">
            <v>F128_1B</v>
          </cell>
          <cell r="C226" t="str">
            <v>R2_F128_1B</v>
          </cell>
          <cell r="D226">
            <v>0</v>
          </cell>
          <cell r="E226">
            <v>3</v>
          </cell>
          <cell r="F226">
            <v>693</v>
          </cell>
          <cell r="G226">
            <v>1</v>
          </cell>
          <cell r="H226">
            <v>54</v>
          </cell>
          <cell r="I226">
            <v>6</v>
          </cell>
          <cell r="J226">
            <v>3</v>
          </cell>
          <cell r="K226">
            <v>0</v>
          </cell>
          <cell r="L226">
            <v>8.9221760000000003</v>
          </cell>
          <cell r="M226">
            <v>-83.197218000000007</v>
          </cell>
          <cell r="N226" t="str">
            <v>Sur</v>
          </cell>
          <cell r="O226">
            <v>1</v>
          </cell>
          <cell r="P226" t="str">
            <v>victoria</v>
          </cell>
          <cell r="Q226" t="str">
            <v>cabecar</v>
          </cell>
          <cell r="R226" t="b">
            <v>0</v>
          </cell>
          <cell r="S226" t="str">
            <v>128_1</v>
          </cell>
          <cell r="T226">
            <v>1</v>
          </cell>
          <cell r="U226">
            <v>8</v>
          </cell>
          <cell r="V226">
            <v>6</v>
          </cell>
          <cell r="W226">
            <v>0.75</v>
          </cell>
          <cell r="X226">
            <v>41</v>
          </cell>
          <cell r="Y226">
            <v>30</v>
          </cell>
          <cell r="Z226">
            <v>0.73170731700000002</v>
          </cell>
        </row>
        <row r="227">
          <cell r="B227" t="str">
            <v>F128_2B</v>
          </cell>
          <cell r="C227" t="str">
            <v>R2_F128_2B</v>
          </cell>
          <cell r="D227">
            <v>1</v>
          </cell>
          <cell r="E227">
            <v>0.25</v>
          </cell>
          <cell r="F227">
            <v>693</v>
          </cell>
          <cell r="G227">
            <v>1</v>
          </cell>
          <cell r="H227">
            <v>54</v>
          </cell>
          <cell r="I227">
            <v>6</v>
          </cell>
          <cell r="J227">
            <v>3</v>
          </cell>
          <cell r="K227">
            <v>1</v>
          </cell>
          <cell r="L227">
            <v>8.9221760000000003</v>
          </cell>
          <cell r="M227">
            <v>-83.197218000000007</v>
          </cell>
          <cell r="N227" t="str">
            <v>Sur</v>
          </cell>
          <cell r="O227">
            <v>1</v>
          </cell>
          <cell r="P227" t="str">
            <v>nambi</v>
          </cell>
          <cell r="Q227" t="str">
            <v>nambi</v>
          </cell>
          <cell r="R227" t="b">
            <v>1</v>
          </cell>
          <cell r="S227" t="str">
            <v>128_2</v>
          </cell>
          <cell r="T227">
            <v>1</v>
          </cell>
          <cell r="U227">
            <v>8</v>
          </cell>
          <cell r="V227">
            <v>6</v>
          </cell>
          <cell r="W227">
            <v>0.75</v>
          </cell>
          <cell r="X227">
            <v>41</v>
          </cell>
          <cell r="Y227">
            <v>30</v>
          </cell>
          <cell r="Z227">
            <v>0.73170731700000002</v>
          </cell>
        </row>
        <row r="228">
          <cell r="B228" t="str">
            <v>F130_1B</v>
          </cell>
          <cell r="C228" t="str">
            <v>R2_F130_1B</v>
          </cell>
          <cell r="D228">
            <v>1</v>
          </cell>
          <cell r="E228">
            <v>1.5</v>
          </cell>
          <cell r="F228">
            <v>1001</v>
          </cell>
          <cell r="G228">
            <v>1</v>
          </cell>
          <cell r="H228">
            <v>60</v>
          </cell>
          <cell r="I228">
            <v>6</v>
          </cell>
          <cell r="J228">
            <v>4</v>
          </cell>
          <cell r="K228">
            <v>1</v>
          </cell>
          <cell r="L228">
            <v>8.8942379999999996</v>
          </cell>
          <cell r="M228">
            <v>-83.149507</v>
          </cell>
          <cell r="N228" t="str">
            <v>Sur</v>
          </cell>
          <cell r="O228">
            <v>1</v>
          </cell>
          <cell r="P228" t="str">
            <v>nambi</v>
          </cell>
          <cell r="Q228" t="str">
            <v>nambi</v>
          </cell>
          <cell r="R228" t="b">
            <v>1</v>
          </cell>
          <cell r="S228" t="str">
            <v>130_1</v>
          </cell>
          <cell r="T228">
            <v>1</v>
          </cell>
          <cell r="U228">
            <v>4</v>
          </cell>
          <cell r="V228">
            <v>4</v>
          </cell>
          <cell r="W228">
            <v>1</v>
          </cell>
          <cell r="X228">
            <v>12</v>
          </cell>
          <cell r="Y228">
            <v>8</v>
          </cell>
          <cell r="Z228">
            <v>0.66666666699999999</v>
          </cell>
        </row>
        <row r="229">
          <cell r="B229" t="str">
            <v>F130_2B</v>
          </cell>
          <cell r="C229" t="str">
            <v>R2_F130_2B</v>
          </cell>
          <cell r="D229">
            <v>1</v>
          </cell>
          <cell r="E229">
            <v>0.3</v>
          </cell>
          <cell r="F229">
            <v>1001</v>
          </cell>
          <cell r="G229">
            <v>1</v>
          </cell>
          <cell r="H229">
            <v>60</v>
          </cell>
          <cell r="I229">
            <v>6</v>
          </cell>
          <cell r="J229">
            <v>4</v>
          </cell>
          <cell r="K229">
            <v>1</v>
          </cell>
          <cell r="L229">
            <v>8.8942379999999996</v>
          </cell>
          <cell r="M229">
            <v>-83.149507</v>
          </cell>
          <cell r="N229" t="str">
            <v>Sur</v>
          </cell>
          <cell r="O229">
            <v>1</v>
          </cell>
          <cell r="P229" t="str">
            <v>cabecar</v>
          </cell>
          <cell r="Q229" t="str">
            <v>cabecar</v>
          </cell>
          <cell r="R229" t="b">
            <v>1</v>
          </cell>
          <cell r="S229" t="str">
            <v>130_2</v>
          </cell>
          <cell r="T229">
            <v>1</v>
          </cell>
          <cell r="U229">
            <v>4</v>
          </cell>
          <cell r="V229">
            <v>4</v>
          </cell>
          <cell r="W229">
            <v>1</v>
          </cell>
          <cell r="X229">
            <v>12</v>
          </cell>
          <cell r="Y229">
            <v>8</v>
          </cell>
          <cell r="Z229">
            <v>0.66666666699999999</v>
          </cell>
        </row>
        <row r="230">
          <cell r="B230" t="str">
            <v>F131_1B</v>
          </cell>
          <cell r="C230" t="str">
            <v>R2_F131_1B</v>
          </cell>
          <cell r="D230">
            <v>1</v>
          </cell>
          <cell r="E230">
            <v>0.7</v>
          </cell>
          <cell r="F230">
            <v>1030</v>
          </cell>
          <cell r="G230">
            <v>1</v>
          </cell>
          <cell r="H230">
            <v>51</v>
          </cell>
          <cell r="I230">
            <v>6</v>
          </cell>
          <cell r="J230">
            <v>5</v>
          </cell>
          <cell r="K230">
            <v>1</v>
          </cell>
          <cell r="L230">
            <v>8.8948719999999994</v>
          </cell>
          <cell r="M230">
            <v>-83.150648000000004</v>
          </cell>
          <cell r="N230" t="str">
            <v>Sur</v>
          </cell>
          <cell r="O230">
            <v>1</v>
          </cell>
          <cell r="P230" t="str">
            <v>changuena</v>
          </cell>
          <cell r="Q230" t="str">
            <v>changuena</v>
          </cell>
          <cell r="R230" t="b">
            <v>1</v>
          </cell>
          <cell r="S230" t="str">
            <v>131_1</v>
          </cell>
          <cell r="T230">
            <v>1</v>
          </cell>
          <cell r="U230">
            <v>4</v>
          </cell>
          <cell r="V230">
            <v>4</v>
          </cell>
          <cell r="W230">
            <v>1</v>
          </cell>
          <cell r="X230">
            <v>12</v>
          </cell>
          <cell r="Y230">
            <v>8</v>
          </cell>
          <cell r="Z230">
            <v>0.66666666699999999</v>
          </cell>
        </row>
        <row r="231">
          <cell r="B231" t="str">
            <v>F131_2B</v>
          </cell>
          <cell r="C231" t="str">
            <v>R2_F131_2B</v>
          </cell>
          <cell r="D231">
            <v>1</v>
          </cell>
          <cell r="E231">
            <v>3</v>
          </cell>
          <cell r="F231">
            <v>1030</v>
          </cell>
          <cell r="G231">
            <v>1</v>
          </cell>
          <cell r="H231">
            <v>51</v>
          </cell>
          <cell r="I231">
            <v>6</v>
          </cell>
          <cell r="J231">
            <v>5</v>
          </cell>
          <cell r="K231">
            <v>1</v>
          </cell>
          <cell r="L231">
            <v>8.8948719999999994</v>
          </cell>
          <cell r="M231">
            <v>-83.150648000000004</v>
          </cell>
          <cell r="N231" t="str">
            <v>Sur</v>
          </cell>
          <cell r="O231">
            <v>1</v>
          </cell>
          <cell r="P231" t="str">
            <v>nambi</v>
          </cell>
          <cell r="Q231" t="str">
            <v>nambi</v>
          </cell>
          <cell r="R231" t="b">
            <v>1</v>
          </cell>
          <cell r="S231" t="str">
            <v>131_2</v>
          </cell>
          <cell r="T231">
            <v>1</v>
          </cell>
          <cell r="U231">
            <v>4</v>
          </cell>
          <cell r="V231">
            <v>4</v>
          </cell>
          <cell r="W231">
            <v>1</v>
          </cell>
          <cell r="X231">
            <v>12</v>
          </cell>
          <cell r="Y231">
            <v>8</v>
          </cell>
          <cell r="Z231">
            <v>0.66666666699999999</v>
          </cell>
        </row>
        <row r="232">
          <cell r="B232" t="str">
            <v>F132_1B</v>
          </cell>
          <cell r="C232" t="str">
            <v>R2_F132_1B</v>
          </cell>
          <cell r="D232">
            <v>1</v>
          </cell>
          <cell r="E232">
            <v>1</v>
          </cell>
          <cell r="F232">
            <v>1062</v>
          </cell>
          <cell r="G232">
            <v>1</v>
          </cell>
          <cell r="H232">
            <v>48</v>
          </cell>
          <cell r="I232">
            <v>7</v>
          </cell>
          <cell r="J232">
            <v>6</v>
          </cell>
          <cell r="K232">
            <v>1</v>
          </cell>
          <cell r="L232">
            <v>8.8973399999999998</v>
          </cell>
          <cell r="M232">
            <v>-83.152856999999997</v>
          </cell>
          <cell r="N232" t="str">
            <v>Sur</v>
          </cell>
          <cell r="O232">
            <v>1</v>
          </cell>
          <cell r="P232" t="str">
            <v>changuena</v>
          </cell>
          <cell r="Q232" t="str">
            <v>changuena</v>
          </cell>
          <cell r="R232" t="b">
            <v>1</v>
          </cell>
          <cell r="S232" t="str">
            <v>132_1</v>
          </cell>
          <cell r="T232">
            <v>1</v>
          </cell>
          <cell r="U232">
            <v>4</v>
          </cell>
          <cell r="V232">
            <v>4</v>
          </cell>
          <cell r="W232">
            <v>1</v>
          </cell>
          <cell r="X232">
            <v>12</v>
          </cell>
          <cell r="Y232">
            <v>8</v>
          </cell>
          <cell r="Z232">
            <v>0.66666666699999999</v>
          </cell>
        </row>
        <row r="233">
          <cell r="B233" t="str">
            <v>F132_2B</v>
          </cell>
          <cell r="C233" t="str">
            <v>R2_F132_2B</v>
          </cell>
          <cell r="D233">
            <v>1</v>
          </cell>
          <cell r="E233">
            <v>2</v>
          </cell>
          <cell r="F233">
            <v>1062</v>
          </cell>
          <cell r="G233">
            <v>1</v>
          </cell>
          <cell r="H233">
            <v>48</v>
          </cell>
          <cell r="I233">
            <v>7</v>
          </cell>
          <cell r="J233">
            <v>6</v>
          </cell>
          <cell r="K233">
            <v>1</v>
          </cell>
          <cell r="L233">
            <v>8.8973399999999998</v>
          </cell>
          <cell r="M233">
            <v>-83.152856999999997</v>
          </cell>
          <cell r="N233" t="str">
            <v>Sur</v>
          </cell>
          <cell r="O233">
            <v>1</v>
          </cell>
          <cell r="P233" t="str">
            <v>cabecar</v>
          </cell>
          <cell r="Q233" t="str">
            <v>cabecar</v>
          </cell>
          <cell r="R233" t="b">
            <v>1</v>
          </cell>
          <cell r="S233" t="str">
            <v>132_2</v>
          </cell>
          <cell r="T233">
            <v>1</v>
          </cell>
          <cell r="U233">
            <v>4</v>
          </cell>
          <cell r="V233">
            <v>4</v>
          </cell>
          <cell r="W233">
            <v>1</v>
          </cell>
          <cell r="X233">
            <v>12</v>
          </cell>
          <cell r="Y233">
            <v>8</v>
          </cell>
          <cell r="Z233">
            <v>0.66666666699999999</v>
          </cell>
        </row>
        <row r="234">
          <cell r="B234" t="str">
            <v>F133_1B</v>
          </cell>
          <cell r="C234" t="str">
            <v>R2_F133_1B</v>
          </cell>
          <cell r="D234">
            <v>0</v>
          </cell>
          <cell r="E234">
            <v>2</v>
          </cell>
          <cell r="F234">
            <v>332</v>
          </cell>
          <cell r="G234">
            <v>1</v>
          </cell>
          <cell r="H234">
            <v>57</v>
          </cell>
          <cell r="I234">
            <v>6</v>
          </cell>
          <cell r="J234">
            <v>1</v>
          </cell>
          <cell r="K234">
            <v>0</v>
          </cell>
          <cell r="L234">
            <v>8.9357369999999996</v>
          </cell>
          <cell r="M234">
            <v>-83.228048999999999</v>
          </cell>
          <cell r="N234" t="str">
            <v>Sur</v>
          </cell>
          <cell r="O234">
            <v>1</v>
          </cell>
          <cell r="P234" t="str">
            <v>victoria</v>
          </cell>
          <cell r="Q234" t="str">
            <v>cabecar</v>
          </cell>
          <cell r="R234" t="b">
            <v>0</v>
          </cell>
          <cell r="S234" t="str">
            <v>133_1</v>
          </cell>
          <cell r="T234">
            <v>0</v>
          </cell>
          <cell r="U234">
            <v>2</v>
          </cell>
          <cell r="V234">
            <v>2</v>
          </cell>
          <cell r="W234">
            <v>1</v>
          </cell>
          <cell r="X234">
            <v>29</v>
          </cell>
          <cell r="Y234">
            <v>22</v>
          </cell>
          <cell r="Z234">
            <v>0.75862068999999999</v>
          </cell>
        </row>
        <row r="235">
          <cell r="B235" t="str">
            <v>F133_2B</v>
          </cell>
          <cell r="C235" t="str">
            <v>R2_F133_2B</v>
          </cell>
          <cell r="D235">
            <v>1</v>
          </cell>
          <cell r="E235">
            <v>1.5</v>
          </cell>
          <cell r="F235">
            <v>332</v>
          </cell>
          <cell r="G235">
            <v>1</v>
          </cell>
          <cell r="H235">
            <v>57</v>
          </cell>
          <cell r="I235">
            <v>6</v>
          </cell>
          <cell r="J235">
            <v>1</v>
          </cell>
          <cell r="K235">
            <v>1</v>
          </cell>
          <cell r="L235">
            <v>8.9357369999999996</v>
          </cell>
          <cell r="M235">
            <v>-83.228048999999999</v>
          </cell>
          <cell r="N235" t="str">
            <v>Sur</v>
          </cell>
          <cell r="O235">
            <v>1</v>
          </cell>
          <cell r="P235" t="str">
            <v>nambi</v>
          </cell>
          <cell r="Q235" t="str">
            <v>nambi</v>
          </cell>
          <cell r="R235" t="b">
            <v>1</v>
          </cell>
          <cell r="S235" t="str">
            <v>133_2</v>
          </cell>
          <cell r="T235">
            <v>1</v>
          </cell>
          <cell r="U235">
            <v>2</v>
          </cell>
          <cell r="V235">
            <v>2</v>
          </cell>
          <cell r="W235">
            <v>1</v>
          </cell>
          <cell r="X235">
            <v>29</v>
          </cell>
          <cell r="Y235">
            <v>22</v>
          </cell>
          <cell r="Z235">
            <v>0.75862068999999999</v>
          </cell>
        </row>
        <row r="236">
          <cell r="B236" t="str">
            <v>F136_1B</v>
          </cell>
          <cell r="C236" t="str">
            <v>R2_F136_1B</v>
          </cell>
          <cell r="D236">
            <v>1</v>
          </cell>
          <cell r="E236">
            <v>1</v>
          </cell>
          <cell r="F236">
            <v>782</v>
          </cell>
          <cell r="G236">
            <v>1</v>
          </cell>
          <cell r="H236">
            <v>38</v>
          </cell>
          <cell r="I236">
            <v>6</v>
          </cell>
          <cell r="J236">
            <v>5</v>
          </cell>
          <cell r="K236">
            <v>1</v>
          </cell>
          <cell r="L236">
            <v>8.9140230000000003</v>
          </cell>
          <cell r="M236">
            <v>-83.177476999999996</v>
          </cell>
          <cell r="N236" t="str">
            <v>Sur</v>
          </cell>
          <cell r="O236">
            <v>1</v>
          </cell>
          <cell r="P236" t="str">
            <v>changuena</v>
          </cell>
          <cell r="Q236" t="str">
            <v>changuena</v>
          </cell>
          <cell r="R236" t="b">
            <v>1</v>
          </cell>
          <cell r="S236" t="str">
            <v>136_1</v>
          </cell>
          <cell r="T236">
            <v>1</v>
          </cell>
          <cell r="U236">
            <v>8</v>
          </cell>
          <cell r="V236">
            <v>5</v>
          </cell>
          <cell r="W236">
            <v>0.625</v>
          </cell>
          <cell r="X236">
            <v>26</v>
          </cell>
          <cell r="Y236">
            <v>18</v>
          </cell>
          <cell r="Z236">
            <v>0.69230769199999997</v>
          </cell>
        </row>
        <row r="237">
          <cell r="B237" t="str">
            <v>F138_1B</v>
          </cell>
          <cell r="C237" t="str">
            <v>R2_F138_1B</v>
          </cell>
          <cell r="D237">
            <v>0</v>
          </cell>
          <cell r="E237">
            <v>1</v>
          </cell>
          <cell r="F237">
            <v>782</v>
          </cell>
          <cell r="G237">
            <v>1</v>
          </cell>
          <cell r="H237">
            <v>69</v>
          </cell>
          <cell r="I237">
            <v>3</v>
          </cell>
          <cell r="J237">
            <v>4</v>
          </cell>
          <cell r="K237">
            <v>1</v>
          </cell>
          <cell r="L237">
            <v>8.9138599999999997</v>
          </cell>
          <cell r="M237">
            <v>-83.177498</v>
          </cell>
          <cell r="N237" t="str">
            <v>Sur</v>
          </cell>
          <cell r="O237">
            <v>1</v>
          </cell>
          <cell r="P237" t="str">
            <v>changuena</v>
          </cell>
          <cell r="Q237" t="str">
            <v>cabecar</v>
          </cell>
          <cell r="R237" t="b">
            <v>0</v>
          </cell>
          <cell r="S237" t="str">
            <v>138_1</v>
          </cell>
          <cell r="T237">
            <v>0</v>
          </cell>
          <cell r="U237">
            <v>7</v>
          </cell>
          <cell r="V237">
            <v>5</v>
          </cell>
          <cell r="W237">
            <v>0.71428571399999996</v>
          </cell>
          <cell r="X237">
            <v>25</v>
          </cell>
          <cell r="Y237">
            <v>18</v>
          </cell>
          <cell r="Z237">
            <v>0.72</v>
          </cell>
        </row>
        <row r="238">
          <cell r="B238" t="str">
            <v>F138_2B</v>
          </cell>
          <cell r="C238" t="str">
            <v>R2_F138_2B</v>
          </cell>
          <cell r="D238">
            <v>1</v>
          </cell>
          <cell r="E238">
            <v>1</v>
          </cell>
          <cell r="F238">
            <v>782</v>
          </cell>
          <cell r="G238">
            <v>1</v>
          </cell>
          <cell r="H238">
            <v>69</v>
          </cell>
          <cell r="I238">
            <v>3</v>
          </cell>
          <cell r="J238">
            <v>4</v>
          </cell>
          <cell r="K238">
            <v>1</v>
          </cell>
          <cell r="L238">
            <v>8.9138599999999997</v>
          </cell>
          <cell r="M238">
            <v>-83.177498</v>
          </cell>
          <cell r="N238" t="str">
            <v>Sur</v>
          </cell>
          <cell r="O238">
            <v>1</v>
          </cell>
          <cell r="P238" t="str">
            <v>nambi</v>
          </cell>
          <cell r="Q238" t="str">
            <v>nambi</v>
          </cell>
          <cell r="R238" t="b">
            <v>1</v>
          </cell>
          <cell r="S238" t="str">
            <v>138_2</v>
          </cell>
          <cell r="T238">
            <v>1</v>
          </cell>
          <cell r="U238">
            <v>7</v>
          </cell>
          <cell r="V238">
            <v>5</v>
          </cell>
          <cell r="W238">
            <v>0.71428571399999996</v>
          </cell>
          <cell r="X238">
            <v>25</v>
          </cell>
          <cell r="Y238">
            <v>18</v>
          </cell>
          <cell r="Z238">
            <v>0.72</v>
          </cell>
        </row>
        <row r="239">
          <cell r="B239" t="str">
            <v>F139_1B</v>
          </cell>
          <cell r="C239" t="str">
            <v>R2_F139_1B</v>
          </cell>
          <cell r="D239">
            <v>0</v>
          </cell>
          <cell r="E239">
            <v>1</v>
          </cell>
          <cell r="F239">
            <v>948</v>
          </cell>
          <cell r="G239">
            <v>1</v>
          </cell>
          <cell r="H239">
            <v>32</v>
          </cell>
          <cell r="I239">
            <v>6</v>
          </cell>
          <cell r="J239">
            <v>4</v>
          </cell>
          <cell r="K239">
            <v>0</v>
          </cell>
          <cell r="L239">
            <v>8.8972409999999993</v>
          </cell>
          <cell r="M239">
            <v>-83.172192999999993</v>
          </cell>
          <cell r="N239" t="str">
            <v>Sur</v>
          </cell>
          <cell r="O239">
            <v>1</v>
          </cell>
          <cell r="P239" t="str">
            <v>generalito</v>
          </cell>
          <cell r="Q239" t="str">
            <v>cabecar</v>
          </cell>
          <cell r="R239" t="b">
            <v>0</v>
          </cell>
          <cell r="S239" t="str">
            <v>139_1</v>
          </cell>
          <cell r="T239">
            <v>0</v>
          </cell>
          <cell r="U239">
            <v>0</v>
          </cell>
          <cell r="V239">
            <v>0</v>
          </cell>
          <cell r="W239" t="str">
            <v>NA</v>
          </cell>
          <cell r="X239">
            <v>34</v>
          </cell>
          <cell r="Y239">
            <v>26</v>
          </cell>
          <cell r="Z239">
            <v>0.764705882</v>
          </cell>
        </row>
        <row r="240">
          <cell r="B240" t="str">
            <v>F139_2B</v>
          </cell>
          <cell r="C240" t="str">
            <v>R2_F139_2B</v>
          </cell>
          <cell r="D240">
            <v>1</v>
          </cell>
          <cell r="E240">
            <v>0.5</v>
          </cell>
          <cell r="F240">
            <v>948</v>
          </cell>
          <cell r="G240">
            <v>1</v>
          </cell>
          <cell r="H240">
            <v>32</v>
          </cell>
          <cell r="I240">
            <v>6</v>
          </cell>
          <cell r="J240">
            <v>4</v>
          </cell>
          <cell r="K240">
            <v>1</v>
          </cell>
          <cell r="L240">
            <v>8.8972409999999993</v>
          </cell>
          <cell r="M240">
            <v>-83.172192999999993</v>
          </cell>
          <cell r="N240" t="str">
            <v>Sur</v>
          </cell>
          <cell r="O240">
            <v>1</v>
          </cell>
          <cell r="P240" t="str">
            <v>nambi</v>
          </cell>
          <cell r="Q240" t="str">
            <v>nambi</v>
          </cell>
          <cell r="R240" t="b">
            <v>1</v>
          </cell>
          <cell r="S240" t="str">
            <v>139_2</v>
          </cell>
          <cell r="T240">
            <v>1</v>
          </cell>
          <cell r="U240">
            <v>0</v>
          </cell>
          <cell r="V240">
            <v>0</v>
          </cell>
          <cell r="W240" t="str">
            <v>NA</v>
          </cell>
          <cell r="X240">
            <v>34</v>
          </cell>
          <cell r="Y240">
            <v>26</v>
          </cell>
          <cell r="Z240">
            <v>0.764705882</v>
          </cell>
        </row>
        <row r="241">
          <cell r="B241" t="str">
            <v>F139_3B</v>
          </cell>
          <cell r="C241" t="str">
            <v>R2_F139_3B</v>
          </cell>
          <cell r="D241">
            <v>0</v>
          </cell>
          <cell r="E241">
            <v>0.5</v>
          </cell>
          <cell r="F241">
            <v>948</v>
          </cell>
          <cell r="G241">
            <v>1</v>
          </cell>
          <cell r="H241">
            <v>32</v>
          </cell>
          <cell r="I241">
            <v>6</v>
          </cell>
          <cell r="J241">
            <v>4</v>
          </cell>
          <cell r="K241">
            <v>0</v>
          </cell>
          <cell r="L241">
            <v>8.8972409999999993</v>
          </cell>
          <cell r="M241">
            <v>-83.172192999999993</v>
          </cell>
          <cell r="N241" t="str">
            <v>Sur</v>
          </cell>
          <cell r="O241">
            <v>1</v>
          </cell>
          <cell r="P241" t="str">
            <v>SEF 62</v>
          </cell>
          <cell r="Q241" t="str">
            <v>other</v>
          </cell>
          <cell r="R241" t="str">
            <v>Not applicable</v>
          </cell>
          <cell r="S241" t="str">
            <v>139_3</v>
          </cell>
          <cell r="T241">
            <v>0</v>
          </cell>
          <cell r="U241">
            <v>0</v>
          </cell>
          <cell r="V241">
            <v>0</v>
          </cell>
          <cell r="W241" t="str">
            <v>NA</v>
          </cell>
          <cell r="X241">
            <v>34</v>
          </cell>
          <cell r="Y241">
            <v>26</v>
          </cell>
          <cell r="Z241">
            <v>0.764705882</v>
          </cell>
        </row>
        <row r="242">
          <cell r="B242" t="str">
            <v>F140_1B</v>
          </cell>
          <cell r="C242" t="str">
            <v>R2_F140_1B</v>
          </cell>
          <cell r="D242">
            <v>0</v>
          </cell>
          <cell r="E242">
            <v>0.5</v>
          </cell>
          <cell r="F242">
            <v>789</v>
          </cell>
          <cell r="G242">
            <v>1</v>
          </cell>
          <cell r="H242">
            <v>63</v>
          </cell>
          <cell r="I242">
            <v>6</v>
          </cell>
          <cell r="J242">
            <v>5</v>
          </cell>
          <cell r="K242">
            <v>0</v>
          </cell>
          <cell r="L242">
            <v>8.9135790000000004</v>
          </cell>
          <cell r="M242">
            <v>-83.177126000000001</v>
          </cell>
          <cell r="N242" t="str">
            <v>Sur</v>
          </cell>
          <cell r="O242">
            <v>1</v>
          </cell>
          <cell r="P242" t="str">
            <v>sacapobres</v>
          </cell>
          <cell r="Q242" t="str">
            <v>quiura</v>
          </cell>
          <cell r="R242" t="b">
            <v>0</v>
          </cell>
          <cell r="S242" t="str">
            <v>140_1</v>
          </cell>
          <cell r="T242">
            <v>1</v>
          </cell>
          <cell r="U242">
            <v>5</v>
          </cell>
          <cell r="V242">
            <v>4</v>
          </cell>
          <cell r="W242">
            <v>0.8</v>
          </cell>
          <cell r="X242">
            <v>27</v>
          </cell>
          <cell r="Y242">
            <v>20</v>
          </cell>
          <cell r="Z242">
            <v>0.74074074099999998</v>
          </cell>
        </row>
        <row r="243">
          <cell r="B243" t="str">
            <v>F140_2B</v>
          </cell>
          <cell r="C243" t="str">
            <v>R2_F140_2B</v>
          </cell>
          <cell r="D243">
            <v>1</v>
          </cell>
          <cell r="E243">
            <v>1.5</v>
          </cell>
          <cell r="F243">
            <v>789</v>
          </cell>
          <cell r="G243">
            <v>1</v>
          </cell>
          <cell r="H243">
            <v>63</v>
          </cell>
          <cell r="I243">
            <v>6</v>
          </cell>
          <cell r="J243">
            <v>5</v>
          </cell>
          <cell r="K243">
            <v>1</v>
          </cell>
          <cell r="L243">
            <v>8.9135790000000004</v>
          </cell>
          <cell r="M243">
            <v>-83.177126000000001</v>
          </cell>
          <cell r="N243" t="str">
            <v>Sur</v>
          </cell>
          <cell r="O243">
            <v>1</v>
          </cell>
          <cell r="P243" t="str">
            <v>nambi</v>
          </cell>
          <cell r="Q243" t="str">
            <v>nambi</v>
          </cell>
          <cell r="R243" t="b">
            <v>1</v>
          </cell>
          <cell r="S243" t="str">
            <v>140_2</v>
          </cell>
          <cell r="T243">
            <v>1</v>
          </cell>
          <cell r="U243">
            <v>5</v>
          </cell>
          <cell r="V243">
            <v>4</v>
          </cell>
          <cell r="W243">
            <v>0.8</v>
          </cell>
          <cell r="X243">
            <v>27</v>
          </cell>
          <cell r="Y243">
            <v>20</v>
          </cell>
          <cell r="Z243">
            <v>0.74074074099999998</v>
          </cell>
        </row>
        <row r="244">
          <cell r="B244" t="str">
            <v>F140_3B</v>
          </cell>
          <cell r="C244" t="str">
            <v>R2_F140_3B</v>
          </cell>
          <cell r="D244">
            <v>0</v>
          </cell>
          <cell r="E244">
            <v>3</v>
          </cell>
          <cell r="F244">
            <v>789</v>
          </cell>
          <cell r="G244">
            <v>1</v>
          </cell>
          <cell r="H244">
            <v>63</v>
          </cell>
          <cell r="I244">
            <v>6</v>
          </cell>
          <cell r="J244">
            <v>5</v>
          </cell>
          <cell r="K244">
            <v>1</v>
          </cell>
          <cell r="L244">
            <v>8.9135790000000004</v>
          </cell>
          <cell r="M244">
            <v>-83.177126000000001</v>
          </cell>
          <cell r="N244" t="str">
            <v>Sur</v>
          </cell>
          <cell r="O244">
            <v>1</v>
          </cell>
          <cell r="P244" t="str">
            <v>changuena</v>
          </cell>
          <cell r="Q244" t="str">
            <v>cabecar</v>
          </cell>
          <cell r="R244" t="b">
            <v>0</v>
          </cell>
          <cell r="S244" t="str">
            <v>140_3</v>
          </cell>
          <cell r="T244">
            <v>0</v>
          </cell>
          <cell r="U244">
            <v>5</v>
          </cell>
          <cell r="V244">
            <v>4</v>
          </cell>
          <cell r="W244">
            <v>0.8</v>
          </cell>
          <cell r="X244">
            <v>27</v>
          </cell>
          <cell r="Y244">
            <v>20</v>
          </cell>
          <cell r="Z244">
            <v>0.74074074099999998</v>
          </cell>
        </row>
        <row r="245">
          <cell r="B245" t="str">
            <v>F140_4B</v>
          </cell>
          <cell r="C245" t="str">
            <v>R2_F140_4B</v>
          </cell>
          <cell r="D245">
            <v>0</v>
          </cell>
          <cell r="E245">
            <v>1.5</v>
          </cell>
          <cell r="F245">
            <v>789</v>
          </cell>
          <cell r="G245">
            <v>1</v>
          </cell>
          <cell r="H245">
            <v>63</v>
          </cell>
          <cell r="I245">
            <v>6</v>
          </cell>
          <cell r="J245">
            <v>5</v>
          </cell>
          <cell r="K245">
            <v>0</v>
          </cell>
          <cell r="L245">
            <v>8.9135790000000004</v>
          </cell>
          <cell r="M245">
            <v>-83.177126000000001</v>
          </cell>
          <cell r="N245" t="str">
            <v>Sur</v>
          </cell>
          <cell r="O245">
            <v>1</v>
          </cell>
          <cell r="P245" t="str">
            <v>SEF 64</v>
          </cell>
          <cell r="Q245" t="str">
            <v>assay</v>
          </cell>
          <cell r="R245" t="str">
            <v>Not applicable</v>
          </cell>
          <cell r="S245" t="str">
            <v>140_4</v>
          </cell>
          <cell r="T245">
            <v>0</v>
          </cell>
          <cell r="U245">
            <v>5</v>
          </cell>
          <cell r="V245">
            <v>4</v>
          </cell>
          <cell r="W245">
            <v>0.8</v>
          </cell>
          <cell r="X245">
            <v>27</v>
          </cell>
          <cell r="Y245">
            <v>20</v>
          </cell>
          <cell r="Z245">
            <v>0.74074074099999998</v>
          </cell>
        </row>
        <row r="246">
          <cell r="B246" t="str">
            <v>F141_1B</v>
          </cell>
          <cell r="C246" t="str">
            <v>R2_F141_1B</v>
          </cell>
          <cell r="D246">
            <v>0</v>
          </cell>
          <cell r="E246">
            <v>7</v>
          </cell>
          <cell r="F246">
            <v>724</v>
          </cell>
          <cell r="G246">
            <v>1</v>
          </cell>
          <cell r="H246">
            <v>32</v>
          </cell>
          <cell r="I246">
            <v>6</v>
          </cell>
          <cell r="J246">
            <v>5</v>
          </cell>
          <cell r="K246">
            <v>0</v>
          </cell>
          <cell r="L246">
            <v>8.9108300000000007</v>
          </cell>
          <cell r="M246">
            <v>-83.181647999999996</v>
          </cell>
          <cell r="N246" t="str">
            <v>Sur</v>
          </cell>
          <cell r="O246">
            <v>1</v>
          </cell>
          <cell r="P246" t="str">
            <v>victoria</v>
          </cell>
          <cell r="Q246" t="str">
            <v>cabecar</v>
          </cell>
          <cell r="R246" t="b">
            <v>0</v>
          </cell>
          <cell r="S246" t="str">
            <v>141_1</v>
          </cell>
          <cell r="T246">
            <v>1</v>
          </cell>
          <cell r="U246">
            <v>7</v>
          </cell>
          <cell r="V246">
            <v>4</v>
          </cell>
          <cell r="W246">
            <v>0.571428571</v>
          </cell>
          <cell r="X246">
            <v>35</v>
          </cell>
          <cell r="Y246">
            <v>24</v>
          </cell>
          <cell r="Z246">
            <v>0.68571428599999995</v>
          </cell>
        </row>
        <row r="247">
          <cell r="B247" t="str">
            <v>F141_2B</v>
          </cell>
          <cell r="C247" t="str">
            <v>R2_F141_2B</v>
          </cell>
          <cell r="D247">
            <v>1</v>
          </cell>
          <cell r="E247">
            <v>1</v>
          </cell>
          <cell r="F247">
            <v>724</v>
          </cell>
          <cell r="G247">
            <v>1</v>
          </cell>
          <cell r="H247">
            <v>32</v>
          </cell>
          <cell r="I247">
            <v>6</v>
          </cell>
          <cell r="J247">
            <v>5</v>
          </cell>
          <cell r="K247">
            <v>1</v>
          </cell>
          <cell r="L247">
            <v>8.9108300000000007</v>
          </cell>
          <cell r="M247">
            <v>-83.181647999999996</v>
          </cell>
          <cell r="N247" t="str">
            <v>Sur</v>
          </cell>
          <cell r="O247">
            <v>1</v>
          </cell>
          <cell r="P247" t="str">
            <v>nambi</v>
          </cell>
          <cell r="Q247" t="str">
            <v>nambi</v>
          </cell>
          <cell r="R247" t="b">
            <v>1</v>
          </cell>
          <cell r="S247" t="str">
            <v>141_2</v>
          </cell>
          <cell r="T247">
            <v>1</v>
          </cell>
          <cell r="U247">
            <v>7</v>
          </cell>
          <cell r="V247">
            <v>4</v>
          </cell>
          <cell r="W247">
            <v>0.571428571</v>
          </cell>
          <cell r="X247">
            <v>35</v>
          </cell>
          <cell r="Y247">
            <v>24</v>
          </cell>
          <cell r="Z247">
            <v>0.68571428599999995</v>
          </cell>
        </row>
        <row r="248">
          <cell r="B248" t="str">
            <v>F142_1B</v>
          </cell>
          <cell r="C248" t="str">
            <v>R2_F142_1B</v>
          </cell>
          <cell r="D248">
            <v>1</v>
          </cell>
          <cell r="E248">
            <v>4</v>
          </cell>
          <cell r="F248">
            <v>611</v>
          </cell>
          <cell r="G248">
            <v>1</v>
          </cell>
          <cell r="H248">
            <v>32</v>
          </cell>
          <cell r="I248">
            <v>6</v>
          </cell>
          <cell r="J248">
            <v>5</v>
          </cell>
          <cell r="K248">
            <v>1</v>
          </cell>
          <cell r="L248">
            <v>8.8957130000000006</v>
          </cell>
          <cell r="M248">
            <v>-83.208736999999999</v>
          </cell>
          <cell r="N248" t="str">
            <v>Sur</v>
          </cell>
          <cell r="O248">
            <v>1</v>
          </cell>
          <cell r="P248" t="str">
            <v>cabecar</v>
          </cell>
          <cell r="Q248" t="str">
            <v>cabecar</v>
          </cell>
          <cell r="R248" t="b">
            <v>1</v>
          </cell>
          <cell r="S248" t="str">
            <v>142_1</v>
          </cell>
          <cell r="T248">
            <v>1</v>
          </cell>
          <cell r="U248">
            <v>0</v>
          </cell>
          <cell r="V248">
            <v>0</v>
          </cell>
          <cell r="W248" t="str">
            <v>NA</v>
          </cell>
          <cell r="X248">
            <v>19</v>
          </cell>
          <cell r="Y248">
            <v>12</v>
          </cell>
          <cell r="Z248">
            <v>0.63157894699999995</v>
          </cell>
        </row>
        <row r="249">
          <cell r="B249" t="str">
            <v>F142_2B</v>
          </cell>
          <cell r="C249" t="str">
            <v>R2_F142_2B</v>
          </cell>
          <cell r="D249">
            <v>1</v>
          </cell>
          <cell r="E249">
            <v>2</v>
          </cell>
          <cell r="F249">
            <v>611</v>
          </cell>
          <cell r="G249">
            <v>1</v>
          </cell>
          <cell r="H249">
            <v>32</v>
          </cell>
          <cell r="I249">
            <v>6</v>
          </cell>
          <cell r="J249">
            <v>5</v>
          </cell>
          <cell r="K249">
            <v>1</v>
          </cell>
          <cell r="L249">
            <v>8.8957130000000006</v>
          </cell>
          <cell r="M249">
            <v>-83.208736999999999</v>
          </cell>
          <cell r="N249" t="str">
            <v>Sur</v>
          </cell>
          <cell r="O249">
            <v>1</v>
          </cell>
          <cell r="P249" t="str">
            <v>nambi</v>
          </cell>
          <cell r="Q249" t="str">
            <v>nambi</v>
          </cell>
          <cell r="R249" t="b">
            <v>1</v>
          </cell>
          <cell r="S249" t="str">
            <v>142_2</v>
          </cell>
          <cell r="T249">
            <v>1</v>
          </cell>
          <cell r="U249">
            <v>0</v>
          </cell>
          <cell r="V249">
            <v>0</v>
          </cell>
          <cell r="W249" t="str">
            <v>NA</v>
          </cell>
          <cell r="X249">
            <v>19</v>
          </cell>
          <cell r="Y249">
            <v>12</v>
          </cell>
          <cell r="Z249">
            <v>0.63157894699999995</v>
          </cell>
        </row>
        <row r="250">
          <cell r="B250" t="str">
            <v>F143_1B</v>
          </cell>
          <cell r="C250" t="str">
            <v>R2_F143_1B</v>
          </cell>
          <cell r="D250">
            <v>0</v>
          </cell>
          <cell r="E250">
            <v>2</v>
          </cell>
          <cell r="F250">
            <v>473</v>
          </cell>
          <cell r="G250">
            <v>1</v>
          </cell>
          <cell r="H250">
            <v>58</v>
          </cell>
          <cell r="I250">
            <v>6</v>
          </cell>
          <cell r="J250">
            <v>6</v>
          </cell>
          <cell r="K250">
            <v>0</v>
          </cell>
          <cell r="L250">
            <v>8.9037830000000007</v>
          </cell>
          <cell r="M250">
            <v>-83.222746999999998</v>
          </cell>
          <cell r="N250" t="str">
            <v>Sur</v>
          </cell>
          <cell r="O250">
            <v>1</v>
          </cell>
          <cell r="P250" t="str">
            <v>victoria</v>
          </cell>
          <cell r="Q250" t="str">
            <v>cabecar</v>
          </cell>
          <cell r="R250" t="b">
            <v>0</v>
          </cell>
          <cell r="S250" t="str">
            <v>143_1</v>
          </cell>
          <cell r="T250">
            <v>1</v>
          </cell>
          <cell r="U250">
            <v>6</v>
          </cell>
          <cell r="V250">
            <v>4</v>
          </cell>
          <cell r="W250">
            <v>0.66666666699999999</v>
          </cell>
          <cell r="X250">
            <v>24</v>
          </cell>
          <cell r="Y250">
            <v>14</v>
          </cell>
          <cell r="Z250">
            <v>0.58333333300000001</v>
          </cell>
        </row>
        <row r="251">
          <cell r="B251" t="str">
            <v>F143_2B</v>
          </cell>
          <cell r="C251" t="str">
            <v>R2_F143_2B</v>
          </cell>
          <cell r="D251">
            <v>1</v>
          </cell>
          <cell r="E251">
            <v>0.5</v>
          </cell>
          <cell r="F251">
            <v>473</v>
          </cell>
          <cell r="G251">
            <v>1</v>
          </cell>
          <cell r="H251">
            <v>58</v>
          </cell>
          <cell r="I251">
            <v>6</v>
          </cell>
          <cell r="J251">
            <v>6</v>
          </cell>
          <cell r="K251">
            <v>0</v>
          </cell>
          <cell r="L251">
            <v>8.9037830000000007</v>
          </cell>
          <cell r="M251">
            <v>-83.222746999999998</v>
          </cell>
          <cell r="N251" t="str">
            <v>Sur</v>
          </cell>
          <cell r="O251">
            <v>1</v>
          </cell>
          <cell r="P251" t="str">
            <v>mantequilla</v>
          </cell>
          <cell r="Q251" t="str">
            <v>mantequilla</v>
          </cell>
          <cell r="R251" t="b">
            <v>1</v>
          </cell>
          <cell r="S251" t="str">
            <v>143_2</v>
          </cell>
          <cell r="T251">
            <v>1</v>
          </cell>
          <cell r="U251">
            <v>6</v>
          </cell>
          <cell r="V251">
            <v>4</v>
          </cell>
          <cell r="W251">
            <v>0.66666666699999999</v>
          </cell>
          <cell r="X251">
            <v>24</v>
          </cell>
          <cell r="Y251">
            <v>14</v>
          </cell>
          <cell r="Z251">
            <v>0.58333333300000001</v>
          </cell>
        </row>
        <row r="252">
          <cell r="B252" t="str">
            <v>F143_3B</v>
          </cell>
          <cell r="C252" t="str">
            <v>R2_F143_3B</v>
          </cell>
          <cell r="D252">
            <v>1</v>
          </cell>
          <cell r="E252">
            <v>0.5</v>
          </cell>
          <cell r="F252">
            <v>473</v>
          </cell>
          <cell r="G252">
            <v>1</v>
          </cell>
          <cell r="H252">
            <v>58</v>
          </cell>
          <cell r="I252">
            <v>6</v>
          </cell>
          <cell r="J252">
            <v>6</v>
          </cell>
          <cell r="K252">
            <v>1</v>
          </cell>
          <cell r="L252">
            <v>8.9037830000000007</v>
          </cell>
          <cell r="M252">
            <v>-83.222746999999998</v>
          </cell>
          <cell r="N252" t="str">
            <v>Sur</v>
          </cell>
          <cell r="O252">
            <v>1</v>
          </cell>
          <cell r="P252" t="str">
            <v>nambi</v>
          </cell>
          <cell r="Q252" t="str">
            <v>nambi</v>
          </cell>
          <cell r="R252" t="b">
            <v>1</v>
          </cell>
          <cell r="S252" t="str">
            <v>143_3</v>
          </cell>
          <cell r="T252">
            <v>1</v>
          </cell>
          <cell r="U252">
            <v>6</v>
          </cell>
          <cell r="V252">
            <v>4</v>
          </cell>
          <cell r="W252">
            <v>0.66666666699999999</v>
          </cell>
          <cell r="X252">
            <v>24</v>
          </cell>
          <cell r="Y252">
            <v>14</v>
          </cell>
          <cell r="Z252">
            <v>0.58333333300000001</v>
          </cell>
        </row>
        <row r="253">
          <cell r="B253" t="str">
            <v>F144_1B</v>
          </cell>
          <cell r="C253" t="str">
            <v>R2_F144_1B</v>
          </cell>
          <cell r="D253">
            <v>0</v>
          </cell>
          <cell r="E253">
            <v>2</v>
          </cell>
          <cell r="F253">
            <v>321</v>
          </cell>
          <cell r="G253">
            <v>1</v>
          </cell>
          <cell r="H253">
            <v>46</v>
          </cell>
          <cell r="I253">
            <v>6</v>
          </cell>
          <cell r="J253">
            <v>6</v>
          </cell>
          <cell r="K253">
            <v>1</v>
          </cell>
          <cell r="L253">
            <v>8.9057230000000001</v>
          </cell>
          <cell r="M253">
            <v>-83.213892999999999</v>
          </cell>
          <cell r="N253" t="str">
            <v>Sur</v>
          </cell>
          <cell r="O253">
            <v>1</v>
          </cell>
          <cell r="P253" t="str">
            <v>changuena</v>
          </cell>
          <cell r="Q253" t="str">
            <v>cabecar</v>
          </cell>
          <cell r="R253" t="b">
            <v>0</v>
          </cell>
          <cell r="S253" t="str">
            <v>144_1</v>
          </cell>
          <cell r="T253">
            <v>0</v>
          </cell>
          <cell r="U253">
            <v>6</v>
          </cell>
          <cell r="V253">
            <v>5</v>
          </cell>
          <cell r="W253">
            <v>0.83333333300000001</v>
          </cell>
          <cell r="X253">
            <v>29</v>
          </cell>
          <cell r="Y253">
            <v>21</v>
          </cell>
          <cell r="Z253">
            <v>0.72413793100000001</v>
          </cell>
        </row>
        <row r="254">
          <cell r="B254" t="str">
            <v>F144_2B</v>
          </cell>
          <cell r="C254" t="str">
            <v>R2_F144_2B</v>
          </cell>
          <cell r="D254">
            <v>0</v>
          </cell>
          <cell r="E254">
            <v>0.25</v>
          </cell>
          <cell r="F254">
            <v>321</v>
          </cell>
          <cell r="G254">
            <v>1</v>
          </cell>
          <cell r="H254">
            <v>46</v>
          </cell>
          <cell r="I254">
            <v>6</v>
          </cell>
          <cell r="J254">
            <v>6</v>
          </cell>
          <cell r="K254">
            <v>0</v>
          </cell>
          <cell r="L254">
            <v>8.9057230000000001</v>
          </cell>
          <cell r="M254">
            <v>-83.213892999999999</v>
          </cell>
          <cell r="N254" t="str">
            <v>Sur</v>
          </cell>
          <cell r="O254">
            <v>1</v>
          </cell>
          <cell r="P254" t="str">
            <v>mantequilla</v>
          </cell>
          <cell r="Q254" t="str">
            <v>other</v>
          </cell>
          <cell r="R254" t="str">
            <v>Not applicable</v>
          </cell>
          <cell r="S254" t="str">
            <v>144_2</v>
          </cell>
          <cell r="T254">
            <v>0</v>
          </cell>
          <cell r="U254">
            <v>6</v>
          </cell>
          <cell r="V254">
            <v>5</v>
          </cell>
          <cell r="W254">
            <v>0.83333333300000001</v>
          </cell>
          <cell r="X254">
            <v>29</v>
          </cell>
          <cell r="Y254">
            <v>21</v>
          </cell>
          <cell r="Z254">
            <v>0.72413793100000001</v>
          </cell>
        </row>
        <row r="255">
          <cell r="B255" t="str">
            <v>F145_1B</v>
          </cell>
          <cell r="C255" t="str">
            <v>R2_F145_1B</v>
          </cell>
          <cell r="D255">
            <v>0</v>
          </cell>
          <cell r="E255">
            <v>3</v>
          </cell>
          <cell r="F255">
            <v>435</v>
          </cell>
          <cell r="G255">
            <v>1</v>
          </cell>
          <cell r="H255">
            <v>34</v>
          </cell>
          <cell r="I255">
            <v>6</v>
          </cell>
          <cell r="J255">
            <v>4</v>
          </cell>
          <cell r="K255">
            <v>1</v>
          </cell>
          <cell r="L255">
            <v>8.909815</v>
          </cell>
          <cell r="M255">
            <v>-83.226721999999995</v>
          </cell>
          <cell r="N255" t="str">
            <v>Sur</v>
          </cell>
          <cell r="O255">
            <v>1</v>
          </cell>
          <cell r="P255" t="str">
            <v>nambi</v>
          </cell>
          <cell r="Q255" t="str">
            <v>cabecar</v>
          </cell>
          <cell r="R255" t="b">
            <v>0</v>
          </cell>
          <cell r="S255" t="str">
            <v>145_1</v>
          </cell>
          <cell r="T255">
            <v>0</v>
          </cell>
          <cell r="U255">
            <v>3</v>
          </cell>
          <cell r="V255">
            <v>3</v>
          </cell>
          <cell r="W255">
            <v>1</v>
          </cell>
          <cell r="X255">
            <v>20</v>
          </cell>
          <cell r="Y255">
            <v>14</v>
          </cell>
          <cell r="Z255">
            <v>0.7</v>
          </cell>
        </row>
        <row r="256">
          <cell r="B256" t="str">
            <v>F146_1B</v>
          </cell>
          <cell r="C256" t="str">
            <v>R2_F146_1B</v>
          </cell>
          <cell r="D256">
            <v>0</v>
          </cell>
          <cell r="E256">
            <v>0.5</v>
          </cell>
          <cell r="F256">
            <v>649</v>
          </cell>
          <cell r="G256">
            <v>1</v>
          </cell>
          <cell r="H256">
            <v>32</v>
          </cell>
          <cell r="I256">
            <v>8</v>
          </cell>
          <cell r="J256">
            <v>4</v>
          </cell>
          <cell r="K256">
            <v>0</v>
          </cell>
          <cell r="L256">
            <v>8.9152070000000005</v>
          </cell>
          <cell r="M256">
            <v>-83.209940000000003</v>
          </cell>
          <cell r="N256" t="str">
            <v>Sur</v>
          </cell>
          <cell r="O256">
            <v>1</v>
          </cell>
          <cell r="P256" t="str">
            <v>victoria</v>
          </cell>
          <cell r="Q256" t="str">
            <v>other</v>
          </cell>
          <cell r="R256" t="str">
            <v>Not applicable</v>
          </cell>
          <cell r="S256" t="str">
            <v>146_1</v>
          </cell>
          <cell r="T256">
            <v>0</v>
          </cell>
          <cell r="U256">
            <v>2</v>
          </cell>
          <cell r="V256">
            <v>0</v>
          </cell>
          <cell r="W256">
            <v>0</v>
          </cell>
          <cell r="X256">
            <v>42</v>
          </cell>
          <cell r="Y256">
            <v>29</v>
          </cell>
          <cell r="Z256">
            <v>0.69047619000000005</v>
          </cell>
        </row>
        <row r="257">
          <cell r="B257" t="str">
            <v>F146_2B</v>
          </cell>
          <cell r="C257" t="str">
            <v>R2_F146_2B</v>
          </cell>
          <cell r="D257">
            <v>1</v>
          </cell>
          <cell r="E257">
            <v>1.5</v>
          </cell>
          <cell r="F257">
            <v>649</v>
          </cell>
          <cell r="G257">
            <v>1</v>
          </cell>
          <cell r="H257">
            <v>32</v>
          </cell>
          <cell r="I257">
            <v>8</v>
          </cell>
          <cell r="J257">
            <v>4</v>
          </cell>
          <cell r="K257">
            <v>1</v>
          </cell>
          <cell r="L257">
            <v>8.9152070000000005</v>
          </cell>
          <cell r="M257">
            <v>-83.209940000000003</v>
          </cell>
          <cell r="N257" t="str">
            <v>Sur</v>
          </cell>
          <cell r="O257">
            <v>1</v>
          </cell>
          <cell r="P257" t="str">
            <v>changuena</v>
          </cell>
          <cell r="Q257" t="str">
            <v>changuena</v>
          </cell>
          <cell r="R257" t="b">
            <v>1</v>
          </cell>
          <cell r="S257" t="str">
            <v>146_2</v>
          </cell>
          <cell r="T257">
            <v>1</v>
          </cell>
          <cell r="U257">
            <v>2</v>
          </cell>
          <cell r="V257">
            <v>0</v>
          </cell>
          <cell r="W257">
            <v>0</v>
          </cell>
          <cell r="X257">
            <v>42</v>
          </cell>
          <cell r="Y257">
            <v>29</v>
          </cell>
          <cell r="Z257">
            <v>0.69047619000000005</v>
          </cell>
        </row>
        <row r="258">
          <cell r="B258" t="str">
            <v>F147_1B</v>
          </cell>
          <cell r="C258" t="str">
            <v>R2_F147_1B</v>
          </cell>
          <cell r="D258">
            <v>1</v>
          </cell>
          <cell r="E258">
            <v>6</v>
          </cell>
          <cell r="F258">
            <v>343</v>
          </cell>
          <cell r="G258">
            <v>1</v>
          </cell>
          <cell r="H258">
            <v>64</v>
          </cell>
          <cell r="I258">
            <v>6</v>
          </cell>
          <cell r="J258">
            <v>5</v>
          </cell>
          <cell r="K258">
            <v>1</v>
          </cell>
          <cell r="L258">
            <v>8.9032499999999999</v>
          </cell>
          <cell r="M258">
            <v>-83.218204</v>
          </cell>
          <cell r="N258" t="str">
            <v>Sur</v>
          </cell>
          <cell r="O258">
            <v>1</v>
          </cell>
          <cell r="P258" t="str">
            <v>cabecar</v>
          </cell>
          <cell r="Q258" t="str">
            <v>cabecar</v>
          </cell>
          <cell r="R258" t="b">
            <v>1</v>
          </cell>
          <cell r="S258" t="str">
            <v>147_1</v>
          </cell>
          <cell r="T258">
            <v>1</v>
          </cell>
          <cell r="U258">
            <v>10</v>
          </cell>
          <cell r="V258">
            <v>7</v>
          </cell>
          <cell r="W258">
            <v>0.7</v>
          </cell>
          <cell r="X258">
            <v>26</v>
          </cell>
          <cell r="Y258">
            <v>16</v>
          </cell>
          <cell r="Z258">
            <v>0.61538461499999997</v>
          </cell>
        </row>
        <row r="259">
          <cell r="B259" t="str">
            <v>F148_1B</v>
          </cell>
          <cell r="C259" t="str">
            <v>R2_F148_1B</v>
          </cell>
          <cell r="D259">
            <v>1</v>
          </cell>
          <cell r="E259">
            <v>3</v>
          </cell>
          <cell r="F259">
            <v>343</v>
          </cell>
          <cell r="G259">
            <v>1</v>
          </cell>
          <cell r="H259">
            <v>43</v>
          </cell>
          <cell r="I259">
            <v>6</v>
          </cell>
          <cell r="J259">
            <v>4</v>
          </cell>
          <cell r="K259">
            <v>1</v>
          </cell>
          <cell r="L259">
            <v>8.9020639999999993</v>
          </cell>
          <cell r="M259">
            <v>-83.216614000000007</v>
          </cell>
          <cell r="N259" t="str">
            <v>Sur</v>
          </cell>
          <cell r="O259">
            <v>1</v>
          </cell>
          <cell r="P259" t="str">
            <v>cabecar</v>
          </cell>
          <cell r="Q259" t="str">
            <v>cabecar</v>
          </cell>
          <cell r="R259" t="b">
            <v>1</v>
          </cell>
          <cell r="S259" t="str">
            <v>148_1</v>
          </cell>
          <cell r="T259">
            <v>1</v>
          </cell>
          <cell r="U259">
            <v>7</v>
          </cell>
          <cell r="V259">
            <v>4</v>
          </cell>
          <cell r="W259">
            <v>0.571428571</v>
          </cell>
          <cell r="X259">
            <v>28</v>
          </cell>
          <cell r="Y259">
            <v>18</v>
          </cell>
          <cell r="Z259">
            <v>0.64285714299999996</v>
          </cell>
        </row>
        <row r="260">
          <cell r="B260" t="str">
            <v>F149_1B</v>
          </cell>
          <cell r="C260" t="str">
            <v>R2_F149_1B</v>
          </cell>
          <cell r="D260">
            <v>1</v>
          </cell>
          <cell r="E260">
            <v>0.35</v>
          </cell>
          <cell r="F260">
            <v>334</v>
          </cell>
          <cell r="G260">
            <v>1</v>
          </cell>
          <cell r="H260">
            <v>71</v>
          </cell>
          <cell r="I260">
            <v>2</v>
          </cell>
          <cell r="J260">
            <v>3</v>
          </cell>
          <cell r="K260">
            <v>1</v>
          </cell>
          <cell r="L260">
            <v>8.9024780000000003</v>
          </cell>
          <cell r="M260">
            <v>-83.218168000000006</v>
          </cell>
          <cell r="N260" t="str">
            <v>Sur</v>
          </cell>
          <cell r="O260">
            <v>1</v>
          </cell>
          <cell r="P260" t="str">
            <v>uran</v>
          </cell>
          <cell r="Q260" t="str">
            <v>uran</v>
          </cell>
          <cell r="R260" t="b">
            <v>1</v>
          </cell>
          <cell r="S260" t="str">
            <v>149_1</v>
          </cell>
          <cell r="T260">
            <v>0</v>
          </cell>
          <cell r="U260">
            <v>8</v>
          </cell>
          <cell r="V260">
            <v>6</v>
          </cell>
          <cell r="W260">
            <v>0.75</v>
          </cell>
          <cell r="X260">
            <v>24</v>
          </cell>
          <cell r="Y260">
            <v>15</v>
          </cell>
          <cell r="Z260">
            <v>0.625</v>
          </cell>
        </row>
        <row r="261">
          <cell r="B261" t="str">
            <v>F149_2B</v>
          </cell>
          <cell r="C261" t="str">
            <v>R2_F149_2B</v>
          </cell>
          <cell r="D261">
            <v>0</v>
          </cell>
          <cell r="E261">
            <v>1.75</v>
          </cell>
          <cell r="F261">
            <v>334</v>
          </cell>
          <cell r="G261">
            <v>1</v>
          </cell>
          <cell r="H261">
            <v>71</v>
          </cell>
          <cell r="I261">
            <v>2</v>
          </cell>
          <cell r="J261">
            <v>3</v>
          </cell>
          <cell r="K261">
            <v>0</v>
          </cell>
          <cell r="L261">
            <v>8.9024780000000003</v>
          </cell>
          <cell r="M261">
            <v>-83.218168000000006</v>
          </cell>
          <cell r="N261" t="str">
            <v>Sur</v>
          </cell>
          <cell r="O261">
            <v>1</v>
          </cell>
          <cell r="P261" t="str">
            <v>victoria</v>
          </cell>
          <cell r="Q261" t="str">
            <v>cabecar</v>
          </cell>
          <cell r="R261" t="b">
            <v>0</v>
          </cell>
          <cell r="S261" t="str">
            <v>149_2</v>
          </cell>
          <cell r="T261">
            <v>1</v>
          </cell>
          <cell r="U261">
            <v>8</v>
          </cell>
          <cell r="V261">
            <v>6</v>
          </cell>
          <cell r="W261">
            <v>0.75</v>
          </cell>
          <cell r="X261">
            <v>24</v>
          </cell>
          <cell r="Y261">
            <v>15</v>
          </cell>
          <cell r="Z261">
            <v>0.625</v>
          </cell>
        </row>
        <row r="262">
          <cell r="B262" t="str">
            <v>F149_3B</v>
          </cell>
          <cell r="C262" t="str">
            <v>R2_F149_3B</v>
          </cell>
          <cell r="D262">
            <v>1</v>
          </cell>
          <cell r="E262">
            <v>0.35</v>
          </cell>
          <cell r="F262">
            <v>334</v>
          </cell>
          <cell r="G262">
            <v>1</v>
          </cell>
          <cell r="H262">
            <v>71</v>
          </cell>
          <cell r="I262">
            <v>2</v>
          </cell>
          <cell r="J262">
            <v>3</v>
          </cell>
          <cell r="K262">
            <v>0</v>
          </cell>
          <cell r="L262">
            <v>8.9024780000000003</v>
          </cell>
          <cell r="M262">
            <v>-83.218168000000006</v>
          </cell>
          <cell r="N262" t="str">
            <v>Sur</v>
          </cell>
          <cell r="O262">
            <v>1</v>
          </cell>
          <cell r="P262" t="str">
            <v>mantequilla</v>
          </cell>
          <cell r="Q262" t="str">
            <v>mantequilla</v>
          </cell>
          <cell r="R262" t="b">
            <v>1</v>
          </cell>
          <cell r="S262" t="str">
            <v>149_3</v>
          </cell>
          <cell r="T262">
            <v>1</v>
          </cell>
          <cell r="U262">
            <v>8</v>
          </cell>
          <cell r="V262">
            <v>6</v>
          </cell>
          <cell r="W262">
            <v>0.75</v>
          </cell>
          <cell r="X262">
            <v>24</v>
          </cell>
          <cell r="Y262">
            <v>15</v>
          </cell>
          <cell r="Z262">
            <v>0.625</v>
          </cell>
        </row>
        <row r="263">
          <cell r="B263" t="str">
            <v>F150_1B</v>
          </cell>
          <cell r="C263" t="str">
            <v>R2_F150_1B</v>
          </cell>
          <cell r="D263">
            <v>0</v>
          </cell>
          <cell r="E263">
            <v>0.5</v>
          </cell>
          <cell r="F263">
            <v>649</v>
          </cell>
          <cell r="G263">
            <v>1</v>
          </cell>
          <cell r="H263">
            <v>69</v>
          </cell>
          <cell r="I263">
            <v>6</v>
          </cell>
          <cell r="J263">
            <v>3</v>
          </cell>
          <cell r="K263">
            <v>0</v>
          </cell>
          <cell r="L263">
            <v>8.9152070000000005</v>
          </cell>
          <cell r="M263">
            <v>-83.209940000000003</v>
          </cell>
          <cell r="N263" t="str">
            <v>Sur</v>
          </cell>
          <cell r="O263">
            <v>1</v>
          </cell>
          <cell r="P263" t="str">
            <v>mantequilla</v>
          </cell>
          <cell r="Q263" t="str">
            <v>vaina_blanca</v>
          </cell>
          <cell r="R263" t="b">
            <v>0</v>
          </cell>
          <cell r="S263" t="str">
            <v>150_1</v>
          </cell>
          <cell r="T263">
            <v>0</v>
          </cell>
          <cell r="U263">
            <v>2</v>
          </cell>
          <cell r="V263">
            <v>1</v>
          </cell>
          <cell r="W263">
            <v>0.5</v>
          </cell>
          <cell r="X263">
            <v>42</v>
          </cell>
          <cell r="Y263">
            <v>30</v>
          </cell>
          <cell r="Z263">
            <v>0.71428571399999996</v>
          </cell>
        </row>
        <row r="264">
          <cell r="B264" t="str">
            <v>F150_2B</v>
          </cell>
          <cell r="C264" t="str">
            <v>R2_F150_2B</v>
          </cell>
          <cell r="D264">
            <v>1</v>
          </cell>
          <cell r="E264">
            <v>0.5</v>
          </cell>
          <cell r="F264">
            <v>649</v>
          </cell>
          <cell r="G264">
            <v>1</v>
          </cell>
          <cell r="H264">
            <v>69</v>
          </cell>
          <cell r="I264">
            <v>6</v>
          </cell>
          <cell r="J264">
            <v>3</v>
          </cell>
          <cell r="K264">
            <v>1</v>
          </cell>
          <cell r="L264">
            <v>8.9152070000000005</v>
          </cell>
          <cell r="M264">
            <v>-83.209940000000003</v>
          </cell>
          <cell r="N264" t="str">
            <v>Sur</v>
          </cell>
          <cell r="O264">
            <v>1</v>
          </cell>
          <cell r="P264" t="str">
            <v>uran</v>
          </cell>
          <cell r="Q264" t="str">
            <v>uran</v>
          </cell>
          <cell r="R264" t="b">
            <v>1</v>
          </cell>
          <cell r="S264" t="str">
            <v>150_2</v>
          </cell>
          <cell r="T264">
            <v>0</v>
          </cell>
          <cell r="U264">
            <v>2</v>
          </cell>
          <cell r="V264">
            <v>1</v>
          </cell>
          <cell r="W264">
            <v>0.5</v>
          </cell>
          <cell r="X264">
            <v>42</v>
          </cell>
          <cell r="Y264">
            <v>30</v>
          </cell>
          <cell r="Z264">
            <v>0.71428571399999996</v>
          </cell>
        </row>
        <row r="265">
          <cell r="B265" t="str">
            <v>F151_1B</v>
          </cell>
          <cell r="C265" t="str">
            <v>R2_F151_1B</v>
          </cell>
          <cell r="D265">
            <v>0</v>
          </cell>
          <cell r="E265">
            <v>1.5</v>
          </cell>
          <cell r="F265">
            <v>552</v>
          </cell>
          <cell r="G265">
            <v>1</v>
          </cell>
          <cell r="H265">
            <v>47</v>
          </cell>
          <cell r="I265">
            <v>6</v>
          </cell>
          <cell r="J265">
            <v>3</v>
          </cell>
          <cell r="K265">
            <v>0</v>
          </cell>
          <cell r="L265">
            <v>8.8915830000000007</v>
          </cell>
          <cell r="M265">
            <v>-83.198627000000002</v>
          </cell>
          <cell r="N265" t="str">
            <v>Sur</v>
          </cell>
          <cell r="O265">
            <v>1</v>
          </cell>
          <cell r="P265" t="str">
            <v>SEF 62</v>
          </cell>
          <cell r="Q265" t="str">
            <v>SEF_62</v>
          </cell>
          <cell r="R265" t="b">
            <v>0</v>
          </cell>
          <cell r="S265" t="str">
            <v>151_1</v>
          </cell>
          <cell r="T265">
            <v>0</v>
          </cell>
          <cell r="U265">
            <v>3</v>
          </cell>
          <cell r="V265">
            <v>2</v>
          </cell>
          <cell r="W265">
            <v>0.66666666699999999</v>
          </cell>
          <cell r="X265">
            <v>24</v>
          </cell>
          <cell r="Y265">
            <v>16</v>
          </cell>
          <cell r="Z265">
            <v>0.66666666699999999</v>
          </cell>
        </row>
        <row r="266">
          <cell r="B266" t="str">
            <v>F151_2B</v>
          </cell>
          <cell r="C266" t="str">
            <v>R2_F151_2B</v>
          </cell>
          <cell r="D266">
            <v>1</v>
          </cell>
          <cell r="E266">
            <v>1</v>
          </cell>
          <cell r="F266">
            <v>552</v>
          </cell>
          <cell r="G266">
            <v>1</v>
          </cell>
          <cell r="H266">
            <v>47</v>
          </cell>
          <cell r="I266">
            <v>6</v>
          </cell>
          <cell r="J266">
            <v>3</v>
          </cell>
          <cell r="K266">
            <v>1</v>
          </cell>
          <cell r="L266">
            <v>8.8915830000000007</v>
          </cell>
          <cell r="M266">
            <v>-83.198627000000002</v>
          </cell>
          <cell r="N266" t="str">
            <v>Sur</v>
          </cell>
          <cell r="O266">
            <v>1</v>
          </cell>
          <cell r="P266" t="str">
            <v>nambi</v>
          </cell>
          <cell r="Q266" t="str">
            <v>nambi</v>
          </cell>
          <cell r="R266" t="b">
            <v>1</v>
          </cell>
          <cell r="S266" t="str">
            <v>151_2</v>
          </cell>
          <cell r="T266">
            <v>1</v>
          </cell>
          <cell r="U266">
            <v>3</v>
          </cell>
          <cell r="V266">
            <v>2</v>
          </cell>
          <cell r="W266">
            <v>0.66666666699999999</v>
          </cell>
          <cell r="X266">
            <v>24</v>
          </cell>
          <cell r="Y266">
            <v>16</v>
          </cell>
          <cell r="Z266">
            <v>0.66666666699999999</v>
          </cell>
        </row>
        <row r="267">
          <cell r="B267" t="str">
            <v>F151_3B</v>
          </cell>
          <cell r="C267" t="str">
            <v>R2_F151_3B</v>
          </cell>
          <cell r="D267">
            <v>0</v>
          </cell>
          <cell r="E267">
            <v>0.5</v>
          </cell>
          <cell r="F267">
            <v>552</v>
          </cell>
          <cell r="G267">
            <v>1</v>
          </cell>
          <cell r="H267">
            <v>47</v>
          </cell>
          <cell r="I267">
            <v>6</v>
          </cell>
          <cell r="J267">
            <v>3</v>
          </cell>
          <cell r="K267">
            <v>0</v>
          </cell>
          <cell r="L267">
            <v>8.8915830000000007</v>
          </cell>
          <cell r="M267">
            <v>-83.198627000000002</v>
          </cell>
          <cell r="N267" t="str">
            <v>Sur</v>
          </cell>
          <cell r="O267">
            <v>1</v>
          </cell>
          <cell r="P267" t="str">
            <v>SEF 62</v>
          </cell>
          <cell r="Q267" t="str">
            <v>other</v>
          </cell>
          <cell r="R267" t="str">
            <v>Not applicable</v>
          </cell>
          <cell r="S267" t="str">
            <v>151_3</v>
          </cell>
          <cell r="T267">
            <v>0</v>
          </cell>
          <cell r="U267">
            <v>3</v>
          </cell>
          <cell r="V267">
            <v>2</v>
          </cell>
          <cell r="W267">
            <v>0.66666666699999999</v>
          </cell>
          <cell r="X267">
            <v>24</v>
          </cell>
          <cell r="Y267">
            <v>16</v>
          </cell>
          <cell r="Z267">
            <v>0.66666666699999999</v>
          </cell>
        </row>
        <row r="268">
          <cell r="B268" t="str">
            <v>F152_1B</v>
          </cell>
          <cell r="C268" t="str">
            <v>R2_F152_1B</v>
          </cell>
          <cell r="D268">
            <v>1</v>
          </cell>
          <cell r="E268">
            <v>2</v>
          </cell>
          <cell r="F268">
            <v>686</v>
          </cell>
          <cell r="G268">
            <v>1</v>
          </cell>
          <cell r="H268">
            <v>60</v>
          </cell>
          <cell r="I268">
            <v>6</v>
          </cell>
          <cell r="J268">
            <v>4</v>
          </cell>
          <cell r="K268">
            <v>1</v>
          </cell>
          <cell r="L268">
            <v>8.9218270000000004</v>
          </cell>
          <cell r="M268">
            <v>-83.196883999999997</v>
          </cell>
          <cell r="N268" t="str">
            <v>Sur</v>
          </cell>
          <cell r="O268">
            <v>1</v>
          </cell>
          <cell r="P268" t="str">
            <v>cabecar</v>
          </cell>
          <cell r="Q268" t="str">
            <v>cabecar</v>
          </cell>
          <cell r="R268" t="b">
            <v>1</v>
          </cell>
          <cell r="S268" t="str">
            <v>152_1</v>
          </cell>
          <cell r="T268">
            <v>1</v>
          </cell>
          <cell r="U268">
            <v>8</v>
          </cell>
          <cell r="V268">
            <v>6</v>
          </cell>
          <cell r="W268">
            <v>0.75</v>
          </cell>
          <cell r="X268">
            <v>41</v>
          </cell>
          <cell r="Y268">
            <v>30</v>
          </cell>
          <cell r="Z268">
            <v>0.73170731700000002</v>
          </cell>
        </row>
        <row r="269">
          <cell r="B269" t="str">
            <v>F152_2B</v>
          </cell>
          <cell r="C269" t="str">
            <v>R2_F152_2B</v>
          </cell>
          <cell r="D269">
            <v>1</v>
          </cell>
          <cell r="E269">
            <v>0.17499999999999999</v>
          </cell>
          <cell r="F269">
            <v>686</v>
          </cell>
          <cell r="G269">
            <v>1</v>
          </cell>
          <cell r="H269">
            <v>60</v>
          </cell>
          <cell r="I269">
            <v>6</v>
          </cell>
          <cell r="J269">
            <v>4</v>
          </cell>
          <cell r="K269">
            <v>1</v>
          </cell>
          <cell r="L269">
            <v>8.9218270000000004</v>
          </cell>
          <cell r="M269">
            <v>-83.196883999999997</v>
          </cell>
          <cell r="N269" t="str">
            <v>Sur</v>
          </cell>
          <cell r="O269">
            <v>1</v>
          </cell>
          <cell r="P269" t="str">
            <v>nambi</v>
          </cell>
          <cell r="Q269" t="str">
            <v>nambi</v>
          </cell>
          <cell r="R269" t="b">
            <v>1</v>
          </cell>
          <cell r="S269" t="str">
            <v>152_2</v>
          </cell>
          <cell r="T269">
            <v>1</v>
          </cell>
          <cell r="U269">
            <v>8</v>
          </cell>
          <cell r="V269">
            <v>6</v>
          </cell>
          <cell r="W269">
            <v>0.75</v>
          </cell>
          <cell r="X269">
            <v>41</v>
          </cell>
          <cell r="Y269">
            <v>30</v>
          </cell>
          <cell r="Z269">
            <v>0.73170731700000002</v>
          </cell>
        </row>
        <row r="270">
          <cell r="B270" t="str">
            <v>F153_1B</v>
          </cell>
          <cell r="C270" t="str">
            <v>R2_F153_1B</v>
          </cell>
          <cell r="D270">
            <v>1</v>
          </cell>
          <cell r="E270">
            <v>3</v>
          </cell>
          <cell r="F270">
            <v>334</v>
          </cell>
          <cell r="G270">
            <v>1</v>
          </cell>
          <cell r="H270">
            <v>67</v>
          </cell>
          <cell r="I270">
            <v>6</v>
          </cell>
          <cell r="J270">
            <v>4</v>
          </cell>
          <cell r="K270">
            <v>1</v>
          </cell>
          <cell r="L270">
            <v>8.9024769999999993</v>
          </cell>
          <cell r="M270">
            <v>-83.218169000000003</v>
          </cell>
          <cell r="N270" t="str">
            <v>Sur</v>
          </cell>
          <cell r="O270">
            <v>1</v>
          </cell>
          <cell r="P270" t="str">
            <v>nambi</v>
          </cell>
          <cell r="Q270" t="str">
            <v>nambi</v>
          </cell>
          <cell r="R270" t="b">
            <v>1</v>
          </cell>
          <cell r="S270" t="str">
            <v>153_1</v>
          </cell>
          <cell r="T270">
            <v>1</v>
          </cell>
          <cell r="U270">
            <v>10</v>
          </cell>
          <cell r="V270">
            <v>7</v>
          </cell>
          <cell r="W270">
            <v>0.7</v>
          </cell>
          <cell r="X270">
            <v>26</v>
          </cell>
          <cell r="Y270">
            <v>16</v>
          </cell>
          <cell r="Z270">
            <v>0.61538461499999997</v>
          </cell>
        </row>
        <row r="271">
          <cell r="B271" t="str">
            <v>F154_1B</v>
          </cell>
          <cell r="C271" t="str">
            <v>R2_F154_1B</v>
          </cell>
          <cell r="D271">
            <v>0</v>
          </cell>
          <cell r="E271">
            <v>0.35</v>
          </cell>
          <cell r="F271">
            <v>409</v>
          </cell>
          <cell r="G271">
            <v>1</v>
          </cell>
          <cell r="H271">
            <v>42</v>
          </cell>
          <cell r="I271">
            <v>6</v>
          </cell>
          <cell r="J271">
            <v>7</v>
          </cell>
          <cell r="K271">
            <v>0</v>
          </cell>
          <cell r="L271">
            <v>8.9541520000000006</v>
          </cell>
          <cell r="M271">
            <v>-83.238517999999999</v>
          </cell>
          <cell r="N271" t="str">
            <v>Sur</v>
          </cell>
          <cell r="O271">
            <v>1</v>
          </cell>
          <cell r="P271" t="str">
            <v>victoria</v>
          </cell>
          <cell r="Q271" t="str">
            <v>cabecar</v>
          </cell>
          <cell r="R271" t="b">
            <v>0</v>
          </cell>
          <cell r="S271" t="str">
            <v>154_1</v>
          </cell>
          <cell r="T271">
            <v>1</v>
          </cell>
          <cell r="U271">
            <v>0</v>
          </cell>
          <cell r="V271">
            <v>0</v>
          </cell>
          <cell r="W271" t="str">
            <v>NA</v>
          </cell>
          <cell r="X271">
            <v>6</v>
          </cell>
          <cell r="Y271">
            <v>5</v>
          </cell>
          <cell r="Z271">
            <v>0.83333333300000001</v>
          </cell>
        </row>
        <row r="272">
          <cell r="B272" t="str">
            <v>F154_2B</v>
          </cell>
          <cell r="C272" t="str">
            <v>R2_F154_2B</v>
          </cell>
          <cell r="D272">
            <v>1</v>
          </cell>
          <cell r="E272">
            <v>1.5</v>
          </cell>
          <cell r="F272">
            <v>409</v>
          </cell>
          <cell r="G272">
            <v>1</v>
          </cell>
          <cell r="H272">
            <v>42</v>
          </cell>
          <cell r="I272">
            <v>6</v>
          </cell>
          <cell r="J272">
            <v>7</v>
          </cell>
          <cell r="K272">
            <v>1</v>
          </cell>
          <cell r="L272">
            <v>8.9541520000000006</v>
          </cell>
          <cell r="M272">
            <v>-83.238517999999999</v>
          </cell>
          <cell r="N272" t="str">
            <v>Sur</v>
          </cell>
          <cell r="O272">
            <v>1</v>
          </cell>
          <cell r="P272" t="str">
            <v>nambi</v>
          </cell>
          <cell r="Q272" t="str">
            <v>nambi</v>
          </cell>
          <cell r="R272" t="b">
            <v>1</v>
          </cell>
          <cell r="S272" t="str">
            <v>154_2</v>
          </cell>
          <cell r="T272">
            <v>1</v>
          </cell>
          <cell r="U272">
            <v>0</v>
          </cell>
          <cell r="V272">
            <v>0</v>
          </cell>
          <cell r="W272" t="str">
            <v>NA</v>
          </cell>
          <cell r="X272">
            <v>6</v>
          </cell>
          <cell r="Y272">
            <v>5</v>
          </cell>
          <cell r="Z272">
            <v>0.83333333300000001</v>
          </cell>
        </row>
        <row r="273">
          <cell r="B273" t="str">
            <v>F154_3B</v>
          </cell>
          <cell r="C273" t="str">
            <v>R2_F154_3B</v>
          </cell>
          <cell r="D273">
            <v>0</v>
          </cell>
          <cell r="E273">
            <v>2</v>
          </cell>
          <cell r="F273">
            <v>409</v>
          </cell>
          <cell r="G273">
            <v>1</v>
          </cell>
          <cell r="H273">
            <v>42</v>
          </cell>
          <cell r="I273">
            <v>6</v>
          </cell>
          <cell r="J273">
            <v>7</v>
          </cell>
          <cell r="K273">
            <v>1</v>
          </cell>
          <cell r="L273">
            <v>8.9541520000000006</v>
          </cell>
          <cell r="M273">
            <v>-83.238517999999999</v>
          </cell>
          <cell r="N273" t="str">
            <v>Sur</v>
          </cell>
          <cell r="O273">
            <v>1</v>
          </cell>
          <cell r="P273" t="str">
            <v>cabecar</v>
          </cell>
          <cell r="Q273" t="str">
            <v>changuena</v>
          </cell>
          <cell r="R273" t="b">
            <v>0</v>
          </cell>
          <cell r="S273" t="str">
            <v>154_3</v>
          </cell>
          <cell r="T273">
            <v>0</v>
          </cell>
          <cell r="U273">
            <v>0</v>
          </cell>
          <cell r="V273">
            <v>0</v>
          </cell>
          <cell r="W273" t="str">
            <v>NA</v>
          </cell>
          <cell r="X273">
            <v>6</v>
          </cell>
          <cell r="Y273">
            <v>5</v>
          </cell>
          <cell r="Z273">
            <v>0.83333333300000001</v>
          </cell>
        </row>
        <row r="274">
          <cell r="B274" t="str">
            <v>F154_4B</v>
          </cell>
          <cell r="C274" t="str">
            <v>R2_F154_4B</v>
          </cell>
          <cell r="D274">
            <v>1</v>
          </cell>
          <cell r="E274">
            <v>0.35</v>
          </cell>
          <cell r="F274">
            <v>409</v>
          </cell>
          <cell r="G274">
            <v>1</v>
          </cell>
          <cell r="H274">
            <v>42</v>
          </cell>
          <cell r="I274">
            <v>6</v>
          </cell>
          <cell r="J274">
            <v>7</v>
          </cell>
          <cell r="K274">
            <v>0</v>
          </cell>
          <cell r="L274">
            <v>8.9541520000000006</v>
          </cell>
          <cell r="M274">
            <v>-83.238517999999999</v>
          </cell>
          <cell r="N274" t="str">
            <v>Sur</v>
          </cell>
          <cell r="O274">
            <v>1</v>
          </cell>
          <cell r="P274" t="str">
            <v>mantequilla</v>
          </cell>
          <cell r="Q274" t="str">
            <v>mantequilla</v>
          </cell>
          <cell r="R274" t="b">
            <v>1</v>
          </cell>
          <cell r="S274" t="str">
            <v>154_4</v>
          </cell>
          <cell r="T274">
            <v>1</v>
          </cell>
          <cell r="U274">
            <v>0</v>
          </cell>
          <cell r="V274">
            <v>0</v>
          </cell>
          <cell r="W274" t="str">
            <v>NA</v>
          </cell>
          <cell r="X274">
            <v>6</v>
          </cell>
          <cell r="Y274">
            <v>5</v>
          </cell>
          <cell r="Z274">
            <v>0.83333333300000001</v>
          </cell>
        </row>
        <row r="275">
          <cell r="B275" t="str">
            <v>F155_1B</v>
          </cell>
          <cell r="C275" t="str">
            <v>R2_F155_1B</v>
          </cell>
          <cell r="D275">
            <v>1</v>
          </cell>
          <cell r="E275">
            <v>1.5</v>
          </cell>
          <cell r="F275">
            <v>751</v>
          </cell>
          <cell r="G275">
            <v>1</v>
          </cell>
          <cell r="H275">
            <v>57</v>
          </cell>
          <cell r="I275">
            <v>6</v>
          </cell>
          <cell r="J275">
            <v>6</v>
          </cell>
          <cell r="K275">
            <v>1</v>
          </cell>
          <cell r="L275">
            <v>8.9311159999999994</v>
          </cell>
          <cell r="M275">
            <v>-83.204438999999994</v>
          </cell>
          <cell r="N275" t="str">
            <v>Sur</v>
          </cell>
          <cell r="O275">
            <v>1</v>
          </cell>
          <cell r="P275" t="str">
            <v>nambi</v>
          </cell>
          <cell r="Q275" t="str">
            <v>nambi</v>
          </cell>
          <cell r="R275" t="b">
            <v>1</v>
          </cell>
          <cell r="S275" t="str">
            <v>155_1</v>
          </cell>
          <cell r="T275">
            <v>1</v>
          </cell>
          <cell r="U275">
            <v>6</v>
          </cell>
          <cell r="V275">
            <v>3</v>
          </cell>
          <cell r="W275">
            <v>0.5</v>
          </cell>
          <cell r="X275">
            <v>42</v>
          </cell>
          <cell r="Y275">
            <v>32</v>
          </cell>
          <cell r="Z275">
            <v>0.76190476200000001</v>
          </cell>
        </row>
        <row r="276">
          <cell r="B276" t="str">
            <v>F155_2B</v>
          </cell>
          <cell r="C276" t="str">
            <v>R2_F155_2B</v>
          </cell>
          <cell r="D276">
            <v>1</v>
          </cell>
          <cell r="E276">
            <v>1.5</v>
          </cell>
          <cell r="F276">
            <v>751</v>
          </cell>
          <cell r="G276">
            <v>1</v>
          </cell>
          <cell r="H276">
            <v>57</v>
          </cell>
          <cell r="I276">
            <v>6</v>
          </cell>
          <cell r="J276">
            <v>6</v>
          </cell>
          <cell r="K276">
            <v>1</v>
          </cell>
          <cell r="L276">
            <v>8.9311159999999994</v>
          </cell>
          <cell r="M276">
            <v>-83.204438999999994</v>
          </cell>
          <cell r="N276" t="str">
            <v>Sur</v>
          </cell>
          <cell r="O276">
            <v>1</v>
          </cell>
          <cell r="P276" t="str">
            <v>cabecar</v>
          </cell>
          <cell r="Q276" t="str">
            <v>cabecar</v>
          </cell>
          <cell r="R276" t="b">
            <v>1</v>
          </cell>
          <cell r="S276" t="str">
            <v>155_2</v>
          </cell>
          <cell r="T276">
            <v>1</v>
          </cell>
          <cell r="U276">
            <v>6</v>
          </cell>
          <cell r="V276">
            <v>3</v>
          </cell>
          <cell r="W276">
            <v>0.5</v>
          </cell>
          <cell r="X276">
            <v>42</v>
          </cell>
          <cell r="Y276">
            <v>32</v>
          </cell>
          <cell r="Z276">
            <v>0.76190476200000001</v>
          </cell>
        </row>
        <row r="277">
          <cell r="B277" t="str">
            <v>F156_1B</v>
          </cell>
          <cell r="C277" t="str">
            <v>R2_F156_1B</v>
          </cell>
          <cell r="D277">
            <v>1</v>
          </cell>
          <cell r="E277">
            <v>9</v>
          </cell>
          <cell r="F277">
            <v>659</v>
          </cell>
          <cell r="G277">
            <v>1</v>
          </cell>
          <cell r="H277">
            <v>49</v>
          </cell>
          <cell r="I277">
            <v>6</v>
          </cell>
          <cell r="J277">
            <v>4</v>
          </cell>
          <cell r="K277">
            <v>1</v>
          </cell>
          <cell r="L277">
            <v>8.9266089999999991</v>
          </cell>
          <cell r="M277">
            <v>-83.195879000000005</v>
          </cell>
          <cell r="N277" t="str">
            <v>Sur</v>
          </cell>
          <cell r="O277">
            <v>1</v>
          </cell>
          <cell r="P277" t="str">
            <v>nambi</v>
          </cell>
          <cell r="Q277" t="str">
            <v>nambi</v>
          </cell>
          <cell r="R277" t="b">
            <v>1</v>
          </cell>
          <cell r="S277" t="str">
            <v>156_1</v>
          </cell>
          <cell r="T277">
            <v>1</v>
          </cell>
          <cell r="U277">
            <v>0</v>
          </cell>
          <cell r="V277">
            <v>0</v>
          </cell>
          <cell r="W277" t="str">
            <v>NA</v>
          </cell>
          <cell r="X277">
            <v>37</v>
          </cell>
          <cell r="Y277">
            <v>28</v>
          </cell>
          <cell r="Z277">
            <v>0.756756757</v>
          </cell>
        </row>
        <row r="278">
          <cell r="B278" t="str">
            <v>F157_1B</v>
          </cell>
          <cell r="C278" t="str">
            <v>R2_F157_1B</v>
          </cell>
          <cell r="D278">
            <v>1</v>
          </cell>
          <cell r="E278">
            <v>0.25</v>
          </cell>
          <cell r="F278">
            <v>805</v>
          </cell>
          <cell r="G278">
            <v>1</v>
          </cell>
          <cell r="H278">
            <v>22</v>
          </cell>
          <cell r="I278">
            <v>11</v>
          </cell>
          <cell r="J278">
            <v>4</v>
          </cell>
          <cell r="K278">
            <v>1</v>
          </cell>
          <cell r="L278">
            <v>8.9346130000000006</v>
          </cell>
          <cell r="M278">
            <v>-83.200739999999996</v>
          </cell>
          <cell r="N278" t="str">
            <v>Sur</v>
          </cell>
          <cell r="O278">
            <v>1</v>
          </cell>
          <cell r="P278" t="str">
            <v>uran</v>
          </cell>
          <cell r="Q278" t="str">
            <v>uran</v>
          </cell>
          <cell r="R278" t="b">
            <v>1</v>
          </cell>
          <cell r="S278" t="str">
            <v>157_1</v>
          </cell>
          <cell r="T278">
            <v>0</v>
          </cell>
          <cell r="U278">
            <v>7</v>
          </cell>
          <cell r="V278">
            <v>5</v>
          </cell>
          <cell r="W278">
            <v>0.71428571399999996</v>
          </cell>
          <cell r="X278">
            <v>46</v>
          </cell>
          <cell r="Y278">
            <v>35</v>
          </cell>
          <cell r="Z278">
            <v>0.76086956500000003</v>
          </cell>
        </row>
        <row r="279">
          <cell r="B279" t="str">
            <v>F157_2B</v>
          </cell>
          <cell r="C279" t="str">
            <v>R2_F157_2B</v>
          </cell>
          <cell r="D279">
            <v>1</v>
          </cell>
          <cell r="E279">
            <v>2</v>
          </cell>
          <cell r="F279">
            <v>805</v>
          </cell>
          <cell r="G279">
            <v>1</v>
          </cell>
          <cell r="H279">
            <v>22</v>
          </cell>
          <cell r="I279">
            <v>11</v>
          </cell>
          <cell r="J279">
            <v>4</v>
          </cell>
          <cell r="K279">
            <v>1</v>
          </cell>
          <cell r="L279">
            <v>8.9346130000000006</v>
          </cell>
          <cell r="M279">
            <v>-83.200739999999996</v>
          </cell>
          <cell r="N279" t="str">
            <v>Sur</v>
          </cell>
          <cell r="O279">
            <v>1</v>
          </cell>
          <cell r="P279" t="str">
            <v>nambi</v>
          </cell>
          <cell r="Q279" t="str">
            <v>nambi</v>
          </cell>
          <cell r="R279" t="b">
            <v>1</v>
          </cell>
          <cell r="S279" t="str">
            <v>157_2</v>
          </cell>
          <cell r="T279">
            <v>1</v>
          </cell>
          <cell r="U279">
            <v>7</v>
          </cell>
          <cell r="V279">
            <v>5</v>
          </cell>
          <cell r="W279">
            <v>0.71428571399999996</v>
          </cell>
          <cell r="X279">
            <v>46</v>
          </cell>
          <cell r="Y279">
            <v>35</v>
          </cell>
          <cell r="Z279">
            <v>0.76086956500000003</v>
          </cell>
        </row>
        <row r="280">
          <cell r="B280" t="str">
            <v>F159_1B</v>
          </cell>
          <cell r="C280" t="str">
            <v>R2_F159_1B</v>
          </cell>
          <cell r="D280">
            <v>0</v>
          </cell>
          <cell r="E280">
            <v>3</v>
          </cell>
          <cell r="F280">
            <v>686</v>
          </cell>
          <cell r="G280">
            <v>1</v>
          </cell>
          <cell r="H280">
            <v>58</v>
          </cell>
          <cell r="I280">
            <v>6</v>
          </cell>
          <cell r="J280">
            <v>4</v>
          </cell>
          <cell r="K280">
            <v>0</v>
          </cell>
          <cell r="L280">
            <v>8.9218270000000004</v>
          </cell>
          <cell r="M280">
            <v>-83.196883999999997</v>
          </cell>
          <cell r="N280" t="str">
            <v>Sur</v>
          </cell>
          <cell r="O280">
            <v>1</v>
          </cell>
          <cell r="P280" t="str">
            <v>victoria</v>
          </cell>
          <cell r="Q280" t="str">
            <v>cabecar</v>
          </cell>
          <cell r="R280" t="b">
            <v>0</v>
          </cell>
          <cell r="S280" t="str">
            <v>159_1</v>
          </cell>
          <cell r="T280">
            <v>1</v>
          </cell>
          <cell r="U280">
            <v>9</v>
          </cell>
          <cell r="V280">
            <v>7</v>
          </cell>
          <cell r="W280">
            <v>0.77777777800000003</v>
          </cell>
          <cell r="X280">
            <v>42</v>
          </cell>
          <cell r="Y280">
            <v>31</v>
          </cell>
          <cell r="Z280">
            <v>0.73809523799999999</v>
          </cell>
        </row>
        <row r="281">
          <cell r="B281" t="str">
            <v>F162_1B</v>
          </cell>
          <cell r="C281" t="str">
            <v>R2_F162_1B</v>
          </cell>
          <cell r="D281">
            <v>0</v>
          </cell>
          <cell r="E281">
            <v>0.7</v>
          </cell>
          <cell r="F281">
            <v>406</v>
          </cell>
          <cell r="G281">
            <v>1</v>
          </cell>
          <cell r="H281">
            <v>58</v>
          </cell>
          <cell r="I281">
            <v>6</v>
          </cell>
          <cell r="J281">
            <v>5</v>
          </cell>
          <cell r="K281">
            <v>0</v>
          </cell>
          <cell r="L281">
            <v>9.1609700000000007</v>
          </cell>
          <cell r="M281">
            <v>-83.570502000000005</v>
          </cell>
          <cell r="N281" t="str">
            <v>Sur</v>
          </cell>
          <cell r="O281">
            <v>1</v>
          </cell>
          <cell r="P281" t="str">
            <v>talamanca</v>
          </cell>
          <cell r="Q281" t="str">
            <v>nambi</v>
          </cell>
          <cell r="R281" t="b">
            <v>0</v>
          </cell>
          <cell r="S281" t="str">
            <v>162_1</v>
          </cell>
          <cell r="T281">
            <v>0</v>
          </cell>
          <cell r="U281">
            <v>12</v>
          </cell>
          <cell r="V281">
            <v>9</v>
          </cell>
          <cell r="W281">
            <v>0.75</v>
          </cell>
          <cell r="X281">
            <v>16</v>
          </cell>
          <cell r="Y281">
            <v>13</v>
          </cell>
          <cell r="Z281">
            <v>0.8125</v>
          </cell>
        </row>
        <row r="282">
          <cell r="B282" t="str">
            <v>F162_2B</v>
          </cell>
          <cell r="C282" t="str">
            <v>R2_F162_2B</v>
          </cell>
          <cell r="D282">
            <v>0</v>
          </cell>
          <cell r="E282">
            <v>0.28000000000000003</v>
          </cell>
          <cell r="F282">
            <v>406</v>
          </cell>
          <cell r="G282">
            <v>1</v>
          </cell>
          <cell r="H282">
            <v>58</v>
          </cell>
          <cell r="I282">
            <v>6</v>
          </cell>
          <cell r="J282">
            <v>5</v>
          </cell>
          <cell r="K282">
            <v>0</v>
          </cell>
          <cell r="L282">
            <v>9.1609700000000007</v>
          </cell>
          <cell r="M282">
            <v>-83.570502000000005</v>
          </cell>
          <cell r="N282" t="str">
            <v>Sur</v>
          </cell>
          <cell r="O282">
            <v>1</v>
          </cell>
          <cell r="P282" t="str">
            <v>tequila</v>
          </cell>
          <cell r="Q282" t="str">
            <v>vaina_blanca</v>
          </cell>
          <cell r="R282" t="b">
            <v>0</v>
          </cell>
          <cell r="S282" t="str">
            <v>162_2</v>
          </cell>
          <cell r="T282">
            <v>0</v>
          </cell>
          <cell r="U282">
            <v>12</v>
          </cell>
          <cell r="V282">
            <v>9</v>
          </cell>
          <cell r="W282">
            <v>0.75</v>
          </cell>
          <cell r="X282">
            <v>16</v>
          </cell>
          <cell r="Y282">
            <v>13</v>
          </cell>
          <cell r="Z282">
            <v>0.8125</v>
          </cell>
        </row>
        <row r="283">
          <cell r="B283" t="str">
            <v>F163_1B</v>
          </cell>
          <cell r="C283" t="str">
            <v>R2_F163_1B</v>
          </cell>
          <cell r="D283">
            <v>0</v>
          </cell>
          <cell r="E283">
            <v>0.1</v>
          </cell>
          <cell r="F283">
            <v>737</v>
          </cell>
          <cell r="G283">
            <v>1</v>
          </cell>
          <cell r="H283">
            <v>66</v>
          </cell>
          <cell r="I283">
            <v>6</v>
          </cell>
          <cell r="J283">
            <v>3</v>
          </cell>
          <cell r="K283">
            <v>0</v>
          </cell>
          <cell r="L283">
            <v>9.1453930000000003</v>
          </cell>
          <cell r="M283">
            <v>-83.603896000000006</v>
          </cell>
          <cell r="N283" t="str">
            <v>Sur</v>
          </cell>
          <cell r="O283">
            <v>1</v>
          </cell>
          <cell r="P283" t="str">
            <v>victoria</v>
          </cell>
          <cell r="Q283" t="str">
            <v>nambi</v>
          </cell>
          <cell r="R283" t="b">
            <v>0</v>
          </cell>
          <cell r="S283" t="str">
            <v>163_1</v>
          </cell>
          <cell r="T283">
            <v>0</v>
          </cell>
          <cell r="U283">
            <v>1</v>
          </cell>
          <cell r="V283">
            <v>0</v>
          </cell>
          <cell r="W283">
            <v>0</v>
          </cell>
          <cell r="X283">
            <v>5</v>
          </cell>
          <cell r="Y283">
            <v>4</v>
          </cell>
          <cell r="Z283">
            <v>0.8</v>
          </cell>
        </row>
        <row r="284">
          <cell r="B284" t="str">
            <v>F164_1B</v>
          </cell>
          <cell r="C284" t="str">
            <v>R2_F164_1B</v>
          </cell>
          <cell r="D284">
            <v>0</v>
          </cell>
          <cell r="E284">
            <v>0.1</v>
          </cell>
          <cell r="F284">
            <v>737</v>
          </cell>
          <cell r="G284">
            <v>1</v>
          </cell>
          <cell r="H284">
            <v>42</v>
          </cell>
          <cell r="I284">
            <v>6</v>
          </cell>
          <cell r="J284">
            <v>6</v>
          </cell>
          <cell r="K284">
            <v>1</v>
          </cell>
          <cell r="L284">
            <v>9.1453140000000008</v>
          </cell>
          <cell r="M284">
            <v>-83.603999000000002</v>
          </cell>
          <cell r="N284" t="str">
            <v>Sur</v>
          </cell>
          <cell r="O284">
            <v>1</v>
          </cell>
          <cell r="P284" t="str">
            <v>cabecar</v>
          </cell>
          <cell r="Q284" t="str">
            <v>dontknow</v>
          </cell>
          <cell r="R284" t="str">
            <v>Not applicable</v>
          </cell>
          <cell r="S284" t="str">
            <v>164_1</v>
          </cell>
          <cell r="T284">
            <v>0</v>
          </cell>
          <cell r="U284">
            <v>1</v>
          </cell>
          <cell r="V284">
            <v>0</v>
          </cell>
          <cell r="W284">
            <v>0</v>
          </cell>
          <cell r="X284">
            <v>5</v>
          </cell>
          <cell r="Y284">
            <v>4</v>
          </cell>
          <cell r="Z284">
            <v>0.8</v>
          </cell>
        </row>
        <row r="285">
          <cell r="B285" t="str">
            <v>F165_1B</v>
          </cell>
          <cell r="C285" t="str">
            <v>R2_F165_1B</v>
          </cell>
          <cell r="D285">
            <v>0</v>
          </cell>
          <cell r="E285">
            <v>1.4</v>
          </cell>
          <cell r="F285">
            <v>424</v>
          </cell>
          <cell r="G285">
            <v>1</v>
          </cell>
          <cell r="H285">
            <v>30</v>
          </cell>
          <cell r="I285">
            <v>6</v>
          </cell>
          <cell r="J285">
            <v>6</v>
          </cell>
          <cell r="K285">
            <v>0</v>
          </cell>
          <cell r="L285">
            <v>9.1191030000000008</v>
          </cell>
          <cell r="M285">
            <v>-83.540978999999993</v>
          </cell>
          <cell r="N285" t="str">
            <v>Sur</v>
          </cell>
          <cell r="O285">
            <v>1</v>
          </cell>
          <cell r="P285" t="str">
            <v>tequila</v>
          </cell>
          <cell r="Q285" t="str">
            <v>nambi</v>
          </cell>
          <cell r="R285" t="b">
            <v>0</v>
          </cell>
          <cell r="S285" t="str">
            <v>165_1</v>
          </cell>
          <cell r="T285">
            <v>0</v>
          </cell>
          <cell r="U285">
            <v>2</v>
          </cell>
          <cell r="V285">
            <v>2</v>
          </cell>
          <cell r="W285">
            <v>1</v>
          </cell>
          <cell r="X285">
            <v>38</v>
          </cell>
          <cell r="Y285">
            <v>25</v>
          </cell>
          <cell r="Z285">
            <v>0.65789473700000001</v>
          </cell>
        </row>
        <row r="286">
          <cell r="B286" t="str">
            <v>F165_2B</v>
          </cell>
          <cell r="C286" t="str">
            <v>R2_F165_2B</v>
          </cell>
          <cell r="D286">
            <v>1</v>
          </cell>
          <cell r="E286">
            <v>3</v>
          </cell>
          <cell r="F286">
            <v>424</v>
          </cell>
          <cell r="G286">
            <v>1</v>
          </cell>
          <cell r="H286">
            <v>30</v>
          </cell>
          <cell r="I286">
            <v>6</v>
          </cell>
          <cell r="J286">
            <v>6</v>
          </cell>
          <cell r="K286">
            <v>1</v>
          </cell>
          <cell r="L286">
            <v>9.1191030000000008</v>
          </cell>
          <cell r="M286">
            <v>-83.540978999999993</v>
          </cell>
          <cell r="N286" t="str">
            <v>Sur</v>
          </cell>
          <cell r="O286">
            <v>1</v>
          </cell>
          <cell r="P286" t="str">
            <v>cabecar</v>
          </cell>
          <cell r="Q286" t="str">
            <v>cabecar</v>
          </cell>
          <cell r="R286" t="b">
            <v>1</v>
          </cell>
          <cell r="S286" t="str">
            <v>165_2</v>
          </cell>
          <cell r="T286">
            <v>1</v>
          </cell>
          <cell r="U286">
            <v>2</v>
          </cell>
          <cell r="V286">
            <v>2</v>
          </cell>
          <cell r="W286">
            <v>1</v>
          </cell>
          <cell r="X286">
            <v>38</v>
          </cell>
          <cell r="Y286">
            <v>25</v>
          </cell>
          <cell r="Z286">
            <v>0.65789473700000001</v>
          </cell>
        </row>
        <row r="287">
          <cell r="B287" t="str">
            <v>F166_1B</v>
          </cell>
          <cell r="C287" t="str">
            <v>R2_F166_1B</v>
          </cell>
          <cell r="D287">
            <v>1</v>
          </cell>
          <cell r="E287">
            <v>2.8</v>
          </cell>
          <cell r="F287">
            <v>587</v>
          </cell>
          <cell r="G287">
            <v>1</v>
          </cell>
          <cell r="H287">
            <v>42</v>
          </cell>
          <cell r="I287">
            <v>11</v>
          </cell>
          <cell r="J287">
            <v>1</v>
          </cell>
          <cell r="K287">
            <v>1</v>
          </cell>
          <cell r="L287">
            <v>9.0834250000000001</v>
          </cell>
          <cell r="M287">
            <v>-83.519993999999997</v>
          </cell>
          <cell r="N287" t="str">
            <v>Sur</v>
          </cell>
          <cell r="O287">
            <v>1</v>
          </cell>
          <cell r="P287" t="str">
            <v>nambi</v>
          </cell>
          <cell r="Q287" t="str">
            <v>nambi</v>
          </cell>
          <cell r="R287" t="b">
            <v>1</v>
          </cell>
          <cell r="S287" t="str">
            <v>166_1</v>
          </cell>
          <cell r="T287">
            <v>1</v>
          </cell>
          <cell r="U287">
            <v>5</v>
          </cell>
          <cell r="V287">
            <v>2</v>
          </cell>
          <cell r="W287">
            <v>0.4</v>
          </cell>
          <cell r="X287">
            <v>42</v>
          </cell>
          <cell r="Y287">
            <v>22</v>
          </cell>
          <cell r="Z287">
            <v>0.52380952400000003</v>
          </cell>
        </row>
        <row r="288">
          <cell r="B288" t="str">
            <v>F166_2B</v>
          </cell>
          <cell r="C288" t="str">
            <v>R2_F166_2B</v>
          </cell>
          <cell r="D288">
            <v>0</v>
          </cell>
          <cell r="E288">
            <v>2</v>
          </cell>
          <cell r="F288">
            <v>587</v>
          </cell>
          <cell r="G288">
            <v>1</v>
          </cell>
          <cell r="H288">
            <v>42</v>
          </cell>
          <cell r="I288">
            <v>11</v>
          </cell>
          <cell r="J288">
            <v>1</v>
          </cell>
          <cell r="K288">
            <v>0</v>
          </cell>
          <cell r="L288">
            <v>9.0834250000000001</v>
          </cell>
          <cell r="M288">
            <v>-83.519993999999997</v>
          </cell>
          <cell r="N288" t="str">
            <v>Sur</v>
          </cell>
          <cell r="O288">
            <v>1</v>
          </cell>
          <cell r="P288" t="str">
            <v>victoria</v>
          </cell>
          <cell r="Q288" t="str">
            <v>cabecar</v>
          </cell>
          <cell r="R288" t="b">
            <v>0</v>
          </cell>
          <cell r="S288" t="str">
            <v>166_2</v>
          </cell>
          <cell r="T288">
            <v>1</v>
          </cell>
          <cell r="U288">
            <v>5</v>
          </cell>
          <cell r="V288">
            <v>2</v>
          </cell>
          <cell r="W288">
            <v>0.4</v>
          </cell>
          <cell r="X288">
            <v>42</v>
          </cell>
          <cell r="Y288">
            <v>22</v>
          </cell>
          <cell r="Z288">
            <v>0.52380952400000003</v>
          </cell>
        </row>
        <row r="289">
          <cell r="B289" t="str">
            <v>F167_1B</v>
          </cell>
          <cell r="C289" t="str">
            <v>R2_F167_1B</v>
          </cell>
          <cell r="D289">
            <v>0</v>
          </cell>
          <cell r="E289">
            <v>0.98</v>
          </cell>
          <cell r="F289">
            <v>512</v>
          </cell>
          <cell r="G289">
            <v>1</v>
          </cell>
          <cell r="H289">
            <v>69</v>
          </cell>
          <cell r="I289">
            <v>4</v>
          </cell>
          <cell r="J289">
            <v>3</v>
          </cell>
          <cell r="K289">
            <v>0</v>
          </cell>
          <cell r="L289">
            <v>9.1268750000000001</v>
          </cell>
          <cell r="M289">
            <v>-83.535656000000003</v>
          </cell>
          <cell r="N289" t="str">
            <v>Sur</v>
          </cell>
          <cell r="O289">
            <v>1</v>
          </cell>
          <cell r="P289" t="str">
            <v>victoria</v>
          </cell>
          <cell r="Q289" t="str">
            <v>cabecar</v>
          </cell>
          <cell r="R289" t="b">
            <v>0</v>
          </cell>
          <cell r="S289" t="str">
            <v>167_1</v>
          </cell>
          <cell r="T289">
            <v>1</v>
          </cell>
          <cell r="U289">
            <v>4</v>
          </cell>
          <cell r="V289">
            <v>3</v>
          </cell>
          <cell r="W289">
            <v>0.75</v>
          </cell>
          <cell r="X289">
            <v>35</v>
          </cell>
          <cell r="Y289">
            <v>22</v>
          </cell>
          <cell r="Z289">
            <v>0.62857142899999996</v>
          </cell>
        </row>
        <row r="290">
          <cell r="B290" t="str">
            <v>F168_1B</v>
          </cell>
          <cell r="C290" t="str">
            <v>R2_F168_1B</v>
          </cell>
          <cell r="D290">
            <v>1</v>
          </cell>
          <cell r="E290">
            <v>2</v>
          </cell>
          <cell r="F290">
            <v>651</v>
          </cell>
          <cell r="G290">
            <v>1</v>
          </cell>
          <cell r="H290">
            <v>61</v>
          </cell>
          <cell r="I290">
            <v>6</v>
          </cell>
          <cell r="J290">
            <v>4</v>
          </cell>
          <cell r="K290">
            <v>1</v>
          </cell>
          <cell r="L290">
            <v>9.1180090000000007</v>
          </cell>
          <cell r="M290">
            <v>-83.507311000000001</v>
          </cell>
          <cell r="N290" t="str">
            <v>Sur</v>
          </cell>
          <cell r="O290">
            <v>1</v>
          </cell>
          <cell r="P290" t="str">
            <v>cabecar</v>
          </cell>
          <cell r="Q290" t="str">
            <v>cabecar</v>
          </cell>
          <cell r="R290" t="b">
            <v>1</v>
          </cell>
          <cell r="S290" t="str">
            <v>168_1</v>
          </cell>
          <cell r="T290">
            <v>1</v>
          </cell>
          <cell r="U290">
            <v>0</v>
          </cell>
          <cell r="V290">
            <v>0</v>
          </cell>
          <cell r="W290" t="str">
            <v>NA</v>
          </cell>
          <cell r="X290">
            <v>23</v>
          </cell>
          <cell r="Y290">
            <v>17</v>
          </cell>
          <cell r="Z290">
            <v>0.73913043499999997</v>
          </cell>
        </row>
        <row r="291">
          <cell r="B291" t="str">
            <v>F168_2B</v>
          </cell>
          <cell r="C291" t="str">
            <v>R2_F168_2B</v>
          </cell>
          <cell r="D291">
            <v>1</v>
          </cell>
          <cell r="E291">
            <v>2</v>
          </cell>
          <cell r="F291">
            <v>651</v>
          </cell>
          <cell r="G291">
            <v>1</v>
          </cell>
          <cell r="H291">
            <v>61</v>
          </cell>
          <cell r="I291">
            <v>6</v>
          </cell>
          <cell r="J291">
            <v>4</v>
          </cell>
          <cell r="K291">
            <v>1</v>
          </cell>
          <cell r="L291">
            <v>9.1180090000000007</v>
          </cell>
          <cell r="M291">
            <v>-83.507311000000001</v>
          </cell>
          <cell r="N291" t="str">
            <v>Sur</v>
          </cell>
          <cell r="O291">
            <v>1</v>
          </cell>
          <cell r="P291" t="str">
            <v>nambi</v>
          </cell>
          <cell r="Q291" t="str">
            <v>nambi</v>
          </cell>
          <cell r="R291" t="b">
            <v>1</v>
          </cell>
          <cell r="S291" t="str">
            <v>168_2</v>
          </cell>
          <cell r="T291">
            <v>1</v>
          </cell>
          <cell r="U291">
            <v>0</v>
          </cell>
          <cell r="V291">
            <v>0</v>
          </cell>
          <cell r="W291" t="str">
            <v>NA</v>
          </cell>
          <cell r="X291">
            <v>23</v>
          </cell>
          <cell r="Y291">
            <v>17</v>
          </cell>
          <cell r="Z291">
            <v>0.73913043499999997</v>
          </cell>
        </row>
        <row r="292">
          <cell r="B292" t="str">
            <v>F169_1B</v>
          </cell>
          <cell r="C292" t="str">
            <v>R2_F169_1B</v>
          </cell>
          <cell r="D292">
            <v>0</v>
          </cell>
          <cell r="E292">
            <v>0.5</v>
          </cell>
          <cell r="F292">
            <v>388</v>
          </cell>
          <cell r="G292">
            <v>1</v>
          </cell>
          <cell r="H292">
            <v>28</v>
          </cell>
          <cell r="I292">
            <v>9</v>
          </cell>
          <cell r="J292">
            <v>4</v>
          </cell>
          <cell r="K292">
            <v>0</v>
          </cell>
          <cell r="L292">
            <v>9.1211760000000002</v>
          </cell>
          <cell r="M292">
            <v>-83.527573000000004</v>
          </cell>
          <cell r="N292" t="str">
            <v>Sur</v>
          </cell>
          <cell r="O292">
            <v>1</v>
          </cell>
          <cell r="P292" t="str">
            <v>victoria</v>
          </cell>
          <cell r="Q292" t="str">
            <v>panameno</v>
          </cell>
          <cell r="R292" t="b">
            <v>0</v>
          </cell>
          <cell r="S292" t="str">
            <v>169_1</v>
          </cell>
          <cell r="T292">
            <v>0</v>
          </cell>
          <cell r="U292">
            <v>2</v>
          </cell>
          <cell r="V292">
            <v>1</v>
          </cell>
          <cell r="W292">
            <v>0.5</v>
          </cell>
          <cell r="X292">
            <v>38</v>
          </cell>
          <cell r="Y292">
            <v>25</v>
          </cell>
          <cell r="Z292">
            <v>0.65789473700000001</v>
          </cell>
        </row>
        <row r="293">
          <cell r="B293" t="str">
            <v>F169_2B</v>
          </cell>
          <cell r="C293" t="str">
            <v>R2_F169_2B</v>
          </cell>
          <cell r="D293">
            <v>1</v>
          </cell>
          <cell r="E293">
            <v>1</v>
          </cell>
          <cell r="F293">
            <v>388</v>
          </cell>
          <cell r="G293">
            <v>1</v>
          </cell>
          <cell r="H293">
            <v>28</v>
          </cell>
          <cell r="I293">
            <v>9</v>
          </cell>
          <cell r="J293">
            <v>4</v>
          </cell>
          <cell r="K293">
            <v>1</v>
          </cell>
          <cell r="L293">
            <v>9.1211760000000002</v>
          </cell>
          <cell r="M293">
            <v>-83.527573000000004</v>
          </cell>
          <cell r="N293" t="str">
            <v>Sur</v>
          </cell>
          <cell r="O293">
            <v>1</v>
          </cell>
          <cell r="P293" t="str">
            <v>nambi</v>
          </cell>
          <cell r="Q293" t="str">
            <v>nambi</v>
          </cell>
          <cell r="R293" t="b">
            <v>1</v>
          </cell>
          <cell r="S293" t="str">
            <v>169_2</v>
          </cell>
          <cell r="T293">
            <v>1</v>
          </cell>
          <cell r="U293">
            <v>2</v>
          </cell>
          <cell r="V293">
            <v>1</v>
          </cell>
          <cell r="W293">
            <v>0.5</v>
          </cell>
          <cell r="X293">
            <v>38</v>
          </cell>
          <cell r="Y293">
            <v>25</v>
          </cell>
          <cell r="Z293">
            <v>0.65789473700000001</v>
          </cell>
        </row>
        <row r="294">
          <cell r="B294" t="str">
            <v>F170_1B</v>
          </cell>
          <cell r="C294" t="str">
            <v>R2_F170_1B</v>
          </cell>
          <cell r="D294">
            <v>1</v>
          </cell>
          <cell r="E294">
            <v>1.5</v>
          </cell>
          <cell r="F294">
            <v>449</v>
          </cell>
          <cell r="G294">
            <v>1</v>
          </cell>
          <cell r="H294">
            <v>70</v>
          </cell>
          <cell r="I294">
            <v>4</v>
          </cell>
          <cell r="J294">
            <v>5</v>
          </cell>
          <cell r="K294">
            <v>1</v>
          </cell>
          <cell r="L294">
            <v>9.1265049999999999</v>
          </cell>
          <cell r="M294">
            <v>-83.528649000000001</v>
          </cell>
          <cell r="N294" t="str">
            <v>Sur</v>
          </cell>
          <cell r="O294">
            <v>1</v>
          </cell>
          <cell r="P294" t="str">
            <v>nambi</v>
          </cell>
          <cell r="Q294" t="str">
            <v>nambi</v>
          </cell>
          <cell r="R294" t="b">
            <v>1</v>
          </cell>
          <cell r="S294" t="str">
            <v>170_1</v>
          </cell>
          <cell r="T294">
            <v>1</v>
          </cell>
          <cell r="U294">
            <v>0</v>
          </cell>
          <cell r="V294">
            <v>0</v>
          </cell>
          <cell r="W294" t="str">
            <v>NA</v>
          </cell>
          <cell r="X294">
            <v>35</v>
          </cell>
          <cell r="Y294">
            <v>25</v>
          </cell>
          <cell r="Z294">
            <v>0.71428571399999996</v>
          </cell>
        </row>
        <row r="295">
          <cell r="B295" t="str">
            <v>F170_2B</v>
          </cell>
          <cell r="C295" t="str">
            <v>R2_F170_2B</v>
          </cell>
          <cell r="D295">
            <v>1</v>
          </cell>
          <cell r="E295">
            <v>2.8</v>
          </cell>
          <cell r="F295">
            <v>449</v>
          </cell>
          <cell r="G295">
            <v>1</v>
          </cell>
          <cell r="H295">
            <v>70</v>
          </cell>
          <cell r="I295">
            <v>4</v>
          </cell>
          <cell r="J295">
            <v>5</v>
          </cell>
          <cell r="K295">
            <v>1</v>
          </cell>
          <cell r="L295">
            <v>9.1265049999999999</v>
          </cell>
          <cell r="M295">
            <v>-83.528649000000001</v>
          </cell>
          <cell r="N295" t="str">
            <v>Sur</v>
          </cell>
          <cell r="O295">
            <v>1</v>
          </cell>
          <cell r="P295" t="str">
            <v>uran</v>
          </cell>
          <cell r="Q295" t="str">
            <v>uran</v>
          </cell>
          <cell r="R295" t="b">
            <v>1</v>
          </cell>
          <cell r="S295" t="str">
            <v>170_2</v>
          </cell>
          <cell r="T295">
            <v>0</v>
          </cell>
          <cell r="U295">
            <v>0</v>
          </cell>
          <cell r="V295">
            <v>0</v>
          </cell>
          <cell r="W295" t="str">
            <v>NA</v>
          </cell>
          <cell r="X295">
            <v>35</v>
          </cell>
          <cell r="Y295">
            <v>25</v>
          </cell>
          <cell r="Z295">
            <v>0.71428571399999996</v>
          </cell>
        </row>
        <row r="296">
          <cell r="B296" t="str">
            <v>F170_3B</v>
          </cell>
          <cell r="C296" t="str">
            <v>R2_F170_3B</v>
          </cell>
          <cell r="D296">
            <v>0</v>
          </cell>
          <cell r="E296">
            <v>0.35</v>
          </cell>
          <cell r="F296">
            <v>449</v>
          </cell>
          <cell r="G296">
            <v>1</v>
          </cell>
          <cell r="H296">
            <v>70</v>
          </cell>
          <cell r="I296">
            <v>4</v>
          </cell>
          <cell r="J296">
            <v>5</v>
          </cell>
          <cell r="K296">
            <v>0</v>
          </cell>
          <cell r="L296">
            <v>9.1265049999999999</v>
          </cell>
          <cell r="M296">
            <v>-83.528649000000001</v>
          </cell>
          <cell r="N296" t="str">
            <v>Sur</v>
          </cell>
          <cell r="O296">
            <v>1</v>
          </cell>
          <cell r="P296" t="str">
            <v>tequila</v>
          </cell>
          <cell r="Q296" t="str">
            <v>dontknow</v>
          </cell>
          <cell r="R296" t="str">
            <v>Not applicable</v>
          </cell>
          <cell r="S296" t="str">
            <v>170_3</v>
          </cell>
          <cell r="T296">
            <v>0</v>
          </cell>
          <cell r="U296">
            <v>0</v>
          </cell>
          <cell r="V296">
            <v>0</v>
          </cell>
          <cell r="W296" t="str">
            <v>NA</v>
          </cell>
          <cell r="X296">
            <v>35</v>
          </cell>
          <cell r="Y296">
            <v>25</v>
          </cell>
          <cell r="Z296">
            <v>0.71428571399999996</v>
          </cell>
        </row>
        <row r="297">
          <cell r="B297" t="str">
            <v>F170_4B</v>
          </cell>
          <cell r="C297" t="str">
            <v>R2_F170_4B</v>
          </cell>
          <cell r="D297">
            <v>0</v>
          </cell>
          <cell r="E297">
            <v>0.35</v>
          </cell>
          <cell r="F297">
            <v>449</v>
          </cell>
          <cell r="G297">
            <v>1</v>
          </cell>
          <cell r="H297">
            <v>70</v>
          </cell>
          <cell r="I297">
            <v>4</v>
          </cell>
          <cell r="J297">
            <v>5</v>
          </cell>
          <cell r="K297">
            <v>0</v>
          </cell>
          <cell r="L297">
            <v>9.1265049999999999</v>
          </cell>
          <cell r="M297">
            <v>-83.528649000000001</v>
          </cell>
          <cell r="N297" t="str">
            <v>Sur</v>
          </cell>
          <cell r="O297">
            <v>1</v>
          </cell>
          <cell r="P297" t="str">
            <v>victoria</v>
          </cell>
          <cell r="Q297" t="str">
            <v>generalito</v>
          </cell>
          <cell r="R297" t="b">
            <v>0</v>
          </cell>
          <cell r="S297" t="str">
            <v>170_4</v>
          </cell>
          <cell r="T297">
            <v>0</v>
          </cell>
          <cell r="U297">
            <v>0</v>
          </cell>
          <cell r="V297">
            <v>0</v>
          </cell>
          <cell r="W297" t="str">
            <v>NA</v>
          </cell>
          <cell r="X297">
            <v>35</v>
          </cell>
          <cell r="Y297">
            <v>25</v>
          </cell>
          <cell r="Z297">
            <v>0.71428571399999996</v>
          </cell>
        </row>
        <row r="298">
          <cell r="B298" t="str">
            <v>F171_1B</v>
          </cell>
          <cell r="C298" t="str">
            <v>R2_F171_1B</v>
          </cell>
          <cell r="D298">
            <v>1</v>
          </cell>
          <cell r="E298">
            <v>3.5</v>
          </cell>
          <cell r="F298">
            <v>403</v>
          </cell>
          <cell r="G298">
            <v>1</v>
          </cell>
          <cell r="H298">
            <v>37</v>
          </cell>
          <cell r="I298">
            <v>6</v>
          </cell>
          <cell r="J298">
            <v>4</v>
          </cell>
          <cell r="K298">
            <v>1</v>
          </cell>
          <cell r="L298">
            <v>9.1584140000000005</v>
          </cell>
          <cell r="M298">
            <v>-83.571105000000003</v>
          </cell>
          <cell r="N298" t="str">
            <v>Sur</v>
          </cell>
          <cell r="O298">
            <v>1</v>
          </cell>
          <cell r="P298" t="str">
            <v>nambi</v>
          </cell>
          <cell r="Q298" t="str">
            <v>nambi</v>
          </cell>
          <cell r="R298" t="b">
            <v>1</v>
          </cell>
          <cell r="S298" t="str">
            <v>171_1</v>
          </cell>
          <cell r="T298">
            <v>1</v>
          </cell>
          <cell r="U298">
            <v>10</v>
          </cell>
          <cell r="V298">
            <v>6</v>
          </cell>
          <cell r="W298">
            <v>0.6</v>
          </cell>
          <cell r="X298">
            <v>17</v>
          </cell>
          <cell r="Y298">
            <v>12</v>
          </cell>
          <cell r="Z298">
            <v>0.70588235300000002</v>
          </cell>
        </row>
        <row r="299">
          <cell r="B299" t="str">
            <v>F172_1B</v>
          </cell>
          <cell r="C299" t="str">
            <v>R2_F172_1B</v>
          </cell>
          <cell r="D299">
            <v>0</v>
          </cell>
          <cell r="E299">
            <v>0.7</v>
          </cell>
          <cell r="F299">
            <v>407</v>
          </cell>
          <cell r="G299">
            <v>1</v>
          </cell>
          <cell r="H299">
            <v>39</v>
          </cell>
          <cell r="I299">
            <v>4</v>
          </cell>
          <cell r="J299">
            <v>7</v>
          </cell>
          <cell r="K299">
            <v>0</v>
          </cell>
          <cell r="L299">
            <v>9.1596150000000005</v>
          </cell>
          <cell r="M299">
            <v>-83.570036999999999</v>
          </cell>
          <cell r="N299" t="str">
            <v>Sur</v>
          </cell>
          <cell r="O299">
            <v>1</v>
          </cell>
          <cell r="P299" t="str">
            <v>curre</v>
          </cell>
          <cell r="Q299" t="str">
            <v>nambi</v>
          </cell>
          <cell r="R299" t="b">
            <v>0</v>
          </cell>
          <cell r="S299" t="str">
            <v>172_1</v>
          </cell>
          <cell r="T299">
            <v>0</v>
          </cell>
          <cell r="U299">
            <v>12</v>
          </cell>
          <cell r="V299">
            <v>9</v>
          </cell>
          <cell r="W299">
            <v>0.75</v>
          </cell>
          <cell r="X299">
            <v>16</v>
          </cell>
          <cell r="Y299">
            <v>13</v>
          </cell>
          <cell r="Z299">
            <v>0.8125</v>
          </cell>
        </row>
        <row r="300">
          <cell r="B300" t="str">
            <v>F172_2B</v>
          </cell>
          <cell r="C300" t="str">
            <v>R2_F172_2B</v>
          </cell>
          <cell r="D300">
            <v>0</v>
          </cell>
          <cell r="E300">
            <v>1.05</v>
          </cell>
          <cell r="F300">
            <v>407</v>
          </cell>
          <cell r="G300">
            <v>1</v>
          </cell>
          <cell r="H300">
            <v>39</v>
          </cell>
          <cell r="I300">
            <v>4</v>
          </cell>
          <cell r="J300">
            <v>7</v>
          </cell>
          <cell r="K300">
            <v>1</v>
          </cell>
          <cell r="L300">
            <v>9.1596150000000005</v>
          </cell>
          <cell r="M300">
            <v>-83.570036999999999</v>
          </cell>
          <cell r="N300" t="str">
            <v>Sur</v>
          </cell>
          <cell r="O300">
            <v>1</v>
          </cell>
          <cell r="P300" t="str">
            <v>nambi</v>
          </cell>
          <cell r="Q300" t="str">
            <v>sacapobres</v>
          </cell>
          <cell r="R300" t="b">
            <v>0</v>
          </cell>
          <cell r="S300" t="str">
            <v>172_2</v>
          </cell>
          <cell r="T300">
            <v>0</v>
          </cell>
          <cell r="U300">
            <v>12</v>
          </cell>
          <cell r="V300">
            <v>9</v>
          </cell>
          <cell r="W300">
            <v>0.75</v>
          </cell>
          <cell r="X300">
            <v>16</v>
          </cell>
          <cell r="Y300">
            <v>13</v>
          </cell>
          <cell r="Z300">
            <v>0.8125</v>
          </cell>
        </row>
        <row r="301">
          <cell r="B301" t="str">
            <v>F173_1B</v>
          </cell>
          <cell r="C301" t="str">
            <v>R2_F173_1B</v>
          </cell>
          <cell r="D301">
            <v>1</v>
          </cell>
          <cell r="E301">
            <v>0.7</v>
          </cell>
          <cell r="F301">
            <v>557</v>
          </cell>
          <cell r="G301">
            <v>1</v>
          </cell>
          <cell r="H301">
            <v>38</v>
          </cell>
          <cell r="I301">
            <v>5</v>
          </cell>
          <cell r="J301">
            <v>1</v>
          </cell>
          <cell r="K301">
            <v>1</v>
          </cell>
          <cell r="L301">
            <v>9.1425739999999998</v>
          </cell>
          <cell r="M301">
            <v>-83.537541000000004</v>
          </cell>
          <cell r="N301" t="str">
            <v>Sur</v>
          </cell>
          <cell r="O301">
            <v>1</v>
          </cell>
          <cell r="P301" t="str">
            <v>nambi</v>
          </cell>
          <cell r="Q301" t="str">
            <v>nambi</v>
          </cell>
          <cell r="R301" t="b">
            <v>1</v>
          </cell>
          <cell r="S301" t="str">
            <v>173_1</v>
          </cell>
          <cell r="T301">
            <v>1</v>
          </cell>
          <cell r="U301">
            <v>0</v>
          </cell>
          <cell r="V301">
            <v>0</v>
          </cell>
          <cell r="W301" t="str">
            <v>NA</v>
          </cell>
          <cell r="X301">
            <v>13</v>
          </cell>
          <cell r="Y301">
            <v>10</v>
          </cell>
          <cell r="Z301">
            <v>0.76923076899999998</v>
          </cell>
        </row>
        <row r="302">
          <cell r="B302" t="str">
            <v>F174_1B</v>
          </cell>
          <cell r="C302" t="str">
            <v>R2_F174_1B</v>
          </cell>
          <cell r="D302">
            <v>1</v>
          </cell>
          <cell r="E302">
            <v>0.02</v>
          </cell>
          <cell r="F302">
            <v>675</v>
          </cell>
          <cell r="G302">
            <v>1</v>
          </cell>
          <cell r="H302">
            <v>66</v>
          </cell>
          <cell r="I302">
            <v>13</v>
          </cell>
          <cell r="J302">
            <v>1</v>
          </cell>
          <cell r="K302">
            <v>1</v>
          </cell>
          <cell r="L302">
            <v>9.1376799999999996</v>
          </cell>
          <cell r="M302">
            <v>-83.533422000000002</v>
          </cell>
          <cell r="N302" t="str">
            <v>Sur</v>
          </cell>
          <cell r="O302">
            <v>1</v>
          </cell>
          <cell r="P302" t="str">
            <v>cabecar</v>
          </cell>
          <cell r="Q302" t="str">
            <v>cabecar</v>
          </cell>
          <cell r="R302" t="b">
            <v>1</v>
          </cell>
          <cell r="S302" t="str">
            <v>174_1</v>
          </cell>
          <cell r="T302">
            <v>1</v>
          </cell>
          <cell r="U302">
            <v>2</v>
          </cell>
          <cell r="V302">
            <v>2</v>
          </cell>
          <cell r="W302">
            <v>1</v>
          </cell>
          <cell r="X302">
            <v>10</v>
          </cell>
          <cell r="Y302">
            <v>7</v>
          </cell>
          <cell r="Z302">
            <v>0.7</v>
          </cell>
        </row>
        <row r="303">
          <cell r="B303" t="str">
            <v>F174_2B</v>
          </cell>
          <cell r="C303" t="str">
            <v>R2_F174_2B</v>
          </cell>
          <cell r="D303">
            <v>1</v>
          </cell>
          <cell r="E303">
            <v>0.02</v>
          </cell>
          <cell r="F303">
            <v>675</v>
          </cell>
          <cell r="G303">
            <v>1</v>
          </cell>
          <cell r="H303">
            <v>66</v>
          </cell>
          <cell r="I303">
            <v>13</v>
          </cell>
          <cell r="J303">
            <v>1</v>
          </cell>
          <cell r="K303">
            <v>1</v>
          </cell>
          <cell r="L303">
            <v>9.1376799999999996</v>
          </cell>
          <cell r="M303">
            <v>-83.533422000000002</v>
          </cell>
          <cell r="N303" t="str">
            <v>Sur</v>
          </cell>
          <cell r="O303">
            <v>1</v>
          </cell>
          <cell r="P303" t="str">
            <v>nambi</v>
          </cell>
          <cell r="Q303" t="str">
            <v>nambi</v>
          </cell>
          <cell r="R303" t="b">
            <v>1</v>
          </cell>
          <cell r="S303" t="str">
            <v>174_2</v>
          </cell>
          <cell r="T303">
            <v>1</v>
          </cell>
          <cell r="U303">
            <v>2</v>
          </cell>
          <cell r="V303">
            <v>2</v>
          </cell>
          <cell r="W303">
            <v>1</v>
          </cell>
          <cell r="X303">
            <v>10</v>
          </cell>
          <cell r="Y303">
            <v>7</v>
          </cell>
          <cell r="Z303">
            <v>0.7</v>
          </cell>
        </row>
        <row r="304">
          <cell r="B304" t="str">
            <v>F175_1B</v>
          </cell>
          <cell r="C304" t="str">
            <v>R2_F175_1B</v>
          </cell>
          <cell r="D304">
            <v>0</v>
          </cell>
          <cell r="E304">
            <v>0.35</v>
          </cell>
          <cell r="F304">
            <v>568</v>
          </cell>
          <cell r="G304">
            <v>1</v>
          </cell>
          <cell r="H304">
            <v>62</v>
          </cell>
          <cell r="I304">
            <v>6</v>
          </cell>
          <cell r="J304">
            <v>4</v>
          </cell>
          <cell r="K304">
            <v>0</v>
          </cell>
          <cell r="L304">
            <v>9.1425529999999995</v>
          </cell>
          <cell r="M304">
            <v>-83.533055000000004</v>
          </cell>
          <cell r="N304" t="str">
            <v>Sur</v>
          </cell>
          <cell r="O304">
            <v>1</v>
          </cell>
          <cell r="P304" t="str">
            <v>victoria</v>
          </cell>
          <cell r="Q304" t="str">
            <v>cabecar</v>
          </cell>
          <cell r="R304" t="b">
            <v>0</v>
          </cell>
          <cell r="S304" t="str">
            <v>175_1</v>
          </cell>
          <cell r="T304">
            <v>1</v>
          </cell>
          <cell r="U304">
            <v>2</v>
          </cell>
          <cell r="V304">
            <v>2</v>
          </cell>
          <cell r="W304">
            <v>1</v>
          </cell>
          <cell r="X304">
            <v>10</v>
          </cell>
          <cell r="Y304">
            <v>7</v>
          </cell>
          <cell r="Z304">
            <v>0.7</v>
          </cell>
        </row>
        <row r="305">
          <cell r="B305" t="str">
            <v>F175_2B</v>
          </cell>
          <cell r="C305" t="str">
            <v>R2_F175_2B</v>
          </cell>
          <cell r="D305">
            <v>1</v>
          </cell>
          <cell r="E305">
            <v>0.35</v>
          </cell>
          <cell r="F305">
            <v>568</v>
          </cell>
          <cell r="G305">
            <v>1</v>
          </cell>
          <cell r="H305">
            <v>62</v>
          </cell>
          <cell r="I305">
            <v>6</v>
          </cell>
          <cell r="J305">
            <v>4</v>
          </cell>
          <cell r="K305">
            <v>1</v>
          </cell>
          <cell r="L305">
            <v>9.1425529999999995</v>
          </cell>
          <cell r="M305">
            <v>-83.533055000000004</v>
          </cell>
          <cell r="N305" t="str">
            <v>Sur</v>
          </cell>
          <cell r="O305">
            <v>1</v>
          </cell>
          <cell r="P305" t="str">
            <v>nambi</v>
          </cell>
          <cell r="Q305" t="str">
            <v>nambi</v>
          </cell>
          <cell r="R305" t="b">
            <v>1</v>
          </cell>
          <cell r="S305" t="str">
            <v>175_2</v>
          </cell>
          <cell r="T305">
            <v>1</v>
          </cell>
          <cell r="U305">
            <v>2</v>
          </cell>
          <cell r="V305">
            <v>2</v>
          </cell>
          <cell r="W305">
            <v>1</v>
          </cell>
          <cell r="X305">
            <v>10</v>
          </cell>
          <cell r="Y305">
            <v>7</v>
          </cell>
          <cell r="Z305">
            <v>0.7</v>
          </cell>
        </row>
        <row r="306">
          <cell r="B306" t="str">
            <v>F176_1B</v>
          </cell>
          <cell r="C306" t="str">
            <v>R2_F176_1B</v>
          </cell>
          <cell r="D306">
            <v>1</v>
          </cell>
          <cell r="E306">
            <v>0.1</v>
          </cell>
          <cell r="F306">
            <v>484</v>
          </cell>
          <cell r="G306">
            <v>1</v>
          </cell>
          <cell r="H306">
            <v>46</v>
          </cell>
          <cell r="I306">
            <v>5</v>
          </cell>
          <cell r="J306">
            <v>4</v>
          </cell>
          <cell r="K306">
            <v>1</v>
          </cell>
          <cell r="L306">
            <v>9.1438950000000006</v>
          </cell>
          <cell r="M306">
            <v>-83.544445999999994</v>
          </cell>
          <cell r="N306" t="str">
            <v>Sur</v>
          </cell>
          <cell r="O306">
            <v>1</v>
          </cell>
          <cell r="P306" t="str">
            <v>nambi</v>
          </cell>
          <cell r="Q306" t="str">
            <v>nambi</v>
          </cell>
          <cell r="R306" t="b">
            <v>1</v>
          </cell>
          <cell r="S306" t="str">
            <v>176_1</v>
          </cell>
          <cell r="T306">
            <v>1</v>
          </cell>
          <cell r="U306">
            <v>0</v>
          </cell>
          <cell r="V306">
            <v>0</v>
          </cell>
          <cell r="W306" t="str">
            <v>NA</v>
          </cell>
          <cell r="X306">
            <v>16</v>
          </cell>
          <cell r="Y306">
            <v>11</v>
          </cell>
          <cell r="Z306">
            <v>0.6875</v>
          </cell>
        </row>
        <row r="307">
          <cell r="B307" t="str">
            <v>F177_1B</v>
          </cell>
          <cell r="C307" t="str">
            <v>R2_F177_1B</v>
          </cell>
          <cell r="D307">
            <v>1</v>
          </cell>
          <cell r="E307">
            <v>1</v>
          </cell>
          <cell r="F307">
            <v>410</v>
          </cell>
          <cell r="G307">
            <v>1</v>
          </cell>
          <cell r="H307">
            <v>31</v>
          </cell>
          <cell r="I307">
            <v>9</v>
          </cell>
          <cell r="J307">
            <v>4</v>
          </cell>
          <cell r="K307">
            <v>1</v>
          </cell>
          <cell r="L307">
            <v>9.1145130000000005</v>
          </cell>
          <cell r="M307">
            <v>-83.536485999999996</v>
          </cell>
          <cell r="N307" t="str">
            <v>Sur</v>
          </cell>
          <cell r="O307">
            <v>1</v>
          </cell>
          <cell r="P307" t="str">
            <v>nambi</v>
          </cell>
          <cell r="Q307" t="str">
            <v>nambi</v>
          </cell>
          <cell r="R307" t="b">
            <v>1</v>
          </cell>
          <cell r="S307" t="str">
            <v>177_1</v>
          </cell>
          <cell r="T307">
            <v>1</v>
          </cell>
          <cell r="U307">
            <v>6</v>
          </cell>
          <cell r="V307">
            <v>4</v>
          </cell>
          <cell r="W307">
            <v>0.66666666699999999</v>
          </cell>
          <cell r="X307">
            <v>41</v>
          </cell>
          <cell r="Y307">
            <v>25</v>
          </cell>
          <cell r="Z307">
            <v>0.60975609799999997</v>
          </cell>
        </row>
        <row r="308">
          <cell r="B308" t="str">
            <v>F177_2B</v>
          </cell>
          <cell r="C308" t="str">
            <v>R2_F177_2B</v>
          </cell>
          <cell r="D308">
            <v>1</v>
          </cell>
          <cell r="E308">
            <v>1</v>
          </cell>
          <cell r="F308">
            <v>410</v>
          </cell>
          <cell r="G308">
            <v>1</v>
          </cell>
          <cell r="H308">
            <v>31</v>
          </cell>
          <cell r="I308">
            <v>9</v>
          </cell>
          <cell r="J308">
            <v>4</v>
          </cell>
          <cell r="K308">
            <v>1</v>
          </cell>
          <cell r="L308">
            <v>9.1145130000000005</v>
          </cell>
          <cell r="M308">
            <v>-83.536485999999996</v>
          </cell>
          <cell r="N308" t="str">
            <v>Sur</v>
          </cell>
          <cell r="O308">
            <v>1</v>
          </cell>
          <cell r="P308" t="str">
            <v>cabecar</v>
          </cell>
          <cell r="Q308" t="str">
            <v>cabecar</v>
          </cell>
          <cell r="R308" t="b">
            <v>1</v>
          </cell>
          <cell r="S308" t="str">
            <v>177_2</v>
          </cell>
          <cell r="T308">
            <v>1</v>
          </cell>
          <cell r="U308">
            <v>6</v>
          </cell>
          <cell r="V308">
            <v>4</v>
          </cell>
          <cell r="W308">
            <v>0.66666666699999999</v>
          </cell>
          <cell r="X308">
            <v>41</v>
          </cell>
          <cell r="Y308">
            <v>25</v>
          </cell>
          <cell r="Z308">
            <v>0.60975609799999997</v>
          </cell>
        </row>
        <row r="309">
          <cell r="B309" t="str">
            <v>F178_1B</v>
          </cell>
          <cell r="C309" t="str">
            <v>R2_F178_1B</v>
          </cell>
          <cell r="D309">
            <v>1</v>
          </cell>
          <cell r="E309">
            <v>0.7</v>
          </cell>
          <cell r="F309">
            <v>435</v>
          </cell>
          <cell r="G309">
            <v>1</v>
          </cell>
          <cell r="H309">
            <v>60</v>
          </cell>
          <cell r="I309">
            <v>2</v>
          </cell>
          <cell r="J309">
            <v>6</v>
          </cell>
          <cell r="K309">
            <v>1</v>
          </cell>
          <cell r="L309">
            <v>9.1142529999999997</v>
          </cell>
          <cell r="M309">
            <v>-83.539822000000001</v>
          </cell>
          <cell r="N309" t="str">
            <v>Sur</v>
          </cell>
          <cell r="O309">
            <v>1</v>
          </cell>
          <cell r="P309" t="str">
            <v>nambi</v>
          </cell>
          <cell r="Q309" t="str">
            <v>nambi</v>
          </cell>
          <cell r="R309" t="b">
            <v>1</v>
          </cell>
          <cell r="S309" t="str">
            <v>178_1</v>
          </cell>
          <cell r="T309">
            <v>1</v>
          </cell>
          <cell r="U309">
            <v>12</v>
          </cell>
          <cell r="V309">
            <v>8</v>
          </cell>
          <cell r="W309">
            <v>0.66666666699999999</v>
          </cell>
          <cell r="X309">
            <v>43</v>
          </cell>
          <cell r="Y309">
            <v>27</v>
          </cell>
          <cell r="Z309">
            <v>0.62790697699999998</v>
          </cell>
        </row>
        <row r="310">
          <cell r="B310" t="str">
            <v>F180_1B</v>
          </cell>
          <cell r="C310" t="str">
            <v>R2_F180_1B</v>
          </cell>
          <cell r="D310">
            <v>1</v>
          </cell>
          <cell r="E310">
            <v>1.4</v>
          </cell>
          <cell r="F310">
            <v>448</v>
          </cell>
          <cell r="G310">
            <v>1</v>
          </cell>
          <cell r="H310">
            <v>56</v>
          </cell>
          <cell r="I310">
            <v>6</v>
          </cell>
          <cell r="J310">
            <v>3</v>
          </cell>
          <cell r="K310">
            <v>1</v>
          </cell>
          <cell r="L310">
            <v>9.1137409999999992</v>
          </cell>
          <cell r="M310">
            <v>-83.540051000000005</v>
          </cell>
          <cell r="N310" t="str">
            <v>Sur</v>
          </cell>
          <cell r="O310">
            <v>1</v>
          </cell>
          <cell r="P310" t="str">
            <v>nambi</v>
          </cell>
          <cell r="Q310" t="str">
            <v>nambi</v>
          </cell>
          <cell r="R310" t="b">
            <v>1</v>
          </cell>
          <cell r="S310" t="str">
            <v>180_1</v>
          </cell>
          <cell r="T310">
            <v>1</v>
          </cell>
          <cell r="U310">
            <v>12</v>
          </cell>
          <cell r="V310">
            <v>8</v>
          </cell>
          <cell r="W310">
            <v>0.66666666699999999</v>
          </cell>
          <cell r="X310">
            <v>43</v>
          </cell>
          <cell r="Y310">
            <v>27</v>
          </cell>
          <cell r="Z310">
            <v>0.62790697699999998</v>
          </cell>
        </row>
        <row r="311">
          <cell r="B311" t="str">
            <v>F181_1B</v>
          </cell>
          <cell r="C311" t="str">
            <v>R2_F181_1B</v>
          </cell>
          <cell r="D311">
            <v>1</v>
          </cell>
          <cell r="E311">
            <v>0.28000000000000003</v>
          </cell>
          <cell r="F311">
            <v>455</v>
          </cell>
          <cell r="G311">
            <v>1</v>
          </cell>
          <cell r="H311">
            <v>57</v>
          </cell>
          <cell r="I311">
            <v>6</v>
          </cell>
          <cell r="J311">
            <v>3</v>
          </cell>
          <cell r="K311">
            <v>0</v>
          </cell>
          <cell r="L311">
            <v>9.1142900000000004</v>
          </cell>
          <cell r="M311">
            <v>-83.543743000000006</v>
          </cell>
          <cell r="N311" t="str">
            <v>Sur</v>
          </cell>
          <cell r="O311">
            <v>1</v>
          </cell>
          <cell r="P311" t="str">
            <v>sacapobres</v>
          </cell>
          <cell r="Q311" t="str">
            <v>sacapobres</v>
          </cell>
          <cell r="R311" t="b">
            <v>1</v>
          </cell>
          <cell r="S311" t="str">
            <v>181_1</v>
          </cell>
          <cell r="T311">
            <v>1</v>
          </cell>
          <cell r="U311">
            <v>6</v>
          </cell>
          <cell r="V311">
            <v>4</v>
          </cell>
          <cell r="W311">
            <v>0.66666666699999999</v>
          </cell>
          <cell r="X311">
            <v>40</v>
          </cell>
          <cell r="Y311">
            <v>25</v>
          </cell>
          <cell r="Z311">
            <v>0.625</v>
          </cell>
        </row>
        <row r="312">
          <cell r="B312" t="str">
            <v>F181_2B</v>
          </cell>
          <cell r="C312" t="str">
            <v>R2_F181_2B</v>
          </cell>
          <cell r="D312">
            <v>0</v>
          </cell>
          <cell r="E312">
            <v>0.7</v>
          </cell>
          <cell r="F312">
            <v>455</v>
          </cell>
          <cell r="G312">
            <v>1</v>
          </cell>
          <cell r="H312">
            <v>57</v>
          </cell>
          <cell r="I312">
            <v>6</v>
          </cell>
          <cell r="J312">
            <v>3</v>
          </cell>
          <cell r="K312">
            <v>0</v>
          </cell>
          <cell r="L312">
            <v>9.1142900000000004</v>
          </cell>
          <cell r="M312">
            <v>-83.543743000000006</v>
          </cell>
          <cell r="N312" t="str">
            <v>Sur</v>
          </cell>
          <cell r="O312">
            <v>1</v>
          </cell>
          <cell r="P312" t="str">
            <v>victoria</v>
          </cell>
          <cell r="Q312" t="str">
            <v>cabecar</v>
          </cell>
          <cell r="R312" t="b">
            <v>0</v>
          </cell>
          <cell r="S312" t="str">
            <v>181_2</v>
          </cell>
          <cell r="T312">
            <v>0</v>
          </cell>
          <cell r="U312">
            <v>6</v>
          </cell>
          <cell r="V312">
            <v>4</v>
          </cell>
          <cell r="W312">
            <v>0.66666666699999999</v>
          </cell>
          <cell r="X312">
            <v>40</v>
          </cell>
          <cell r="Y312">
            <v>25</v>
          </cell>
          <cell r="Z312">
            <v>0.625</v>
          </cell>
        </row>
        <row r="313">
          <cell r="B313" t="str">
            <v>F181_3B</v>
          </cell>
          <cell r="C313" t="str">
            <v>R2_F181_3B</v>
          </cell>
          <cell r="D313">
            <v>1</v>
          </cell>
          <cell r="E313">
            <v>0.7</v>
          </cell>
          <cell r="F313">
            <v>455</v>
          </cell>
          <cell r="G313">
            <v>1</v>
          </cell>
          <cell r="H313">
            <v>57</v>
          </cell>
          <cell r="I313">
            <v>6</v>
          </cell>
          <cell r="J313">
            <v>3</v>
          </cell>
          <cell r="K313">
            <v>1</v>
          </cell>
          <cell r="L313">
            <v>9.1142900000000004</v>
          </cell>
          <cell r="M313">
            <v>-83.543743000000006</v>
          </cell>
          <cell r="N313" t="str">
            <v>Sur</v>
          </cell>
          <cell r="O313">
            <v>1</v>
          </cell>
          <cell r="P313" t="str">
            <v>nambi</v>
          </cell>
          <cell r="Q313" t="str">
            <v>nambi</v>
          </cell>
          <cell r="R313" t="b">
            <v>1</v>
          </cell>
          <cell r="S313" t="str">
            <v>181_3</v>
          </cell>
          <cell r="T313">
            <v>1</v>
          </cell>
          <cell r="U313">
            <v>6</v>
          </cell>
          <cell r="V313">
            <v>4</v>
          </cell>
          <cell r="W313">
            <v>0.66666666699999999</v>
          </cell>
          <cell r="X313">
            <v>40</v>
          </cell>
          <cell r="Y313">
            <v>25</v>
          </cell>
          <cell r="Z313">
            <v>0.625</v>
          </cell>
        </row>
        <row r="314">
          <cell r="B314" t="str">
            <v>F182_1B</v>
          </cell>
          <cell r="C314" t="str">
            <v>R2_F182_1B</v>
          </cell>
          <cell r="D314">
            <v>1</v>
          </cell>
          <cell r="E314">
            <v>0.35</v>
          </cell>
          <cell r="F314">
            <v>395</v>
          </cell>
          <cell r="G314">
            <v>1</v>
          </cell>
          <cell r="H314">
            <v>43</v>
          </cell>
          <cell r="I314">
            <v>6</v>
          </cell>
          <cell r="J314">
            <v>3</v>
          </cell>
          <cell r="K314">
            <v>0</v>
          </cell>
          <cell r="L314">
            <v>9.1195360000000001</v>
          </cell>
          <cell r="M314">
            <v>-83.533051999999998</v>
          </cell>
          <cell r="N314" t="str">
            <v>Sur</v>
          </cell>
          <cell r="O314">
            <v>1</v>
          </cell>
          <cell r="P314" t="str">
            <v>sacapobres</v>
          </cell>
          <cell r="Q314" t="str">
            <v>sacapobres</v>
          </cell>
          <cell r="R314" t="b">
            <v>1</v>
          </cell>
          <cell r="S314" t="str">
            <v>182_1</v>
          </cell>
          <cell r="T314">
            <v>1</v>
          </cell>
          <cell r="U314">
            <v>2</v>
          </cell>
          <cell r="V314">
            <v>1</v>
          </cell>
          <cell r="W314">
            <v>0.5</v>
          </cell>
          <cell r="X314">
            <v>40</v>
          </cell>
          <cell r="Y314">
            <v>27</v>
          </cell>
          <cell r="Z314">
            <v>0.67500000000000004</v>
          </cell>
        </row>
        <row r="315">
          <cell r="B315" t="str">
            <v>F182_2B</v>
          </cell>
          <cell r="C315" t="str">
            <v>R2_F182_2B</v>
          </cell>
          <cell r="D315">
            <v>0</v>
          </cell>
          <cell r="E315">
            <v>0.28000000000000003</v>
          </cell>
          <cell r="F315">
            <v>395</v>
          </cell>
          <cell r="G315">
            <v>1</v>
          </cell>
          <cell r="H315">
            <v>43</v>
          </cell>
          <cell r="I315">
            <v>6</v>
          </cell>
          <cell r="J315">
            <v>3</v>
          </cell>
          <cell r="K315">
            <v>1</v>
          </cell>
          <cell r="L315">
            <v>9.1195360000000001</v>
          </cell>
          <cell r="M315">
            <v>-83.533051999999998</v>
          </cell>
          <cell r="N315" t="str">
            <v>Sur</v>
          </cell>
          <cell r="O315">
            <v>1</v>
          </cell>
          <cell r="P315" t="str">
            <v>guaymi</v>
          </cell>
          <cell r="Q315" t="str">
            <v>sacapobres</v>
          </cell>
          <cell r="R315" t="b">
            <v>0</v>
          </cell>
          <cell r="S315" t="str">
            <v>182_2</v>
          </cell>
          <cell r="T315">
            <v>0</v>
          </cell>
          <cell r="U315">
            <v>2</v>
          </cell>
          <cell r="V315">
            <v>1</v>
          </cell>
          <cell r="W315">
            <v>0.5</v>
          </cell>
          <cell r="X315">
            <v>40</v>
          </cell>
          <cell r="Y315">
            <v>27</v>
          </cell>
          <cell r="Z315">
            <v>0.67500000000000004</v>
          </cell>
        </row>
        <row r="316">
          <cell r="B316" t="str">
            <v>F183_1B</v>
          </cell>
          <cell r="C316" t="str">
            <v>R2_F183_1B</v>
          </cell>
          <cell r="D316">
            <v>1</v>
          </cell>
          <cell r="E316">
            <v>0.7</v>
          </cell>
          <cell r="F316">
            <v>737</v>
          </cell>
          <cell r="G316">
            <v>1</v>
          </cell>
          <cell r="H316">
            <v>28</v>
          </cell>
          <cell r="I316">
            <v>6</v>
          </cell>
          <cell r="J316">
            <v>5</v>
          </cell>
          <cell r="K316">
            <v>1</v>
          </cell>
          <cell r="L316">
            <v>9.1040849999999995</v>
          </cell>
          <cell r="M316">
            <v>-83.566387000000006</v>
          </cell>
          <cell r="N316" t="str">
            <v>Sur</v>
          </cell>
          <cell r="O316">
            <v>1</v>
          </cell>
          <cell r="P316" t="str">
            <v>cabecar</v>
          </cell>
          <cell r="Q316" t="str">
            <v>cabecar</v>
          </cell>
          <cell r="R316" t="b">
            <v>1</v>
          </cell>
          <cell r="S316" t="str">
            <v>183_1</v>
          </cell>
          <cell r="T316">
            <v>1</v>
          </cell>
          <cell r="U316">
            <v>1</v>
          </cell>
          <cell r="V316">
            <v>1</v>
          </cell>
          <cell r="W316">
            <v>1</v>
          </cell>
          <cell r="X316">
            <v>26</v>
          </cell>
          <cell r="Y316">
            <v>16</v>
          </cell>
          <cell r="Z316">
            <v>0.61538461499999997</v>
          </cell>
        </row>
        <row r="317">
          <cell r="B317" t="str">
            <v>F183_2B</v>
          </cell>
          <cell r="C317" t="str">
            <v>R2_F183_2B</v>
          </cell>
          <cell r="D317">
            <v>1</v>
          </cell>
          <cell r="E317">
            <v>0.35</v>
          </cell>
          <cell r="F317">
            <v>737</v>
          </cell>
          <cell r="G317">
            <v>1</v>
          </cell>
          <cell r="H317">
            <v>28</v>
          </cell>
          <cell r="I317">
            <v>6</v>
          </cell>
          <cell r="J317">
            <v>5</v>
          </cell>
          <cell r="K317">
            <v>0</v>
          </cell>
          <cell r="L317">
            <v>9.1040849999999995</v>
          </cell>
          <cell r="M317">
            <v>-83.566387000000006</v>
          </cell>
          <cell r="N317" t="str">
            <v>Sur</v>
          </cell>
          <cell r="O317">
            <v>1</v>
          </cell>
          <cell r="P317" t="str">
            <v>sacapobres</v>
          </cell>
          <cell r="Q317" t="str">
            <v>sacapobres</v>
          </cell>
          <cell r="R317" t="b">
            <v>1</v>
          </cell>
          <cell r="S317" t="str">
            <v>183_2</v>
          </cell>
          <cell r="T317">
            <v>1</v>
          </cell>
          <cell r="U317">
            <v>1</v>
          </cell>
          <cell r="V317">
            <v>1</v>
          </cell>
          <cell r="W317">
            <v>1</v>
          </cell>
          <cell r="X317">
            <v>26</v>
          </cell>
          <cell r="Y317">
            <v>16</v>
          </cell>
          <cell r="Z317">
            <v>0.61538461499999997</v>
          </cell>
        </row>
        <row r="318">
          <cell r="B318" t="str">
            <v>F184_1B</v>
          </cell>
          <cell r="C318" t="str">
            <v>R2_F184_1B</v>
          </cell>
          <cell r="D318">
            <v>1</v>
          </cell>
          <cell r="E318">
            <v>0.7</v>
          </cell>
          <cell r="F318">
            <v>771</v>
          </cell>
          <cell r="G318">
            <v>1</v>
          </cell>
          <cell r="H318">
            <v>61</v>
          </cell>
          <cell r="I318">
            <v>6</v>
          </cell>
          <cell r="J318">
            <v>4</v>
          </cell>
          <cell r="K318">
            <v>1</v>
          </cell>
          <cell r="L318">
            <v>9.1022929999999995</v>
          </cell>
          <cell r="M318">
            <v>-83.561852999999999</v>
          </cell>
          <cell r="N318" t="str">
            <v>Sur</v>
          </cell>
          <cell r="O318">
            <v>1</v>
          </cell>
          <cell r="P318" t="str">
            <v>nambi</v>
          </cell>
          <cell r="Q318" t="str">
            <v>nambi</v>
          </cell>
          <cell r="R318" t="b">
            <v>1</v>
          </cell>
          <cell r="S318" t="str">
            <v>184_1</v>
          </cell>
          <cell r="T318">
            <v>1</v>
          </cell>
          <cell r="U318">
            <v>2</v>
          </cell>
          <cell r="V318">
            <v>2</v>
          </cell>
          <cell r="W318">
            <v>1</v>
          </cell>
          <cell r="X318">
            <v>29</v>
          </cell>
          <cell r="Y318">
            <v>18</v>
          </cell>
          <cell r="Z318">
            <v>0.62068965499999995</v>
          </cell>
        </row>
        <row r="319">
          <cell r="B319" t="str">
            <v>F185_1B</v>
          </cell>
          <cell r="C319" t="str">
            <v>R2_F185_1B</v>
          </cell>
          <cell r="D319">
            <v>1</v>
          </cell>
          <cell r="E319">
            <v>0.5</v>
          </cell>
          <cell r="F319">
            <v>414</v>
          </cell>
          <cell r="G319">
            <v>1</v>
          </cell>
          <cell r="H319">
            <v>52</v>
          </cell>
          <cell r="I319">
            <v>6</v>
          </cell>
          <cell r="J319">
            <v>4</v>
          </cell>
          <cell r="K319">
            <v>1</v>
          </cell>
          <cell r="L319">
            <v>9.1584970000000006</v>
          </cell>
          <cell r="M319">
            <v>-83.574436000000006</v>
          </cell>
          <cell r="N319" t="str">
            <v>Sur</v>
          </cell>
          <cell r="O319">
            <v>1</v>
          </cell>
          <cell r="P319" t="str">
            <v>cabecar</v>
          </cell>
          <cell r="Q319" t="str">
            <v>cabecar</v>
          </cell>
          <cell r="R319" t="b">
            <v>1</v>
          </cell>
          <cell r="S319" t="str">
            <v>185_1</v>
          </cell>
          <cell r="T319">
            <v>1</v>
          </cell>
          <cell r="U319">
            <v>9</v>
          </cell>
          <cell r="V319">
            <v>5</v>
          </cell>
          <cell r="W319">
            <v>0.55555555599999995</v>
          </cell>
          <cell r="X319">
            <v>18</v>
          </cell>
          <cell r="Y319">
            <v>11</v>
          </cell>
          <cell r="Z319">
            <v>0.61111111100000004</v>
          </cell>
        </row>
        <row r="320">
          <cell r="B320" t="str">
            <v>F185_2B</v>
          </cell>
          <cell r="C320" t="str">
            <v>R2_F185_2B</v>
          </cell>
          <cell r="D320">
            <v>1</v>
          </cell>
          <cell r="E320">
            <v>1</v>
          </cell>
          <cell r="F320">
            <v>414</v>
          </cell>
          <cell r="G320">
            <v>1</v>
          </cell>
          <cell r="H320">
            <v>52</v>
          </cell>
          <cell r="I320">
            <v>6</v>
          </cell>
          <cell r="J320">
            <v>4</v>
          </cell>
          <cell r="K320">
            <v>1</v>
          </cell>
          <cell r="L320">
            <v>9.1584970000000006</v>
          </cell>
          <cell r="M320">
            <v>-83.574436000000006</v>
          </cell>
          <cell r="N320" t="str">
            <v>Sur</v>
          </cell>
          <cell r="O320">
            <v>1</v>
          </cell>
          <cell r="P320" t="str">
            <v>nambi</v>
          </cell>
          <cell r="Q320" t="str">
            <v>nambi</v>
          </cell>
          <cell r="R320" t="b">
            <v>1</v>
          </cell>
          <cell r="S320" t="str">
            <v>185_2</v>
          </cell>
          <cell r="T320">
            <v>1</v>
          </cell>
          <cell r="U320">
            <v>9</v>
          </cell>
          <cell r="V320">
            <v>5</v>
          </cell>
          <cell r="W320">
            <v>0.55555555599999995</v>
          </cell>
          <cell r="X320">
            <v>18</v>
          </cell>
          <cell r="Y320">
            <v>11</v>
          </cell>
          <cell r="Z320">
            <v>0.61111111100000004</v>
          </cell>
        </row>
        <row r="321">
          <cell r="B321" t="str">
            <v>F186_1A</v>
          </cell>
          <cell r="C321" t="str">
            <v>R2_F186_1A</v>
          </cell>
          <cell r="D321">
            <v>0</v>
          </cell>
          <cell r="E321">
            <v>0.35</v>
          </cell>
          <cell r="F321">
            <v>515</v>
          </cell>
          <cell r="G321">
            <v>1</v>
          </cell>
          <cell r="H321">
            <v>57</v>
          </cell>
          <cell r="I321">
            <v>6</v>
          </cell>
          <cell r="J321">
            <v>4</v>
          </cell>
          <cell r="K321">
            <v>0</v>
          </cell>
          <cell r="L321">
            <v>9.1122700000000005</v>
          </cell>
          <cell r="M321">
            <v>-83.546794000000006</v>
          </cell>
          <cell r="N321" t="str">
            <v>Sur</v>
          </cell>
          <cell r="O321">
            <v>1</v>
          </cell>
          <cell r="P321" t="str">
            <v>mantequilla</v>
          </cell>
          <cell r="Q321" t="str">
            <v>vaina_blanca</v>
          </cell>
          <cell r="R321" t="b">
            <v>0</v>
          </cell>
          <cell r="S321" t="str">
            <v>186_1</v>
          </cell>
          <cell r="T321">
            <v>0</v>
          </cell>
          <cell r="U321">
            <v>7</v>
          </cell>
          <cell r="V321">
            <v>5</v>
          </cell>
          <cell r="W321">
            <v>0.71428571399999996</v>
          </cell>
          <cell r="X321">
            <v>41</v>
          </cell>
          <cell r="Y321">
            <v>26</v>
          </cell>
          <cell r="Z321">
            <v>0.634146341</v>
          </cell>
        </row>
        <row r="322">
          <cell r="B322" t="str">
            <v>F186_2A</v>
          </cell>
          <cell r="C322" t="str">
            <v>R2_F186_2A</v>
          </cell>
          <cell r="D322">
            <v>1</v>
          </cell>
          <cell r="E322">
            <v>0.7</v>
          </cell>
          <cell r="F322">
            <v>515</v>
          </cell>
          <cell r="G322">
            <v>1</v>
          </cell>
          <cell r="H322">
            <v>57</v>
          </cell>
          <cell r="I322">
            <v>6</v>
          </cell>
          <cell r="J322">
            <v>4</v>
          </cell>
          <cell r="K322">
            <v>1</v>
          </cell>
          <cell r="L322">
            <v>9.1122700000000005</v>
          </cell>
          <cell r="M322">
            <v>-83.546794000000006</v>
          </cell>
          <cell r="N322" t="str">
            <v>Sur</v>
          </cell>
          <cell r="O322">
            <v>1</v>
          </cell>
          <cell r="P322" t="str">
            <v>nambi</v>
          </cell>
          <cell r="Q322" t="str">
            <v>nambi</v>
          </cell>
          <cell r="R322" t="b">
            <v>1</v>
          </cell>
          <cell r="S322" t="str">
            <v>186_2</v>
          </cell>
          <cell r="T322">
            <v>1</v>
          </cell>
          <cell r="U322">
            <v>7</v>
          </cell>
          <cell r="V322">
            <v>5</v>
          </cell>
          <cell r="W322">
            <v>0.71428571399999996</v>
          </cell>
          <cell r="X322">
            <v>41</v>
          </cell>
          <cell r="Y322">
            <v>26</v>
          </cell>
          <cell r="Z322">
            <v>0.634146341</v>
          </cell>
        </row>
        <row r="323">
          <cell r="B323" t="str">
            <v>F187_1B</v>
          </cell>
          <cell r="C323" t="str">
            <v>R2_F187_1B</v>
          </cell>
          <cell r="D323">
            <v>0</v>
          </cell>
          <cell r="E323">
            <v>0.7</v>
          </cell>
          <cell r="F323">
            <v>704</v>
          </cell>
          <cell r="G323">
            <v>1</v>
          </cell>
          <cell r="H323">
            <v>47</v>
          </cell>
          <cell r="I323">
            <v>6</v>
          </cell>
          <cell r="J323">
            <v>6</v>
          </cell>
          <cell r="K323">
            <v>0</v>
          </cell>
          <cell r="L323">
            <v>9.1017410000000005</v>
          </cell>
          <cell r="M323">
            <v>-83.512212000000005</v>
          </cell>
          <cell r="N323" t="str">
            <v>Sur</v>
          </cell>
          <cell r="O323">
            <v>1</v>
          </cell>
          <cell r="P323" t="str">
            <v>SEF 62</v>
          </cell>
          <cell r="Q323" t="str">
            <v>dontknow</v>
          </cell>
          <cell r="R323" t="str">
            <v>Not applicable</v>
          </cell>
          <cell r="S323" t="str">
            <v>187_1</v>
          </cell>
          <cell r="T323">
            <v>0</v>
          </cell>
          <cell r="U323">
            <v>11</v>
          </cell>
          <cell r="V323">
            <v>9</v>
          </cell>
          <cell r="W323">
            <v>0.81818181800000001</v>
          </cell>
          <cell r="X323">
            <v>29</v>
          </cell>
          <cell r="Y323">
            <v>22</v>
          </cell>
          <cell r="Z323">
            <v>0.75862068999999999</v>
          </cell>
        </row>
        <row r="324">
          <cell r="B324" t="str">
            <v>F187_2B</v>
          </cell>
          <cell r="C324" t="str">
            <v>R2_F187_2B</v>
          </cell>
          <cell r="D324">
            <v>1</v>
          </cell>
          <cell r="E324">
            <v>0.28000000000000003</v>
          </cell>
          <cell r="F324">
            <v>704</v>
          </cell>
          <cell r="G324">
            <v>1</v>
          </cell>
          <cell r="H324">
            <v>47</v>
          </cell>
          <cell r="I324">
            <v>6</v>
          </cell>
          <cell r="J324">
            <v>6</v>
          </cell>
          <cell r="K324">
            <v>1</v>
          </cell>
          <cell r="L324">
            <v>9.1017410000000005</v>
          </cell>
          <cell r="M324">
            <v>-83.512212000000005</v>
          </cell>
          <cell r="N324" t="str">
            <v>Sur</v>
          </cell>
          <cell r="O324">
            <v>1</v>
          </cell>
          <cell r="P324" t="str">
            <v>nambi</v>
          </cell>
          <cell r="Q324" t="str">
            <v>nambi</v>
          </cell>
          <cell r="R324" t="b">
            <v>1</v>
          </cell>
          <cell r="S324" t="str">
            <v>187_2</v>
          </cell>
          <cell r="T324">
            <v>1</v>
          </cell>
          <cell r="U324">
            <v>11</v>
          </cell>
          <cell r="V324">
            <v>9</v>
          </cell>
          <cell r="W324">
            <v>0.81818181800000001</v>
          </cell>
          <cell r="X324">
            <v>29</v>
          </cell>
          <cell r="Y324">
            <v>22</v>
          </cell>
          <cell r="Z324">
            <v>0.75862068999999999</v>
          </cell>
        </row>
        <row r="325">
          <cell r="B325" t="str">
            <v>F188_1B</v>
          </cell>
          <cell r="C325" t="str">
            <v>R2_F188_1B</v>
          </cell>
          <cell r="D325">
            <v>0</v>
          </cell>
          <cell r="E325">
            <v>0.7</v>
          </cell>
          <cell r="F325">
            <v>619</v>
          </cell>
          <cell r="G325">
            <v>1</v>
          </cell>
          <cell r="H325">
            <v>48</v>
          </cell>
          <cell r="I325">
            <v>3</v>
          </cell>
          <cell r="J325">
            <v>3</v>
          </cell>
          <cell r="K325">
            <v>0</v>
          </cell>
          <cell r="L325">
            <v>9.0990610000000007</v>
          </cell>
          <cell r="M325">
            <v>-83.513936999999999</v>
          </cell>
          <cell r="N325" t="str">
            <v>Sur</v>
          </cell>
          <cell r="O325">
            <v>1</v>
          </cell>
          <cell r="P325" t="str">
            <v>tequila</v>
          </cell>
          <cell r="Q325" t="str">
            <v>nambi</v>
          </cell>
          <cell r="R325" t="b">
            <v>0</v>
          </cell>
          <cell r="S325" t="str">
            <v>188_1</v>
          </cell>
          <cell r="T325">
            <v>0</v>
          </cell>
          <cell r="U325">
            <v>7</v>
          </cell>
          <cell r="V325">
            <v>6</v>
          </cell>
          <cell r="W325">
            <v>0.85714285700000004</v>
          </cell>
          <cell r="X325">
            <v>27</v>
          </cell>
          <cell r="Y325">
            <v>20</v>
          </cell>
          <cell r="Z325">
            <v>0.74074074099999998</v>
          </cell>
        </row>
        <row r="326">
          <cell r="B326" t="str">
            <v>F188_2B</v>
          </cell>
          <cell r="C326" t="str">
            <v>R2_F188_2B</v>
          </cell>
          <cell r="D326">
            <v>1</v>
          </cell>
          <cell r="E326">
            <v>2</v>
          </cell>
          <cell r="F326">
            <v>619</v>
          </cell>
          <cell r="G326">
            <v>1</v>
          </cell>
          <cell r="H326">
            <v>48</v>
          </cell>
          <cell r="I326">
            <v>3</v>
          </cell>
          <cell r="J326">
            <v>3</v>
          </cell>
          <cell r="K326">
            <v>1</v>
          </cell>
          <cell r="L326">
            <v>9.0990610000000007</v>
          </cell>
          <cell r="M326">
            <v>-83.513936999999999</v>
          </cell>
          <cell r="N326" t="str">
            <v>Sur</v>
          </cell>
          <cell r="O326">
            <v>1</v>
          </cell>
          <cell r="P326" t="str">
            <v>cabecar</v>
          </cell>
          <cell r="Q326" t="str">
            <v>cabecar</v>
          </cell>
          <cell r="R326" t="b">
            <v>1</v>
          </cell>
          <cell r="S326" t="str">
            <v>188_2</v>
          </cell>
          <cell r="T326">
            <v>1</v>
          </cell>
          <cell r="U326">
            <v>7</v>
          </cell>
          <cell r="V326">
            <v>6</v>
          </cell>
          <cell r="W326">
            <v>0.85714285700000004</v>
          </cell>
          <cell r="X326">
            <v>27</v>
          </cell>
          <cell r="Y326">
            <v>20</v>
          </cell>
          <cell r="Z326">
            <v>0.74074074099999998</v>
          </cell>
        </row>
        <row r="327">
          <cell r="B327" t="str">
            <v>F189_1B</v>
          </cell>
          <cell r="C327" t="str">
            <v>R2_F189_1B</v>
          </cell>
          <cell r="D327">
            <v>0</v>
          </cell>
          <cell r="E327">
            <v>1</v>
          </cell>
          <cell r="F327">
            <v>743</v>
          </cell>
          <cell r="G327">
            <v>1</v>
          </cell>
          <cell r="H327">
            <v>52</v>
          </cell>
          <cell r="I327">
            <v>6</v>
          </cell>
          <cell r="J327">
            <v>3</v>
          </cell>
          <cell r="K327">
            <v>0</v>
          </cell>
          <cell r="L327">
            <v>9.1033109999999997</v>
          </cell>
          <cell r="M327">
            <v>-83.511840000000007</v>
          </cell>
          <cell r="N327" t="str">
            <v>Sur</v>
          </cell>
          <cell r="O327">
            <v>1</v>
          </cell>
          <cell r="P327" t="str">
            <v>victoria</v>
          </cell>
          <cell r="Q327" t="str">
            <v>cabecar</v>
          </cell>
          <cell r="R327" t="b">
            <v>0</v>
          </cell>
          <cell r="S327" t="str">
            <v>189_1</v>
          </cell>
          <cell r="T327">
            <v>1</v>
          </cell>
          <cell r="U327">
            <v>11</v>
          </cell>
          <cell r="V327">
            <v>8</v>
          </cell>
          <cell r="W327">
            <v>0.72727272700000001</v>
          </cell>
          <cell r="X327">
            <v>31</v>
          </cell>
          <cell r="Y327">
            <v>23</v>
          </cell>
          <cell r="Z327">
            <v>0.74193548399999998</v>
          </cell>
        </row>
        <row r="328">
          <cell r="B328" t="str">
            <v>F189_2B</v>
          </cell>
          <cell r="C328" t="str">
            <v>R2_F189_2B</v>
          </cell>
          <cell r="D328">
            <v>1</v>
          </cell>
          <cell r="E328">
            <v>1</v>
          </cell>
          <cell r="F328">
            <v>743</v>
          </cell>
          <cell r="G328">
            <v>1</v>
          </cell>
          <cell r="H328">
            <v>52</v>
          </cell>
          <cell r="I328">
            <v>6</v>
          </cell>
          <cell r="J328">
            <v>3</v>
          </cell>
          <cell r="K328">
            <v>1</v>
          </cell>
          <cell r="L328">
            <v>9.1033109999999997</v>
          </cell>
          <cell r="M328">
            <v>-83.511840000000007</v>
          </cell>
          <cell r="N328" t="str">
            <v>Sur</v>
          </cell>
          <cell r="O328">
            <v>1</v>
          </cell>
          <cell r="P328" t="str">
            <v>nambi</v>
          </cell>
          <cell r="Q328" t="str">
            <v>nambi</v>
          </cell>
          <cell r="R328" t="b">
            <v>1</v>
          </cell>
          <cell r="S328" t="str">
            <v>189_2</v>
          </cell>
          <cell r="T328">
            <v>1</v>
          </cell>
          <cell r="U328">
            <v>11</v>
          </cell>
          <cell r="V328">
            <v>8</v>
          </cell>
          <cell r="W328">
            <v>0.72727272700000001</v>
          </cell>
          <cell r="X328">
            <v>31</v>
          </cell>
          <cell r="Y328">
            <v>23</v>
          </cell>
          <cell r="Z328">
            <v>0.74193548399999998</v>
          </cell>
        </row>
        <row r="329">
          <cell r="B329" t="str">
            <v>F190_1B</v>
          </cell>
          <cell r="C329" t="str">
            <v>R2_F190_1B</v>
          </cell>
          <cell r="D329">
            <v>1</v>
          </cell>
          <cell r="E329">
            <v>1</v>
          </cell>
          <cell r="F329">
            <v>743</v>
          </cell>
          <cell r="G329">
            <v>1</v>
          </cell>
          <cell r="H329">
            <v>39</v>
          </cell>
          <cell r="I329">
            <v>6</v>
          </cell>
          <cell r="J329">
            <v>5</v>
          </cell>
          <cell r="K329">
            <v>1</v>
          </cell>
          <cell r="L329">
            <v>9.1033290000000004</v>
          </cell>
          <cell r="M329">
            <v>-83.511919000000006</v>
          </cell>
          <cell r="N329" t="str">
            <v>Sur</v>
          </cell>
          <cell r="O329">
            <v>1</v>
          </cell>
          <cell r="P329" t="str">
            <v>nambi</v>
          </cell>
          <cell r="Q329" t="str">
            <v>nambi</v>
          </cell>
          <cell r="R329" t="b">
            <v>1</v>
          </cell>
          <cell r="S329" t="str">
            <v>190_1</v>
          </cell>
          <cell r="T329">
            <v>1</v>
          </cell>
          <cell r="U329">
            <v>11</v>
          </cell>
          <cell r="V329">
            <v>8</v>
          </cell>
          <cell r="W329">
            <v>0.72727272700000001</v>
          </cell>
          <cell r="X329">
            <v>31</v>
          </cell>
          <cell r="Y329">
            <v>23</v>
          </cell>
          <cell r="Z329">
            <v>0.74193548399999998</v>
          </cell>
        </row>
        <row r="330">
          <cell r="B330" t="str">
            <v>F190_2B</v>
          </cell>
          <cell r="C330" t="str">
            <v>R2_F190_2B</v>
          </cell>
          <cell r="D330">
            <v>0</v>
          </cell>
          <cell r="E330">
            <v>1</v>
          </cell>
          <cell r="F330">
            <v>743</v>
          </cell>
          <cell r="G330">
            <v>1</v>
          </cell>
          <cell r="H330">
            <v>39</v>
          </cell>
          <cell r="I330">
            <v>6</v>
          </cell>
          <cell r="J330">
            <v>5</v>
          </cell>
          <cell r="K330">
            <v>0</v>
          </cell>
          <cell r="L330">
            <v>9.1033290000000004</v>
          </cell>
          <cell r="M330">
            <v>-83.511919000000006</v>
          </cell>
          <cell r="N330" t="str">
            <v>Sur</v>
          </cell>
          <cell r="O330">
            <v>1</v>
          </cell>
          <cell r="P330" t="str">
            <v>victoria</v>
          </cell>
          <cell r="Q330" t="str">
            <v>cabecar</v>
          </cell>
          <cell r="R330" t="b">
            <v>0</v>
          </cell>
          <cell r="S330" t="str">
            <v>190_2</v>
          </cell>
          <cell r="T330">
            <v>1</v>
          </cell>
          <cell r="U330">
            <v>11</v>
          </cell>
          <cell r="V330">
            <v>8</v>
          </cell>
          <cell r="W330">
            <v>0.72727272700000001</v>
          </cell>
          <cell r="X330">
            <v>31</v>
          </cell>
          <cell r="Y330">
            <v>23</v>
          </cell>
          <cell r="Z330">
            <v>0.74193548399999998</v>
          </cell>
        </row>
        <row r="331">
          <cell r="B331" t="str">
            <v>F191_1B</v>
          </cell>
          <cell r="C331" t="str">
            <v>R2_F191_1B</v>
          </cell>
          <cell r="D331">
            <v>0</v>
          </cell>
          <cell r="E331">
            <v>1.4</v>
          </cell>
          <cell r="F331">
            <v>709</v>
          </cell>
          <cell r="G331">
            <v>1</v>
          </cell>
          <cell r="H331">
            <v>45</v>
          </cell>
          <cell r="I331">
            <v>3</v>
          </cell>
          <cell r="J331">
            <v>6</v>
          </cell>
          <cell r="K331">
            <v>0</v>
          </cell>
          <cell r="L331">
            <v>9.1060090000000002</v>
          </cell>
          <cell r="M331">
            <v>-83.514792</v>
          </cell>
          <cell r="N331" t="str">
            <v>Sur</v>
          </cell>
          <cell r="O331">
            <v>1</v>
          </cell>
          <cell r="P331" t="str">
            <v>victoria</v>
          </cell>
          <cell r="Q331" t="str">
            <v>cabecar</v>
          </cell>
          <cell r="R331" t="b">
            <v>0</v>
          </cell>
          <cell r="S331" t="str">
            <v>191_1</v>
          </cell>
          <cell r="T331">
            <v>1</v>
          </cell>
          <cell r="U331">
            <v>9</v>
          </cell>
          <cell r="V331">
            <v>7</v>
          </cell>
          <cell r="W331">
            <v>0.77777777800000003</v>
          </cell>
          <cell r="X331">
            <v>32</v>
          </cell>
          <cell r="Y331">
            <v>22</v>
          </cell>
          <cell r="Z331">
            <v>0.6875</v>
          </cell>
        </row>
        <row r="332">
          <cell r="B332" t="str">
            <v>F191_2B</v>
          </cell>
          <cell r="C332" t="str">
            <v>R2_F191_2B</v>
          </cell>
          <cell r="D332">
            <v>1</v>
          </cell>
          <cell r="E332">
            <v>1.5</v>
          </cell>
          <cell r="F332">
            <v>709</v>
          </cell>
          <cell r="G332">
            <v>1</v>
          </cell>
          <cell r="H332">
            <v>45</v>
          </cell>
          <cell r="I332">
            <v>3</v>
          </cell>
          <cell r="J332">
            <v>6</v>
          </cell>
          <cell r="K332">
            <v>0</v>
          </cell>
          <cell r="L332">
            <v>9.1060090000000002</v>
          </cell>
          <cell r="M332">
            <v>-83.514792</v>
          </cell>
          <cell r="N332" t="str">
            <v>Sur</v>
          </cell>
          <cell r="O332">
            <v>1</v>
          </cell>
          <cell r="P332" t="str">
            <v>victoria</v>
          </cell>
          <cell r="Q332" t="str">
            <v>victoria</v>
          </cell>
          <cell r="R332" t="b">
            <v>1</v>
          </cell>
          <cell r="S332" t="str">
            <v>191_2</v>
          </cell>
          <cell r="T332">
            <v>1</v>
          </cell>
          <cell r="U332">
            <v>9</v>
          </cell>
          <cell r="V332">
            <v>7</v>
          </cell>
          <cell r="W332">
            <v>0.77777777800000003</v>
          </cell>
          <cell r="X332">
            <v>32</v>
          </cell>
          <cell r="Y332">
            <v>22</v>
          </cell>
          <cell r="Z332">
            <v>0.6875</v>
          </cell>
        </row>
        <row r="333">
          <cell r="B333" t="str">
            <v>F192_1B</v>
          </cell>
          <cell r="C333" t="str">
            <v>R2_F192_1B</v>
          </cell>
          <cell r="D333">
            <v>0</v>
          </cell>
          <cell r="E333">
            <v>1.05</v>
          </cell>
          <cell r="F333">
            <v>733</v>
          </cell>
          <cell r="G333">
            <v>1</v>
          </cell>
          <cell r="H333">
            <v>51</v>
          </cell>
          <cell r="I333">
            <v>4</v>
          </cell>
          <cell r="J333">
            <v>4</v>
          </cell>
          <cell r="K333">
            <v>0</v>
          </cell>
          <cell r="L333">
            <v>9.1038069999999998</v>
          </cell>
          <cell r="M333">
            <v>-83.508384000000007</v>
          </cell>
          <cell r="N333" t="str">
            <v>Sur</v>
          </cell>
          <cell r="O333">
            <v>1</v>
          </cell>
          <cell r="P333" t="str">
            <v>tequila</v>
          </cell>
          <cell r="Q333" t="str">
            <v>cabecar</v>
          </cell>
          <cell r="R333" t="b">
            <v>0</v>
          </cell>
          <cell r="S333" t="str">
            <v>192_1</v>
          </cell>
          <cell r="T333">
            <v>0</v>
          </cell>
          <cell r="U333">
            <v>9</v>
          </cell>
          <cell r="V333">
            <v>8</v>
          </cell>
          <cell r="W333">
            <v>0.88888888899999996</v>
          </cell>
          <cell r="X333">
            <v>33</v>
          </cell>
          <cell r="Y333">
            <v>25</v>
          </cell>
          <cell r="Z333">
            <v>0.75757575799999999</v>
          </cell>
        </row>
        <row r="334">
          <cell r="B334" t="str">
            <v>F192_2B</v>
          </cell>
          <cell r="C334" t="str">
            <v>R2_F192_2B</v>
          </cell>
          <cell r="D334">
            <v>1</v>
          </cell>
          <cell r="E334">
            <v>1.75</v>
          </cell>
          <cell r="F334">
            <v>733</v>
          </cell>
          <cell r="G334">
            <v>1</v>
          </cell>
          <cell r="H334">
            <v>51</v>
          </cell>
          <cell r="I334">
            <v>4</v>
          </cell>
          <cell r="J334">
            <v>4</v>
          </cell>
          <cell r="K334">
            <v>1</v>
          </cell>
          <cell r="L334">
            <v>9.1038069999999998</v>
          </cell>
          <cell r="M334">
            <v>-83.508384000000007</v>
          </cell>
          <cell r="N334" t="str">
            <v>Sur</v>
          </cell>
          <cell r="O334">
            <v>1</v>
          </cell>
          <cell r="P334" t="str">
            <v>nambi</v>
          </cell>
          <cell r="Q334" t="str">
            <v>nambi</v>
          </cell>
          <cell r="R334" t="b">
            <v>1</v>
          </cell>
          <cell r="S334" t="str">
            <v>192_2</v>
          </cell>
          <cell r="T334">
            <v>1</v>
          </cell>
          <cell r="U334">
            <v>9</v>
          </cell>
          <cell r="V334">
            <v>8</v>
          </cell>
          <cell r="W334">
            <v>0.88888888899999996</v>
          </cell>
          <cell r="X334">
            <v>33</v>
          </cell>
          <cell r="Y334">
            <v>25</v>
          </cell>
          <cell r="Z334">
            <v>0.75757575799999999</v>
          </cell>
        </row>
        <row r="335">
          <cell r="B335" t="str">
            <v>F194_1B</v>
          </cell>
          <cell r="C335" t="str">
            <v>R2_F194_1B</v>
          </cell>
          <cell r="D335">
            <v>1</v>
          </cell>
          <cell r="E335">
            <v>2.1</v>
          </cell>
          <cell r="F335">
            <v>414</v>
          </cell>
          <cell r="G335">
            <v>1</v>
          </cell>
          <cell r="H335">
            <v>55</v>
          </cell>
          <cell r="I335">
            <v>3</v>
          </cell>
          <cell r="J335">
            <v>1</v>
          </cell>
          <cell r="K335">
            <v>1</v>
          </cell>
          <cell r="L335">
            <v>9.1591470000000008</v>
          </cell>
          <cell r="M335">
            <v>-83.574109000000007</v>
          </cell>
          <cell r="N335" t="str">
            <v>Sur</v>
          </cell>
          <cell r="O335">
            <v>1</v>
          </cell>
          <cell r="P335" t="str">
            <v>nambi</v>
          </cell>
          <cell r="Q335" t="str">
            <v>nambi</v>
          </cell>
          <cell r="R335" t="b">
            <v>1</v>
          </cell>
          <cell r="S335" t="str">
            <v>194_1</v>
          </cell>
          <cell r="T335">
            <v>1</v>
          </cell>
          <cell r="U335">
            <v>10</v>
          </cell>
          <cell r="V335">
            <v>6</v>
          </cell>
          <cell r="W335">
            <v>0.6</v>
          </cell>
          <cell r="X335">
            <v>17</v>
          </cell>
          <cell r="Y335">
            <v>12</v>
          </cell>
          <cell r="Z335">
            <v>0.70588235300000002</v>
          </cell>
        </row>
        <row r="336">
          <cell r="B336" t="str">
            <v>F195_1B</v>
          </cell>
          <cell r="C336" t="str">
            <v>R2_F195_1B</v>
          </cell>
          <cell r="D336">
            <v>1</v>
          </cell>
          <cell r="E336">
            <v>0.7</v>
          </cell>
          <cell r="F336">
            <v>407</v>
          </cell>
          <cell r="G336">
            <v>1</v>
          </cell>
          <cell r="H336">
            <v>53</v>
          </cell>
          <cell r="I336">
            <v>6</v>
          </cell>
          <cell r="J336">
            <v>1</v>
          </cell>
          <cell r="K336">
            <v>1</v>
          </cell>
          <cell r="L336">
            <v>9.1566080000000003</v>
          </cell>
          <cell r="M336">
            <v>-83.573035000000004</v>
          </cell>
          <cell r="N336" t="str">
            <v>Sur</v>
          </cell>
          <cell r="O336">
            <v>1</v>
          </cell>
          <cell r="P336" t="str">
            <v>nambi</v>
          </cell>
          <cell r="Q336" t="str">
            <v>nambi</v>
          </cell>
          <cell r="R336" t="b">
            <v>1</v>
          </cell>
          <cell r="S336" t="str">
            <v>195_1</v>
          </cell>
          <cell r="T336">
            <v>1</v>
          </cell>
          <cell r="U336">
            <v>10</v>
          </cell>
          <cell r="V336">
            <v>6</v>
          </cell>
          <cell r="W336">
            <v>0.6</v>
          </cell>
          <cell r="X336">
            <v>17</v>
          </cell>
          <cell r="Y336">
            <v>12</v>
          </cell>
          <cell r="Z336">
            <v>0.70588235300000002</v>
          </cell>
        </row>
        <row r="337">
          <cell r="B337" t="str">
            <v>F197_1B</v>
          </cell>
          <cell r="C337" t="str">
            <v>R2_F197_1B</v>
          </cell>
          <cell r="D337">
            <v>1</v>
          </cell>
          <cell r="E337">
            <v>1</v>
          </cell>
          <cell r="F337">
            <v>376</v>
          </cell>
          <cell r="G337">
            <v>1</v>
          </cell>
          <cell r="H337">
            <v>41</v>
          </cell>
          <cell r="I337">
            <v>16</v>
          </cell>
          <cell r="J337">
            <v>6</v>
          </cell>
          <cell r="K337">
            <v>1</v>
          </cell>
          <cell r="L337">
            <v>9.1513519999999993</v>
          </cell>
          <cell r="M337">
            <v>-83.547730000000001</v>
          </cell>
          <cell r="N337" t="str">
            <v>Sur</v>
          </cell>
          <cell r="O337">
            <v>1</v>
          </cell>
          <cell r="P337" t="str">
            <v>cabecar</v>
          </cell>
          <cell r="Q337" t="str">
            <v>cabecar</v>
          </cell>
          <cell r="R337" t="b">
            <v>1</v>
          </cell>
          <cell r="S337" t="str">
            <v>197_1</v>
          </cell>
          <cell r="T337">
            <v>1</v>
          </cell>
          <cell r="U337">
            <v>0</v>
          </cell>
          <cell r="V337">
            <v>0</v>
          </cell>
          <cell r="W337" t="str">
            <v>NA</v>
          </cell>
          <cell r="X337">
            <v>25</v>
          </cell>
          <cell r="Y337">
            <v>20</v>
          </cell>
          <cell r="Z337">
            <v>0.8</v>
          </cell>
        </row>
        <row r="338">
          <cell r="B338" t="str">
            <v>F200_1B</v>
          </cell>
          <cell r="C338" t="str">
            <v>R2_F200_1B</v>
          </cell>
          <cell r="D338">
            <v>1</v>
          </cell>
          <cell r="E338">
            <v>0.35</v>
          </cell>
          <cell r="F338">
            <v>662</v>
          </cell>
          <cell r="G338">
            <v>1</v>
          </cell>
          <cell r="H338">
            <v>35</v>
          </cell>
          <cell r="I338">
            <v>6</v>
          </cell>
          <cell r="J338">
            <v>5</v>
          </cell>
          <cell r="K338">
            <v>1</v>
          </cell>
          <cell r="L338">
            <v>9.1281020000000002</v>
          </cell>
          <cell r="M338">
            <v>-83.503534000000002</v>
          </cell>
          <cell r="N338" t="str">
            <v>Sur</v>
          </cell>
          <cell r="O338">
            <v>1</v>
          </cell>
          <cell r="P338" t="str">
            <v>nambi</v>
          </cell>
          <cell r="Q338" t="str">
            <v>nambi</v>
          </cell>
          <cell r="R338" t="b">
            <v>1</v>
          </cell>
          <cell r="S338" t="str">
            <v>200_1</v>
          </cell>
          <cell r="T338">
            <v>1</v>
          </cell>
          <cell r="U338">
            <v>0</v>
          </cell>
          <cell r="V338">
            <v>0</v>
          </cell>
          <cell r="W338" t="str">
            <v>NA</v>
          </cell>
          <cell r="X338">
            <v>13</v>
          </cell>
          <cell r="Y338">
            <v>10</v>
          </cell>
          <cell r="Z338">
            <v>0.76923076899999998</v>
          </cell>
        </row>
        <row r="339">
          <cell r="B339" t="str">
            <v>F201_1B</v>
          </cell>
          <cell r="C339" t="str">
            <v>R2_F201_1B</v>
          </cell>
          <cell r="D339">
            <v>1</v>
          </cell>
          <cell r="E339">
            <v>1</v>
          </cell>
          <cell r="F339">
            <v>657</v>
          </cell>
          <cell r="G339">
            <v>1</v>
          </cell>
          <cell r="H339">
            <v>66</v>
          </cell>
          <cell r="I339">
            <v>6</v>
          </cell>
          <cell r="J339">
            <v>1</v>
          </cell>
          <cell r="K339">
            <v>1</v>
          </cell>
          <cell r="L339">
            <v>9.1667249999999996</v>
          </cell>
          <cell r="M339">
            <v>-83.605022000000005</v>
          </cell>
          <cell r="N339" t="str">
            <v>Sur</v>
          </cell>
          <cell r="O339">
            <v>1</v>
          </cell>
          <cell r="P339" t="str">
            <v>cabecar</v>
          </cell>
          <cell r="Q339" t="str">
            <v>cabecar</v>
          </cell>
          <cell r="R339" t="b">
            <v>1</v>
          </cell>
          <cell r="S339" t="str">
            <v>201_1</v>
          </cell>
          <cell r="T339">
            <v>1</v>
          </cell>
          <cell r="U339">
            <v>0</v>
          </cell>
          <cell r="V339">
            <v>0</v>
          </cell>
          <cell r="W339" t="str">
            <v>NA</v>
          </cell>
          <cell r="X339">
            <v>7</v>
          </cell>
          <cell r="Y339">
            <v>7</v>
          </cell>
          <cell r="Z339">
            <v>1</v>
          </cell>
        </row>
        <row r="340">
          <cell r="B340" t="str">
            <v>F202_1B</v>
          </cell>
          <cell r="C340" t="str">
            <v>R2_F202_1B</v>
          </cell>
          <cell r="D340">
            <v>0</v>
          </cell>
          <cell r="E340">
            <v>0.35</v>
          </cell>
          <cell r="F340">
            <v>783</v>
          </cell>
          <cell r="G340">
            <v>1</v>
          </cell>
          <cell r="H340">
            <v>58</v>
          </cell>
          <cell r="I340">
            <v>6</v>
          </cell>
          <cell r="J340">
            <v>3</v>
          </cell>
          <cell r="K340">
            <v>0</v>
          </cell>
          <cell r="L340">
            <v>9.0954189999999997</v>
          </cell>
          <cell r="M340">
            <v>-83.555305000000004</v>
          </cell>
          <cell r="N340" t="str">
            <v>Sur</v>
          </cell>
          <cell r="O340">
            <v>1</v>
          </cell>
          <cell r="P340" t="str">
            <v>generalito</v>
          </cell>
          <cell r="Q340" t="str">
            <v>dontknow</v>
          </cell>
          <cell r="R340" t="str">
            <v>Not applicable</v>
          </cell>
          <cell r="S340" t="str">
            <v>202_1</v>
          </cell>
          <cell r="T340">
            <v>0</v>
          </cell>
          <cell r="U340">
            <v>3</v>
          </cell>
          <cell r="V340">
            <v>1</v>
          </cell>
          <cell r="W340">
            <v>0.33333333300000001</v>
          </cell>
          <cell r="X340">
            <v>36</v>
          </cell>
          <cell r="Y340">
            <v>22</v>
          </cell>
          <cell r="Z340">
            <v>0.61111111100000004</v>
          </cell>
        </row>
        <row r="341">
          <cell r="B341" t="str">
            <v>F204_1B</v>
          </cell>
          <cell r="C341" t="str">
            <v>R2_F204_1B</v>
          </cell>
          <cell r="D341">
            <v>1</v>
          </cell>
          <cell r="E341">
            <v>0.35</v>
          </cell>
          <cell r="F341">
            <v>765</v>
          </cell>
          <cell r="G341">
            <v>1</v>
          </cell>
          <cell r="H341">
            <v>42</v>
          </cell>
          <cell r="I341">
            <v>6</v>
          </cell>
          <cell r="J341">
            <v>5</v>
          </cell>
          <cell r="K341">
            <v>1</v>
          </cell>
          <cell r="L341">
            <v>9.0972620000000006</v>
          </cell>
          <cell r="M341">
            <v>-83.556814000000003</v>
          </cell>
          <cell r="N341" t="str">
            <v>Sur</v>
          </cell>
          <cell r="O341">
            <v>1</v>
          </cell>
          <cell r="P341" t="str">
            <v>nambi</v>
          </cell>
          <cell r="Q341" t="str">
            <v>nambi</v>
          </cell>
          <cell r="R341" t="b">
            <v>1</v>
          </cell>
          <cell r="S341" t="str">
            <v>204_1</v>
          </cell>
          <cell r="T341">
            <v>1</v>
          </cell>
          <cell r="U341">
            <v>3</v>
          </cell>
          <cell r="V341">
            <v>0</v>
          </cell>
          <cell r="W341">
            <v>0</v>
          </cell>
          <cell r="X341">
            <v>40</v>
          </cell>
          <cell r="Y341">
            <v>23</v>
          </cell>
          <cell r="Z341">
            <v>0.57499999999999996</v>
          </cell>
        </row>
        <row r="342">
          <cell r="B342" t="str">
            <v>F205_1B</v>
          </cell>
          <cell r="C342" t="str">
            <v>R2_F205_1B</v>
          </cell>
          <cell r="D342">
            <v>0</v>
          </cell>
          <cell r="E342">
            <v>0.35</v>
          </cell>
          <cell r="F342">
            <v>765</v>
          </cell>
          <cell r="G342">
            <v>1</v>
          </cell>
          <cell r="H342">
            <v>33</v>
          </cell>
          <cell r="I342">
            <v>0</v>
          </cell>
          <cell r="J342">
            <v>1</v>
          </cell>
          <cell r="K342">
            <v>0</v>
          </cell>
          <cell r="L342">
            <v>9.097664</v>
          </cell>
          <cell r="M342">
            <v>-83.556680999999998</v>
          </cell>
          <cell r="N342" t="str">
            <v>Sur</v>
          </cell>
          <cell r="O342">
            <v>1</v>
          </cell>
          <cell r="P342" t="str">
            <v>victoria</v>
          </cell>
          <cell r="Q342" t="str">
            <v>panameno</v>
          </cell>
          <cell r="R342" t="b">
            <v>0</v>
          </cell>
          <cell r="S342" t="str">
            <v>205_1</v>
          </cell>
          <cell r="T342">
            <v>0</v>
          </cell>
          <cell r="U342">
            <v>3</v>
          </cell>
          <cell r="V342">
            <v>1</v>
          </cell>
          <cell r="W342">
            <v>0.33333333300000001</v>
          </cell>
          <cell r="X342">
            <v>40</v>
          </cell>
          <cell r="Y342">
            <v>24</v>
          </cell>
          <cell r="Z342">
            <v>0.6</v>
          </cell>
        </row>
        <row r="343">
          <cell r="B343" t="str">
            <v>F206_1B</v>
          </cell>
          <cell r="C343" t="str">
            <v>R2_F206_1B</v>
          </cell>
          <cell r="D343">
            <v>0</v>
          </cell>
          <cell r="E343">
            <v>0.7</v>
          </cell>
          <cell r="F343">
            <v>432</v>
          </cell>
          <cell r="G343">
            <v>0</v>
          </cell>
          <cell r="H343">
            <v>43</v>
          </cell>
          <cell r="I343">
            <v>6</v>
          </cell>
          <cell r="J343">
            <v>5</v>
          </cell>
          <cell r="K343">
            <v>1</v>
          </cell>
          <cell r="L343">
            <v>9.1146279999999997</v>
          </cell>
          <cell r="M343">
            <v>-83.542996000000002</v>
          </cell>
          <cell r="N343" t="str">
            <v>Sur</v>
          </cell>
          <cell r="O343">
            <v>1</v>
          </cell>
          <cell r="P343" t="str">
            <v>nambi</v>
          </cell>
          <cell r="Q343" t="str">
            <v>sacapobres</v>
          </cell>
          <cell r="R343" t="b">
            <v>0</v>
          </cell>
          <cell r="S343" t="str">
            <v>206_1</v>
          </cell>
          <cell r="T343">
            <v>0</v>
          </cell>
          <cell r="U343">
            <v>11</v>
          </cell>
          <cell r="V343">
            <v>8</v>
          </cell>
          <cell r="W343">
            <v>0.72727272700000001</v>
          </cell>
          <cell r="X343">
            <v>41</v>
          </cell>
          <cell r="Y343">
            <v>26</v>
          </cell>
          <cell r="Z343">
            <v>0.634146341</v>
          </cell>
        </row>
        <row r="344">
          <cell r="B344" t="str">
            <v>F206_2B</v>
          </cell>
          <cell r="C344" t="str">
            <v>R2_F206_2B</v>
          </cell>
          <cell r="D344">
            <v>1</v>
          </cell>
          <cell r="E344">
            <v>0.7</v>
          </cell>
          <cell r="F344">
            <v>432</v>
          </cell>
          <cell r="G344">
            <v>0</v>
          </cell>
          <cell r="H344">
            <v>43</v>
          </cell>
          <cell r="I344">
            <v>6</v>
          </cell>
          <cell r="J344">
            <v>5</v>
          </cell>
          <cell r="K344">
            <v>1</v>
          </cell>
          <cell r="L344">
            <v>9.1146279999999997</v>
          </cell>
          <cell r="M344">
            <v>-83.542996000000002</v>
          </cell>
          <cell r="N344" t="str">
            <v>Sur</v>
          </cell>
          <cell r="O344">
            <v>1</v>
          </cell>
          <cell r="P344" t="str">
            <v>nambi</v>
          </cell>
          <cell r="Q344" t="str">
            <v>nambi</v>
          </cell>
          <cell r="R344" t="b">
            <v>1</v>
          </cell>
          <cell r="S344" t="str">
            <v>206_2</v>
          </cell>
          <cell r="T344">
            <v>1</v>
          </cell>
          <cell r="U344">
            <v>11</v>
          </cell>
          <cell r="V344">
            <v>8</v>
          </cell>
          <cell r="W344">
            <v>0.72727272700000001</v>
          </cell>
          <cell r="X344">
            <v>41</v>
          </cell>
          <cell r="Y344">
            <v>26</v>
          </cell>
          <cell r="Z344">
            <v>0.634146341</v>
          </cell>
        </row>
        <row r="345">
          <cell r="B345" t="str">
            <v>F207_1B</v>
          </cell>
          <cell r="C345" t="str">
            <v>R2_F207_1B</v>
          </cell>
          <cell r="D345">
            <v>0</v>
          </cell>
          <cell r="E345">
            <v>0.7</v>
          </cell>
          <cell r="F345">
            <v>783</v>
          </cell>
          <cell r="G345">
            <v>1</v>
          </cell>
          <cell r="H345">
            <v>28</v>
          </cell>
          <cell r="I345">
            <v>9</v>
          </cell>
          <cell r="J345">
            <v>4</v>
          </cell>
          <cell r="K345">
            <v>0</v>
          </cell>
          <cell r="L345">
            <v>9.0977709999999998</v>
          </cell>
          <cell r="M345">
            <v>-83.554242000000002</v>
          </cell>
          <cell r="N345" t="str">
            <v>Sur</v>
          </cell>
          <cell r="O345">
            <v>1</v>
          </cell>
          <cell r="P345" t="str">
            <v>SEF 64</v>
          </cell>
          <cell r="Q345" t="str">
            <v>uran</v>
          </cell>
          <cell r="R345" t="b">
            <v>0</v>
          </cell>
          <cell r="S345" t="str">
            <v>207_1</v>
          </cell>
          <cell r="T345">
            <v>0</v>
          </cell>
          <cell r="U345">
            <v>3</v>
          </cell>
          <cell r="V345">
            <v>1</v>
          </cell>
          <cell r="W345">
            <v>0.33333333300000001</v>
          </cell>
          <cell r="X345">
            <v>36</v>
          </cell>
          <cell r="Y345">
            <v>22</v>
          </cell>
          <cell r="Z345">
            <v>0.61111111100000004</v>
          </cell>
        </row>
        <row r="346">
          <cell r="B346" t="str">
            <v>F208_1B</v>
          </cell>
          <cell r="C346" t="str">
            <v>R2_F208_1B</v>
          </cell>
          <cell r="D346">
            <v>1</v>
          </cell>
          <cell r="E346">
            <v>2.8</v>
          </cell>
          <cell r="F346">
            <v>661</v>
          </cell>
          <cell r="G346">
            <v>1</v>
          </cell>
          <cell r="H346">
            <v>34</v>
          </cell>
          <cell r="I346">
            <v>5</v>
          </cell>
          <cell r="J346">
            <v>5</v>
          </cell>
          <cell r="K346">
            <v>1</v>
          </cell>
          <cell r="L346">
            <v>9.1232640000000007</v>
          </cell>
          <cell r="M346">
            <v>-83.513402999999997</v>
          </cell>
          <cell r="N346" t="str">
            <v>Sur</v>
          </cell>
          <cell r="O346">
            <v>1</v>
          </cell>
          <cell r="P346" t="str">
            <v>cabecar</v>
          </cell>
          <cell r="Q346" t="str">
            <v>cabecar</v>
          </cell>
          <cell r="R346" t="b">
            <v>1</v>
          </cell>
          <cell r="S346" t="str">
            <v>208_1</v>
          </cell>
          <cell r="T346">
            <v>1</v>
          </cell>
          <cell r="U346">
            <v>0</v>
          </cell>
          <cell r="V346">
            <v>0</v>
          </cell>
          <cell r="W346" t="str">
            <v>NA</v>
          </cell>
          <cell r="X346">
            <v>19</v>
          </cell>
          <cell r="Y346">
            <v>14</v>
          </cell>
          <cell r="Z346">
            <v>0.73684210500000002</v>
          </cell>
        </row>
        <row r="347">
          <cell r="B347" t="str">
            <v>F208_2B</v>
          </cell>
          <cell r="C347" t="str">
            <v>R2_F208_2B</v>
          </cell>
          <cell r="D347">
            <v>0</v>
          </cell>
          <cell r="E347">
            <v>0.7</v>
          </cell>
          <cell r="F347">
            <v>661</v>
          </cell>
          <cell r="G347">
            <v>1</v>
          </cell>
          <cell r="H347">
            <v>34</v>
          </cell>
          <cell r="I347">
            <v>5</v>
          </cell>
          <cell r="J347">
            <v>5</v>
          </cell>
          <cell r="K347">
            <v>0</v>
          </cell>
          <cell r="L347">
            <v>9.1232640000000007</v>
          </cell>
          <cell r="M347">
            <v>-83.513402999999997</v>
          </cell>
          <cell r="N347" t="str">
            <v>Sur</v>
          </cell>
          <cell r="O347">
            <v>1</v>
          </cell>
          <cell r="P347" t="str">
            <v>tequila</v>
          </cell>
          <cell r="Q347" t="str">
            <v>nambi</v>
          </cell>
          <cell r="R347" t="b">
            <v>0</v>
          </cell>
          <cell r="S347" t="str">
            <v>208_2</v>
          </cell>
          <cell r="T347">
            <v>0</v>
          </cell>
          <cell r="U347">
            <v>0</v>
          </cell>
          <cell r="V347">
            <v>0</v>
          </cell>
          <cell r="W347" t="str">
            <v>NA</v>
          </cell>
          <cell r="X347">
            <v>19</v>
          </cell>
          <cell r="Y347">
            <v>14</v>
          </cell>
          <cell r="Z347">
            <v>0.73684210500000002</v>
          </cell>
        </row>
        <row r="348">
          <cell r="B348" t="str">
            <v>F211_1B</v>
          </cell>
          <cell r="C348" t="str">
            <v>R2_F211_1B</v>
          </cell>
          <cell r="D348">
            <v>1</v>
          </cell>
          <cell r="E348">
            <v>0.7</v>
          </cell>
          <cell r="F348">
            <v>404</v>
          </cell>
          <cell r="G348">
            <v>1</v>
          </cell>
          <cell r="H348">
            <v>42</v>
          </cell>
          <cell r="I348">
            <v>4</v>
          </cell>
          <cell r="J348">
            <v>3</v>
          </cell>
          <cell r="K348">
            <v>1</v>
          </cell>
          <cell r="L348">
            <v>9.1631199999999993</v>
          </cell>
          <cell r="M348">
            <v>-83.566469999999995</v>
          </cell>
          <cell r="N348" t="str">
            <v>Sur</v>
          </cell>
          <cell r="O348">
            <v>1</v>
          </cell>
          <cell r="P348" t="str">
            <v>nambi</v>
          </cell>
          <cell r="Q348" t="str">
            <v>nambi</v>
          </cell>
          <cell r="R348" t="b">
            <v>1</v>
          </cell>
          <cell r="S348" t="str">
            <v>211_1</v>
          </cell>
          <cell r="T348">
            <v>1</v>
          </cell>
          <cell r="U348">
            <v>4</v>
          </cell>
          <cell r="V348">
            <v>0</v>
          </cell>
          <cell r="W348">
            <v>0</v>
          </cell>
          <cell r="X348">
            <v>15</v>
          </cell>
          <cell r="Y348">
            <v>11</v>
          </cell>
          <cell r="Z348">
            <v>0.73333333300000003</v>
          </cell>
        </row>
        <row r="349">
          <cell r="B349" t="str">
            <v>F211_2B</v>
          </cell>
          <cell r="C349" t="str">
            <v>R2_F211_2B</v>
          </cell>
          <cell r="D349">
            <v>0</v>
          </cell>
          <cell r="E349">
            <v>1</v>
          </cell>
          <cell r="F349">
            <v>404</v>
          </cell>
          <cell r="G349">
            <v>1</v>
          </cell>
          <cell r="H349">
            <v>42</v>
          </cell>
          <cell r="I349">
            <v>4</v>
          </cell>
          <cell r="J349">
            <v>3</v>
          </cell>
          <cell r="K349">
            <v>0</v>
          </cell>
          <cell r="L349">
            <v>9.1631199999999993</v>
          </cell>
          <cell r="M349">
            <v>-83.566469999999995</v>
          </cell>
          <cell r="N349" t="str">
            <v>Sur</v>
          </cell>
          <cell r="O349">
            <v>1</v>
          </cell>
          <cell r="P349" t="str">
            <v>tequila</v>
          </cell>
          <cell r="Q349" t="str">
            <v>sacapobres</v>
          </cell>
          <cell r="R349" t="b">
            <v>0</v>
          </cell>
          <cell r="S349" t="str">
            <v>211_2</v>
          </cell>
          <cell r="T349">
            <v>0</v>
          </cell>
          <cell r="U349">
            <v>4</v>
          </cell>
          <cell r="V349">
            <v>0</v>
          </cell>
          <cell r="W349">
            <v>0</v>
          </cell>
          <cell r="X349">
            <v>15</v>
          </cell>
          <cell r="Y349">
            <v>11</v>
          </cell>
          <cell r="Z349">
            <v>0.73333333300000003</v>
          </cell>
        </row>
        <row r="350">
          <cell r="B350" t="str">
            <v>F211_3B</v>
          </cell>
          <cell r="C350" t="str">
            <v>R2_F211_3B</v>
          </cell>
          <cell r="D350">
            <v>1</v>
          </cell>
          <cell r="E350">
            <v>0.7</v>
          </cell>
          <cell r="F350">
            <v>404</v>
          </cell>
          <cell r="G350">
            <v>1</v>
          </cell>
          <cell r="H350">
            <v>42</v>
          </cell>
          <cell r="I350">
            <v>4</v>
          </cell>
          <cell r="J350">
            <v>3</v>
          </cell>
          <cell r="K350">
            <v>0</v>
          </cell>
          <cell r="L350">
            <v>9.1631199999999993</v>
          </cell>
          <cell r="M350">
            <v>-83.566469999999995</v>
          </cell>
          <cell r="N350" t="str">
            <v>Sur</v>
          </cell>
          <cell r="O350">
            <v>1</v>
          </cell>
          <cell r="P350" t="str">
            <v>tequila</v>
          </cell>
          <cell r="Q350" t="str">
            <v>tequila</v>
          </cell>
          <cell r="R350" t="b">
            <v>1</v>
          </cell>
          <cell r="S350" t="str">
            <v>211_3</v>
          </cell>
          <cell r="T350">
            <v>1</v>
          </cell>
          <cell r="U350">
            <v>4</v>
          </cell>
          <cell r="V350">
            <v>0</v>
          </cell>
          <cell r="W350">
            <v>0</v>
          </cell>
          <cell r="X350">
            <v>15</v>
          </cell>
          <cell r="Y350">
            <v>11</v>
          </cell>
          <cell r="Z350">
            <v>0.73333333300000003</v>
          </cell>
        </row>
        <row r="351">
          <cell r="B351" t="str">
            <v>F212_1B</v>
          </cell>
          <cell r="C351" t="str">
            <v>R2_F212_1B</v>
          </cell>
          <cell r="D351">
            <v>0</v>
          </cell>
          <cell r="E351">
            <v>1</v>
          </cell>
          <cell r="F351">
            <v>669</v>
          </cell>
          <cell r="G351">
            <v>1</v>
          </cell>
          <cell r="H351">
            <v>50</v>
          </cell>
          <cell r="I351">
            <v>6</v>
          </cell>
          <cell r="J351">
            <v>4</v>
          </cell>
          <cell r="K351">
            <v>0</v>
          </cell>
          <cell r="L351">
            <v>9.013007</v>
          </cell>
          <cell r="M351">
            <v>-83.407269999999997</v>
          </cell>
          <cell r="N351" t="str">
            <v>Sur</v>
          </cell>
          <cell r="O351">
            <v>1</v>
          </cell>
          <cell r="P351" t="str">
            <v>tequila</v>
          </cell>
          <cell r="Q351" t="str">
            <v>cabecar</v>
          </cell>
          <cell r="R351" t="b">
            <v>0</v>
          </cell>
          <cell r="S351" t="str">
            <v>212_1</v>
          </cell>
          <cell r="T351">
            <v>0</v>
          </cell>
          <cell r="U351">
            <v>3</v>
          </cell>
          <cell r="V351">
            <v>3</v>
          </cell>
          <cell r="W351">
            <v>1</v>
          </cell>
          <cell r="X351">
            <v>30</v>
          </cell>
          <cell r="Y351">
            <v>21</v>
          </cell>
          <cell r="Z351">
            <v>0.7</v>
          </cell>
        </row>
        <row r="352">
          <cell r="B352" t="str">
            <v>F212_2B</v>
          </cell>
          <cell r="C352" t="str">
            <v>R2_F212_2B</v>
          </cell>
          <cell r="D352">
            <v>0</v>
          </cell>
          <cell r="E352">
            <v>1</v>
          </cell>
          <cell r="F352">
            <v>669</v>
          </cell>
          <cell r="G352">
            <v>1</v>
          </cell>
          <cell r="H352">
            <v>50</v>
          </cell>
          <cell r="I352">
            <v>6</v>
          </cell>
          <cell r="J352">
            <v>4</v>
          </cell>
          <cell r="K352">
            <v>1</v>
          </cell>
          <cell r="L352">
            <v>9.013007</v>
          </cell>
          <cell r="M352">
            <v>-83.407269999999997</v>
          </cell>
          <cell r="N352" t="str">
            <v>Sur</v>
          </cell>
          <cell r="O352">
            <v>1</v>
          </cell>
          <cell r="P352" t="str">
            <v>nambi</v>
          </cell>
          <cell r="Q352" t="str">
            <v>uran</v>
          </cell>
          <cell r="R352" t="b">
            <v>0</v>
          </cell>
          <cell r="S352" t="str">
            <v>212_2</v>
          </cell>
          <cell r="T352">
            <v>0</v>
          </cell>
          <cell r="U352">
            <v>3</v>
          </cell>
          <cell r="V352">
            <v>3</v>
          </cell>
          <cell r="W352">
            <v>1</v>
          </cell>
          <cell r="X352">
            <v>30</v>
          </cell>
          <cell r="Y352">
            <v>21</v>
          </cell>
          <cell r="Z352">
            <v>0.7</v>
          </cell>
        </row>
        <row r="353">
          <cell r="B353" t="str">
            <v>F212_3B</v>
          </cell>
          <cell r="C353" t="str">
            <v>R2_F212_3B</v>
          </cell>
          <cell r="D353">
            <v>0</v>
          </cell>
          <cell r="E353">
            <v>0.5</v>
          </cell>
          <cell r="F353">
            <v>669</v>
          </cell>
          <cell r="G353">
            <v>1</v>
          </cell>
          <cell r="H353">
            <v>50</v>
          </cell>
          <cell r="I353">
            <v>6</v>
          </cell>
          <cell r="J353">
            <v>4</v>
          </cell>
          <cell r="K353">
            <v>1</v>
          </cell>
          <cell r="L353">
            <v>9.013007</v>
          </cell>
          <cell r="M353">
            <v>-83.407269999999997</v>
          </cell>
          <cell r="N353" t="str">
            <v>Sur</v>
          </cell>
          <cell r="O353">
            <v>1</v>
          </cell>
          <cell r="P353" t="str">
            <v>uran</v>
          </cell>
          <cell r="Q353" t="str">
            <v>nambi</v>
          </cell>
          <cell r="R353" t="b">
            <v>0</v>
          </cell>
          <cell r="S353" t="str">
            <v>212_3</v>
          </cell>
          <cell r="T353">
            <v>0</v>
          </cell>
          <cell r="U353">
            <v>3</v>
          </cell>
          <cell r="V353">
            <v>3</v>
          </cell>
          <cell r="W353">
            <v>1</v>
          </cell>
          <cell r="X353">
            <v>30</v>
          </cell>
          <cell r="Y353">
            <v>21</v>
          </cell>
          <cell r="Z353">
            <v>0.7</v>
          </cell>
        </row>
        <row r="354">
          <cell r="B354" t="str">
            <v>F213_1B</v>
          </cell>
          <cell r="C354" t="str">
            <v>R2_F213_1B</v>
          </cell>
          <cell r="D354">
            <v>1</v>
          </cell>
          <cell r="E354">
            <v>0.7</v>
          </cell>
          <cell r="F354">
            <v>691</v>
          </cell>
          <cell r="G354">
            <v>1</v>
          </cell>
          <cell r="H354">
            <v>40</v>
          </cell>
          <cell r="I354">
            <v>11</v>
          </cell>
          <cell r="J354">
            <v>6</v>
          </cell>
          <cell r="K354">
            <v>0</v>
          </cell>
          <cell r="L354">
            <v>9.0130579999999991</v>
          </cell>
          <cell r="M354">
            <v>-83.419317000000007</v>
          </cell>
          <cell r="N354" t="str">
            <v>Sur</v>
          </cell>
          <cell r="O354">
            <v>1</v>
          </cell>
          <cell r="P354" t="str">
            <v>tequila</v>
          </cell>
          <cell r="Q354" t="str">
            <v>tequila</v>
          </cell>
          <cell r="R354" t="b">
            <v>1</v>
          </cell>
          <cell r="S354" t="str">
            <v>213_1</v>
          </cell>
          <cell r="T354">
            <v>1</v>
          </cell>
          <cell r="U354">
            <v>0</v>
          </cell>
          <cell r="V354">
            <v>0</v>
          </cell>
          <cell r="W354" t="str">
            <v>NA</v>
          </cell>
          <cell r="X354">
            <v>14</v>
          </cell>
          <cell r="Y354">
            <v>6</v>
          </cell>
          <cell r="Z354">
            <v>0.428571429</v>
          </cell>
        </row>
        <row r="355">
          <cell r="B355" t="str">
            <v>F213_2B</v>
          </cell>
          <cell r="C355" t="str">
            <v>R2_F213_2B</v>
          </cell>
          <cell r="D355">
            <v>1</v>
          </cell>
          <cell r="E355">
            <v>0.7</v>
          </cell>
          <cell r="F355">
            <v>691</v>
          </cell>
          <cell r="G355">
            <v>1</v>
          </cell>
          <cell r="H355">
            <v>40</v>
          </cell>
          <cell r="I355">
            <v>11</v>
          </cell>
          <cell r="J355">
            <v>6</v>
          </cell>
          <cell r="K355">
            <v>1</v>
          </cell>
          <cell r="L355">
            <v>9.0130579999999991</v>
          </cell>
          <cell r="M355">
            <v>-83.419317000000007</v>
          </cell>
          <cell r="N355" t="str">
            <v>Sur</v>
          </cell>
          <cell r="O355">
            <v>1</v>
          </cell>
          <cell r="P355" t="str">
            <v>nambi</v>
          </cell>
          <cell r="Q355" t="str">
            <v>nambi</v>
          </cell>
          <cell r="R355" t="b">
            <v>1</v>
          </cell>
          <cell r="S355" t="str">
            <v>213_2</v>
          </cell>
          <cell r="T355">
            <v>1</v>
          </cell>
          <cell r="U355">
            <v>0</v>
          </cell>
          <cell r="V355">
            <v>0</v>
          </cell>
          <cell r="W355" t="str">
            <v>NA</v>
          </cell>
          <cell r="X355">
            <v>14</v>
          </cell>
          <cell r="Y355">
            <v>6</v>
          </cell>
          <cell r="Z355">
            <v>0.428571429</v>
          </cell>
        </row>
        <row r="356">
          <cell r="B356" t="str">
            <v>F214_1B</v>
          </cell>
          <cell r="C356" t="str">
            <v>R2_F214_1B</v>
          </cell>
          <cell r="D356">
            <v>0</v>
          </cell>
          <cell r="E356">
            <v>1.05</v>
          </cell>
          <cell r="F356">
            <v>772</v>
          </cell>
          <cell r="G356">
            <v>1</v>
          </cell>
          <cell r="H356">
            <v>56</v>
          </cell>
          <cell r="I356">
            <v>3</v>
          </cell>
          <cell r="J356">
            <v>4</v>
          </cell>
          <cell r="K356">
            <v>0</v>
          </cell>
          <cell r="L356">
            <v>9.0075850000000006</v>
          </cell>
          <cell r="M356">
            <v>-83.408360000000002</v>
          </cell>
          <cell r="N356" t="str">
            <v>Sur</v>
          </cell>
          <cell r="O356">
            <v>1</v>
          </cell>
          <cell r="P356" t="str">
            <v>tequila</v>
          </cell>
          <cell r="Q356" t="str">
            <v>sacapobres</v>
          </cell>
          <cell r="R356" t="b">
            <v>0</v>
          </cell>
          <cell r="S356" t="str">
            <v>214_1</v>
          </cell>
          <cell r="T356">
            <v>0</v>
          </cell>
          <cell r="U356">
            <v>2</v>
          </cell>
          <cell r="V356">
            <v>0</v>
          </cell>
          <cell r="W356">
            <v>0</v>
          </cell>
          <cell r="X356">
            <v>28</v>
          </cell>
          <cell r="Y356">
            <v>18</v>
          </cell>
          <cell r="Z356">
            <v>0.64285714299999996</v>
          </cell>
        </row>
        <row r="357">
          <cell r="B357" t="str">
            <v>F214_2B</v>
          </cell>
          <cell r="C357" t="str">
            <v>R2_F214_2B</v>
          </cell>
          <cell r="D357">
            <v>0</v>
          </cell>
          <cell r="E357">
            <v>0.98</v>
          </cell>
          <cell r="F357">
            <v>772</v>
          </cell>
          <cell r="G357">
            <v>1</v>
          </cell>
          <cell r="H357">
            <v>56</v>
          </cell>
          <cell r="I357">
            <v>3</v>
          </cell>
          <cell r="J357">
            <v>4</v>
          </cell>
          <cell r="K357">
            <v>0</v>
          </cell>
          <cell r="L357">
            <v>9.0075850000000006</v>
          </cell>
          <cell r="M357">
            <v>-83.408360000000002</v>
          </cell>
          <cell r="N357" t="str">
            <v>Sur</v>
          </cell>
          <cell r="O357">
            <v>1</v>
          </cell>
          <cell r="P357" t="str">
            <v>generalito</v>
          </cell>
          <cell r="Q357" t="str">
            <v>other</v>
          </cell>
          <cell r="R357" t="str">
            <v>Not applicable</v>
          </cell>
          <cell r="S357" t="str">
            <v>214_2</v>
          </cell>
          <cell r="T357">
            <v>0</v>
          </cell>
          <cell r="U357">
            <v>2</v>
          </cell>
          <cell r="V357">
            <v>0</v>
          </cell>
          <cell r="W357">
            <v>0</v>
          </cell>
          <cell r="X357">
            <v>28</v>
          </cell>
          <cell r="Y357">
            <v>18</v>
          </cell>
          <cell r="Z357">
            <v>0.64285714299999996</v>
          </cell>
        </row>
        <row r="358">
          <cell r="B358" t="str">
            <v>F214_3B</v>
          </cell>
          <cell r="C358" t="str">
            <v>R2_F214_3B</v>
          </cell>
          <cell r="D358">
            <v>1</v>
          </cell>
          <cell r="E358">
            <v>1.05</v>
          </cell>
          <cell r="F358">
            <v>772</v>
          </cell>
          <cell r="G358">
            <v>1</v>
          </cell>
          <cell r="H358">
            <v>56</v>
          </cell>
          <cell r="I358">
            <v>3</v>
          </cell>
          <cell r="J358">
            <v>4</v>
          </cell>
          <cell r="K358">
            <v>0</v>
          </cell>
          <cell r="L358">
            <v>9.0075850000000006</v>
          </cell>
          <cell r="M358">
            <v>-83.408360000000002</v>
          </cell>
          <cell r="N358" t="str">
            <v>Sur</v>
          </cell>
          <cell r="O358">
            <v>1</v>
          </cell>
          <cell r="P358" t="str">
            <v>generalito</v>
          </cell>
          <cell r="Q358" t="str">
            <v>generalito</v>
          </cell>
          <cell r="R358" t="b">
            <v>1</v>
          </cell>
          <cell r="S358" t="str">
            <v>214_3</v>
          </cell>
          <cell r="T358">
            <v>1</v>
          </cell>
          <cell r="U358">
            <v>2</v>
          </cell>
          <cell r="V358">
            <v>0</v>
          </cell>
          <cell r="W358">
            <v>0</v>
          </cell>
          <cell r="X358">
            <v>28</v>
          </cell>
          <cell r="Y358">
            <v>18</v>
          </cell>
          <cell r="Z358">
            <v>0.64285714299999996</v>
          </cell>
        </row>
        <row r="359">
          <cell r="B359" t="str">
            <v>F215_1B</v>
          </cell>
          <cell r="C359" t="str">
            <v>R2_F215_1B</v>
          </cell>
          <cell r="D359">
            <v>1</v>
          </cell>
          <cell r="E359">
            <v>1.4</v>
          </cell>
          <cell r="F359">
            <v>526</v>
          </cell>
          <cell r="G359">
            <v>1</v>
          </cell>
          <cell r="H359">
            <v>48</v>
          </cell>
          <cell r="I359">
            <v>9</v>
          </cell>
          <cell r="J359">
            <v>4</v>
          </cell>
          <cell r="K359">
            <v>1</v>
          </cell>
          <cell r="L359">
            <v>9.0224049999999991</v>
          </cell>
          <cell r="M359">
            <v>-83.410442000000003</v>
          </cell>
          <cell r="N359" t="str">
            <v>Sur</v>
          </cell>
          <cell r="O359">
            <v>1</v>
          </cell>
          <cell r="P359" t="str">
            <v>cabecar</v>
          </cell>
          <cell r="Q359" t="str">
            <v>cabecar</v>
          </cell>
          <cell r="R359" t="b">
            <v>1</v>
          </cell>
          <cell r="S359" t="str">
            <v>215_1</v>
          </cell>
          <cell r="T359">
            <v>1</v>
          </cell>
          <cell r="U359">
            <v>6</v>
          </cell>
          <cell r="V359">
            <v>5</v>
          </cell>
          <cell r="W359">
            <v>0.83333333300000001</v>
          </cell>
          <cell r="X359">
            <v>36</v>
          </cell>
          <cell r="Y359">
            <v>21</v>
          </cell>
          <cell r="Z359">
            <v>0.58333333300000001</v>
          </cell>
        </row>
        <row r="360">
          <cell r="B360" t="str">
            <v>F216_1B</v>
          </cell>
          <cell r="C360" t="str">
            <v>R2_F216_1B</v>
          </cell>
          <cell r="D360">
            <v>0</v>
          </cell>
          <cell r="E360">
            <v>0.7</v>
          </cell>
          <cell r="F360">
            <v>729</v>
          </cell>
          <cell r="G360">
            <v>1</v>
          </cell>
          <cell r="H360">
            <v>53</v>
          </cell>
          <cell r="I360">
            <v>5</v>
          </cell>
          <cell r="J360">
            <v>6</v>
          </cell>
          <cell r="K360">
            <v>1</v>
          </cell>
          <cell r="L360">
            <v>9.0124370000000003</v>
          </cell>
          <cell r="M360">
            <v>-83.421683999999999</v>
          </cell>
          <cell r="N360" t="str">
            <v>Sur</v>
          </cell>
          <cell r="O360">
            <v>1</v>
          </cell>
          <cell r="P360" t="str">
            <v>uran</v>
          </cell>
          <cell r="Q360" t="str">
            <v>assay</v>
          </cell>
          <cell r="R360" t="str">
            <v>Not applicable</v>
          </cell>
          <cell r="S360" t="str">
            <v>216_1</v>
          </cell>
          <cell r="T360">
            <v>0</v>
          </cell>
          <cell r="U360">
            <v>0</v>
          </cell>
          <cell r="V360">
            <v>0</v>
          </cell>
          <cell r="W360" t="str">
            <v>NA</v>
          </cell>
          <cell r="X360">
            <v>14</v>
          </cell>
          <cell r="Y360">
            <v>7</v>
          </cell>
          <cell r="Z360">
            <v>0.5</v>
          </cell>
        </row>
        <row r="361">
          <cell r="B361" t="str">
            <v>F216_2B</v>
          </cell>
          <cell r="C361" t="str">
            <v>R2_F216_2B</v>
          </cell>
          <cell r="D361">
            <v>1</v>
          </cell>
          <cell r="E361">
            <v>1.05</v>
          </cell>
          <cell r="F361">
            <v>729</v>
          </cell>
          <cell r="G361">
            <v>1</v>
          </cell>
          <cell r="H361">
            <v>53</v>
          </cell>
          <cell r="I361">
            <v>5</v>
          </cell>
          <cell r="J361">
            <v>6</v>
          </cell>
          <cell r="K361">
            <v>0</v>
          </cell>
          <cell r="L361">
            <v>9.0124370000000003</v>
          </cell>
          <cell r="M361">
            <v>-83.421683999999999</v>
          </cell>
          <cell r="N361" t="str">
            <v>Sur</v>
          </cell>
          <cell r="O361">
            <v>1</v>
          </cell>
          <cell r="P361" t="str">
            <v>victoria</v>
          </cell>
          <cell r="Q361" t="str">
            <v>victoria</v>
          </cell>
          <cell r="R361" t="b">
            <v>1</v>
          </cell>
          <cell r="S361" t="str">
            <v>216_2</v>
          </cell>
          <cell r="T361">
            <v>1</v>
          </cell>
          <cell r="U361">
            <v>0</v>
          </cell>
          <cell r="V361">
            <v>0</v>
          </cell>
          <cell r="W361" t="str">
            <v>NA</v>
          </cell>
          <cell r="X361">
            <v>14</v>
          </cell>
          <cell r="Y361">
            <v>7</v>
          </cell>
          <cell r="Z361">
            <v>0.5</v>
          </cell>
        </row>
        <row r="362">
          <cell r="B362" t="str">
            <v>F217_1B</v>
          </cell>
          <cell r="C362" t="str">
            <v>R2_F217_1B</v>
          </cell>
          <cell r="D362">
            <v>0</v>
          </cell>
          <cell r="E362">
            <v>0.7</v>
          </cell>
          <cell r="F362">
            <v>723</v>
          </cell>
          <cell r="G362">
            <v>1</v>
          </cell>
          <cell r="H362">
            <v>58</v>
          </cell>
          <cell r="I362">
            <v>6</v>
          </cell>
          <cell r="J362">
            <v>6</v>
          </cell>
          <cell r="K362">
            <v>0</v>
          </cell>
          <cell r="L362">
            <v>9.0120979999999999</v>
          </cell>
          <cell r="M362">
            <v>-83.404645000000002</v>
          </cell>
          <cell r="N362" t="str">
            <v>Sur</v>
          </cell>
          <cell r="O362">
            <v>1</v>
          </cell>
          <cell r="P362" t="str">
            <v>victoria</v>
          </cell>
          <cell r="Q362" t="str">
            <v>cabecar</v>
          </cell>
          <cell r="R362" t="b">
            <v>0</v>
          </cell>
          <cell r="S362" t="str">
            <v>217_1</v>
          </cell>
          <cell r="T362">
            <v>1</v>
          </cell>
          <cell r="U362">
            <v>4</v>
          </cell>
          <cell r="V362">
            <v>1</v>
          </cell>
          <cell r="W362">
            <v>0.25</v>
          </cell>
          <cell r="X362">
            <v>31</v>
          </cell>
          <cell r="Y362">
            <v>19</v>
          </cell>
          <cell r="Z362">
            <v>0.61290322600000002</v>
          </cell>
        </row>
        <row r="363">
          <cell r="B363" t="str">
            <v>F217_2B</v>
          </cell>
          <cell r="C363" t="str">
            <v>R2_F217_2B</v>
          </cell>
          <cell r="D363">
            <v>1</v>
          </cell>
          <cell r="E363">
            <v>4</v>
          </cell>
          <cell r="F363">
            <v>723</v>
          </cell>
          <cell r="G363">
            <v>1</v>
          </cell>
          <cell r="H363">
            <v>58</v>
          </cell>
          <cell r="I363">
            <v>6</v>
          </cell>
          <cell r="J363">
            <v>6</v>
          </cell>
          <cell r="K363">
            <v>0</v>
          </cell>
          <cell r="L363">
            <v>9.0120979999999999</v>
          </cell>
          <cell r="M363">
            <v>-83.404645000000002</v>
          </cell>
          <cell r="N363" t="str">
            <v>Sur</v>
          </cell>
          <cell r="O363">
            <v>1</v>
          </cell>
          <cell r="P363" t="str">
            <v>generalito</v>
          </cell>
          <cell r="Q363" t="str">
            <v>generalito</v>
          </cell>
          <cell r="R363" t="b">
            <v>1</v>
          </cell>
          <cell r="S363" t="str">
            <v>217_2</v>
          </cell>
          <cell r="T363">
            <v>1</v>
          </cell>
          <cell r="U363">
            <v>4</v>
          </cell>
          <cell r="V363">
            <v>1</v>
          </cell>
          <cell r="W363">
            <v>0.25</v>
          </cell>
          <cell r="X363">
            <v>31</v>
          </cell>
          <cell r="Y363">
            <v>19</v>
          </cell>
          <cell r="Z363">
            <v>0.61290322600000002</v>
          </cell>
        </row>
        <row r="364">
          <cell r="B364" t="str">
            <v>F218_1B</v>
          </cell>
          <cell r="C364" t="str">
            <v>R2_F218_1B</v>
          </cell>
          <cell r="D364">
            <v>0</v>
          </cell>
          <cell r="E364">
            <v>0.7</v>
          </cell>
          <cell r="F364">
            <v>764</v>
          </cell>
          <cell r="G364">
            <v>1</v>
          </cell>
          <cell r="H364">
            <v>31</v>
          </cell>
          <cell r="I364">
            <v>9</v>
          </cell>
          <cell r="J364">
            <v>4</v>
          </cell>
          <cell r="K364">
            <v>1</v>
          </cell>
          <cell r="L364">
            <v>9.0076599999999996</v>
          </cell>
          <cell r="M364">
            <v>-83.406840000000003</v>
          </cell>
          <cell r="N364" t="str">
            <v>Sur</v>
          </cell>
          <cell r="O364">
            <v>1</v>
          </cell>
          <cell r="P364" t="str">
            <v>nambi</v>
          </cell>
          <cell r="Q364" t="str">
            <v>sacapobres</v>
          </cell>
          <cell r="R364" t="b">
            <v>0</v>
          </cell>
          <cell r="S364" t="str">
            <v>218_1</v>
          </cell>
          <cell r="T364">
            <v>0</v>
          </cell>
          <cell r="U364">
            <v>3</v>
          </cell>
          <cell r="V364">
            <v>1</v>
          </cell>
          <cell r="W364">
            <v>0.33333333300000001</v>
          </cell>
          <cell r="X364">
            <v>31</v>
          </cell>
          <cell r="Y364">
            <v>21</v>
          </cell>
          <cell r="Z364">
            <v>0.67741935499999995</v>
          </cell>
        </row>
        <row r="365">
          <cell r="B365" t="str">
            <v>F218_2B</v>
          </cell>
          <cell r="C365" t="str">
            <v>R2_F218_2B</v>
          </cell>
          <cell r="D365">
            <v>0</v>
          </cell>
          <cell r="E365">
            <v>0.35</v>
          </cell>
          <cell r="F365">
            <v>764</v>
          </cell>
          <cell r="G365">
            <v>1</v>
          </cell>
          <cell r="H365">
            <v>31</v>
          </cell>
          <cell r="I365">
            <v>9</v>
          </cell>
          <cell r="J365">
            <v>4</v>
          </cell>
          <cell r="K365">
            <v>1</v>
          </cell>
          <cell r="L365">
            <v>9.0076599999999996</v>
          </cell>
          <cell r="M365">
            <v>-83.406840000000003</v>
          </cell>
          <cell r="N365" t="str">
            <v>Sur</v>
          </cell>
          <cell r="O365">
            <v>1</v>
          </cell>
          <cell r="P365" t="str">
            <v>uran</v>
          </cell>
          <cell r="Q365" t="str">
            <v>tequila</v>
          </cell>
          <cell r="R365" t="b">
            <v>0</v>
          </cell>
          <cell r="S365" t="str">
            <v>218_2</v>
          </cell>
          <cell r="T365">
            <v>0</v>
          </cell>
          <cell r="U365">
            <v>3</v>
          </cell>
          <cell r="V365">
            <v>1</v>
          </cell>
          <cell r="W365">
            <v>0.33333333300000001</v>
          </cell>
          <cell r="X365">
            <v>31</v>
          </cell>
          <cell r="Y365">
            <v>21</v>
          </cell>
          <cell r="Z365">
            <v>0.67741935499999995</v>
          </cell>
        </row>
        <row r="366">
          <cell r="B366" t="str">
            <v>F219_1B</v>
          </cell>
          <cell r="C366" t="str">
            <v>R2_F219_1B</v>
          </cell>
          <cell r="D366">
            <v>1</v>
          </cell>
          <cell r="E366">
            <v>1</v>
          </cell>
          <cell r="F366">
            <v>307</v>
          </cell>
          <cell r="G366">
            <v>1</v>
          </cell>
          <cell r="H366">
            <v>72</v>
          </cell>
          <cell r="I366">
            <v>4</v>
          </cell>
          <cell r="J366">
            <v>4</v>
          </cell>
          <cell r="K366">
            <v>1</v>
          </cell>
          <cell r="L366">
            <v>9.0516959999999997</v>
          </cell>
          <cell r="M366">
            <v>-83.455420000000004</v>
          </cell>
          <cell r="N366" t="str">
            <v>Sur</v>
          </cell>
          <cell r="O366">
            <v>1</v>
          </cell>
          <cell r="P366" t="str">
            <v>cabecar</v>
          </cell>
          <cell r="Q366" t="str">
            <v>cabecar</v>
          </cell>
          <cell r="R366" t="b">
            <v>1</v>
          </cell>
          <cell r="S366" t="str">
            <v>219_1</v>
          </cell>
          <cell r="T366">
            <v>1</v>
          </cell>
          <cell r="U366">
            <v>9</v>
          </cell>
          <cell r="V366">
            <v>9</v>
          </cell>
          <cell r="W366">
            <v>1</v>
          </cell>
          <cell r="X366">
            <v>45</v>
          </cell>
          <cell r="Y366">
            <v>32</v>
          </cell>
          <cell r="Z366">
            <v>0.71111111100000002</v>
          </cell>
        </row>
        <row r="367">
          <cell r="B367" t="str">
            <v>F220_1B</v>
          </cell>
          <cell r="C367" t="str">
            <v>R2_F220_1B</v>
          </cell>
          <cell r="D367">
            <v>1</v>
          </cell>
          <cell r="E367">
            <v>7</v>
          </cell>
          <cell r="F367">
            <v>351</v>
          </cell>
          <cell r="G367">
            <v>1</v>
          </cell>
          <cell r="H367">
            <v>41</v>
          </cell>
          <cell r="I367">
            <v>11</v>
          </cell>
          <cell r="J367">
            <v>5</v>
          </cell>
          <cell r="K367">
            <v>1</v>
          </cell>
          <cell r="L367">
            <v>9.0422270000000005</v>
          </cell>
          <cell r="M367">
            <v>-83.456249</v>
          </cell>
          <cell r="N367" t="str">
            <v>Sur</v>
          </cell>
          <cell r="O367">
            <v>1</v>
          </cell>
          <cell r="P367" t="str">
            <v>cabecar</v>
          </cell>
          <cell r="Q367" t="str">
            <v>cabecar</v>
          </cell>
          <cell r="R367" t="b">
            <v>1</v>
          </cell>
          <cell r="S367" t="str">
            <v>220_1</v>
          </cell>
          <cell r="T367">
            <v>1</v>
          </cell>
          <cell r="U367">
            <v>0</v>
          </cell>
          <cell r="V367">
            <v>0</v>
          </cell>
          <cell r="W367" t="str">
            <v>NA</v>
          </cell>
          <cell r="X367">
            <v>33</v>
          </cell>
          <cell r="Y367">
            <v>25</v>
          </cell>
          <cell r="Z367">
            <v>0.75757575799999999</v>
          </cell>
        </row>
        <row r="368">
          <cell r="B368" t="str">
            <v>F220_2B</v>
          </cell>
          <cell r="C368" t="str">
            <v>R2_F220_2B</v>
          </cell>
          <cell r="D368">
            <v>1</v>
          </cell>
          <cell r="E368">
            <v>1.5</v>
          </cell>
          <cell r="F368">
            <v>351</v>
          </cell>
          <cell r="G368">
            <v>1</v>
          </cell>
          <cell r="H368">
            <v>41</v>
          </cell>
          <cell r="I368">
            <v>11</v>
          </cell>
          <cell r="J368">
            <v>5</v>
          </cell>
          <cell r="K368">
            <v>1</v>
          </cell>
          <cell r="L368">
            <v>9.0422270000000005</v>
          </cell>
          <cell r="M368">
            <v>-83.456249</v>
          </cell>
          <cell r="N368" t="str">
            <v>Sur</v>
          </cell>
          <cell r="O368">
            <v>1</v>
          </cell>
          <cell r="P368" t="str">
            <v>nambi</v>
          </cell>
          <cell r="Q368" t="str">
            <v>nambi</v>
          </cell>
          <cell r="R368" t="b">
            <v>1</v>
          </cell>
          <cell r="S368" t="str">
            <v>220_2</v>
          </cell>
          <cell r="T368">
            <v>1</v>
          </cell>
          <cell r="U368">
            <v>0</v>
          </cell>
          <cell r="V368">
            <v>0</v>
          </cell>
          <cell r="W368" t="str">
            <v>NA</v>
          </cell>
          <cell r="X368">
            <v>33</v>
          </cell>
          <cell r="Y368">
            <v>25</v>
          </cell>
          <cell r="Z368">
            <v>0.75757575799999999</v>
          </cell>
        </row>
        <row r="369">
          <cell r="B369" t="str">
            <v>F221_1B</v>
          </cell>
          <cell r="C369" t="str">
            <v>R2_F221_1B</v>
          </cell>
          <cell r="D369">
            <v>1</v>
          </cell>
          <cell r="E369">
            <v>3.5</v>
          </cell>
          <cell r="F369">
            <v>432</v>
          </cell>
          <cell r="G369">
            <v>1</v>
          </cell>
          <cell r="H369">
            <v>35</v>
          </cell>
          <cell r="I369">
            <v>8</v>
          </cell>
          <cell r="J369">
            <v>6</v>
          </cell>
          <cell r="K369">
            <v>1</v>
          </cell>
          <cell r="L369">
            <v>9.0493579999999998</v>
          </cell>
          <cell r="M369">
            <v>-83.467815000000002</v>
          </cell>
          <cell r="N369" t="str">
            <v>Sur</v>
          </cell>
          <cell r="O369">
            <v>1</v>
          </cell>
          <cell r="P369" t="str">
            <v>cabecar</v>
          </cell>
          <cell r="Q369" t="str">
            <v>cabecar</v>
          </cell>
          <cell r="R369" t="b">
            <v>1</v>
          </cell>
          <cell r="S369" t="str">
            <v>221_1</v>
          </cell>
          <cell r="T369">
            <v>1</v>
          </cell>
          <cell r="U369">
            <v>4</v>
          </cell>
          <cell r="V369">
            <v>2</v>
          </cell>
          <cell r="W369">
            <v>0.5</v>
          </cell>
          <cell r="X369">
            <v>42</v>
          </cell>
          <cell r="Y369">
            <v>31</v>
          </cell>
          <cell r="Z369">
            <v>0.73809523799999999</v>
          </cell>
        </row>
        <row r="370">
          <cell r="B370" t="str">
            <v>F221_2B</v>
          </cell>
          <cell r="C370" t="str">
            <v>R2_F221_2B</v>
          </cell>
          <cell r="D370">
            <v>1</v>
          </cell>
          <cell r="E370">
            <v>2</v>
          </cell>
          <cell r="F370">
            <v>432</v>
          </cell>
          <cell r="G370">
            <v>1</v>
          </cell>
          <cell r="H370">
            <v>35</v>
          </cell>
          <cell r="I370">
            <v>8</v>
          </cell>
          <cell r="J370">
            <v>6</v>
          </cell>
          <cell r="K370">
            <v>1</v>
          </cell>
          <cell r="L370">
            <v>9.0493579999999998</v>
          </cell>
          <cell r="M370">
            <v>-83.467815000000002</v>
          </cell>
          <cell r="N370" t="str">
            <v>Sur</v>
          </cell>
          <cell r="O370">
            <v>1</v>
          </cell>
          <cell r="P370" t="str">
            <v>nambi</v>
          </cell>
          <cell r="Q370" t="str">
            <v>nambi</v>
          </cell>
          <cell r="R370" t="b">
            <v>1</v>
          </cell>
          <cell r="S370" t="str">
            <v>221_2</v>
          </cell>
          <cell r="T370">
            <v>1</v>
          </cell>
          <cell r="U370">
            <v>4</v>
          </cell>
          <cell r="V370">
            <v>2</v>
          </cell>
          <cell r="W370">
            <v>0.5</v>
          </cell>
          <cell r="X370">
            <v>42</v>
          </cell>
          <cell r="Y370">
            <v>31</v>
          </cell>
          <cell r="Z370">
            <v>0.73809523799999999</v>
          </cell>
        </row>
        <row r="371">
          <cell r="B371" t="str">
            <v>F222_1B</v>
          </cell>
          <cell r="C371" t="str">
            <v>R2_F222_1B</v>
          </cell>
          <cell r="D371">
            <v>0</v>
          </cell>
          <cell r="E371">
            <v>3</v>
          </cell>
          <cell r="F371">
            <v>314</v>
          </cell>
          <cell r="G371">
            <v>1</v>
          </cell>
          <cell r="H371">
            <v>39</v>
          </cell>
          <cell r="I371">
            <v>10</v>
          </cell>
          <cell r="J371">
            <v>1</v>
          </cell>
          <cell r="K371">
            <v>0</v>
          </cell>
          <cell r="L371">
            <v>9.0500699999999998</v>
          </cell>
          <cell r="M371">
            <v>-83.457363000000001</v>
          </cell>
          <cell r="N371" t="str">
            <v>Sur</v>
          </cell>
          <cell r="O371">
            <v>1</v>
          </cell>
          <cell r="P371" t="str">
            <v>victoria</v>
          </cell>
          <cell r="Q371" t="str">
            <v>cabecar</v>
          </cell>
          <cell r="R371" t="b">
            <v>0</v>
          </cell>
          <cell r="S371" t="str">
            <v>222_1</v>
          </cell>
          <cell r="T371">
            <v>1</v>
          </cell>
          <cell r="U371">
            <v>8</v>
          </cell>
          <cell r="V371">
            <v>8</v>
          </cell>
          <cell r="W371">
            <v>1</v>
          </cell>
          <cell r="X371">
            <v>44</v>
          </cell>
          <cell r="Y371">
            <v>31</v>
          </cell>
          <cell r="Z371">
            <v>0.70454545499999999</v>
          </cell>
        </row>
        <row r="372">
          <cell r="B372" t="str">
            <v>F222_2B</v>
          </cell>
          <cell r="C372" t="str">
            <v>R2_F222_2B</v>
          </cell>
          <cell r="D372">
            <v>1</v>
          </cell>
          <cell r="E372">
            <v>1</v>
          </cell>
          <cell r="F372">
            <v>314</v>
          </cell>
          <cell r="G372">
            <v>1</v>
          </cell>
          <cell r="H372">
            <v>39</v>
          </cell>
          <cell r="I372">
            <v>10</v>
          </cell>
          <cell r="J372">
            <v>1</v>
          </cell>
          <cell r="K372">
            <v>1</v>
          </cell>
          <cell r="L372">
            <v>9.0500699999999998</v>
          </cell>
          <cell r="M372">
            <v>-83.457363000000001</v>
          </cell>
          <cell r="N372" t="str">
            <v>Sur</v>
          </cell>
          <cell r="O372">
            <v>1</v>
          </cell>
          <cell r="P372" t="str">
            <v>nambi</v>
          </cell>
          <cell r="Q372" t="str">
            <v>nambi</v>
          </cell>
          <cell r="R372" t="b">
            <v>1</v>
          </cell>
          <cell r="S372" t="str">
            <v>222_2</v>
          </cell>
          <cell r="T372">
            <v>1</v>
          </cell>
          <cell r="U372">
            <v>8</v>
          </cell>
          <cell r="V372">
            <v>8</v>
          </cell>
          <cell r="W372">
            <v>1</v>
          </cell>
          <cell r="X372">
            <v>44</v>
          </cell>
          <cell r="Y372">
            <v>31</v>
          </cell>
          <cell r="Z372">
            <v>0.70454545499999999</v>
          </cell>
        </row>
        <row r="373">
          <cell r="B373" t="str">
            <v>F223_1B</v>
          </cell>
          <cell r="C373" t="str">
            <v>R2_F223_1B</v>
          </cell>
          <cell r="D373">
            <v>1</v>
          </cell>
          <cell r="E373">
            <v>1</v>
          </cell>
          <cell r="F373">
            <v>316</v>
          </cell>
          <cell r="G373">
            <v>1</v>
          </cell>
          <cell r="H373">
            <v>35</v>
          </cell>
          <cell r="I373">
            <v>11</v>
          </cell>
          <cell r="J373">
            <v>4</v>
          </cell>
          <cell r="K373">
            <v>1</v>
          </cell>
          <cell r="L373">
            <v>9.0508209999999991</v>
          </cell>
          <cell r="M373">
            <v>-83.457517999999993</v>
          </cell>
          <cell r="N373" t="str">
            <v>Sur</v>
          </cell>
          <cell r="O373">
            <v>1</v>
          </cell>
          <cell r="P373" t="str">
            <v>cabecar</v>
          </cell>
          <cell r="Q373" t="str">
            <v>cabecar</v>
          </cell>
          <cell r="R373" t="b">
            <v>1</v>
          </cell>
          <cell r="S373" t="str">
            <v>223_1</v>
          </cell>
          <cell r="T373">
            <v>1</v>
          </cell>
          <cell r="U373">
            <v>8</v>
          </cell>
          <cell r="V373">
            <v>8</v>
          </cell>
          <cell r="W373">
            <v>1</v>
          </cell>
          <cell r="X373">
            <v>44</v>
          </cell>
          <cell r="Y373">
            <v>31</v>
          </cell>
          <cell r="Z373">
            <v>0.70454545499999999</v>
          </cell>
        </row>
        <row r="374">
          <cell r="B374" t="str">
            <v>F223_2B</v>
          </cell>
          <cell r="C374" t="str">
            <v>R2_F223_2B</v>
          </cell>
          <cell r="D374">
            <v>1</v>
          </cell>
          <cell r="E374">
            <v>1</v>
          </cell>
          <cell r="F374">
            <v>316</v>
          </cell>
          <cell r="G374">
            <v>1</v>
          </cell>
          <cell r="H374">
            <v>35</v>
          </cell>
          <cell r="I374">
            <v>11</v>
          </cell>
          <cell r="J374">
            <v>4</v>
          </cell>
          <cell r="K374">
            <v>1</v>
          </cell>
          <cell r="L374">
            <v>9.0508209999999991</v>
          </cell>
          <cell r="M374">
            <v>-83.457517999999993</v>
          </cell>
          <cell r="N374" t="str">
            <v>Sur</v>
          </cell>
          <cell r="O374">
            <v>1</v>
          </cell>
          <cell r="P374" t="str">
            <v>nambi</v>
          </cell>
          <cell r="Q374" t="str">
            <v>nambi</v>
          </cell>
          <cell r="R374" t="b">
            <v>1</v>
          </cell>
          <cell r="S374" t="str">
            <v>223_2</v>
          </cell>
          <cell r="T374">
            <v>1</v>
          </cell>
          <cell r="U374">
            <v>8</v>
          </cell>
          <cell r="V374">
            <v>8</v>
          </cell>
          <cell r="W374">
            <v>1</v>
          </cell>
          <cell r="X374">
            <v>44</v>
          </cell>
          <cell r="Y374">
            <v>31</v>
          </cell>
          <cell r="Z374">
            <v>0.70454545499999999</v>
          </cell>
        </row>
        <row r="375">
          <cell r="B375" t="str">
            <v>F225_1B</v>
          </cell>
          <cell r="C375" t="str">
            <v>R2_F225_1B</v>
          </cell>
          <cell r="D375">
            <v>1</v>
          </cell>
          <cell r="E375">
            <v>1.5</v>
          </cell>
          <cell r="F375">
            <v>354</v>
          </cell>
          <cell r="G375">
            <v>1</v>
          </cell>
          <cell r="H375">
            <v>35</v>
          </cell>
          <cell r="I375">
            <v>6</v>
          </cell>
          <cell r="J375">
            <v>4</v>
          </cell>
          <cell r="K375">
            <v>1</v>
          </cell>
          <cell r="L375">
            <v>9.0400749999999999</v>
          </cell>
          <cell r="M375">
            <v>-83.462076999999994</v>
          </cell>
          <cell r="N375" t="str">
            <v>Sur</v>
          </cell>
          <cell r="O375">
            <v>1</v>
          </cell>
          <cell r="P375" t="str">
            <v>cabecar</v>
          </cell>
          <cell r="Q375" t="str">
            <v>cabecar</v>
          </cell>
          <cell r="R375" t="b">
            <v>1</v>
          </cell>
          <cell r="S375" t="str">
            <v>225_1</v>
          </cell>
          <cell r="T375">
            <v>1</v>
          </cell>
          <cell r="U375">
            <v>2</v>
          </cell>
          <cell r="V375">
            <v>2</v>
          </cell>
          <cell r="W375">
            <v>1</v>
          </cell>
          <cell r="X375">
            <v>43</v>
          </cell>
          <cell r="Y375">
            <v>32</v>
          </cell>
          <cell r="Z375">
            <v>0.74418604700000002</v>
          </cell>
        </row>
        <row r="376">
          <cell r="B376" t="str">
            <v>F226_1B</v>
          </cell>
          <cell r="C376" t="str">
            <v>R2_F226_1B</v>
          </cell>
          <cell r="D376">
            <v>0</v>
          </cell>
          <cell r="E376">
            <v>1</v>
          </cell>
          <cell r="F376">
            <v>420</v>
          </cell>
          <cell r="G376">
            <v>1</v>
          </cell>
          <cell r="H376">
            <v>65</v>
          </cell>
          <cell r="I376">
            <v>3</v>
          </cell>
          <cell r="J376">
            <v>3</v>
          </cell>
          <cell r="K376">
            <v>0</v>
          </cell>
          <cell r="L376">
            <v>9.0492290000000004</v>
          </cell>
          <cell r="M376">
            <v>-83.466189</v>
          </cell>
          <cell r="N376" t="str">
            <v>Sur</v>
          </cell>
          <cell r="O376">
            <v>1</v>
          </cell>
          <cell r="P376" t="str">
            <v>victoria</v>
          </cell>
          <cell r="Q376" t="str">
            <v>nambi</v>
          </cell>
          <cell r="R376" t="b">
            <v>0</v>
          </cell>
          <cell r="S376" t="str">
            <v>226_1</v>
          </cell>
          <cell r="T376">
            <v>0</v>
          </cell>
          <cell r="U376">
            <v>5</v>
          </cell>
          <cell r="V376">
            <v>4</v>
          </cell>
          <cell r="W376">
            <v>0.8</v>
          </cell>
          <cell r="X376">
            <v>43</v>
          </cell>
          <cell r="Y376">
            <v>33</v>
          </cell>
          <cell r="Z376">
            <v>0.76744186000000003</v>
          </cell>
        </row>
        <row r="377">
          <cell r="B377" t="str">
            <v>F227_1B</v>
          </cell>
          <cell r="C377" t="str">
            <v>R2_F227_1B</v>
          </cell>
          <cell r="D377">
            <v>1</v>
          </cell>
          <cell r="E377">
            <v>2.38</v>
          </cell>
          <cell r="F377">
            <v>410</v>
          </cell>
          <cell r="G377">
            <v>1</v>
          </cell>
          <cell r="H377">
            <v>42</v>
          </cell>
          <cell r="I377">
            <v>5</v>
          </cell>
          <cell r="J377">
            <v>5</v>
          </cell>
          <cell r="K377">
            <v>1</v>
          </cell>
          <cell r="L377">
            <v>9.0428960000000007</v>
          </cell>
          <cell r="M377">
            <v>-83.442323999999999</v>
          </cell>
          <cell r="N377" t="str">
            <v>Sur</v>
          </cell>
          <cell r="O377">
            <v>1</v>
          </cell>
          <cell r="P377" t="str">
            <v>nambi</v>
          </cell>
          <cell r="Q377" t="str">
            <v>nambi</v>
          </cell>
          <cell r="R377" t="b">
            <v>1</v>
          </cell>
          <cell r="S377" t="str">
            <v>227_1</v>
          </cell>
          <cell r="T377">
            <v>1</v>
          </cell>
          <cell r="U377">
            <v>0</v>
          </cell>
          <cell r="V377">
            <v>0</v>
          </cell>
          <cell r="W377" t="str">
            <v>NA</v>
          </cell>
          <cell r="X377">
            <v>40</v>
          </cell>
          <cell r="Y377">
            <v>29</v>
          </cell>
          <cell r="Z377">
            <v>0.72499999999999998</v>
          </cell>
        </row>
        <row r="378">
          <cell r="B378" t="str">
            <v>F227_2B</v>
          </cell>
          <cell r="C378" t="str">
            <v>R2_F227_2B</v>
          </cell>
          <cell r="D378">
            <v>0</v>
          </cell>
          <cell r="E378">
            <v>0.7</v>
          </cell>
          <cell r="F378">
            <v>410</v>
          </cell>
          <cell r="G378">
            <v>1</v>
          </cell>
          <cell r="H378">
            <v>42</v>
          </cell>
          <cell r="I378">
            <v>5</v>
          </cell>
          <cell r="J378">
            <v>5</v>
          </cell>
          <cell r="K378">
            <v>0</v>
          </cell>
          <cell r="L378">
            <v>9.0428960000000007</v>
          </cell>
          <cell r="M378">
            <v>-83.442323999999999</v>
          </cell>
          <cell r="N378" t="str">
            <v>Sur</v>
          </cell>
          <cell r="O378">
            <v>1</v>
          </cell>
          <cell r="P378" t="str">
            <v>tequila</v>
          </cell>
          <cell r="Q378" t="str">
            <v>talamanca</v>
          </cell>
          <cell r="R378" t="b">
            <v>0</v>
          </cell>
          <cell r="S378" t="str">
            <v>227_2</v>
          </cell>
          <cell r="T378">
            <v>0</v>
          </cell>
          <cell r="U378">
            <v>0</v>
          </cell>
          <cell r="V378">
            <v>0</v>
          </cell>
          <cell r="W378" t="str">
            <v>NA</v>
          </cell>
          <cell r="X378">
            <v>40</v>
          </cell>
          <cell r="Y378">
            <v>29</v>
          </cell>
          <cell r="Z378">
            <v>0.72499999999999998</v>
          </cell>
        </row>
        <row r="379">
          <cell r="B379" t="str">
            <v>F228_1B</v>
          </cell>
          <cell r="C379" t="str">
            <v>R2_F228_1B</v>
          </cell>
          <cell r="D379">
            <v>1</v>
          </cell>
          <cell r="E379">
            <v>1</v>
          </cell>
          <cell r="F379">
            <v>513</v>
          </cell>
          <cell r="G379">
            <v>1</v>
          </cell>
          <cell r="H379">
            <v>23</v>
          </cell>
          <cell r="I379">
            <v>11</v>
          </cell>
          <cell r="J379">
            <v>4</v>
          </cell>
          <cell r="K379">
            <v>1</v>
          </cell>
          <cell r="L379">
            <v>9.0575550000000007</v>
          </cell>
          <cell r="M379">
            <v>-83.448144999999997</v>
          </cell>
          <cell r="N379" t="str">
            <v>Sur</v>
          </cell>
          <cell r="O379">
            <v>1</v>
          </cell>
          <cell r="P379" t="str">
            <v>nambi</v>
          </cell>
          <cell r="Q379" t="str">
            <v>nambi</v>
          </cell>
          <cell r="R379" t="b">
            <v>1</v>
          </cell>
          <cell r="S379" t="str">
            <v>228_1</v>
          </cell>
          <cell r="T379">
            <v>1</v>
          </cell>
          <cell r="U379">
            <v>0</v>
          </cell>
          <cell r="V379">
            <v>0</v>
          </cell>
          <cell r="W379" t="str">
            <v>NA</v>
          </cell>
          <cell r="X379">
            <v>29</v>
          </cell>
          <cell r="Y379">
            <v>24</v>
          </cell>
          <cell r="Z379">
            <v>0.82758620699999996</v>
          </cell>
        </row>
        <row r="380">
          <cell r="B380" t="str">
            <v>F229_1B</v>
          </cell>
          <cell r="C380" t="str">
            <v>R2_F229_1B</v>
          </cell>
          <cell r="D380">
            <v>1</v>
          </cell>
          <cell r="E380">
            <v>0.7</v>
          </cell>
          <cell r="F380">
            <v>405</v>
          </cell>
          <cell r="G380">
            <v>1</v>
          </cell>
          <cell r="H380">
            <v>27</v>
          </cell>
          <cell r="I380">
            <v>16</v>
          </cell>
          <cell r="J380">
            <v>4</v>
          </cell>
          <cell r="K380">
            <v>1</v>
          </cell>
          <cell r="L380">
            <v>9.0598019999999995</v>
          </cell>
          <cell r="M380">
            <v>-83.478823000000006</v>
          </cell>
          <cell r="N380" t="str">
            <v>Sur</v>
          </cell>
          <cell r="O380">
            <v>1</v>
          </cell>
          <cell r="P380" t="str">
            <v>nambi</v>
          </cell>
          <cell r="Q380" t="str">
            <v>nambi</v>
          </cell>
          <cell r="R380" t="b">
            <v>1</v>
          </cell>
          <cell r="S380" t="str">
            <v>229_1</v>
          </cell>
          <cell r="T380">
            <v>1</v>
          </cell>
          <cell r="U380">
            <v>2</v>
          </cell>
          <cell r="V380">
            <v>1</v>
          </cell>
          <cell r="W380">
            <v>0.5</v>
          </cell>
          <cell r="X380">
            <v>48</v>
          </cell>
          <cell r="Y380">
            <v>33</v>
          </cell>
          <cell r="Z380">
            <v>0.6875</v>
          </cell>
        </row>
        <row r="381">
          <cell r="B381" t="str">
            <v>F229_2B</v>
          </cell>
          <cell r="C381" t="str">
            <v>R2_F229_2B</v>
          </cell>
          <cell r="D381">
            <v>1</v>
          </cell>
          <cell r="E381">
            <v>1.4</v>
          </cell>
          <cell r="F381">
            <v>405</v>
          </cell>
          <cell r="G381">
            <v>1</v>
          </cell>
          <cell r="H381">
            <v>27</v>
          </cell>
          <cell r="I381">
            <v>16</v>
          </cell>
          <cell r="J381">
            <v>4</v>
          </cell>
          <cell r="K381">
            <v>0</v>
          </cell>
          <cell r="L381">
            <v>9.0598019999999995</v>
          </cell>
          <cell r="M381">
            <v>-83.478823000000006</v>
          </cell>
          <cell r="N381" t="str">
            <v>Sur</v>
          </cell>
          <cell r="O381">
            <v>1</v>
          </cell>
          <cell r="P381" t="str">
            <v>victoria</v>
          </cell>
          <cell r="Q381" t="str">
            <v>victoria</v>
          </cell>
          <cell r="R381" t="b">
            <v>1</v>
          </cell>
          <cell r="S381" t="str">
            <v>229_2</v>
          </cell>
          <cell r="T381">
            <v>1</v>
          </cell>
          <cell r="U381">
            <v>2</v>
          </cell>
          <cell r="V381">
            <v>1</v>
          </cell>
          <cell r="W381">
            <v>0.5</v>
          </cell>
          <cell r="X381">
            <v>48</v>
          </cell>
          <cell r="Y381">
            <v>33</v>
          </cell>
          <cell r="Z381">
            <v>0.6875</v>
          </cell>
        </row>
        <row r="382">
          <cell r="B382" t="str">
            <v>F230_1B</v>
          </cell>
          <cell r="C382" t="str">
            <v>R2_F230_1B</v>
          </cell>
          <cell r="D382">
            <v>0</v>
          </cell>
          <cell r="E382">
            <v>1.4</v>
          </cell>
          <cell r="F382">
            <v>440</v>
          </cell>
          <cell r="G382">
            <v>1</v>
          </cell>
          <cell r="H382">
            <v>42</v>
          </cell>
          <cell r="I382">
            <v>9</v>
          </cell>
          <cell r="J382">
            <v>3</v>
          </cell>
          <cell r="K382">
            <v>0</v>
          </cell>
          <cell r="L382">
            <v>9.0555900000000005</v>
          </cell>
          <cell r="M382">
            <v>-83.477995000000007</v>
          </cell>
          <cell r="N382" t="str">
            <v>Sur</v>
          </cell>
          <cell r="O382">
            <v>1</v>
          </cell>
          <cell r="P382" t="str">
            <v>tequila</v>
          </cell>
          <cell r="Q382" t="str">
            <v>talamanca</v>
          </cell>
          <cell r="R382" t="b">
            <v>0</v>
          </cell>
          <cell r="S382" t="str">
            <v>230_1</v>
          </cell>
          <cell r="T382">
            <v>0</v>
          </cell>
          <cell r="U382">
            <v>2</v>
          </cell>
          <cell r="V382">
            <v>2</v>
          </cell>
          <cell r="W382">
            <v>1</v>
          </cell>
          <cell r="X382">
            <v>38</v>
          </cell>
          <cell r="Y382">
            <v>28</v>
          </cell>
          <cell r="Z382">
            <v>0.73684210500000002</v>
          </cell>
        </row>
        <row r="383">
          <cell r="B383" t="str">
            <v>F230_2B</v>
          </cell>
          <cell r="C383" t="str">
            <v>R2_F230_2B</v>
          </cell>
          <cell r="D383">
            <v>1</v>
          </cell>
          <cell r="E383">
            <v>0.7</v>
          </cell>
          <cell r="F383">
            <v>440</v>
          </cell>
          <cell r="G383">
            <v>1</v>
          </cell>
          <cell r="H383">
            <v>42</v>
          </cell>
          <cell r="I383">
            <v>9</v>
          </cell>
          <cell r="J383">
            <v>3</v>
          </cell>
          <cell r="K383">
            <v>1</v>
          </cell>
          <cell r="L383">
            <v>9.0555900000000005</v>
          </cell>
          <cell r="M383">
            <v>-83.477995000000007</v>
          </cell>
          <cell r="N383" t="str">
            <v>Sur</v>
          </cell>
          <cell r="O383">
            <v>1</v>
          </cell>
          <cell r="P383" t="str">
            <v>cabecar</v>
          </cell>
          <cell r="Q383" t="str">
            <v>cabecar</v>
          </cell>
          <cell r="R383" t="b">
            <v>1</v>
          </cell>
          <cell r="S383" t="str">
            <v>230_2</v>
          </cell>
          <cell r="T383">
            <v>1</v>
          </cell>
          <cell r="U383">
            <v>2</v>
          </cell>
          <cell r="V383">
            <v>2</v>
          </cell>
          <cell r="W383">
            <v>1</v>
          </cell>
          <cell r="X383">
            <v>38</v>
          </cell>
          <cell r="Y383">
            <v>28</v>
          </cell>
          <cell r="Z383">
            <v>0.73684210500000002</v>
          </cell>
        </row>
        <row r="384">
          <cell r="B384" t="str">
            <v>F231_1B</v>
          </cell>
          <cell r="C384" t="str">
            <v>R2_F231_1B</v>
          </cell>
          <cell r="D384">
            <v>0</v>
          </cell>
          <cell r="E384">
            <v>0.35</v>
          </cell>
          <cell r="F384">
            <v>699</v>
          </cell>
          <cell r="G384">
            <v>1</v>
          </cell>
          <cell r="H384">
            <v>55</v>
          </cell>
          <cell r="I384">
            <v>6</v>
          </cell>
          <cell r="J384">
            <v>4</v>
          </cell>
          <cell r="K384">
            <v>0</v>
          </cell>
          <cell r="L384">
            <v>9.0128920000000008</v>
          </cell>
          <cell r="M384">
            <v>-83.450379999999996</v>
          </cell>
          <cell r="N384" t="str">
            <v>Sur</v>
          </cell>
          <cell r="O384">
            <v>1</v>
          </cell>
          <cell r="P384" t="str">
            <v>mantequilla</v>
          </cell>
          <cell r="Q384" t="str">
            <v>nambi</v>
          </cell>
          <cell r="R384" t="b">
            <v>0</v>
          </cell>
          <cell r="S384" t="str">
            <v>231_1</v>
          </cell>
          <cell r="T384">
            <v>0</v>
          </cell>
          <cell r="U384">
            <v>2</v>
          </cell>
          <cell r="V384">
            <v>1</v>
          </cell>
          <cell r="W384">
            <v>0.5</v>
          </cell>
          <cell r="X384">
            <v>12</v>
          </cell>
          <cell r="Y384">
            <v>10</v>
          </cell>
          <cell r="Z384">
            <v>0.83333333300000001</v>
          </cell>
        </row>
        <row r="385">
          <cell r="B385" t="str">
            <v>F231_2B</v>
          </cell>
          <cell r="C385" t="str">
            <v>R2_F231_2B</v>
          </cell>
          <cell r="D385">
            <v>0</v>
          </cell>
          <cell r="E385">
            <v>0.35</v>
          </cell>
          <cell r="F385">
            <v>699</v>
          </cell>
          <cell r="G385">
            <v>1</v>
          </cell>
          <cell r="H385">
            <v>55</v>
          </cell>
          <cell r="I385">
            <v>6</v>
          </cell>
          <cell r="J385">
            <v>4</v>
          </cell>
          <cell r="K385">
            <v>0</v>
          </cell>
          <cell r="L385">
            <v>9.0128920000000008</v>
          </cell>
          <cell r="M385">
            <v>-83.450379999999996</v>
          </cell>
          <cell r="N385" t="str">
            <v>Sur</v>
          </cell>
          <cell r="O385">
            <v>1</v>
          </cell>
          <cell r="P385" t="str">
            <v>generalito</v>
          </cell>
          <cell r="Q385" t="str">
            <v>cabecar</v>
          </cell>
          <cell r="R385" t="b">
            <v>0</v>
          </cell>
          <cell r="S385" t="str">
            <v>231_2</v>
          </cell>
          <cell r="T385">
            <v>0</v>
          </cell>
          <cell r="U385">
            <v>2</v>
          </cell>
          <cell r="V385">
            <v>1</v>
          </cell>
          <cell r="W385">
            <v>0.5</v>
          </cell>
          <cell r="X385">
            <v>12</v>
          </cell>
          <cell r="Y385">
            <v>10</v>
          </cell>
          <cell r="Z385">
            <v>0.83333333300000001</v>
          </cell>
        </row>
        <row r="386">
          <cell r="B386" t="str">
            <v>F232_1B</v>
          </cell>
          <cell r="C386" t="str">
            <v>R2_F232_1B</v>
          </cell>
          <cell r="D386">
            <v>0</v>
          </cell>
          <cell r="E386">
            <v>1.5</v>
          </cell>
          <cell r="F386">
            <v>637</v>
          </cell>
          <cell r="G386">
            <v>1</v>
          </cell>
          <cell r="H386">
            <v>61</v>
          </cell>
          <cell r="I386">
            <v>6</v>
          </cell>
          <cell r="J386">
            <v>3</v>
          </cell>
          <cell r="K386">
            <v>0</v>
          </cell>
          <cell r="L386">
            <v>9.0146850000000001</v>
          </cell>
          <cell r="M386">
            <v>-83.450209999999998</v>
          </cell>
          <cell r="N386" t="str">
            <v>Sur</v>
          </cell>
          <cell r="O386">
            <v>1</v>
          </cell>
          <cell r="P386" t="str">
            <v>tequila</v>
          </cell>
          <cell r="Q386" t="str">
            <v>cabecar</v>
          </cell>
          <cell r="R386" t="b">
            <v>0</v>
          </cell>
          <cell r="S386" t="str">
            <v>232_1</v>
          </cell>
          <cell r="T386">
            <v>1</v>
          </cell>
          <cell r="U386">
            <v>2</v>
          </cell>
          <cell r="V386">
            <v>0</v>
          </cell>
          <cell r="W386">
            <v>0</v>
          </cell>
          <cell r="X386">
            <v>17</v>
          </cell>
          <cell r="Y386">
            <v>12</v>
          </cell>
          <cell r="Z386">
            <v>0.70588235300000002</v>
          </cell>
        </row>
        <row r="387">
          <cell r="B387" t="str">
            <v>F232_2B</v>
          </cell>
          <cell r="C387" t="str">
            <v>R2_F232_2B</v>
          </cell>
          <cell r="D387">
            <v>0</v>
          </cell>
          <cell r="E387">
            <v>1.5</v>
          </cell>
          <cell r="F387">
            <v>637</v>
          </cell>
          <cell r="G387">
            <v>1</v>
          </cell>
          <cell r="H387">
            <v>61</v>
          </cell>
          <cell r="I387">
            <v>6</v>
          </cell>
          <cell r="J387">
            <v>3</v>
          </cell>
          <cell r="K387">
            <v>0</v>
          </cell>
          <cell r="L387">
            <v>9.0146850000000001</v>
          </cell>
          <cell r="M387">
            <v>-83.450209999999998</v>
          </cell>
          <cell r="N387" t="str">
            <v>Sur</v>
          </cell>
          <cell r="O387">
            <v>1</v>
          </cell>
          <cell r="P387" t="str">
            <v>tequila</v>
          </cell>
          <cell r="Q387" t="str">
            <v>victoria</v>
          </cell>
          <cell r="R387" t="b">
            <v>0</v>
          </cell>
          <cell r="S387" t="str">
            <v>232_2</v>
          </cell>
          <cell r="T387">
            <v>0</v>
          </cell>
          <cell r="U387">
            <v>2</v>
          </cell>
          <cell r="V387">
            <v>0</v>
          </cell>
          <cell r="W387">
            <v>0</v>
          </cell>
          <cell r="X387">
            <v>17</v>
          </cell>
          <cell r="Y387">
            <v>12</v>
          </cell>
          <cell r="Z387">
            <v>0.70588235300000002</v>
          </cell>
        </row>
        <row r="388">
          <cell r="B388" t="str">
            <v>F233_1B</v>
          </cell>
          <cell r="C388" t="str">
            <v>R2_F233_1B</v>
          </cell>
          <cell r="D388">
            <v>1</v>
          </cell>
          <cell r="E388">
            <v>4</v>
          </cell>
          <cell r="F388">
            <v>624</v>
          </cell>
          <cell r="G388">
            <v>1</v>
          </cell>
          <cell r="H388">
            <v>72</v>
          </cell>
          <cell r="I388">
            <v>6</v>
          </cell>
          <cell r="J388">
            <v>3</v>
          </cell>
          <cell r="K388">
            <v>0</v>
          </cell>
          <cell r="L388">
            <v>9.0173550000000002</v>
          </cell>
          <cell r="M388">
            <v>-83.435749999999999</v>
          </cell>
          <cell r="N388" t="str">
            <v>Sur</v>
          </cell>
          <cell r="O388">
            <v>1</v>
          </cell>
          <cell r="P388" t="str">
            <v>tequila</v>
          </cell>
          <cell r="Q388" t="str">
            <v>tequila</v>
          </cell>
          <cell r="R388" t="b">
            <v>1</v>
          </cell>
          <cell r="S388" t="str">
            <v>233_1</v>
          </cell>
          <cell r="T388">
            <v>1</v>
          </cell>
          <cell r="U388">
            <v>0</v>
          </cell>
          <cell r="V388">
            <v>0</v>
          </cell>
          <cell r="W388" t="str">
            <v>NA</v>
          </cell>
          <cell r="X388">
            <v>24</v>
          </cell>
          <cell r="Y388">
            <v>17</v>
          </cell>
          <cell r="Z388">
            <v>0.70833333300000001</v>
          </cell>
        </row>
        <row r="389">
          <cell r="B389" t="str">
            <v>F234_1B</v>
          </cell>
          <cell r="C389" t="str">
            <v>R2_F234_1B</v>
          </cell>
          <cell r="D389">
            <v>0</v>
          </cell>
          <cell r="E389">
            <v>1</v>
          </cell>
          <cell r="F389">
            <v>375</v>
          </cell>
          <cell r="G389">
            <v>1</v>
          </cell>
          <cell r="H389">
            <v>66</v>
          </cell>
          <cell r="I389">
            <v>3</v>
          </cell>
          <cell r="J389">
            <v>3</v>
          </cell>
          <cell r="K389">
            <v>0</v>
          </cell>
          <cell r="L389">
            <v>9.0324950000000008</v>
          </cell>
          <cell r="M389">
            <v>-83.461723000000006</v>
          </cell>
          <cell r="N389" t="str">
            <v>Sur</v>
          </cell>
          <cell r="O389">
            <v>1</v>
          </cell>
          <cell r="P389" t="str">
            <v>tequila</v>
          </cell>
          <cell r="Q389" t="str">
            <v>cabecar</v>
          </cell>
          <cell r="R389" t="b">
            <v>0</v>
          </cell>
          <cell r="S389" t="str">
            <v>234_1</v>
          </cell>
          <cell r="T389">
            <v>1</v>
          </cell>
          <cell r="U389">
            <v>0</v>
          </cell>
          <cell r="V389">
            <v>0</v>
          </cell>
          <cell r="W389" t="str">
            <v>NA</v>
          </cell>
          <cell r="X389">
            <v>39</v>
          </cell>
          <cell r="Y389">
            <v>28</v>
          </cell>
          <cell r="Z389">
            <v>0.71794871800000004</v>
          </cell>
        </row>
        <row r="390">
          <cell r="B390" t="str">
            <v>F235_1B</v>
          </cell>
          <cell r="C390" t="str">
            <v>R2_F235_1B</v>
          </cell>
          <cell r="D390">
            <v>1</v>
          </cell>
          <cell r="E390">
            <v>0.7</v>
          </cell>
          <cell r="F390">
            <v>419</v>
          </cell>
          <cell r="G390">
            <v>1</v>
          </cell>
          <cell r="H390">
            <v>26</v>
          </cell>
          <cell r="I390">
            <v>11</v>
          </cell>
          <cell r="J390">
            <v>4</v>
          </cell>
          <cell r="K390">
            <v>0</v>
          </cell>
          <cell r="L390">
            <v>9.0582410000000007</v>
          </cell>
          <cell r="M390">
            <v>-83.355729999999994</v>
          </cell>
          <cell r="N390" t="str">
            <v>Sur</v>
          </cell>
          <cell r="O390">
            <v>1</v>
          </cell>
          <cell r="P390" t="str">
            <v>tequila</v>
          </cell>
          <cell r="Q390" t="str">
            <v>tequila</v>
          </cell>
          <cell r="R390" t="b">
            <v>1</v>
          </cell>
          <cell r="S390" t="str">
            <v>235_1</v>
          </cell>
          <cell r="T390">
            <v>1</v>
          </cell>
          <cell r="U390">
            <v>0</v>
          </cell>
          <cell r="V390">
            <v>0</v>
          </cell>
          <cell r="W390" t="str">
            <v>NA</v>
          </cell>
          <cell r="X390">
            <v>1</v>
          </cell>
          <cell r="Y390">
            <v>1</v>
          </cell>
          <cell r="Z390">
            <v>1</v>
          </cell>
        </row>
        <row r="391">
          <cell r="B391" t="str">
            <v>F235_2B</v>
          </cell>
          <cell r="C391" t="str">
            <v>R2_F235_2B</v>
          </cell>
          <cell r="D391">
            <v>1</v>
          </cell>
          <cell r="E391">
            <v>0.7</v>
          </cell>
          <cell r="F391">
            <v>419</v>
          </cell>
          <cell r="G391">
            <v>1</v>
          </cell>
          <cell r="H391">
            <v>26</v>
          </cell>
          <cell r="I391">
            <v>11</v>
          </cell>
          <cell r="J391">
            <v>4</v>
          </cell>
          <cell r="K391">
            <v>0</v>
          </cell>
          <cell r="L391">
            <v>9.0582410000000007</v>
          </cell>
          <cell r="M391">
            <v>-83.355729999999994</v>
          </cell>
          <cell r="N391" t="str">
            <v>Sur</v>
          </cell>
          <cell r="O391">
            <v>1</v>
          </cell>
          <cell r="P391" t="str">
            <v>generalito</v>
          </cell>
          <cell r="Q391" t="str">
            <v>generalito</v>
          </cell>
          <cell r="R391" t="b">
            <v>1</v>
          </cell>
          <cell r="S391" t="str">
            <v>235_2</v>
          </cell>
          <cell r="T391">
            <v>1</v>
          </cell>
          <cell r="U391">
            <v>0</v>
          </cell>
          <cell r="V391">
            <v>0</v>
          </cell>
          <cell r="W391" t="str">
            <v>NA</v>
          </cell>
          <cell r="X391">
            <v>1</v>
          </cell>
          <cell r="Y391">
            <v>1</v>
          </cell>
          <cell r="Z391">
            <v>1</v>
          </cell>
        </row>
        <row r="392">
          <cell r="B392" t="str">
            <v>F236_1B</v>
          </cell>
          <cell r="C392" t="str">
            <v>R2_F236_1B</v>
          </cell>
          <cell r="D392">
            <v>1</v>
          </cell>
          <cell r="E392">
            <v>2</v>
          </cell>
          <cell r="F392">
            <v>645</v>
          </cell>
          <cell r="G392">
            <v>1</v>
          </cell>
          <cell r="H392">
            <v>36</v>
          </cell>
          <cell r="I392">
            <v>11</v>
          </cell>
          <cell r="J392">
            <v>5</v>
          </cell>
          <cell r="K392">
            <v>1</v>
          </cell>
          <cell r="L392">
            <v>9.0108149999999991</v>
          </cell>
          <cell r="M392">
            <v>-83.457387999999995</v>
          </cell>
          <cell r="N392" t="str">
            <v>Sur</v>
          </cell>
          <cell r="O392">
            <v>1</v>
          </cell>
          <cell r="P392" t="str">
            <v>cabecar</v>
          </cell>
          <cell r="Q392" t="str">
            <v>cabecar</v>
          </cell>
          <cell r="R392" t="b">
            <v>1</v>
          </cell>
          <cell r="S392" t="str">
            <v>236_1</v>
          </cell>
          <cell r="T392">
            <v>1</v>
          </cell>
          <cell r="U392">
            <v>0</v>
          </cell>
          <cell r="V392">
            <v>0</v>
          </cell>
          <cell r="W392" t="str">
            <v>NA</v>
          </cell>
          <cell r="X392">
            <v>7</v>
          </cell>
          <cell r="Y392">
            <v>4</v>
          </cell>
          <cell r="Z392">
            <v>0.571428571</v>
          </cell>
        </row>
        <row r="393">
          <cell r="B393" t="str">
            <v>F236_2B</v>
          </cell>
          <cell r="C393" t="str">
            <v>R2_F236_2B</v>
          </cell>
          <cell r="D393">
            <v>1</v>
          </cell>
          <cell r="E393">
            <v>2</v>
          </cell>
          <cell r="F393">
            <v>645</v>
          </cell>
          <cell r="G393">
            <v>1</v>
          </cell>
          <cell r="H393">
            <v>36</v>
          </cell>
          <cell r="I393">
            <v>11</v>
          </cell>
          <cell r="J393">
            <v>5</v>
          </cell>
          <cell r="K393">
            <v>1</v>
          </cell>
          <cell r="L393">
            <v>9.0108149999999991</v>
          </cell>
          <cell r="M393">
            <v>-83.457387999999995</v>
          </cell>
          <cell r="N393" t="str">
            <v>Sur</v>
          </cell>
          <cell r="O393">
            <v>1</v>
          </cell>
          <cell r="P393" t="str">
            <v>nambi</v>
          </cell>
          <cell r="Q393" t="str">
            <v>nambi</v>
          </cell>
          <cell r="R393" t="b">
            <v>1</v>
          </cell>
          <cell r="S393" t="str">
            <v>236_2</v>
          </cell>
          <cell r="T393">
            <v>1</v>
          </cell>
          <cell r="U393">
            <v>0</v>
          </cell>
          <cell r="V393">
            <v>0</v>
          </cell>
          <cell r="W393" t="str">
            <v>NA</v>
          </cell>
          <cell r="X393">
            <v>7</v>
          </cell>
          <cell r="Y393">
            <v>4</v>
          </cell>
          <cell r="Z393">
            <v>0.571428571</v>
          </cell>
        </row>
        <row r="394">
          <cell r="B394" t="str">
            <v>F237_1B</v>
          </cell>
          <cell r="C394" t="str">
            <v>R2_F237_1B</v>
          </cell>
          <cell r="D394">
            <v>1</v>
          </cell>
          <cell r="E394">
            <v>0.7</v>
          </cell>
          <cell r="F394">
            <v>454</v>
          </cell>
          <cell r="G394">
            <v>1</v>
          </cell>
          <cell r="H394">
            <v>58</v>
          </cell>
          <cell r="I394">
            <v>2</v>
          </cell>
          <cell r="J394">
            <v>4</v>
          </cell>
          <cell r="K394">
            <v>1</v>
          </cell>
          <cell r="L394">
            <v>9.0624129999999994</v>
          </cell>
          <cell r="M394">
            <v>-83.469629999999995</v>
          </cell>
          <cell r="N394" t="str">
            <v>Sur</v>
          </cell>
          <cell r="O394">
            <v>1</v>
          </cell>
          <cell r="P394" t="str">
            <v>nambi</v>
          </cell>
          <cell r="Q394" t="str">
            <v>nambi</v>
          </cell>
          <cell r="R394" t="b">
            <v>1</v>
          </cell>
          <cell r="S394" t="str">
            <v>237_1</v>
          </cell>
          <cell r="T394">
            <v>1</v>
          </cell>
          <cell r="U394">
            <v>0</v>
          </cell>
          <cell r="V394">
            <v>0</v>
          </cell>
          <cell r="W394" t="str">
            <v>NA</v>
          </cell>
          <cell r="X394">
            <v>41</v>
          </cell>
          <cell r="Y394">
            <v>33</v>
          </cell>
          <cell r="Z394">
            <v>0.80487804900000004</v>
          </cell>
        </row>
        <row r="395">
          <cell r="B395" t="str">
            <v>F238_1B</v>
          </cell>
          <cell r="C395" t="str">
            <v>R2_F238_1B</v>
          </cell>
          <cell r="D395">
            <v>0</v>
          </cell>
          <cell r="E395">
            <v>1</v>
          </cell>
          <cell r="F395">
            <v>381</v>
          </cell>
          <cell r="G395">
            <v>1</v>
          </cell>
          <cell r="H395">
            <v>28</v>
          </cell>
          <cell r="I395">
            <v>9</v>
          </cell>
          <cell r="J395">
            <v>4</v>
          </cell>
          <cell r="K395">
            <v>0</v>
          </cell>
          <cell r="L395">
            <v>9.0398619999999994</v>
          </cell>
          <cell r="M395">
            <v>-83.463553000000005</v>
          </cell>
          <cell r="N395" t="str">
            <v>Sur</v>
          </cell>
          <cell r="O395">
            <v>1</v>
          </cell>
          <cell r="P395" t="str">
            <v>victoria</v>
          </cell>
          <cell r="Q395" t="str">
            <v>cabecar</v>
          </cell>
          <cell r="R395" t="b">
            <v>0</v>
          </cell>
          <cell r="S395" t="str">
            <v>238_1</v>
          </cell>
          <cell r="T395">
            <v>1</v>
          </cell>
          <cell r="U395">
            <v>2</v>
          </cell>
          <cell r="V395">
            <v>2</v>
          </cell>
          <cell r="W395">
            <v>1</v>
          </cell>
          <cell r="X395">
            <v>39</v>
          </cell>
          <cell r="Y395">
            <v>30</v>
          </cell>
          <cell r="Z395">
            <v>0.76923076899999998</v>
          </cell>
        </row>
        <row r="396">
          <cell r="B396" t="str">
            <v>F239_1B</v>
          </cell>
          <cell r="C396" t="str">
            <v>R2_F239_1B</v>
          </cell>
          <cell r="D396">
            <v>1</v>
          </cell>
          <cell r="E396">
            <v>1</v>
          </cell>
          <cell r="F396">
            <v>329</v>
          </cell>
          <cell r="G396">
            <v>1</v>
          </cell>
          <cell r="H396">
            <v>44</v>
          </cell>
          <cell r="I396">
            <v>6</v>
          </cell>
          <cell r="J396">
            <v>4</v>
          </cell>
          <cell r="K396">
            <v>1</v>
          </cell>
          <cell r="L396">
            <v>9.0422030000000007</v>
          </cell>
          <cell r="M396">
            <v>-83.460587000000004</v>
          </cell>
          <cell r="N396" t="str">
            <v>Sur</v>
          </cell>
          <cell r="O396">
            <v>1</v>
          </cell>
          <cell r="P396" t="str">
            <v>nambi</v>
          </cell>
          <cell r="Q396" t="str">
            <v>nambi</v>
          </cell>
          <cell r="R396" t="b">
            <v>1</v>
          </cell>
          <cell r="S396" t="str">
            <v>239_1</v>
          </cell>
          <cell r="T396">
            <v>1</v>
          </cell>
          <cell r="U396">
            <v>2</v>
          </cell>
          <cell r="V396">
            <v>2</v>
          </cell>
          <cell r="W396">
            <v>1</v>
          </cell>
          <cell r="X396">
            <v>43</v>
          </cell>
          <cell r="Y396">
            <v>31</v>
          </cell>
          <cell r="Z396">
            <v>0.72093023300000003</v>
          </cell>
        </row>
        <row r="397">
          <cell r="B397" t="str">
            <v>F241_1B</v>
          </cell>
          <cell r="C397" t="str">
            <v>R2_F241_1B</v>
          </cell>
          <cell r="D397">
            <v>1</v>
          </cell>
          <cell r="E397">
            <v>0.35</v>
          </cell>
          <cell r="F397">
            <v>548</v>
          </cell>
          <cell r="G397">
            <v>1</v>
          </cell>
          <cell r="H397">
            <v>47</v>
          </cell>
          <cell r="I397">
            <v>5</v>
          </cell>
          <cell r="J397">
            <v>5</v>
          </cell>
          <cell r="K397">
            <v>1</v>
          </cell>
          <cell r="L397">
            <v>9.0211400000000008</v>
          </cell>
          <cell r="M397">
            <v>-83.409773999999999</v>
          </cell>
          <cell r="N397" t="str">
            <v>Sur</v>
          </cell>
          <cell r="O397">
            <v>1</v>
          </cell>
          <cell r="P397" t="str">
            <v>nambi</v>
          </cell>
          <cell r="Q397" t="str">
            <v>nambi</v>
          </cell>
          <cell r="R397" t="b">
            <v>1</v>
          </cell>
          <cell r="S397" t="str">
            <v>241_1</v>
          </cell>
          <cell r="T397">
            <v>1</v>
          </cell>
          <cell r="U397">
            <v>6</v>
          </cell>
          <cell r="V397">
            <v>5</v>
          </cell>
          <cell r="W397">
            <v>0.83333333300000001</v>
          </cell>
          <cell r="X397">
            <v>40</v>
          </cell>
          <cell r="Y397">
            <v>24</v>
          </cell>
          <cell r="Z397">
            <v>0.6</v>
          </cell>
        </row>
        <row r="398">
          <cell r="B398" t="str">
            <v>F242_1B</v>
          </cell>
          <cell r="C398" t="str">
            <v>R2_F242_1B</v>
          </cell>
          <cell r="D398">
            <v>1</v>
          </cell>
          <cell r="E398">
            <v>3</v>
          </cell>
          <cell r="F398">
            <v>648</v>
          </cell>
          <cell r="G398">
            <v>1</v>
          </cell>
          <cell r="H398">
            <v>60</v>
          </cell>
          <cell r="I398">
            <v>0</v>
          </cell>
          <cell r="J398">
            <v>3</v>
          </cell>
          <cell r="K398">
            <v>1</v>
          </cell>
          <cell r="L398">
            <v>9.0147630000000003</v>
          </cell>
          <cell r="M398">
            <v>-83.407218</v>
          </cell>
          <cell r="N398" t="str">
            <v>Sur</v>
          </cell>
          <cell r="O398">
            <v>1</v>
          </cell>
          <cell r="P398" t="str">
            <v>cabecar</v>
          </cell>
          <cell r="Q398" t="str">
            <v>cabecar</v>
          </cell>
          <cell r="R398" t="b">
            <v>1</v>
          </cell>
          <cell r="S398" t="str">
            <v>242_1</v>
          </cell>
          <cell r="T398">
            <v>1</v>
          </cell>
          <cell r="U398">
            <v>5</v>
          </cell>
          <cell r="V398">
            <v>2</v>
          </cell>
          <cell r="W398">
            <v>0.4</v>
          </cell>
          <cell r="X398">
            <v>32</v>
          </cell>
          <cell r="Y398">
            <v>20</v>
          </cell>
          <cell r="Z398">
            <v>0.625</v>
          </cell>
        </row>
        <row r="399">
          <cell r="B399" t="str">
            <v>F243_1B</v>
          </cell>
          <cell r="C399" t="str">
            <v>R2_F243_1B</v>
          </cell>
          <cell r="D399">
            <v>1</v>
          </cell>
          <cell r="E399">
            <v>2</v>
          </cell>
          <cell r="F399">
            <v>526</v>
          </cell>
          <cell r="G399">
            <v>1</v>
          </cell>
          <cell r="H399">
            <v>48</v>
          </cell>
          <cell r="I399">
            <v>6</v>
          </cell>
          <cell r="J399">
            <v>6</v>
          </cell>
          <cell r="K399">
            <v>1</v>
          </cell>
          <cell r="L399">
            <v>9.022627</v>
          </cell>
          <cell r="M399">
            <v>-83.410597999999993</v>
          </cell>
          <cell r="N399" t="str">
            <v>Sur</v>
          </cell>
          <cell r="O399">
            <v>1</v>
          </cell>
          <cell r="P399" t="str">
            <v>nambi</v>
          </cell>
          <cell r="Q399" t="str">
            <v>nambi</v>
          </cell>
          <cell r="R399" t="b">
            <v>1</v>
          </cell>
          <cell r="S399" t="str">
            <v>243_1</v>
          </cell>
          <cell r="T399">
            <v>1</v>
          </cell>
          <cell r="U399">
            <v>4</v>
          </cell>
          <cell r="V399">
            <v>4</v>
          </cell>
          <cell r="W399">
            <v>1</v>
          </cell>
          <cell r="X399">
            <v>33</v>
          </cell>
          <cell r="Y399">
            <v>19</v>
          </cell>
          <cell r="Z399">
            <v>0.57575757599999999</v>
          </cell>
        </row>
        <row r="400">
          <cell r="B400" t="str">
            <v>F243_2B</v>
          </cell>
          <cell r="C400" t="str">
            <v>R2_F243_2B</v>
          </cell>
          <cell r="D400">
            <v>0</v>
          </cell>
          <cell r="E400">
            <v>1</v>
          </cell>
          <cell r="F400">
            <v>526</v>
          </cell>
          <cell r="G400">
            <v>1</v>
          </cell>
          <cell r="H400">
            <v>48</v>
          </cell>
          <cell r="I400">
            <v>6</v>
          </cell>
          <cell r="J400">
            <v>6</v>
          </cell>
          <cell r="K400">
            <v>0</v>
          </cell>
          <cell r="L400">
            <v>9.022627</v>
          </cell>
          <cell r="M400">
            <v>-83.410597999999993</v>
          </cell>
          <cell r="N400" t="str">
            <v>Sur</v>
          </cell>
          <cell r="O400">
            <v>1</v>
          </cell>
          <cell r="P400" t="str">
            <v>tequila</v>
          </cell>
          <cell r="Q400" t="str">
            <v>tiquete</v>
          </cell>
          <cell r="R400" t="b">
            <v>0</v>
          </cell>
          <cell r="S400" t="str">
            <v>243_2</v>
          </cell>
          <cell r="T400">
            <v>1</v>
          </cell>
          <cell r="U400">
            <v>4</v>
          </cell>
          <cell r="V400">
            <v>4</v>
          </cell>
          <cell r="W400">
            <v>1</v>
          </cell>
          <cell r="X400">
            <v>33</v>
          </cell>
          <cell r="Y400">
            <v>19</v>
          </cell>
          <cell r="Z400">
            <v>0.57575757599999999</v>
          </cell>
        </row>
        <row r="401">
          <cell r="B401" t="str">
            <v>F243_3B</v>
          </cell>
          <cell r="C401" t="str">
            <v>R2_F243_3B</v>
          </cell>
          <cell r="D401">
            <v>0</v>
          </cell>
          <cell r="E401">
            <v>1</v>
          </cell>
          <cell r="F401">
            <v>526</v>
          </cell>
          <cell r="G401">
            <v>1</v>
          </cell>
          <cell r="H401">
            <v>48</v>
          </cell>
          <cell r="I401">
            <v>6</v>
          </cell>
          <cell r="J401">
            <v>6</v>
          </cell>
          <cell r="K401">
            <v>1</v>
          </cell>
          <cell r="L401">
            <v>9.022627</v>
          </cell>
          <cell r="M401">
            <v>-83.410597999999993</v>
          </cell>
          <cell r="N401" t="str">
            <v>Sur</v>
          </cell>
          <cell r="O401">
            <v>1</v>
          </cell>
          <cell r="P401" t="str">
            <v>uran</v>
          </cell>
          <cell r="Q401" t="str">
            <v>other</v>
          </cell>
          <cell r="R401" t="str">
            <v>Not applicable</v>
          </cell>
          <cell r="S401" t="str">
            <v>243_3</v>
          </cell>
          <cell r="T401">
            <v>0</v>
          </cell>
          <cell r="U401">
            <v>4</v>
          </cell>
          <cell r="V401">
            <v>4</v>
          </cell>
          <cell r="W401">
            <v>1</v>
          </cell>
          <cell r="X401">
            <v>33</v>
          </cell>
          <cell r="Y401">
            <v>19</v>
          </cell>
          <cell r="Z401">
            <v>0.57575757599999999</v>
          </cell>
        </row>
        <row r="402">
          <cell r="B402" t="str">
            <v>F243_4B</v>
          </cell>
          <cell r="C402" t="str">
            <v>R2_F243_4B</v>
          </cell>
          <cell r="D402">
            <v>1</v>
          </cell>
          <cell r="E402">
            <v>0.28000000000000003</v>
          </cell>
          <cell r="F402">
            <v>526</v>
          </cell>
          <cell r="G402">
            <v>1</v>
          </cell>
          <cell r="H402">
            <v>48</v>
          </cell>
          <cell r="I402">
            <v>6</v>
          </cell>
          <cell r="J402">
            <v>6</v>
          </cell>
          <cell r="K402">
            <v>0</v>
          </cell>
          <cell r="L402">
            <v>9.022627</v>
          </cell>
          <cell r="M402">
            <v>-83.410597999999993</v>
          </cell>
          <cell r="N402" t="str">
            <v>Sur</v>
          </cell>
          <cell r="O402">
            <v>1</v>
          </cell>
          <cell r="P402" t="str">
            <v>generalito</v>
          </cell>
          <cell r="Q402" t="str">
            <v>generalito</v>
          </cell>
          <cell r="R402" t="b">
            <v>1</v>
          </cell>
          <cell r="S402" t="str">
            <v>243_4</v>
          </cell>
          <cell r="T402">
            <v>1</v>
          </cell>
          <cell r="U402">
            <v>4</v>
          </cell>
          <cell r="V402">
            <v>4</v>
          </cell>
          <cell r="W402">
            <v>1</v>
          </cell>
          <cell r="X402">
            <v>33</v>
          </cell>
          <cell r="Y402">
            <v>19</v>
          </cell>
          <cell r="Z402">
            <v>0.57575757599999999</v>
          </cell>
        </row>
        <row r="403">
          <cell r="B403" t="str">
            <v>F244_1B</v>
          </cell>
          <cell r="C403" t="str">
            <v>R2_F244_1B</v>
          </cell>
          <cell r="D403">
            <v>1</v>
          </cell>
          <cell r="E403">
            <v>0.35</v>
          </cell>
          <cell r="F403">
            <v>499</v>
          </cell>
          <cell r="G403">
            <v>1</v>
          </cell>
          <cell r="H403">
            <v>69</v>
          </cell>
          <cell r="I403">
            <v>3</v>
          </cell>
          <cell r="J403">
            <v>4</v>
          </cell>
          <cell r="K403">
            <v>0</v>
          </cell>
          <cell r="L403">
            <v>9.0243280000000006</v>
          </cell>
          <cell r="M403">
            <v>-83.405906999999999</v>
          </cell>
          <cell r="N403" t="str">
            <v>Sur</v>
          </cell>
          <cell r="O403">
            <v>1</v>
          </cell>
          <cell r="P403" t="str">
            <v>generalito</v>
          </cell>
          <cell r="Q403" t="str">
            <v>generalito</v>
          </cell>
          <cell r="R403" t="b">
            <v>1</v>
          </cell>
          <cell r="S403" t="str">
            <v>244_1</v>
          </cell>
          <cell r="T403">
            <v>1</v>
          </cell>
          <cell r="U403">
            <v>7</v>
          </cell>
          <cell r="V403">
            <v>6</v>
          </cell>
          <cell r="W403">
            <v>0.85714285700000004</v>
          </cell>
          <cell r="X403">
            <v>36</v>
          </cell>
          <cell r="Y403">
            <v>21</v>
          </cell>
          <cell r="Z403">
            <v>0.58333333300000001</v>
          </cell>
        </row>
        <row r="404">
          <cell r="B404" t="str">
            <v>F245_1B</v>
          </cell>
          <cell r="C404" t="str">
            <v>R2_F245_1B</v>
          </cell>
          <cell r="D404">
            <v>0</v>
          </cell>
          <cell r="E404">
            <v>0.28000000000000003</v>
          </cell>
          <cell r="F404">
            <v>378</v>
          </cell>
          <cell r="G404">
            <v>1</v>
          </cell>
          <cell r="H404">
            <v>29</v>
          </cell>
          <cell r="I404">
            <v>8</v>
          </cell>
          <cell r="J404">
            <v>4</v>
          </cell>
          <cell r="K404">
            <v>0</v>
          </cell>
          <cell r="L404">
            <v>9.029083</v>
          </cell>
          <cell r="M404">
            <v>-83.420659999999998</v>
          </cell>
          <cell r="N404" t="str">
            <v>Sur</v>
          </cell>
          <cell r="O404">
            <v>1</v>
          </cell>
          <cell r="P404" t="str">
            <v>tequila</v>
          </cell>
          <cell r="Q404" t="str">
            <v>tiquete</v>
          </cell>
          <cell r="R404" t="b">
            <v>0</v>
          </cell>
          <cell r="S404" t="str">
            <v>245_1</v>
          </cell>
          <cell r="T404">
            <v>1</v>
          </cell>
          <cell r="U404">
            <v>4</v>
          </cell>
          <cell r="V404">
            <v>3</v>
          </cell>
          <cell r="W404">
            <v>0.75</v>
          </cell>
          <cell r="X404">
            <v>40</v>
          </cell>
          <cell r="Y404">
            <v>23</v>
          </cell>
          <cell r="Z404">
            <v>0.57499999999999996</v>
          </cell>
        </row>
        <row r="405">
          <cell r="B405" t="str">
            <v>F246_1B</v>
          </cell>
          <cell r="C405" t="str">
            <v>R2_F246_1B</v>
          </cell>
          <cell r="D405">
            <v>0</v>
          </cell>
          <cell r="E405">
            <v>0.5</v>
          </cell>
          <cell r="F405">
            <v>415</v>
          </cell>
          <cell r="G405">
            <v>1</v>
          </cell>
          <cell r="H405">
            <v>42</v>
          </cell>
          <cell r="I405">
            <v>5</v>
          </cell>
          <cell r="J405">
            <v>4</v>
          </cell>
          <cell r="K405">
            <v>0</v>
          </cell>
          <cell r="L405">
            <v>9.0256950000000007</v>
          </cell>
          <cell r="M405">
            <v>-83.412343000000007</v>
          </cell>
          <cell r="N405" t="str">
            <v>Sur</v>
          </cell>
          <cell r="O405">
            <v>1</v>
          </cell>
          <cell r="P405" t="str">
            <v>tequila</v>
          </cell>
          <cell r="Q405" t="str">
            <v>tiquete</v>
          </cell>
          <cell r="R405" t="b">
            <v>0</v>
          </cell>
          <cell r="S405" t="str">
            <v>246_1</v>
          </cell>
          <cell r="T405">
            <v>1</v>
          </cell>
          <cell r="U405">
            <v>5</v>
          </cell>
          <cell r="V405">
            <v>3</v>
          </cell>
          <cell r="W405">
            <v>0.6</v>
          </cell>
          <cell r="X405">
            <v>39</v>
          </cell>
          <cell r="Y405">
            <v>23</v>
          </cell>
          <cell r="Z405">
            <v>0.58974358999999998</v>
          </cell>
        </row>
        <row r="406">
          <cell r="B406" t="str">
            <v>F246_2B</v>
          </cell>
          <cell r="C406" t="str">
            <v>R2_F246_2B</v>
          </cell>
          <cell r="D406">
            <v>0</v>
          </cell>
          <cell r="E406">
            <v>0.5</v>
          </cell>
          <cell r="F406">
            <v>415</v>
          </cell>
          <cell r="G406">
            <v>1</v>
          </cell>
          <cell r="H406">
            <v>42</v>
          </cell>
          <cell r="I406">
            <v>5</v>
          </cell>
          <cell r="J406">
            <v>4</v>
          </cell>
          <cell r="K406">
            <v>0</v>
          </cell>
          <cell r="L406">
            <v>9.0256950000000007</v>
          </cell>
          <cell r="M406">
            <v>-83.412343000000007</v>
          </cell>
          <cell r="N406" t="str">
            <v>Sur</v>
          </cell>
          <cell r="O406">
            <v>1</v>
          </cell>
          <cell r="P406" t="str">
            <v>tequila</v>
          </cell>
          <cell r="Q406" t="str">
            <v>sacapobres</v>
          </cell>
          <cell r="R406" t="b">
            <v>0</v>
          </cell>
          <cell r="S406" t="str">
            <v>246_2</v>
          </cell>
          <cell r="T406">
            <v>0</v>
          </cell>
          <cell r="U406">
            <v>5</v>
          </cell>
          <cell r="V406">
            <v>3</v>
          </cell>
          <cell r="W406">
            <v>0.6</v>
          </cell>
          <cell r="X406">
            <v>39</v>
          </cell>
          <cell r="Y406">
            <v>23</v>
          </cell>
          <cell r="Z406">
            <v>0.58974358999999998</v>
          </cell>
        </row>
        <row r="407">
          <cell r="B407" t="str">
            <v>F247_1B</v>
          </cell>
          <cell r="C407" t="str">
            <v>R2_F247_1B</v>
          </cell>
          <cell r="D407">
            <v>0</v>
          </cell>
          <cell r="E407">
            <v>1</v>
          </cell>
          <cell r="F407">
            <v>392</v>
          </cell>
          <cell r="G407">
            <v>1</v>
          </cell>
          <cell r="H407">
            <v>64</v>
          </cell>
          <cell r="I407">
            <v>0</v>
          </cell>
          <cell r="J407">
            <v>3</v>
          </cell>
          <cell r="K407">
            <v>0</v>
          </cell>
          <cell r="L407">
            <v>9.0245879999999996</v>
          </cell>
          <cell r="M407">
            <v>-83.416818000000006</v>
          </cell>
          <cell r="N407" t="str">
            <v>Sur</v>
          </cell>
          <cell r="O407">
            <v>1</v>
          </cell>
          <cell r="P407" t="str">
            <v>tequila</v>
          </cell>
          <cell r="Q407" t="str">
            <v>cabecar</v>
          </cell>
          <cell r="R407" t="b">
            <v>0</v>
          </cell>
          <cell r="S407" t="str">
            <v>247_1</v>
          </cell>
          <cell r="T407">
            <v>0</v>
          </cell>
          <cell r="U407">
            <v>7</v>
          </cell>
          <cell r="V407">
            <v>5</v>
          </cell>
          <cell r="W407">
            <v>0.71428571399999996</v>
          </cell>
          <cell r="X407">
            <v>42</v>
          </cell>
          <cell r="Y407">
            <v>24</v>
          </cell>
          <cell r="Z407">
            <v>0.571428571</v>
          </cell>
        </row>
        <row r="408">
          <cell r="B408" t="str">
            <v>F248_1B</v>
          </cell>
          <cell r="C408" t="str">
            <v>R2_F248_1B</v>
          </cell>
          <cell r="D408">
            <v>0</v>
          </cell>
          <cell r="E408">
            <v>1.4</v>
          </cell>
          <cell r="F408">
            <v>530</v>
          </cell>
          <cell r="G408">
            <v>1</v>
          </cell>
          <cell r="H408">
            <v>64</v>
          </cell>
          <cell r="I408">
            <v>6</v>
          </cell>
          <cell r="J408">
            <v>1</v>
          </cell>
          <cell r="K408">
            <v>0</v>
          </cell>
          <cell r="L408">
            <v>9.0310369999999995</v>
          </cell>
          <cell r="M408">
            <v>-83.400400000000005</v>
          </cell>
          <cell r="N408" t="str">
            <v>Sur</v>
          </cell>
          <cell r="O408">
            <v>1</v>
          </cell>
          <cell r="P408" t="str">
            <v>victoria</v>
          </cell>
          <cell r="Q408" t="str">
            <v>cabecar</v>
          </cell>
          <cell r="R408" t="b">
            <v>0</v>
          </cell>
          <cell r="S408" t="str">
            <v>248_1</v>
          </cell>
          <cell r="T408">
            <v>1</v>
          </cell>
          <cell r="U408">
            <v>0</v>
          </cell>
          <cell r="V408">
            <v>0</v>
          </cell>
          <cell r="W408" t="str">
            <v>NA</v>
          </cell>
          <cell r="X408">
            <v>32</v>
          </cell>
          <cell r="Y408">
            <v>19</v>
          </cell>
          <cell r="Z408">
            <v>0.59375</v>
          </cell>
        </row>
        <row r="409">
          <cell r="B409" t="str">
            <v>F248_2B</v>
          </cell>
          <cell r="C409" t="str">
            <v>R2_F248_2B</v>
          </cell>
          <cell r="D409">
            <v>1</v>
          </cell>
          <cell r="E409">
            <v>2.8</v>
          </cell>
          <cell r="F409">
            <v>530</v>
          </cell>
          <cell r="G409">
            <v>1</v>
          </cell>
          <cell r="H409">
            <v>64</v>
          </cell>
          <cell r="I409">
            <v>6</v>
          </cell>
          <cell r="J409">
            <v>1</v>
          </cell>
          <cell r="K409">
            <v>1</v>
          </cell>
          <cell r="L409">
            <v>9.0310369999999995</v>
          </cell>
          <cell r="M409">
            <v>-83.400400000000005</v>
          </cell>
          <cell r="N409" t="str">
            <v>Sur</v>
          </cell>
          <cell r="O409">
            <v>1</v>
          </cell>
          <cell r="P409" t="str">
            <v>nambi</v>
          </cell>
          <cell r="Q409" t="str">
            <v>nambi</v>
          </cell>
          <cell r="R409" t="b">
            <v>1</v>
          </cell>
          <cell r="S409" t="str">
            <v>248_2</v>
          </cell>
          <cell r="T409">
            <v>1</v>
          </cell>
          <cell r="U409">
            <v>0</v>
          </cell>
          <cell r="V409">
            <v>0</v>
          </cell>
          <cell r="W409" t="str">
            <v>NA</v>
          </cell>
          <cell r="X409">
            <v>32</v>
          </cell>
          <cell r="Y409">
            <v>19</v>
          </cell>
          <cell r="Z409">
            <v>0.59375</v>
          </cell>
        </row>
        <row r="410">
          <cell r="B410" t="str">
            <v>F249_1B</v>
          </cell>
          <cell r="C410" t="str">
            <v>R2_F249_1B</v>
          </cell>
          <cell r="D410">
            <v>1</v>
          </cell>
          <cell r="E410">
            <v>3.5</v>
          </cell>
          <cell r="F410">
            <v>489</v>
          </cell>
          <cell r="G410">
            <v>1</v>
          </cell>
          <cell r="H410">
            <v>75</v>
          </cell>
          <cell r="I410">
            <v>6</v>
          </cell>
          <cell r="J410">
            <v>3</v>
          </cell>
          <cell r="K410">
            <v>1</v>
          </cell>
          <cell r="L410">
            <v>9.0246680000000001</v>
          </cell>
          <cell r="M410">
            <v>-83.403696999999994</v>
          </cell>
          <cell r="N410" t="str">
            <v>Sur</v>
          </cell>
          <cell r="O410">
            <v>1</v>
          </cell>
          <cell r="P410" t="str">
            <v>nambi</v>
          </cell>
          <cell r="Q410" t="str">
            <v>nambi</v>
          </cell>
          <cell r="R410" t="b">
            <v>1</v>
          </cell>
          <cell r="S410" t="str">
            <v>249_1</v>
          </cell>
          <cell r="T410">
            <v>1</v>
          </cell>
          <cell r="U410">
            <v>5</v>
          </cell>
          <cell r="V410">
            <v>4</v>
          </cell>
          <cell r="W410">
            <v>0.8</v>
          </cell>
          <cell r="X410">
            <v>36</v>
          </cell>
          <cell r="Y410">
            <v>21</v>
          </cell>
          <cell r="Z410">
            <v>0.58333333300000001</v>
          </cell>
        </row>
        <row r="411">
          <cell r="B411" t="str">
            <v>F250_1B</v>
          </cell>
          <cell r="C411" t="str">
            <v>R2_F250_1B</v>
          </cell>
          <cell r="D411">
            <v>0</v>
          </cell>
          <cell r="E411">
            <v>1.75</v>
          </cell>
          <cell r="F411">
            <v>388</v>
          </cell>
          <cell r="G411">
            <v>1</v>
          </cell>
          <cell r="H411">
            <v>49</v>
          </cell>
          <cell r="I411">
            <v>6</v>
          </cell>
          <cell r="J411">
            <v>3</v>
          </cell>
          <cell r="K411">
            <v>0</v>
          </cell>
          <cell r="L411">
            <v>9.0255170000000007</v>
          </cell>
          <cell r="M411">
            <v>-83.417455000000004</v>
          </cell>
          <cell r="N411" t="str">
            <v>Sur</v>
          </cell>
          <cell r="O411">
            <v>1</v>
          </cell>
          <cell r="P411" t="str">
            <v>victoria</v>
          </cell>
          <cell r="Q411" t="str">
            <v>cabecar</v>
          </cell>
          <cell r="R411" t="b">
            <v>0</v>
          </cell>
          <cell r="S411" t="str">
            <v>250_1</v>
          </cell>
          <cell r="T411">
            <v>1</v>
          </cell>
          <cell r="U411">
            <v>6</v>
          </cell>
          <cell r="V411">
            <v>3</v>
          </cell>
          <cell r="W411">
            <v>0.5</v>
          </cell>
          <cell r="X411">
            <v>41</v>
          </cell>
          <cell r="Y411">
            <v>22</v>
          </cell>
          <cell r="Z411">
            <v>0.53658536599999995</v>
          </cell>
        </row>
        <row r="412">
          <cell r="B412" t="str">
            <v>F250_2B</v>
          </cell>
          <cell r="C412" t="str">
            <v>R2_F250_2B</v>
          </cell>
          <cell r="D412">
            <v>1</v>
          </cell>
          <cell r="E412">
            <v>5.5</v>
          </cell>
          <cell r="F412">
            <v>388</v>
          </cell>
          <cell r="G412">
            <v>1</v>
          </cell>
          <cell r="H412">
            <v>49</v>
          </cell>
          <cell r="I412">
            <v>6</v>
          </cell>
          <cell r="J412">
            <v>3</v>
          </cell>
          <cell r="K412">
            <v>1</v>
          </cell>
          <cell r="L412">
            <v>9.0255170000000007</v>
          </cell>
          <cell r="M412">
            <v>-83.417455000000004</v>
          </cell>
          <cell r="N412" t="str">
            <v>Sur</v>
          </cell>
          <cell r="O412">
            <v>1</v>
          </cell>
          <cell r="P412" t="str">
            <v>nambi</v>
          </cell>
          <cell r="Q412" t="str">
            <v>nambi</v>
          </cell>
          <cell r="R412" t="b">
            <v>1</v>
          </cell>
          <cell r="S412" t="str">
            <v>250_2</v>
          </cell>
          <cell r="T412">
            <v>1</v>
          </cell>
          <cell r="U412">
            <v>6</v>
          </cell>
          <cell r="V412">
            <v>3</v>
          </cell>
          <cell r="W412">
            <v>0.5</v>
          </cell>
          <cell r="X412">
            <v>41</v>
          </cell>
          <cell r="Y412">
            <v>22</v>
          </cell>
          <cell r="Z412">
            <v>0.53658536599999995</v>
          </cell>
        </row>
        <row r="413">
          <cell r="B413" t="str">
            <v>F251_1B</v>
          </cell>
          <cell r="C413" t="str">
            <v>R2_F251_1B</v>
          </cell>
          <cell r="D413">
            <v>1</v>
          </cell>
          <cell r="E413">
            <v>3.15</v>
          </cell>
          <cell r="F413">
            <v>392</v>
          </cell>
          <cell r="G413">
            <v>1</v>
          </cell>
          <cell r="H413">
            <v>47</v>
          </cell>
          <cell r="I413">
            <v>2</v>
          </cell>
          <cell r="J413">
            <v>1</v>
          </cell>
          <cell r="K413">
            <v>1</v>
          </cell>
          <cell r="L413">
            <v>9.0244250000000008</v>
          </cell>
          <cell r="M413">
            <v>-83.41704</v>
          </cell>
          <cell r="N413" t="str">
            <v>Sur</v>
          </cell>
          <cell r="O413">
            <v>1</v>
          </cell>
          <cell r="P413" t="str">
            <v>cabecar</v>
          </cell>
          <cell r="Q413" t="str">
            <v>cabecar</v>
          </cell>
          <cell r="R413" t="b">
            <v>1</v>
          </cell>
          <cell r="S413" t="str">
            <v>251_1</v>
          </cell>
          <cell r="T413">
            <v>1</v>
          </cell>
          <cell r="U413">
            <v>7</v>
          </cell>
          <cell r="V413">
            <v>4</v>
          </cell>
          <cell r="W413">
            <v>0.571428571</v>
          </cell>
          <cell r="X413">
            <v>42</v>
          </cell>
          <cell r="Y413">
            <v>23</v>
          </cell>
          <cell r="Z413">
            <v>0.54761904800000005</v>
          </cell>
        </row>
        <row r="414">
          <cell r="B414" t="str">
            <v>F252_1B</v>
          </cell>
          <cell r="C414" t="str">
            <v>R2_F252_1B</v>
          </cell>
          <cell r="D414">
            <v>1</v>
          </cell>
          <cell r="E414">
            <v>0.7</v>
          </cell>
          <cell r="F414">
            <v>431</v>
          </cell>
          <cell r="G414">
            <v>1</v>
          </cell>
          <cell r="H414">
            <v>74</v>
          </cell>
          <cell r="I414">
            <v>0</v>
          </cell>
          <cell r="J414">
            <v>4</v>
          </cell>
          <cell r="K414">
            <v>1</v>
          </cell>
          <cell r="L414">
            <v>9.0342380000000002</v>
          </cell>
          <cell r="M414">
            <v>-83.432902999999996</v>
          </cell>
          <cell r="N414" t="str">
            <v>Sur</v>
          </cell>
          <cell r="O414">
            <v>1</v>
          </cell>
          <cell r="P414" t="str">
            <v>cabecar</v>
          </cell>
          <cell r="Q414" t="str">
            <v>cabecar</v>
          </cell>
          <cell r="R414" t="b">
            <v>1</v>
          </cell>
          <cell r="S414" t="str">
            <v>252_1</v>
          </cell>
          <cell r="T414">
            <v>1</v>
          </cell>
          <cell r="U414">
            <v>4</v>
          </cell>
          <cell r="V414">
            <v>2</v>
          </cell>
          <cell r="W414">
            <v>0.5</v>
          </cell>
          <cell r="X414">
            <v>36</v>
          </cell>
          <cell r="Y414">
            <v>27</v>
          </cell>
          <cell r="Z414">
            <v>0.75</v>
          </cell>
        </row>
        <row r="415">
          <cell r="B415" t="str">
            <v>F252_2B</v>
          </cell>
          <cell r="C415" t="str">
            <v>R2_F252_2B</v>
          </cell>
          <cell r="D415">
            <v>0</v>
          </cell>
          <cell r="E415">
            <v>0.28000000000000003</v>
          </cell>
          <cell r="F415">
            <v>431</v>
          </cell>
          <cell r="G415">
            <v>1</v>
          </cell>
          <cell r="H415">
            <v>74</v>
          </cell>
          <cell r="I415">
            <v>0</v>
          </cell>
          <cell r="J415">
            <v>4</v>
          </cell>
          <cell r="K415">
            <v>0</v>
          </cell>
          <cell r="L415">
            <v>9.0342380000000002</v>
          </cell>
          <cell r="M415">
            <v>-83.432902999999996</v>
          </cell>
          <cell r="N415" t="str">
            <v>Sur</v>
          </cell>
          <cell r="O415">
            <v>1</v>
          </cell>
          <cell r="P415" t="str">
            <v>victoria</v>
          </cell>
          <cell r="Q415" t="str">
            <v>negro</v>
          </cell>
          <cell r="R415" t="str">
            <v>Not applicable</v>
          </cell>
          <cell r="S415" t="str">
            <v>252_2</v>
          </cell>
          <cell r="T415">
            <v>0</v>
          </cell>
          <cell r="U415">
            <v>4</v>
          </cell>
          <cell r="V415">
            <v>2</v>
          </cell>
          <cell r="W415">
            <v>0.5</v>
          </cell>
          <cell r="X415">
            <v>36</v>
          </cell>
          <cell r="Y415">
            <v>27</v>
          </cell>
          <cell r="Z415">
            <v>0.75</v>
          </cell>
        </row>
        <row r="416">
          <cell r="B416" t="str">
            <v>F252_3B</v>
          </cell>
          <cell r="C416" t="str">
            <v>R2_F252_3B</v>
          </cell>
          <cell r="D416">
            <v>0</v>
          </cell>
          <cell r="E416">
            <v>0.35</v>
          </cell>
          <cell r="F416">
            <v>431</v>
          </cell>
          <cell r="G416">
            <v>1</v>
          </cell>
          <cell r="H416">
            <v>74</v>
          </cell>
          <cell r="I416">
            <v>0</v>
          </cell>
          <cell r="J416">
            <v>4</v>
          </cell>
          <cell r="K416">
            <v>0</v>
          </cell>
          <cell r="L416">
            <v>9.0342380000000002</v>
          </cell>
          <cell r="M416">
            <v>-83.432902999999996</v>
          </cell>
          <cell r="N416" t="str">
            <v>Sur</v>
          </cell>
          <cell r="O416">
            <v>1</v>
          </cell>
          <cell r="P416" t="str">
            <v>victoria</v>
          </cell>
          <cell r="Q416" t="str">
            <v>mantequilla</v>
          </cell>
          <cell r="R416" t="b">
            <v>0</v>
          </cell>
          <cell r="S416" t="str">
            <v>252_3</v>
          </cell>
          <cell r="T416">
            <v>0</v>
          </cell>
          <cell r="U416">
            <v>4</v>
          </cell>
          <cell r="V416">
            <v>2</v>
          </cell>
          <cell r="W416">
            <v>0.5</v>
          </cell>
          <cell r="X416">
            <v>36</v>
          </cell>
          <cell r="Y416">
            <v>27</v>
          </cell>
          <cell r="Z416">
            <v>0.75</v>
          </cell>
        </row>
        <row r="417">
          <cell r="B417" t="str">
            <v>F253_1B</v>
          </cell>
          <cell r="C417" t="str">
            <v>R2_F253_1B</v>
          </cell>
          <cell r="D417">
            <v>1</v>
          </cell>
          <cell r="E417">
            <v>0.7</v>
          </cell>
          <cell r="F417">
            <v>349</v>
          </cell>
          <cell r="G417">
            <v>1</v>
          </cell>
          <cell r="H417">
            <v>50</v>
          </cell>
          <cell r="I417">
            <v>0</v>
          </cell>
          <cell r="J417">
            <v>4</v>
          </cell>
          <cell r="K417">
            <v>1</v>
          </cell>
          <cell r="L417">
            <v>9.0387350000000009</v>
          </cell>
          <cell r="M417">
            <v>-83.429793000000004</v>
          </cell>
          <cell r="N417" t="str">
            <v>Sur</v>
          </cell>
          <cell r="O417">
            <v>1</v>
          </cell>
          <cell r="P417" t="str">
            <v>nambi</v>
          </cell>
          <cell r="Q417" t="str">
            <v>nambi</v>
          </cell>
          <cell r="R417" t="b">
            <v>1</v>
          </cell>
          <cell r="S417" t="str">
            <v>253_1</v>
          </cell>
          <cell r="T417">
            <v>1</v>
          </cell>
          <cell r="U417">
            <v>6</v>
          </cell>
          <cell r="V417">
            <v>2</v>
          </cell>
          <cell r="W417">
            <v>0.33333333300000001</v>
          </cell>
          <cell r="X417">
            <v>38</v>
          </cell>
          <cell r="Y417">
            <v>27</v>
          </cell>
          <cell r="Z417">
            <v>0.71052631600000005</v>
          </cell>
        </row>
        <row r="418">
          <cell r="B418" t="str">
            <v>F254_1B</v>
          </cell>
          <cell r="C418" t="str">
            <v>R2_F254_1B</v>
          </cell>
          <cell r="D418">
            <v>1</v>
          </cell>
          <cell r="E418">
            <v>1</v>
          </cell>
          <cell r="F418">
            <v>368</v>
          </cell>
          <cell r="G418">
            <v>1</v>
          </cell>
          <cell r="H418">
            <v>41</v>
          </cell>
          <cell r="I418">
            <v>6</v>
          </cell>
          <cell r="J418">
            <v>5</v>
          </cell>
          <cell r="K418">
            <v>1</v>
          </cell>
          <cell r="L418">
            <v>9.0368519999999997</v>
          </cell>
          <cell r="M418">
            <v>-83.431982000000005</v>
          </cell>
          <cell r="N418" t="str">
            <v>Sur</v>
          </cell>
          <cell r="O418">
            <v>1</v>
          </cell>
          <cell r="P418" t="str">
            <v>nambi</v>
          </cell>
          <cell r="Q418" t="str">
            <v>nambi</v>
          </cell>
          <cell r="R418" t="b">
            <v>1</v>
          </cell>
          <cell r="S418" t="str">
            <v>254_1</v>
          </cell>
          <cell r="T418">
            <v>1</v>
          </cell>
          <cell r="U418">
            <v>6</v>
          </cell>
          <cell r="V418">
            <v>2</v>
          </cell>
          <cell r="W418">
            <v>0.33333333300000001</v>
          </cell>
          <cell r="X418">
            <v>38</v>
          </cell>
          <cell r="Y418">
            <v>27</v>
          </cell>
          <cell r="Z418">
            <v>0.71052631600000005</v>
          </cell>
        </row>
        <row r="419">
          <cell r="B419" t="str">
            <v>F255_1B</v>
          </cell>
          <cell r="C419" t="str">
            <v>R2_F255_1B</v>
          </cell>
          <cell r="D419">
            <v>0</v>
          </cell>
          <cell r="E419">
            <v>5</v>
          </cell>
          <cell r="F419">
            <v>359</v>
          </cell>
          <cell r="G419">
            <v>1</v>
          </cell>
          <cell r="H419">
            <v>70</v>
          </cell>
          <cell r="I419">
            <v>5</v>
          </cell>
          <cell r="J419">
            <v>4</v>
          </cell>
          <cell r="K419">
            <v>1</v>
          </cell>
          <cell r="L419">
            <v>9.0380479999999999</v>
          </cell>
          <cell r="M419">
            <v>-83.430662999999996</v>
          </cell>
          <cell r="N419" t="str">
            <v>Sur</v>
          </cell>
          <cell r="O419">
            <v>1</v>
          </cell>
          <cell r="P419" t="str">
            <v>nambi</v>
          </cell>
          <cell r="Q419" t="str">
            <v>negro</v>
          </cell>
          <cell r="R419" t="str">
            <v>Not applicable</v>
          </cell>
          <cell r="S419" t="str">
            <v>255_1</v>
          </cell>
          <cell r="T419">
            <v>0</v>
          </cell>
          <cell r="U419">
            <v>5</v>
          </cell>
          <cell r="V419">
            <v>3</v>
          </cell>
          <cell r="W419">
            <v>0.6</v>
          </cell>
          <cell r="X419">
            <v>39</v>
          </cell>
          <cell r="Y419">
            <v>30</v>
          </cell>
          <cell r="Z419">
            <v>0.76923076899999998</v>
          </cell>
        </row>
        <row r="420">
          <cell r="B420" t="str">
            <v>F255_2B</v>
          </cell>
          <cell r="C420" t="str">
            <v>R2_F255_2B</v>
          </cell>
          <cell r="D420">
            <v>0</v>
          </cell>
          <cell r="E420">
            <v>2</v>
          </cell>
          <cell r="F420">
            <v>359</v>
          </cell>
          <cell r="G420">
            <v>1</v>
          </cell>
          <cell r="H420">
            <v>70</v>
          </cell>
          <cell r="I420">
            <v>5</v>
          </cell>
          <cell r="J420">
            <v>4</v>
          </cell>
          <cell r="K420">
            <v>1</v>
          </cell>
          <cell r="L420">
            <v>9.0380479999999999</v>
          </cell>
          <cell r="M420">
            <v>-83.430662999999996</v>
          </cell>
          <cell r="N420" t="str">
            <v>Sur</v>
          </cell>
          <cell r="O420">
            <v>1</v>
          </cell>
          <cell r="P420" t="str">
            <v>cabecar</v>
          </cell>
          <cell r="Q420" t="str">
            <v>rojo</v>
          </cell>
          <cell r="R420" t="str">
            <v>Not applicable</v>
          </cell>
          <cell r="S420" t="str">
            <v>255_2</v>
          </cell>
          <cell r="T420">
            <v>0</v>
          </cell>
          <cell r="U420">
            <v>5</v>
          </cell>
          <cell r="V420">
            <v>3</v>
          </cell>
          <cell r="W420">
            <v>0.6</v>
          </cell>
          <cell r="X420">
            <v>39</v>
          </cell>
          <cell r="Y420">
            <v>30</v>
          </cell>
          <cell r="Z420">
            <v>0.76923076899999998</v>
          </cell>
        </row>
        <row r="421">
          <cell r="B421" t="str">
            <v>F256_1B</v>
          </cell>
          <cell r="C421" t="str">
            <v>R2_F256_1B</v>
          </cell>
          <cell r="D421">
            <v>0</v>
          </cell>
          <cell r="E421">
            <v>1.4</v>
          </cell>
          <cell r="F421">
            <v>310</v>
          </cell>
          <cell r="G421">
            <v>1</v>
          </cell>
          <cell r="H421">
            <v>45</v>
          </cell>
          <cell r="I421">
            <v>3</v>
          </cell>
          <cell r="J421">
            <v>7</v>
          </cell>
          <cell r="K421">
            <v>0</v>
          </cell>
          <cell r="L421">
            <v>9.0492190000000008</v>
          </cell>
          <cell r="M421">
            <v>-83.457863000000003</v>
          </cell>
          <cell r="N421" t="str">
            <v>Sur</v>
          </cell>
          <cell r="O421">
            <v>1</v>
          </cell>
          <cell r="P421" t="str">
            <v>victoria</v>
          </cell>
          <cell r="Q421" t="str">
            <v>cabecar</v>
          </cell>
          <cell r="R421" t="b">
            <v>0</v>
          </cell>
          <cell r="S421" t="str">
            <v>256_1</v>
          </cell>
          <cell r="T421">
            <v>1</v>
          </cell>
          <cell r="U421">
            <v>9</v>
          </cell>
          <cell r="V421">
            <v>9</v>
          </cell>
          <cell r="W421">
            <v>1</v>
          </cell>
          <cell r="X421">
            <v>45</v>
          </cell>
          <cell r="Y421">
            <v>32</v>
          </cell>
          <cell r="Z421">
            <v>0.71111111100000002</v>
          </cell>
        </row>
        <row r="422">
          <cell r="B422" t="str">
            <v>F257_1B</v>
          </cell>
          <cell r="C422" t="str">
            <v>R2_F257_1B</v>
          </cell>
          <cell r="D422">
            <v>0</v>
          </cell>
          <cell r="E422">
            <v>0.7</v>
          </cell>
          <cell r="F422">
            <v>415</v>
          </cell>
          <cell r="G422">
            <v>1</v>
          </cell>
          <cell r="H422">
            <v>62</v>
          </cell>
          <cell r="I422">
            <v>0</v>
          </cell>
          <cell r="J422">
            <v>3</v>
          </cell>
          <cell r="K422">
            <v>0</v>
          </cell>
          <cell r="L422">
            <v>9.0258629999999993</v>
          </cell>
          <cell r="M422">
            <v>-83.412187000000003</v>
          </cell>
          <cell r="N422" t="str">
            <v>Sur</v>
          </cell>
          <cell r="O422">
            <v>1</v>
          </cell>
          <cell r="P422" t="str">
            <v>RCB 593</v>
          </cell>
          <cell r="Q422" t="str">
            <v>cabecar</v>
          </cell>
          <cell r="R422" t="b">
            <v>0</v>
          </cell>
          <cell r="S422" t="str">
            <v>257_1</v>
          </cell>
          <cell r="T422">
            <v>0</v>
          </cell>
          <cell r="U422">
            <v>6</v>
          </cell>
          <cell r="V422">
            <v>4</v>
          </cell>
          <cell r="W422">
            <v>0.66666666699999999</v>
          </cell>
          <cell r="X422">
            <v>40</v>
          </cell>
          <cell r="Y422">
            <v>24</v>
          </cell>
          <cell r="Z422">
            <v>0.6</v>
          </cell>
        </row>
        <row r="423">
          <cell r="B423" t="str">
            <v>F259_1B</v>
          </cell>
          <cell r="C423" t="str">
            <v>R2_F259_1B</v>
          </cell>
          <cell r="D423">
            <v>0</v>
          </cell>
          <cell r="E423">
            <v>2.4</v>
          </cell>
          <cell r="F423">
            <v>425</v>
          </cell>
          <cell r="G423">
            <v>1</v>
          </cell>
          <cell r="H423">
            <v>31</v>
          </cell>
          <cell r="I423">
            <v>5</v>
          </cell>
          <cell r="J423">
            <v>4</v>
          </cell>
          <cell r="K423">
            <v>0</v>
          </cell>
          <cell r="L423">
            <v>9.0492550000000005</v>
          </cell>
          <cell r="M423">
            <v>-83.467157</v>
          </cell>
          <cell r="N423" t="str">
            <v>Sur</v>
          </cell>
          <cell r="O423">
            <v>1</v>
          </cell>
          <cell r="P423" t="str">
            <v>tequila</v>
          </cell>
          <cell r="Q423" t="str">
            <v>talamanca</v>
          </cell>
          <cell r="R423" t="b">
            <v>0</v>
          </cell>
          <cell r="S423" t="str">
            <v>259_1</v>
          </cell>
          <cell r="T423">
            <v>0</v>
          </cell>
          <cell r="U423">
            <v>5</v>
          </cell>
          <cell r="V423">
            <v>4</v>
          </cell>
          <cell r="W423">
            <v>0.8</v>
          </cell>
          <cell r="X423">
            <v>43</v>
          </cell>
          <cell r="Y423">
            <v>33</v>
          </cell>
          <cell r="Z423">
            <v>0.76744186000000003</v>
          </cell>
        </row>
        <row r="424">
          <cell r="B424" t="str">
            <v>F261_1B</v>
          </cell>
          <cell r="C424" t="str">
            <v>R2_F261_1B</v>
          </cell>
          <cell r="D424">
            <v>0</v>
          </cell>
          <cell r="E424">
            <v>1.05</v>
          </cell>
          <cell r="F424">
            <v>425</v>
          </cell>
          <cell r="G424">
            <v>1</v>
          </cell>
          <cell r="H424">
            <v>39</v>
          </cell>
          <cell r="I424">
            <v>6</v>
          </cell>
          <cell r="J424">
            <v>4</v>
          </cell>
          <cell r="K424">
            <v>0</v>
          </cell>
          <cell r="L424">
            <v>9.0492530000000002</v>
          </cell>
          <cell r="M424">
            <v>-83.467277999999993</v>
          </cell>
          <cell r="N424" t="str">
            <v>Sur</v>
          </cell>
          <cell r="O424">
            <v>1</v>
          </cell>
          <cell r="P424" t="str">
            <v>generalito</v>
          </cell>
          <cell r="Q424" t="str">
            <v>victoria</v>
          </cell>
          <cell r="R424" t="b">
            <v>0</v>
          </cell>
          <cell r="S424" t="str">
            <v>261_1</v>
          </cell>
          <cell r="T424">
            <v>1</v>
          </cell>
          <cell r="U424">
            <v>4</v>
          </cell>
          <cell r="V424">
            <v>2</v>
          </cell>
          <cell r="W424">
            <v>0.5</v>
          </cell>
          <cell r="X424">
            <v>42</v>
          </cell>
          <cell r="Y424">
            <v>31</v>
          </cell>
          <cell r="Z424">
            <v>0.73809523799999999</v>
          </cell>
        </row>
        <row r="425">
          <cell r="B425" t="str">
            <v>F261_2B</v>
          </cell>
          <cell r="C425" t="str">
            <v>R2_F261_2B</v>
          </cell>
          <cell r="D425">
            <v>1</v>
          </cell>
          <cell r="E425">
            <v>0.35</v>
          </cell>
          <cell r="F425">
            <v>425</v>
          </cell>
          <cell r="G425">
            <v>1</v>
          </cell>
          <cell r="H425">
            <v>39</v>
          </cell>
          <cell r="I425">
            <v>6</v>
          </cell>
          <cell r="J425">
            <v>4</v>
          </cell>
          <cell r="K425">
            <v>1</v>
          </cell>
          <cell r="L425">
            <v>9.0492530000000002</v>
          </cell>
          <cell r="M425">
            <v>-83.467277999999993</v>
          </cell>
          <cell r="N425" t="str">
            <v>Sur</v>
          </cell>
          <cell r="O425">
            <v>1</v>
          </cell>
          <cell r="P425" t="str">
            <v>nambi</v>
          </cell>
          <cell r="Q425" t="str">
            <v>nambi</v>
          </cell>
          <cell r="R425" t="b">
            <v>1</v>
          </cell>
          <cell r="S425" t="str">
            <v>261_2</v>
          </cell>
          <cell r="T425">
            <v>1</v>
          </cell>
          <cell r="U425">
            <v>4</v>
          </cell>
          <cell r="V425">
            <v>2</v>
          </cell>
          <cell r="W425">
            <v>0.5</v>
          </cell>
          <cell r="X425">
            <v>42</v>
          </cell>
          <cell r="Y425">
            <v>31</v>
          </cell>
          <cell r="Z425">
            <v>0.73809523799999999</v>
          </cell>
        </row>
        <row r="426">
          <cell r="B426" t="str">
            <v>F262_1B</v>
          </cell>
          <cell r="C426" t="str">
            <v>R2_F262_1B</v>
          </cell>
          <cell r="D426">
            <v>1</v>
          </cell>
          <cell r="E426">
            <v>2.1</v>
          </cell>
          <cell r="F426">
            <v>307</v>
          </cell>
          <cell r="G426">
            <v>1</v>
          </cell>
          <cell r="H426">
            <v>27</v>
          </cell>
          <cell r="I426">
            <v>11</v>
          </cell>
          <cell r="J426">
            <v>5</v>
          </cell>
          <cell r="K426">
            <v>1</v>
          </cell>
          <cell r="L426">
            <v>9.0512969999999999</v>
          </cell>
          <cell r="M426">
            <v>-83.456896999999998</v>
          </cell>
          <cell r="N426" t="str">
            <v>Sur</v>
          </cell>
          <cell r="O426">
            <v>1</v>
          </cell>
          <cell r="P426" t="str">
            <v>cabecar</v>
          </cell>
          <cell r="Q426" t="str">
            <v>cabecar</v>
          </cell>
          <cell r="R426" t="b">
            <v>1</v>
          </cell>
          <cell r="S426" t="str">
            <v>262_1</v>
          </cell>
          <cell r="T426">
            <v>1</v>
          </cell>
          <cell r="U426">
            <v>9</v>
          </cell>
          <cell r="V426">
            <v>9</v>
          </cell>
          <cell r="W426">
            <v>1</v>
          </cell>
          <cell r="X426">
            <v>45</v>
          </cell>
          <cell r="Y426">
            <v>32</v>
          </cell>
          <cell r="Z426">
            <v>0.71111111100000002</v>
          </cell>
        </row>
        <row r="427">
          <cell r="B427" t="str">
            <v>F263_1B</v>
          </cell>
          <cell r="C427" t="str">
            <v>R1_F263_1B</v>
          </cell>
          <cell r="D427">
            <v>0</v>
          </cell>
          <cell r="E427">
            <v>0.3</v>
          </cell>
          <cell r="F427">
            <v>65</v>
          </cell>
          <cell r="G427">
            <v>1</v>
          </cell>
          <cell r="H427">
            <v>70</v>
          </cell>
          <cell r="I427">
            <v>0</v>
          </cell>
          <cell r="J427">
            <v>3</v>
          </cell>
          <cell r="K427">
            <v>1</v>
          </cell>
          <cell r="L427">
            <v>10.846391000000001</v>
          </cell>
          <cell r="M427">
            <v>-84.645628000000002</v>
          </cell>
          <cell r="N427" t="str">
            <v>Norte</v>
          </cell>
          <cell r="O427">
            <v>0</v>
          </cell>
          <cell r="P427" t="str">
            <v>tayni</v>
          </cell>
          <cell r="Q427" t="str">
            <v>dontknow</v>
          </cell>
          <cell r="R427" t="str">
            <v>Not applicable</v>
          </cell>
          <cell r="S427" t="str">
            <v>263_1</v>
          </cell>
          <cell r="T427">
            <v>0</v>
          </cell>
          <cell r="U427">
            <v>0</v>
          </cell>
          <cell r="V427">
            <v>0</v>
          </cell>
          <cell r="W427" t="str">
            <v>NA</v>
          </cell>
          <cell r="X427">
            <v>5</v>
          </cell>
          <cell r="Y427">
            <v>1</v>
          </cell>
          <cell r="Z427">
            <v>0.2</v>
          </cell>
        </row>
        <row r="428">
          <cell r="B428" t="str">
            <v>F263_2B</v>
          </cell>
          <cell r="C428" t="str">
            <v>R1_F263_2B</v>
          </cell>
          <cell r="D428">
            <v>0</v>
          </cell>
          <cell r="E428">
            <v>0.7</v>
          </cell>
          <cell r="F428">
            <v>65</v>
          </cell>
          <cell r="G428">
            <v>1</v>
          </cell>
          <cell r="H428">
            <v>70</v>
          </cell>
          <cell r="I428">
            <v>0</v>
          </cell>
          <cell r="J428">
            <v>3</v>
          </cell>
          <cell r="K428">
            <v>1</v>
          </cell>
          <cell r="L428">
            <v>10.846391000000001</v>
          </cell>
          <cell r="M428">
            <v>-84.645628000000002</v>
          </cell>
          <cell r="N428" t="str">
            <v>Norte</v>
          </cell>
          <cell r="O428">
            <v>0</v>
          </cell>
          <cell r="P428" t="str">
            <v>nambi</v>
          </cell>
          <cell r="Q428" t="str">
            <v>dontknow</v>
          </cell>
          <cell r="R428" t="str">
            <v>Not applicable</v>
          </cell>
          <cell r="S428" t="str">
            <v>263_2</v>
          </cell>
          <cell r="T428">
            <v>0</v>
          </cell>
          <cell r="U428">
            <v>0</v>
          </cell>
          <cell r="V428">
            <v>0</v>
          </cell>
          <cell r="W428" t="str">
            <v>NA</v>
          </cell>
          <cell r="X428">
            <v>5</v>
          </cell>
          <cell r="Y428">
            <v>1</v>
          </cell>
          <cell r="Z428">
            <v>0.2</v>
          </cell>
        </row>
        <row r="429">
          <cell r="B429" t="str">
            <v>F265_1B</v>
          </cell>
          <cell r="C429" t="str">
            <v>R1_F265_1B</v>
          </cell>
          <cell r="D429">
            <v>0</v>
          </cell>
          <cell r="E429">
            <v>0.112</v>
          </cell>
          <cell r="F429">
            <v>55</v>
          </cell>
          <cell r="G429">
            <v>1</v>
          </cell>
          <cell r="H429">
            <v>45</v>
          </cell>
          <cell r="I429">
            <v>6</v>
          </cell>
          <cell r="J429">
            <v>3</v>
          </cell>
          <cell r="K429">
            <v>1</v>
          </cell>
          <cell r="L429">
            <v>10.839727</v>
          </cell>
          <cell r="M429">
            <v>-84.654017999999994</v>
          </cell>
          <cell r="N429" t="str">
            <v>Norte</v>
          </cell>
          <cell r="O429">
            <v>0</v>
          </cell>
          <cell r="P429" t="str">
            <v>tayni</v>
          </cell>
          <cell r="Q429" t="str">
            <v>dontknow</v>
          </cell>
          <cell r="R429" t="str">
            <v>Not applicable</v>
          </cell>
          <cell r="S429" t="str">
            <v>265_1</v>
          </cell>
          <cell r="T429">
            <v>0</v>
          </cell>
          <cell r="U429">
            <v>2</v>
          </cell>
          <cell r="V429">
            <v>2</v>
          </cell>
          <cell r="W429">
            <v>1</v>
          </cell>
          <cell r="X429">
            <v>9</v>
          </cell>
          <cell r="Y429">
            <v>3</v>
          </cell>
          <cell r="Z429">
            <v>0.33333333300000001</v>
          </cell>
        </row>
        <row r="430">
          <cell r="B430" t="str">
            <v>F266_1B</v>
          </cell>
          <cell r="C430" t="str">
            <v>R1_F266_1B</v>
          </cell>
          <cell r="D430">
            <v>1</v>
          </cell>
          <cell r="E430">
            <v>1</v>
          </cell>
          <cell r="F430">
            <v>69</v>
          </cell>
          <cell r="G430">
            <v>1</v>
          </cell>
          <cell r="H430">
            <v>66</v>
          </cell>
          <cell r="I430">
            <v>4</v>
          </cell>
          <cell r="J430">
            <v>1</v>
          </cell>
          <cell r="K430">
            <v>1</v>
          </cell>
          <cell r="L430">
            <v>10.839497</v>
          </cell>
          <cell r="M430">
            <v>-84.646838000000002</v>
          </cell>
          <cell r="N430" t="str">
            <v>Norte</v>
          </cell>
          <cell r="O430">
            <v>0</v>
          </cell>
          <cell r="P430" t="str">
            <v>nambi</v>
          </cell>
          <cell r="Q430" t="str">
            <v>nambi</v>
          </cell>
          <cell r="R430" t="b">
            <v>1</v>
          </cell>
          <cell r="S430" t="str">
            <v>266_1</v>
          </cell>
          <cell r="T430">
            <v>1</v>
          </cell>
          <cell r="U430">
            <v>2</v>
          </cell>
          <cell r="V430">
            <v>1</v>
          </cell>
          <cell r="W430">
            <v>0.5</v>
          </cell>
          <cell r="X430">
            <v>7</v>
          </cell>
          <cell r="Y430">
            <v>2</v>
          </cell>
          <cell r="Z430">
            <v>0.28571428599999998</v>
          </cell>
        </row>
        <row r="431">
          <cell r="B431" t="str">
            <v>F269_1B</v>
          </cell>
          <cell r="C431" t="str">
            <v>R1_F269_1B</v>
          </cell>
          <cell r="D431">
            <v>0</v>
          </cell>
          <cell r="E431">
            <v>0.7</v>
          </cell>
          <cell r="F431">
            <v>59</v>
          </cell>
          <cell r="G431">
            <v>0</v>
          </cell>
          <cell r="H431">
            <v>44</v>
          </cell>
          <cell r="I431">
            <v>3</v>
          </cell>
          <cell r="J431">
            <v>4</v>
          </cell>
          <cell r="K431">
            <v>1</v>
          </cell>
          <cell r="L431">
            <v>10.881970000000001</v>
          </cell>
          <cell r="M431">
            <v>-84.602191000000005</v>
          </cell>
          <cell r="N431" t="str">
            <v>Norte</v>
          </cell>
          <cell r="O431">
            <v>0</v>
          </cell>
          <cell r="P431" t="str">
            <v>tayni</v>
          </cell>
          <cell r="Q431" t="str">
            <v>cabecar</v>
          </cell>
          <cell r="R431" t="b">
            <v>0</v>
          </cell>
          <cell r="S431" t="str">
            <v>269_1</v>
          </cell>
          <cell r="T431">
            <v>0</v>
          </cell>
          <cell r="U431">
            <v>0</v>
          </cell>
          <cell r="V431">
            <v>0</v>
          </cell>
          <cell r="W431" t="str">
            <v>NA</v>
          </cell>
          <cell r="X431">
            <v>1</v>
          </cell>
          <cell r="Y431">
            <v>0</v>
          </cell>
          <cell r="Z431">
            <v>0</v>
          </cell>
        </row>
        <row r="432">
          <cell r="B432" t="str">
            <v>F269_2B</v>
          </cell>
          <cell r="C432" t="str">
            <v>R1_F269_2B</v>
          </cell>
          <cell r="D432">
            <v>1</v>
          </cell>
          <cell r="E432">
            <v>0.7</v>
          </cell>
          <cell r="F432">
            <v>59</v>
          </cell>
          <cell r="G432">
            <v>0</v>
          </cell>
          <cell r="H432">
            <v>44</v>
          </cell>
          <cell r="I432">
            <v>3</v>
          </cell>
          <cell r="J432">
            <v>4</v>
          </cell>
          <cell r="K432">
            <v>1</v>
          </cell>
          <cell r="L432">
            <v>10.881970000000001</v>
          </cell>
          <cell r="M432">
            <v>-84.602191000000005</v>
          </cell>
          <cell r="N432" t="str">
            <v>Norte</v>
          </cell>
          <cell r="O432">
            <v>0</v>
          </cell>
          <cell r="P432" t="str">
            <v>brunca</v>
          </cell>
          <cell r="Q432" t="str">
            <v>brunca</v>
          </cell>
          <cell r="R432" t="b">
            <v>1</v>
          </cell>
          <cell r="S432" t="str">
            <v>269_2</v>
          </cell>
          <cell r="T432">
            <v>1</v>
          </cell>
          <cell r="U432">
            <v>0</v>
          </cell>
          <cell r="V432">
            <v>0</v>
          </cell>
          <cell r="W432" t="str">
            <v>NA</v>
          </cell>
          <cell r="X432">
            <v>1</v>
          </cell>
          <cell r="Y432">
            <v>0</v>
          </cell>
          <cell r="Z432">
            <v>0</v>
          </cell>
        </row>
        <row r="433">
          <cell r="B433" t="str">
            <v>F270_1B</v>
          </cell>
          <cell r="C433" t="str">
            <v>R1_F270_1B</v>
          </cell>
          <cell r="D433">
            <v>0</v>
          </cell>
          <cell r="E433">
            <v>0.98</v>
          </cell>
          <cell r="F433">
            <v>49</v>
          </cell>
          <cell r="G433">
            <v>1</v>
          </cell>
          <cell r="H433">
            <v>51</v>
          </cell>
          <cell r="I433">
            <v>7</v>
          </cell>
          <cell r="J433">
            <v>1</v>
          </cell>
          <cell r="K433">
            <v>0</v>
          </cell>
          <cell r="L433">
            <v>10.890917</v>
          </cell>
          <cell r="M433">
            <v>-84.595844</v>
          </cell>
          <cell r="N433" t="str">
            <v>Norte</v>
          </cell>
          <cell r="O433">
            <v>0</v>
          </cell>
          <cell r="P433" t="str">
            <v>victoria</v>
          </cell>
          <cell r="Q433" t="str">
            <v>guaymi</v>
          </cell>
          <cell r="R433" t="b">
            <v>0</v>
          </cell>
          <cell r="S433" t="str">
            <v>270_1</v>
          </cell>
          <cell r="T433">
            <v>0</v>
          </cell>
          <cell r="U433">
            <v>0</v>
          </cell>
          <cell r="V433">
            <v>0</v>
          </cell>
          <cell r="W433" t="str">
            <v>NA</v>
          </cell>
          <cell r="X433">
            <v>2</v>
          </cell>
          <cell r="Y433">
            <v>1</v>
          </cell>
          <cell r="Z433">
            <v>0.5</v>
          </cell>
        </row>
        <row r="434">
          <cell r="B434" t="str">
            <v>F273_1B</v>
          </cell>
          <cell r="C434" t="str">
            <v>R1_F273_1B</v>
          </cell>
          <cell r="D434">
            <v>1</v>
          </cell>
          <cell r="E434">
            <v>11</v>
          </cell>
          <cell r="F434">
            <v>50</v>
          </cell>
          <cell r="G434">
            <v>1</v>
          </cell>
          <cell r="H434">
            <v>43</v>
          </cell>
          <cell r="I434">
            <v>6</v>
          </cell>
          <cell r="J434">
            <v>1</v>
          </cell>
          <cell r="K434">
            <v>1</v>
          </cell>
          <cell r="L434">
            <v>10.904071</v>
          </cell>
          <cell r="M434">
            <v>-84.779520000000005</v>
          </cell>
          <cell r="N434" t="str">
            <v>Norte</v>
          </cell>
          <cell r="O434">
            <v>0</v>
          </cell>
          <cell r="P434" t="str">
            <v>nambi</v>
          </cell>
          <cell r="Q434" t="str">
            <v>nambi</v>
          </cell>
          <cell r="R434" t="b">
            <v>1</v>
          </cell>
          <cell r="S434" t="str">
            <v>273_1</v>
          </cell>
          <cell r="T434">
            <v>1</v>
          </cell>
          <cell r="U434">
            <v>1</v>
          </cell>
          <cell r="V434">
            <v>1</v>
          </cell>
          <cell r="W434">
            <v>1</v>
          </cell>
          <cell r="X434">
            <v>1</v>
          </cell>
          <cell r="Y434">
            <v>1</v>
          </cell>
          <cell r="Z434">
            <v>1</v>
          </cell>
        </row>
        <row r="435">
          <cell r="B435" t="str">
            <v>F273_2B</v>
          </cell>
          <cell r="C435" t="str">
            <v>R1_F273_2B</v>
          </cell>
          <cell r="D435">
            <v>0</v>
          </cell>
          <cell r="E435">
            <v>5</v>
          </cell>
          <cell r="F435">
            <v>50</v>
          </cell>
          <cell r="G435">
            <v>1</v>
          </cell>
          <cell r="H435">
            <v>43</v>
          </cell>
          <cell r="I435">
            <v>6</v>
          </cell>
          <cell r="J435">
            <v>1</v>
          </cell>
          <cell r="K435">
            <v>1</v>
          </cell>
          <cell r="L435">
            <v>10.904071</v>
          </cell>
          <cell r="M435">
            <v>-84.779520000000005</v>
          </cell>
          <cell r="N435" t="str">
            <v>Norte</v>
          </cell>
          <cell r="O435">
            <v>0</v>
          </cell>
          <cell r="P435" t="str">
            <v>nambi</v>
          </cell>
          <cell r="Q435" t="str">
            <v>diquis</v>
          </cell>
          <cell r="R435" t="b">
            <v>0</v>
          </cell>
          <cell r="S435" t="str">
            <v>273_2</v>
          </cell>
          <cell r="T435">
            <v>0</v>
          </cell>
          <cell r="U435">
            <v>1</v>
          </cell>
          <cell r="V435">
            <v>1</v>
          </cell>
          <cell r="W435">
            <v>1</v>
          </cell>
          <cell r="X435">
            <v>1</v>
          </cell>
          <cell r="Y435">
            <v>1</v>
          </cell>
          <cell r="Z435">
            <v>1</v>
          </cell>
        </row>
        <row r="436">
          <cell r="B436" t="str">
            <v>F273_3B</v>
          </cell>
          <cell r="C436" t="str">
            <v>R1_F273_3B</v>
          </cell>
          <cell r="D436">
            <v>0</v>
          </cell>
          <cell r="E436">
            <v>5</v>
          </cell>
          <cell r="F436">
            <v>50</v>
          </cell>
          <cell r="G436">
            <v>1</v>
          </cell>
          <cell r="H436">
            <v>43</v>
          </cell>
          <cell r="I436">
            <v>6</v>
          </cell>
          <cell r="J436">
            <v>1</v>
          </cell>
          <cell r="K436">
            <v>0</v>
          </cell>
          <cell r="L436">
            <v>10.904071</v>
          </cell>
          <cell r="M436">
            <v>-84.779520000000005</v>
          </cell>
          <cell r="N436" t="str">
            <v>Norte</v>
          </cell>
          <cell r="O436">
            <v>0</v>
          </cell>
          <cell r="P436" t="str">
            <v>diquis</v>
          </cell>
          <cell r="Q436" t="str">
            <v>cabecar</v>
          </cell>
          <cell r="R436" t="b">
            <v>0</v>
          </cell>
          <cell r="S436" t="str">
            <v>273_3</v>
          </cell>
          <cell r="T436">
            <v>0</v>
          </cell>
          <cell r="U436">
            <v>1</v>
          </cell>
          <cell r="V436">
            <v>1</v>
          </cell>
          <cell r="W436">
            <v>1</v>
          </cell>
          <cell r="X436">
            <v>1</v>
          </cell>
          <cell r="Y436">
            <v>1</v>
          </cell>
          <cell r="Z436">
            <v>1</v>
          </cell>
        </row>
        <row r="437">
          <cell r="B437" t="str">
            <v>F274_1B</v>
          </cell>
          <cell r="C437" t="str">
            <v>R1_F274_1B</v>
          </cell>
          <cell r="D437">
            <v>1</v>
          </cell>
          <cell r="E437">
            <v>0.04</v>
          </cell>
          <cell r="F437">
            <v>72</v>
          </cell>
          <cell r="G437">
            <v>1</v>
          </cell>
          <cell r="H437">
            <v>56</v>
          </cell>
          <cell r="I437">
            <v>6</v>
          </cell>
          <cell r="J437">
            <v>3</v>
          </cell>
          <cell r="K437">
            <v>1</v>
          </cell>
          <cell r="L437">
            <v>10.837092999999999</v>
          </cell>
          <cell r="M437">
            <v>-84.649249999999995</v>
          </cell>
          <cell r="N437" t="str">
            <v>Norte</v>
          </cell>
          <cell r="O437">
            <v>0</v>
          </cell>
          <cell r="P437" t="str">
            <v>matambu</v>
          </cell>
          <cell r="Q437" t="str">
            <v>matambu</v>
          </cell>
          <cell r="R437" t="b">
            <v>1</v>
          </cell>
          <cell r="S437" t="str">
            <v>274_1</v>
          </cell>
          <cell r="T437">
            <v>1</v>
          </cell>
          <cell r="U437">
            <v>3</v>
          </cell>
          <cell r="V437">
            <v>1</v>
          </cell>
          <cell r="W437">
            <v>0.33333333300000001</v>
          </cell>
          <cell r="X437">
            <v>7</v>
          </cell>
          <cell r="Y437">
            <v>2</v>
          </cell>
          <cell r="Z437">
            <v>0.28571428599999998</v>
          </cell>
        </row>
        <row r="438">
          <cell r="B438" t="str">
            <v>F276_1B</v>
          </cell>
          <cell r="C438" t="str">
            <v>R1_F276_1B</v>
          </cell>
          <cell r="D438">
            <v>0</v>
          </cell>
          <cell r="E438">
            <v>5</v>
          </cell>
          <cell r="F438">
            <v>49</v>
          </cell>
          <cell r="G438">
            <v>1</v>
          </cell>
          <cell r="H438">
            <v>53</v>
          </cell>
          <cell r="I438">
            <v>6</v>
          </cell>
          <cell r="J438">
            <v>3</v>
          </cell>
          <cell r="K438">
            <v>1</v>
          </cell>
          <cell r="L438">
            <v>10.855881</v>
          </cell>
          <cell r="M438">
            <v>-84.627454</v>
          </cell>
          <cell r="N438" t="str">
            <v>Norte</v>
          </cell>
          <cell r="O438">
            <v>0</v>
          </cell>
          <cell r="P438" t="str">
            <v>nambi</v>
          </cell>
          <cell r="Q438" t="str">
            <v>cabecar</v>
          </cell>
          <cell r="R438" t="b">
            <v>0</v>
          </cell>
          <cell r="S438" t="str">
            <v>276_1</v>
          </cell>
          <cell r="T438">
            <v>0</v>
          </cell>
          <cell r="U438">
            <v>1</v>
          </cell>
          <cell r="V438">
            <v>0</v>
          </cell>
          <cell r="W438">
            <v>0</v>
          </cell>
          <cell r="X438">
            <v>3</v>
          </cell>
          <cell r="Y438">
            <v>0</v>
          </cell>
          <cell r="Z438">
            <v>0</v>
          </cell>
        </row>
        <row r="439">
          <cell r="B439" t="str">
            <v>F276_2B</v>
          </cell>
          <cell r="C439" t="str">
            <v>R1_F276_2B</v>
          </cell>
          <cell r="D439">
            <v>0</v>
          </cell>
          <cell r="E439">
            <v>15</v>
          </cell>
          <cell r="F439">
            <v>49</v>
          </cell>
          <cell r="G439">
            <v>1</v>
          </cell>
          <cell r="H439">
            <v>53</v>
          </cell>
          <cell r="I439">
            <v>6</v>
          </cell>
          <cell r="J439">
            <v>3</v>
          </cell>
          <cell r="K439">
            <v>0</v>
          </cell>
          <cell r="L439">
            <v>10.855881</v>
          </cell>
          <cell r="M439">
            <v>-84.627454</v>
          </cell>
          <cell r="N439" t="str">
            <v>Norte</v>
          </cell>
          <cell r="O439">
            <v>0</v>
          </cell>
          <cell r="P439" t="str">
            <v>diquis</v>
          </cell>
          <cell r="Q439" t="str">
            <v>nambi</v>
          </cell>
          <cell r="R439" t="b">
            <v>0</v>
          </cell>
          <cell r="S439" t="str">
            <v>276_2</v>
          </cell>
          <cell r="T439">
            <v>0</v>
          </cell>
          <cell r="U439">
            <v>1</v>
          </cell>
          <cell r="V439">
            <v>0</v>
          </cell>
          <cell r="W439">
            <v>0</v>
          </cell>
          <cell r="X439">
            <v>3</v>
          </cell>
          <cell r="Y439">
            <v>0</v>
          </cell>
          <cell r="Z439">
            <v>0</v>
          </cell>
        </row>
        <row r="440">
          <cell r="B440" t="str">
            <v>F277_1B</v>
          </cell>
          <cell r="C440" t="str">
            <v>R1_F277_1B</v>
          </cell>
          <cell r="D440">
            <v>0</v>
          </cell>
          <cell r="E440">
            <v>3.5</v>
          </cell>
          <cell r="F440">
            <v>54</v>
          </cell>
          <cell r="G440">
            <v>1</v>
          </cell>
          <cell r="H440">
            <v>34</v>
          </cell>
          <cell r="I440">
            <v>11</v>
          </cell>
          <cell r="J440">
            <v>1</v>
          </cell>
          <cell r="K440">
            <v>1</v>
          </cell>
          <cell r="L440">
            <v>10.854977</v>
          </cell>
          <cell r="M440">
            <v>-84.627178000000001</v>
          </cell>
          <cell r="N440" t="str">
            <v>Norte</v>
          </cell>
          <cell r="O440">
            <v>0</v>
          </cell>
          <cell r="P440" t="str">
            <v>matambu</v>
          </cell>
          <cell r="Q440" t="str">
            <v>nambi</v>
          </cell>
          <cell r="R440" t="b">
            <v>0</v>
          </cell>
          <cell r="S440" t="str">
            <v>277_1</v>
          </cell>
          <cell r="T440">
            <v>0</v>
          </cell>
          <cell r="U440">
            <v>2</v>
          </cell>
          <cell r="V440">
            <v>0</v>
          </cell>
          <cell r="W440">
            <v>0</v>
          </cell>
          <cell r="X440">
            <v>4</v>
          </cell>
          <cell r="Y440">
            <v>0</v>
          </cell>
          <cell r="Z440">
            <v>0</v>
          </cell>
        </row>
        <row r="441">
          <cell r="B441" t="str">
            <v>F278_1B</v>
          </cell>
          <cell r="C441" t="str">
            <v>R1_F278_1B</v>
          </cell>
          <cell r="D441">
            <v>1</v>
          </cell>
          <cell r="E441">
            <v>0.7</v>
          </cell>
          <cell r="F441">
            <v>70</v>
          </cell>
          <cell r="G441">
            <v>1</v>
          </cell>
          <cell r="H441">
            <v>57</v>
          </cell>
          <cell r="I441">
            <v>3</v>
          </cell>
          <cell r="J441">
            <v>3</v>
          </cell>
          <cell r="K441">
            <v>1</v>
          </cell>
          <cell r="L441">
            <v>10.844359000000001</v>
          </cell>
          <cell r="M441">
            <v>-84.656158000000005</v>
          </cell>
          <cell r="N441" t="str">
            <v>Norte</v>
          </cell>
          <cell r="O441">
            <v>0</v>
          </cell>
          <cell r="P441" t="str">
            <v>nambi</v>
          </cell>
          <cell r="Q441" t="str">
            <v>nambi</v>
          </cell>
          <cell r="R441" t="b">
            <v>1</v>
          </cell>
          <cell r="S441" t="str">
            <v>278_1</v>
          </cell>
          <cell r="T441">
            <v>1</v>
          </cell>
          <cell r="U441">
            <v>1</v>
          </cell>
          <cell r="V441">
            <v>0</v>
          </cell>
          <cell r="W441">
            <v>0</v>
          </cell>
          <cell r="X441">
            <v>9</v>
          </cell>
          <cell r="Y441">
            <v>2</v>
          </cell>
          <cell r="Z441">
            <v>0.222222222</v>
          </cell>
        </row>
        <row r="442">
          <cell r="B442" t="str">
            <v>F279_1B</v>
          </cell>
          <cell r="C442" t="str">
            <v>R1_F279_1B</v>
          </cell>
          <cell r="D442">
            <v>0</v>
          </cell>
          <cell r="E442">
            <v>0.98</v>
          </cell>
          <cell r="F442">
            <v>70</v>
          </cell>
          <cell r="G442">
            <v>1</v>
          </cell>
          <cell r="H442">
            <v>62</v>
          </cell>
          <cell r="I442">
            <v>3</v>
          </cell>
          <cell r="J442">
            <v>3</v>
          </cell>
          <cell r="K442">
            <v>0</v>
          </cell>
          <cell r="L442">
            <v>10.830855</v>
          </cell>
          <cell r="M442">
            <v>-84.651007000000007</v>
          </cell>
          <cell r="N442" t="str">
            <v>Norte</v>
          </cell>
          <cell r="O442">
            <v>0</v>
          </cell>
          <cell r="P442" t="str">
            <v>victoria</v>
          </cell>
          <cell r="Q442" t="str">
            <v>cabecar</v>
          </cell>
          <cell r="R442" t="b">
            <v>0</v>
          </cell>
          <cell r="S442" t="str">
            <v>279_1</v>
          </cell>
          <cell r="T442">
            <v>0</v>
          </cell>
          <cell r="U442">
            <v>0</v>
          </cell>
          <cell r="V442">
            <v>0</v>
          </cell>
          <cell r="W442" t="str">
            <v>NA</v>
          </cell>
          <cell r="X442">
            <v>6</v>
          </cell>
          <cell r="Y442">
            <v>3</v>
          </cell>
          <cell r="Z442">
            <v>0.5</v>
          </cell>
        </row>
        <row r="443">
          <cell r="B443" t="str">
            <v>F279_2B</v>
          </cell>
          <cell r="C443" t="str">
            <v>R1_F279_2B</v>
          </cell>
          <cell r="D443">
            <v>0</v>
          </cell>
          <cell r="E443">
            <v>1.68</v>
          </cell>
          <cell r="F443">
            <v>70</v>
          </cell>
          <cell r="G443">
            <v>1</v>
          </cell>
          <cell r="H443">
            <v>62</v>
          </cell>
          <cell r="I443">
            <v>3</v>
          </cell>
          <cell r="J443">
            <v>3</v>
          </cell>
          <cell r="K443">
            <v>0</v>
          </cell>
          <cell r="L443">
            <v>10.830855</v>
          </cell>
          <cell r="M443">
            <v>-84.651007000000007</v>
          </cell>
          <cell r="N443" t="str">
            <v>Norte</v>
          </cell>
          <cell r="O443">
            <v>0</v>
          </cell>
          <cell r="P443" t="str">
            <v>talamanca</v>
          </cell>
          <cell r="Q443" t="str">
            <v>guaymi</v>
          </cell>
          <cell r="R443" t="b">
            <v>0</v>
          </cell>
          <cell r="S443" t="str">
            <v>279_2</v>
          </cell>
          <cell r="T443">
            <v>0</v>
          </cell>
          <cell r="U443">
            <v>0</v>
          </cell>
          <cell r="V443">
            <v>0</v>
          </cell>
          <cell r="W443" t="str">
            <v>NA</v>
          </cell>
          <cell r="X443">
            <v>6</v>
          </cell>
          <cell r="Y443">
            <v>3</v>
          </cell>
          <cell r="Z443">
            <v>0.5</v>
          </cell>
        </row>
        <row r="444">
          <cell r="B444" t="str">
            <v>F280_1B</v>
          </cell>
          <cell r="C444" t="str">
            <v>R1_F280_1B</v>
          </cell>
          <cell r="D444">
            <v>0</v>
          </cell>
          <cell r="E444">
            <v>0.17499999999999999</v>
          </cell>
          <cell r="F444">
            <v>66</v>
          </cell>
          <cell r="G444">
            <v>1</v>
          </cell>
          <cell r="H444">
            <v>70</v>
          </cell>
          <cell r="I444">
            <v>0</v>
          </cell>
          <cell r="J444">
            <v>1</v>
          </cell>
          <cell r="K444">
            <v>0</v>
          </cell>
          <cell r="L444">
            <v>10.8384</v>
          </cell>
          <cell r="M444">
            <v>-84.647274999999993</v>
          </cell>
          <cell r="N444" t="str">
            <v>Norte</v>
          </cell>
          <cell r="O444">
            <v>0</v>
          </cell>
          <cell r="P444" t="str">
            <v>victoria</v>
          </cell>
          <cell r="Q444" t="str">
            <v>cabecar</v>
          </cell>
          <cell r="R444" t="b">
            <v>0</v>
          </cell>
          <cell r="S444" t="str">
            <v>280_1</v>
          </cell>
          <cell r="T444">
            <v>0</v>
          </cell>
          <cell r="U444">
            <v>2</v>
          </cell>
          <cell r="V444">
            <v>2</v>
          </cell>
          <cell r="W444">
            <v>1</v>
          </cell>
          <cell r="X444">
            <v>7</v>
          </cell>
          <cell r="Y444">
            <v>3</v>
          </cell>
          <cell r="Z444">
            <v>0.428571429</v>
          </cell>
        </row>
        <row r="445">
          <cell r="B445" t="str">
            <v>F281_1B</v>
          </cell>
          <cell r="C445" t="str">
            <v>R1_F281_1B</v>
          </cell>
          <cell r="D445">
            <v>0</v>
          </cell>
          <cell r="E445">
            <v>0.7</v>
          </cell>
          <cell r="F445">
            <v>75</v>
          </cell>
          <cell r="G445">
            <v>1</v>
          </cell>
          <cell r="H445">
            <v>69</v>
          </cell>
          <cell r="I445">
            <v>0</v>
          </cell>
          <cell r="J445">
            <v>1</v>
          </cell>
          <cell r="K445">
            <v>1</v>
          </cell>
          <cell r="L445">
            <v>10.824358</v>
          </cell>
          <cell r="M445">
            <v>-84.643162000000004</v>
          </cell>
          <cell r="N445" t="str">
            <v>Norte</v>
          </cell>
          <cell r="O445">
            <v>0</v>
          </cell>
          <cell r="P445" t="str">
            <v>matambu</v>
          </cell>
          <cell r="Q445" t="str">
            <v>tayni</v>
          </cell>
          <cell r="R445" t="b">
            <v>0</v>
          </cell>
          <cell r="S445" t="str">
            <v>281_1</v>
          </cell>
          <cell r="T445">
            <v>0</v>
          </cell>
          <cell r="U445">
            <v>0</v>
          </cell>
          <cell r="V445">
            <v>0</v>
          </cell>
          <cell r="W445" t="str">
            <v>NA</v>
          </cell>
          <cell r="X445">
            <v>7</v>
          </cell>
          <cell r="Y445">
            <v>3</v>
          </cell>
          <cell r="Z445">
            <v>0.428571429</v>
          </cell>
        </row>
        <row r="446">
          <cell r="B446" t="str">
            <v>F282_1B</v>
          </cell>
          <cell r="C446" t="str">
            <v>R1_F282_1B</v>
          </cell>
          <cell r="D446">
            <v>0</v>
          </cell>
          <cell r="E446">
            <v>0.98</v>
          </cell>
          <cell r="F446">
            <v>46</v>
          </cell>
          <cell r="G446">
            <v>1</v>
          </cell>
          <cell r="H446">
            <v>52</v>
          </cell>
          <cell r="I446">
            <v>9</v>
          </cell>
          <cell r="J446">
            <v>3</v>
          </cell>
          <cell r="K446">
            <v>0</v>
          </cell>
          <cell r="L446">
            <v>10.908374</v>
          </cell>
          <cell r="M446">
            <v>-84.781627</v>
          </cell>
          <cell r="N446" t="str">
            <v>Norte</v>
          </cell>
          <cell r="O446">
            <v>0</v>
          </cell>
          <cell r="P446" t="str">
            <v>sacapobres</v>
          </cell>
          <cell r="Q446" t="str">
            <v>cuarenteno</v>
          </cell>
          <cell r="R446" t="b">
            <v>0</v>
          </cell>
          <cell r="S446" t="str">
            <v>282_1</v>
          </cell>
          <cell r="T446">
            <v>1</v>
          </cell>
          <cell r="U446">
            <v>3</v>
          </cell>
          <cell r="V446">
            <v>1</v>
          </cell>
          <cell r="W446">
            <v>0.33333333300000001</v>
          </cell>
          <cell r="X446">
            <v>3</v>
          </cell>
          <cell r="Y446">
            <v>1</v>
          </cell>
          <cell r="Z446">
            <v>0.33333333300000001</v>
          </cell>
        </row>
        <row r="447">
          <cell r="B447" t="str">
            <v>F285_1B</v>
          </cell>
          <cell r="C447" t="str">
            <v>R1_F285_1B</v>
          </cell>
          <cell r="D447">
            <v>1</v>
          </cell>
          <cell r="E447">
            <v>1.5</v>
          </cell>
          <cell r="F447">
            <v>286</v>
          </cell>
          <cell r="G447">
            <v>1</v>
          </cell>
          <cell r="H447">
            <v>56</v>
          </cell>
          <cell r="I447">
            <v>9</v>
          </cell>
          <cell r="J447">
            <v>3</v>
          </cell>
          <cell r="K447">
            <v>1</v>
          </cell>
          <cell r="L447">
            <v>11.074161999999999</v>
          </cell>
          <cell r="M447">
            <v>-85.434155000000004</v>
          </cell>
          <cell r="N447" t="str">
            <v>Norte</v>
          </cell>
          <cell r="O447">
            <v>0</v>
          </cell>
          <cell r="P447" t="str">
            <v>cabecar</v>
          </cell>
          <cell r="Q447" t="str">
            <v>cabecar</v>
          </cell>
          <cell r="R447" t="b">
            <v>1</v>
          </cell>
          <cell r="S447" t="str">
            <v>285_1</v>
          </cell>
          <cell r="T447">
            <v>1</v>
          </cell>
          <cell r="U447">
            <v>2</v>
          </cell>
          <cell r="V447">
            <v>1</v>
          </cell>
          <cell r="W447">
            <v>0.5</v>
          </cell>
          <cell r="X447">
            <v>37</v>
          </cell>
          <cell r="Y447">
            <v>20</v>
          </cell>
          <cell r="Z447">
            <v>0.54054054100000004</v>
          </cell>
        </row>
        <row r="448">
          <cell r="B448" t="str">
            <v>F285_2B</v>
          </cell>
          <cell r="C448" t="str">
            <v>R1_F285_2B</v>
          </cell>
          <cell r="D448">
            <v>1</v>
          </cell>
          <cell r="E448">
            <v>3</v>
          </cell>
          <cell r="F448">
            <v>286</v>
          </cell>
          <cell r="G448">
            <v>1</v>
          </cell>
          <cell r="H448">
            <v>56</v>
          </cell>
          <cell r="I448">
            <v>9</v>
          </cell>
          <cell r="J448">
            <v>3</v>
          </cell>
          <cell r="K448">
            <v>1</v>
          </cell>
          <cell r="L448">
            <v>11.074161999999999</v>
          </cell>
          <cell r="M448">
            <v>-85.434155000000004</v>
          </cell>
          <cell r="N448" t="str">
            <v>Norte</v>
          </cell>
          <cell r="O448">
            <v>0</v>
          </cell>
          <cell r="P448" t="str">
            <v>guaymi</v>
          </cell>
          <cell r="Q448" t="str">
            <v>guaymi</v>
          </cell>
          <cell r="R448" t="b">
            <v>1</v>
          </cell>
          <cell r="S448" t="str">
            <v>285_2</v>
          </cell>
          <cell r="T448">
            <v>1</v>
          </cell>
          <cell r="U448">
            <v>2</v>
          </cell>
          <cell r="V448">
            <v>1</v>
          </cell>
          <cell r="W448">
            <v>0.5</v>
          </cell>
          <cell r="X448">
            <v>37</v>
          </cell>
          <cell r="Y448">
            <v>20</v>
          </cell>
          <cell r="Z448">
            <v>0.54054054100000004</v>
          </cell>
        </row>
        <row r="449">
          <cell r="B449" t="str">
            <v>F286_1B</v>
          </cell>
          <cell r="C449" t="str">
            <v>R1_F286_1B</v>
          </cell>
          <cell r="D449">
            <v>0</v>
          </cell>
          <cell r="E449">
            <v>0.7</v>
          </cell>
          <cell r="F449">
            <v>340</v>
          </cell>
          <cell r="G449">
            <v>1</v>
          </cell>
          <cell r="H449">
            <v>66</v>
          </cell>
          <cell r="I449">
            <v>3</v>
          </cell>
          <cell r="J449">
            <v>1</v>
          </cell>
          <cell r="K449">
            <v>1</v>
          </cell>
          <cell r="L449">
            <v>11.052708000000001</v>
          </cell>
          <cell r="M449">
            <v>-85.434925000000007</v>
          </cell>
          <cell r="N449" t="str">
            <v>Norte</v>
          </cell>
          <cell r="O449">
            <v>0</v>
          </cell>
          <cell r="P449" t="str">
            <v>uran</v>
          </cell>
          <cell r="Q449" t="str">
            <v>cabecar</v>
          </cell>
          <cell r="R449" t="b">
            <v>0</v>
          </cell>
          <cell r="S449" t="str">
            <v>286_1</v>
          </cell>
          <cell r="T449">
            <v>1</v>
          </cell>
          <cell r="U449">
            <v>2</v>
          </cell>
          <cell r="V449">
            <v>1</v>
          </cell>
          <cell r="W449">
            <v>0.5</v>
          </cell>
          <cell r="X449">
            <v>14</v>
          </cell>
          <cell r="Y449">
            <v>9</v>
          </cell>
          <cell r="Z449">
            <v>0.64285714299999996</v>
          </cell>
        </row>
        <row r="450">
          <cell r="B450" t="str">
            <v>F286_2B</v>
          </cell>
          <cell r="C450" t="str">
            <v>R1_F286_2B</v>
          </cell>
          <cell r="D450">
            <v>1</v>
          </cell>
          <cell r="E450">
            <v>1</v>
          </cell>
          <cell r="F450">
            <v>340</v>
          </cell>
          <cell r="G450">
            <v>1</v>
          </cell>
          <cell r="H450">
            <v>66</v>
          </cell>
          <cell r="I450">
            <v>3</v>
          </cell>
          <cell r="J450">
            <v>1</v>
          </cell>
          <cell r="K450">
            <v>1</v>
          </cell>
          <cell r="L450">
            <v>11.052708000000001</v>
          </cell>
          <cell r="M450">
            <v>-85.434925000000007</v>
          </cell>
          <cell r="N450" t="str">
            <v>Norte</v>
          </cell>
          <cell r="O450">
            <v>0</v>
          </cell>
          <cell r="P450" t="str">
            <v>matambu</v>
          </cell>
          <cell r="Q450" t="str">
            <v>matambu</v>
          </cell>
          <cell r="R450" t="b">
            <v>1</v>
          </cell>
          <cell r="S450" t="str">
            <v>286_2</v>
          </cell>
          <cell r="T450">
            <v>1</v>
          </cell>
          <cell r="U450">
            <v>2</v>
          </cell>
          <cell r="V450">
            <v>1</v>
          </cell>
          <cell r="W450">
            <v>0.5</v>
          </cell>
          <cell r="X450">
            <v>14</v>
          </cell>
          <cell r="Y450">
            <v>9</v>
          </cell>
          <cell r="Z450">
            <v>0.64285714299999996</v>
          </cell>
        </row>
        <row r="451">
          <cell r="B451" t="str">
            <v>F287_1B</v>
          </cell>
          <cell r="C451" t="str">
            <v>R1_F287_1B</v>
          </cell>
          <cell r="D451">
            <v>0</v>
          </cell>
          <cell r="E451">
            <v>3</v>
          </cell>
          <cell r="F451">
            <v>330</v>
          </cell>
          <cell r="G451">
            <v>0</v>
          </cell>
          <cell r="H451">
            <v>39</v>
          </cell>
          <cell r="I451">
            <v>9</v>
          </cell>
          <cell r="J451">
            <v>3</v>
          </cell>
          <cell r="K451">
            <v>1</v>
          </cell>
          <cell r="L451">
            <v>11.060579000000001</v>
          </cell>
          <cell r="M451">
            <v>-85.425084999999996</v>
          </cell>
          <cell r="N451" t="str">
            <v>Norte</v>
          </cell>
          <cell r="O451">
            <v>0</v>
          </cell>
          <cell r="P451" t="str">
            <v>brunca</v>
          </cell>
          <cell r="Q451" t="str">
            <v>dontknow</v>
          </cell>
          <cell r="R451" t="str">
            <v>Not applicable</v>
          </cell>
          <cell r="S451" t="str">
            <v>287_1</v>
          </cell>
          <cell r="T451">
            <v>0</v>
          </cell>
          <cell r="U451">
            <v>3</v>
          </cell>
          <cell r="V451">
            <v>2</v>
          </cell>
          <cell r="W451">
            <v>0.66666666699999999</v>
          </cell>
          <cell r="X451">
            <v>58</v>
          </cell>
          <cell r="Y451">
            <v>31</v>
          </cell>
          <cell r="Z451">
            <v>0.53448275899999997</v>
          </cell>
        </row>
        <row r="452">
          <cell r="B452" t="str">
            <v>F288_1B</v>
          </cell>
          <cell r="C452" t="str">
            <v>R1_F288_1B</v>
          </cell>
          <cell r="D452">
            <v>0</v>
          </cell>
          <cell r="E452">
            <v>1</v>
          </cell>
          <cell r="F452">
            <v>288</v>
          </cell>
          <cell r="G452">
            <v>1</v>
          </cell>
          <cell r="H452">
            <v>57</v>
          </cell>
          <cell r="I452">
            <v>6</v>
          </cell>
          <cell r="J452">
            <v>3</v>
          </cell>
          <cell r="K452">
            <v>1</v>
          </cell>
          <cell r="L452">
            <v>11.071198000000001</v>
          </cell>
          <cell r="M452">
            <v>-85.434545</v>
          </cell>
          <cell r="N452" t="str">
            <v>Norte</v>
          </cell>
          <cell r="O452">
            <v>0</v>
          </cell>
          <cell r="P452" t="str">
            <v>uran</v>
          </cell>
          <cell r="Q452" t="str">
            <v>SEF 61</v>
          </cell>
          <cell r="R452" t="b">
            <v>0</v>
          </cell>
          <cell r="S452" t="str">
            <v>288_1</v>
          </cell>
          <cell r="T452">
            <v>0</v>
          </cell>
          <cell r="U452">
            <v>2</v>
          </cell>
          <cell r="V452">
            <v>2</v>
          </cell>
          <cell r="W452">
            <v>1</v>
          </cell>
          <cell r="X452">
            <v>42</v>
          </cell>
          <cell r="Y452">
            <v>23</v>
          </cell>
          <cell r="Z452">
            <v>0.54761904800000005</v>
          </cell>
        </row>
        <row r="453">
          <cell r="B453" t="str">
            <v>F288_2B</v>
          </cell>
          <cell r="C453" t="str">
            <v>R1_F288_2B</v>
          </cell>
          <cell r="D453">
            <v>1</v>
          </cell>
          <cell r="E453">
            <v>1</v>
          </cell>
          <cell r="F453">
            <v>288</v>
          </cell>
          <cell r="G453">
            <v>1</v>
          </cell>
          <cell r="H453">
            <v>57</v>
          </cell>
          <cell r="I453">
            <v>6</v>
          </cell>
          <cell r="J453">
            <v>3</v>
          </cell>
          <cell r="K453">
            <v>1</v>
          </cell>
          <cell r="L453">
            <v>11.071198000000001</v>
          </cell>
          <cell r="M453">
            <v>-85.434545</v>
          </cell>
          <cell r="N453" t="str">
            <v>Norte</v>
          </cell>
          <cell r="O453">
            <v>0</v>
          </cell>
          <cell r="P453" t="str">
            <v>nambi</v>
          </cell>
          <cell r="Q453" t="str">
            <v>nambi</v>
          </cell>
          <cell r="R453" t="b">
            <v>1</v>
          </cell>
          <cell r="S453" t="str">
            <v>288_2</v>
          </cell>
          <cell r="T453">
            <v>1</v>
          </cell>
          <cell r="U453">
            <v>2</v>
          </cell>
          <cell r="V453">
            <v>2</v>
          </cell>
          <cell r="W453">
            <v>1</v>
          </cell>
          <cell r="X453">
            <v>42</v>
          </cell>
          <cell r="Y453">
            <v>23</v>
          </cell>
          <cell r="Z453">
            <v>0.54761904800000005</v>
          </cell>
        </row>
        <row r="454">
          <cell r="B454" t="str">
            <v>F289_1B</v>
          </cell>
          <cell r="C454" t="str">
            <v>R1_F289_1B</v>
          </cell>
          <cell r="D454">
            <v>1</v>
          </cell>
          <cell r="E454">
            <v>0.7</v>
          </cell>
          <cell r="F454">
            <v>277</v>
          </cell>
          <cell r="G454">
            <v>1</v>
          </cell>
          <cell r="H454">
            <v>55</v>
          </cell>
          <cell r="I454">
            <v>2</v>
          </cell>
          <cell r="J454">
            <v>4</v>
          </cell>
          <cell r="K454">
            <v>1</v>
          </cell>
          <cell r="L454">
            <v>11.069660000000001</v>
          </cell>
          <cell r="M454">
            <v>-85.440708000000001</v>
          </cell>
          <cell r="N454" t="str">
            <v>Norte</v>
          </cell>
          <cell r="O454">
            <v>0</v>
          </cell>
          <cell r="P454" t="str">
            <v>cabecar</v>
          </cell>
          <cell r="Q454" t="str">
            <v>cabecar</v>
          </cell>
          <cell r="R454" t="b">
            <v>1</v>
          </cell>
          <cell r="S454" t="str">
            <v>289_1</v>
          </cell>
          <cell r="T454">
            <v>1</v>
          </cell>
          <cell r="U454">
            <v>0</v>
          </cell>
          <cell r="V454">
            <v>0</v>
          </cell>
          <cell r="W454" t="str">
            <v>NA</v>
          </cell>
          <cell r="X454">
            <v>40</v>
          </cell>
          <cell r="Y454">
            <v>22</v>
          </cell>
          <cell r="Z454">
            <v>0.55000000000000004</v>
          </cell>
        </row>
        <row r="455">
          <cell r="B455" t="str">
            <v>F289_2B</v>
          </cell>
          <cell r="C455" t="str">
            <v>R1_F289_2B</v>
          </cell>
          <cell r="D455">
            <v>0</v>
          </cell>
          <cell r="E455">
            <v>2</v>
          </cell>
          <cell r="F455">
            <v>277</v>
          </cell>
          <cell r="G455">
            <v>1</v>
          </cell>
          <cell r="H455">
            <v>55</v>
          </cell>
          <cell r="I455">
            <v>2</v>
          </cell>
          <cell r="J455">
            <v>4</v>
          </cell>
          <cell r="K455">
            <v>1</v>
          </cell>
          <cell r="L455">
            <v>11.069660000000001</v>
          </cell>
          <cell r="M455">
            <v>-85.440708000000001</v>
          </cell>
          <cell r="N455" t="str">
            <v>Norte</v>
          </cell>
          <cell r="O455">
            <v>0</v>
          </cell>
          <cell r="P455" t="str">
            <v>guaymi</v>
          </cell>
          <cell r="Q455" t="str">
            <v>nambi</v>
          </cell>
          <cell r="R455" t="b">
            <v>0</v>
          </cell>
          <cell r="S455" t="str">
            <v>289_2</v>
          </cell>
          <cell r="T455">
            <v>0</v>
          </cell>
          <cell r="U455">
            <v>0</v>
          </cell>
          <cell r="V455">
            <v>0</v>
          </cell>
          <cell r="W455" t="str">
            <v>NA</v>
          </cell>
          <cell r="X455">
            <v>40</v>
          </cell>
          <cell r="Y455">
            <v>22</v>
          </cell>
          <cell r="Z455">
            <v>0.55000000000000004</v>
          </cell>
        </row>
        <row r="456">
          <cell r="B456" t="str">
            <v>F290_1B</v>
          </cell>
          <cell r="C456" t="str">
            <v>R1_F290_1B</v>
          </cell>
          <cell r="D456">
            <v>1</v>
          </cell>
          <cell r="E456">
            <v>3.5</v>
          </cell>
          <cell r="F456">
            <v>344</v>
          </cell>
          <cell r="G456">
            <v>1</v>
          </cell>
          <cell r="H456">
            <v>59</v>
          </cell>
          <cell r="I456">
            <v>8</v>
          </cell>
          <cell r="J456">
            <v>1</v>
          </cell>
          <cell r="K456">
            <v>1</v>
          </cell>
          <cell r="L456">
            <v>11.061973999999999</v>
          </cell>
          <cell r="M456">
            <v>-85.413793999999996</v>
          </cell>
          <cell r="N456" t="str">
            <v>Norte</v>
          </cell>
          <cell r="O456">
            <v>0</v>
          </cell>
          <cell r="P456" t="str">
            <v>nambi</v>
          </cell>
          <cell r="Q456" t="str">
            <v>nambi</v>
          </cell>
          <cell r="R456" t="b">
            <v>1</v>
          </cell>
          <cell r="S456" t="str">
            <v>290_1</v>
          </cell>
          <cell r="T456">
            <v>1</v>
          </cell>
          <cell r="U456">
            <v>15</v>
          </cell>
          <cell r="V456">
            <v>6</v>
          </cell>
          <cell r="W456">
            <v>0.4</v>
          </cell>
          <cell r="X456">
            <v>67</v>
          </cell>
          <cell r="Y456">
            <v>36</v>
          </cell>
          <cell r="Z456">
            <v>0.53731343300000001</v>
          </cell>
        </row>
        <row r="457">
          <cell r="B457" t="str">
            <v>F290_2B</v>
          </cell>
          <cell r="C457" t="str">
            <v>R1_F290_2B</v>
          </cell>
          <cell r="D457">
            <v>0</v>
          </cell>
          <cell r="E457">
            <v>0.7</v>
          </cell>
          <cell r="F457">
            <v>344</v>
          </cell>
          <cell r="G457">
            <v>1</v>
          </cell>
          <cell r="H457">
            <v>59</v>
          </cell>
          <cell r="I457">
            <v>8</v>
          </cell>
          <cell r="J457">
            <v>1</v>
          </cell>
          <cell r="K457">
            <v>0</v>
          </cell>
          <cell r="L457">
            <v>11.061973999999999</v>
          </cell>
          <cell r="M457">
            <v>-85.413793999999996</v>
          </cell>
          <cell r="N457" t="str">
            <v>Norte</v>
          </cell>
          <cell r="O457">
            <v>0</v>
          </cell>
          <cell r="P457" t="str">
            <v>generalito</v>
          </cell>
          <cell r="Q457" t="str">
            <v>other</v>
          </cell>
          <cell r="R457" t="str">
            <v>Not applicable</v>
          </cell>
          <cell r="S457" t="str">
            <v>290_2</v>
          </cell>
          <cell r="T457">
            <v>0</v>
          </cell>
          <cell r="U457">
            <v>15</v>
          </cell>
          <cell r="V457">
            <v>6</v>
          </cell>
          <cell r="W457">
            <v>0.4</v>
          </cell>
          <cell r="X457">
            <v>67</v>
          </cell>
          <cell r="Y457">
            <v>36</v>
          </cell>
          <cell r="Z457">
            <v>0.53731343300000001</v>
          </cell>
        </row>
        <row r="458">
          <cell r="B458" t="str">
            <v>F291_1B</v>
          </cell>
          <cell r="C458" t="str">
            <v>R1_F291_1B</v>
          </cell>
          <cell r="D458">
            <v>0</v>
          </cell>
          <cell r="E458">
            <v>2</v>
          </cell>
          <cell r="F458">
            <v>311</v>
          </cell>
          <cell r="G458">
            <v>1</v>
          </cell>
          <cell r="H458">
            <v>56</v>
          </cell>
          <cell r="I458">
            <v>6</v>
          </cell>
          <cell r="J458">
            <v>3</v>
          </cell>
          <cell r="K458">
            <v>0</v>
          </cell>
          <cell r="L458">
            <v>11.061002</v>
          </cell>
          <cell r="M458">
            <v>-85.436267000000001</v>
          </cell>
          <cell r="N458" t="str">
            <v>Norte</v>
          </cell>
          <cell r="O458">
            <v>0</v>
          </cell>
          <cell r="P458" t="str">
            <v>victoria</v>
          </cell>
          <cell r="Q458" t="str">
            <v>cabecar</v>
          </cell>
          <cell r="R458" t="b">
            <v>0</v>
          </cell>
          <cell r="S458" t="str">
            <v>291_1</v>
          </cell>
          <cell r="T458">
            <v>1</v>
          </cell>
          <cell r="U458">
            <v>0</v>
          </cell>
          <cell r="V458">
            <v>0</v>
          </cell>
          <cell r="W458" t="str">
            <v>NA</v>
          </cell>
          <cell r="X458">
            <v>40</v>
          </cell>
          <cell r="Y458">
            <v>21</v>
          </cell>
          <cell r="Z458">
            <v>0.52500000000000002</v>
          </cell>
        </row>
        <row r="459">
          <cell r="B459" t="str">
            <v>F291_2B</v>
          </cell>
          <cell r="C459" t="str">
            <v>R1_F291_2B</v>
          </cell>
          <cell r="D459">
            <v>1</v>
          </cell>
          <cell r="E459">
            <v>2</v>
          </cell>
          <cell r="F459">
            <v>311</v>
          </cell>
          <cell r="G459">
            <v>1</v>
          </cell>
          <cell r="H459">
            <v>56</v>
          </cell>
          <cell r="I459">
            <v>6</v>
          </cell>
          <cell r="J459">
            <v>3</v>
          </cell>
          <cell r="K459">
            <v>1</v>
          </cell>
          <cell r="L459">
            <v>11.061002</v>
          </cell>
          <cell r="M459">
            <v>-85.436267000000001</v>
          </cell>
          <cell r="N459" t="str">
            <v>Norte</v>
          </cell>
          <cell r="O459">
            <v>0</v>
          </cell>
          <cell r="P459" t="str">
            <v>guaymi</v>
          </cell>
          <cell r="Q459" t="str">
            <v>guaymi</v>
          </cell>
          <cell r="R459" t="b">
            <v>1</v>
          </cell>
          <cell r="S459" t="str">
            <v>291_2</v>
          </cell>
          <cell r="T459">
            <v>1</v>
          </cell>
          <cell r="U459">
            <v>0</v>
          </cell>
          <cell r="V459">
            <v>0</v>
          </cell>
          <cell r="W459" t="str">
            <v>NA</v>
          </cell>
          <cell r="X459">
            <v>40</v>
          </cell>
          <cell r="Y459">
            <v>21</v>
          </cell>
          <cell r="Z459">
            <v>0.52500000000000002</v>
          </cell>
        </row>
        <row r="460">
          <cell r="B460" t="str">
            <v>F292_1B</v>
          </cell>
          <cell r="C460" t="str">
            <v>R1_F292_1B</v>
          </cell>
          <cell r="D460">
            <v>0</v>
          </cell>
          <cell r="E460">
            <v>1</v>
          </cell>
          <cell r="F460">
            <v>340</v>
          </cell>
          <cell r="G460">
            <v>1</v>
          </cell>
          <cell r="H460">
            <v>60</v>
          </cell>
          <cell r="I460">
            <v>9</v>
          </cell>
          <cell r="J460">
            <v>4</v>
          </cell>
          <cell r="K460">
            <v>1</v>
          </cell>
          <cell r="L460">
            <v>11.060584</v>
          </cell>
          <cell r="M460">
            <v>-85.414108999999996</v>
          </cell>
          <cell r="N460" t="str">
            <v>Norte</v>
          </cell>
          <cell r="O460">
            <v>0</v>
          </cell>
          <cell r="P460" t="str">
            <v>tayni</v>
          </cell>
          <cell r="Q460" t="str">
            <v>guaymi</v>
          </cell>
          <cell r="R460" t="b">
            <v>0</v>
          </cell>
          <cell r="S460" t="str">
            <v>292_1</v>
          </cell>
          <cell r="T460">
            <v>0</v>
          </cell>
          <cell r="U460">
            <v>16</v>
          </cell>
          <cell r="V460">
            <v>7</v>
          </cell>
          <cell r="W460">
            <v>0.4375</v>
          </cell>
          <cell r="X460">
            <v>65</v>
          </cell>
          <cell r="Y460">
            <v>34</v>
          </cell>
          <cell r="Z460">
            <v>0.52307692299999997</v>
          </cell>
        </row>
        <row r="461">
          <cell r="B461" t="str">
            <v>F293_1B</v>
          </cell>
          <cell r="C461" t="str">
            <v>R1_F293_1B</v>
          </cell>
          <cell r="D461">
            <v>0</v>
          </cell>
          <cell r="E461">
            <v>1</v>
          </cell>
          <cell r="F461">
            <v>389</v>
          </cell>
          <cell r="G461">
            <v>1</v>
          </cell>
          <cell r="H461">
            <v>51</v>
          </cell>
          <cell r="I461">
            <v>6</v>
          </cell>
          <cell r="J461">
            <v>5</v>
          </cell>
          <cell r="K461">
            <v>0</v>
          </cell>
          <cell r="L461">
            <v>11.035795</v>
          </cell>
          <cell r="M461">
            <v>-85.395461999999995</v>
          </cell>
          <cell r="N461" t="str">
            <v>Norte</v>
          </cell>
          <cell r="O461">
            <v>0</v>
          </cell>
          <cell r="P461" t="str">
            <v>victoria</v>
          </cell>
          <cell r="Q461" t="str">
            <v>cabecar</v>
          </cell>
          <cell r="R461" t="b">
            <v>0</v>
          </cell>
          <cell r="S461" t="str">
            <v>293_1</v>
          </cell>
          <cell r="T461">
            <v>1</v>
          </cell>
          <cell r="U461">
            <v>6</v>
          </cell>
          <cell r="V461">
            <v>3</v>
          </cell>
          <cell r="W461">
            <v>0.5</v>
          </cell>
          <cell r="X461">
            <v>36</v>
          </cell>
          <cell r="Y461">
            <v>17</v>
          </cell>
          <cell r="Z461">
            <v>0.47222222200000002</v>
          </cell>
        </row>
        <row r="462">
          <cell r="B462" t="str">
            <v>F294_1B</v>
          </cell>
          <cell r="C462" t="str">
            <v>R1_F294_1B</v>
          </cell>
          <cell r="D462">
            <v>0</v>
          </cell>
          <cell r="E462">
            <v>1</v>
          </cell>
          <cell r="F462">
            <v>379</v>
          </cell>
          <cell r="G462">
            <v>1</v>
          </cell>
          <cell r="H462">
            <v>48</v>
          </cell>
          <cell r="I462">
            <v>6</v>
          </cell>
          <cell r="J462">
            <v>5</v>
          </cell>
          <cell r="K462">
            <v>1</v>
          </cell>
          <cell r="L462">
            <v>11.039038</v>
          </cell>
          <cell r="M462">
            <v>-85.404951999999994</v>
          </cell>
          <cell r="N462" t="str">
            <v>Norte</v>
          </cell>
          <cell r="O462">
            <v>0</v>
          </cell>
          <cell r="P462" t="str">
            <v>nambi</v>
          </cell>
          <cell r="Q462" t="str">
            <v>guaymi</v>
          </cell>
          <cell r="R462" t="b">
            <v>0</v>
          </cell>
          <cell r="S462" t="str">
            <v>294_1</v>
          </cell>
          <cell r="T462">
            <v>0</v>
          </cell>
          <cell r="U462">
            <v>5</v>
          </cell>
          <cell r="V462">
            <v>4</v>
          </cell>
          <cell r="W462">
            <v>0.8</v>
          </cell>
          <cell r="X462">
            <v>44</v>
          </cell>
          <cell r="Y462">
            <v>23</v>
          </cell>
          <cell r="Z462">
            <v>0.52272727299999999</v>
          </cell>
        </row>
        <row r="463">
          <cell r="B463" t="str">
            <v>F294_2B</v>
          </cell>
          <cell r="C463" t="str">
            <v>R1_F294_2B</v>
          </cell>
          <cell r="D463">
            <v>0</v>
          </cell>
          <cell r="E463">
            <v>0.7</v>
          </cell>
          <cell r="F463">
            <v>379</v>
          </cell>
          <cell r="G463">
            <v>1</v>
          </cell>
          <cell r="H463">
            <v>48</v>
          </cell>
          <cell r="I463">
            <v>6</v>
          </cell>
          <cell r="J463">
            <v>5</v>
          </cell>
          <cell r="K463">
            <v>1</v>
          </cell>
          <cell r="L463">
            <v>11.039038</v>
          </cell>
          <cell r="M463">
            <v>-85.404951999999994</v>
          </cell>
          <cell r="N463" t="str">
            <v>Norte</v>
          </cell>
          <cell r="O463">
            <v>0</v>
          </cell>
          <cell r="P463" t="str">
            <v>uran</v>
          </cell>
          <cell r="Q463" t="str">
            <v>SEF 61</v>
          </cell>
          <cell r="R463" t="b">
            <v>0</v>
          </cell>
          <cell r="S463" t="str">
            <v>294_2</v>
          </cell>
          <cell r="T463">
            <v>0</v>
          </cell>
          <cell r="U463">
            <v>5</v>
          </cell>
          <cell r="V463">
            <v>4</v>
          </cell>
          <cell r="W463">
            <v>0.8</v>
          </cell>
          <cell r="X463">
            <v>44</v>
          </cell>
          <cell r="Y463">
            <v>23</v>
          </cell>
          <cell r="Z463">
            <v>0.52272727299999999</v>
          </cell>
        </row>
        <row r="464">
          <cell r="B464" t="str">
            <v>F295_1B</v>
          </cell>
          <cell r="C464" t="str">
            <v>R1_F295_1B</v>
          </cell>
          <cell r="D464">
            <v>0</v>
          </cell>
          <cell r="E464">
            <v>1</v>
          </cell>
          <cell r="F464">
            <v>377</v>
          </cell>
          <cell r="G464">
            <v>1</v>
          </cell>
          <cell r="H464">
            <v>67</v>
          </cell>
          <cell r="I464">
            <v>6</v>
          </cell>
          <cell r="J464">
            <v>3</v>
          </cell>
          <cell r="K464">
            <v>0</v>
          </cell>
          <cell r="L464">
            <v>11.036621999999999</v>
          </cell>
          <cell r="M464">
            <v>-85.397722999999999</v>
          </cell>
          <cell r="N464" t="str">
            <v>Norte</v>
          </cell>
          <cell r="O464">
            <v>0</v>
          </cell>
          <cell r="P464" t="str">
            <v>RCB 593</v>
          </cell>
          <cell r="Q464" t="str">
            <v>other</v>
          </cell>
          <cell r="R464" t="str">
            <v>Not applicable</v>
          </cell>
          <cell r="S464" t="str">
            <v>295_1</v>
          </cell>
          <cell r="T464">
            <v>0</v>
          </cell>
          <cell r="U464">
            <v>6</v>
          </cell>
          <cell r="V464">
            <v>4</v>
          </cell>
          <cell r="W464">
            <v>0.66666666699999999</v>
          </cell>
          <cell r="X464">
            <v>42</v>
          </cell>
          <cell r="Y464">
            <v>22</v>
          </cell>
          <cell r="Z464">
            <v>0.52380952400000003</v>
          </cell>
        </row>
        <row r="465">
          <cell r="B465" t="str">
            <v>F296_1B</v>
          </cell>
          <cell r="C465" t="str">
            <v>R1_F296_1B</v>
          </cell>
          <cell r="D465">
            <v>0</v>
          </cell>
          <cell r="E465">
            <v>1</v>
          </cell>
          <cell r="F465">
            <v>389</v>
          </cell>
          <cell r="G465">
            <v>1</v>
          </cell>
          <cell r="H465">
            <v>25</v>
          </cell>
          <cell r="I465">
            <v>8</v>
          </cell>
          <cell r="J465">
            <v>4</v>
          </cell>
          <cell r="K465">
            <v>0</v>
          </cell>
          <cell r="L465">
            <v>11.035755</v>
          </cell>
          <cell r="M465">
            <v>-85.395448000000002</v>
          </cell>
          <cell r="N465" t="str">
            <v>Norte</v>
          </cell>
          <cell r="O465">
            <v>0</v>
          </cell>
          <cell r="P465" t="str">
            <v>victoria</v>
          </cell>
          <cell r="Q465" t="str">
            <v>cabecar</v>
          </cell>
          <cell r="R465" t="b">
            <v>0</v>
          </cell>
          <cell r="S465" t="str">
            <v>296_1</v>
          </cell>
          <cell r="T465">
            <v>1</v>
          </cell>
          <cell r="U465">
            <v>6</v>
          </cell>
          <cell r="V465">
            <v>3</v>
          </cell>
          <cell r="W465">
            <v>0.5</v>
          </cell>
          <cell r="X465">
            <v>36</v>
          </cell>
          <cell r="Y465">
            <v>17</v>
          </cell>
          <cell r="Z465">
            <v>0.47222222200000002</v>
          </cell>
        </row>
        <row r="466">
          <cell r="B466" t="str">
            <v>F297_1B</v>
          </cell>
          <cell r="C466" t="str">
            <v>R1_F297_1B</v>
          </cell>
          <cell r="D466">
            <v>0</v>
          </cell>
          <cell r="E466">
            <v>1</v>
          </cell>
          <cell r="F466">
            <v>379</v>
          </cell>
          <cell r="G466">
            <v>1</v>
          </cell>
          <cell r="H466">
            <v>30</v>
          </cell>
          <cell r="I466">
            <v>6</v>
          </cell>
          <cell r="J466">
            <v>3</v>
          </cell>
          <cell r="K466">
            <v>1</v>
          </cell>
          <cell r="L466">
            <v>11.036098000000001</v>
          </cell>
          <cell r="M466">
            <v>-85.391416000000007</v>
          </cell>
          <cell r="N466" t="str">
            <v>Norte</v>
          </cell>
          <cell r="O466">
            <v>0</v>
          </cell>
          <cell r="P466" t="str">
            <v>guaymi</v>
          </cell>
          <cell r="Q466" t="str">
            <v>cabecar</v>
          </cell>
          <cell r="R466" t="b">
            <v>0</v>
          </cell>
          <cell r="S466" t="str">
            <v>297_1</v>
          </cell>
          <cell r="T466">
            <v>0</v>
          </cell>
          <cell r="U466">
            <v>3</v>
          </cell>
          <cell r="V466">
            <v>2</v>
          </cell>
          <cell r="W466">
            <v>0.66666666699999999</v>
          </cell>
          <cell r="X466">
            <v>34</v>
          </cell>
          <cell r="Y466">
            <v>18</v>
          </cell>
          <cell r="Z466">
            <v>0.52941176499999998</v>
          </cell>
        </row>
        <row r="467">
          <cell r="B467" t="str">
            <v>F297_2B</v>
          </cell>
          <cell r="C467" t="str">
            <v>R1_F297_2B</v>
          </cell>
          <cell r="D467">
            <v>0</v>
          </cell>
          <cell r="E467">
            <v>1</v>
          </cell>
          <cell r="F467">
            <v>379</v>
          </cell>
          <cell r="G467">
            <v>1</v>
          </cell>
          <cell r="H467">
            <v>30</v>
          </cell>
          <cell r="I467">
            <v>6</v>
          </cell>
          <cell r="J467">
            <v>3</v>
          </cell>
          <cell r="K467">
            <v>1</v>
          </cell>
          <cell r="L467">
            <v>11.036098000000001</v>
          </cell>
          <cell r="M467">
            <v>-85.391416000000007</v>
          </cell>
          <cell r="N467" t="str">
            <v>Norte</v>
          </cell>
          <cell r="O467">
            <v>0</v>
          </cell>
          <cell r="P467" t="str">
            <v>nambi</v>
          </cell>
          <cell r="Q467" t="str">
            <v>cabecar</v>
          </cell>
          <cell r="R467" t="b">
            <v>0</v>
          </cell>
          <cell r="S467" t="str">
            <v>297_2</v>
          </cell>
          <cell r="T467">
            <v>0</v>
          </cell>
          <cell r="U467">
            <v>3</v>
          </cell>
          <cell r="V467">
            <v>2</v>
          </cell>
          <cell r="W467">
            <v>0.66666666699999999</v>
          </cell>
          <cell r="X467">
            <v>34</v>
          </cell>
          <cell r="Y467">
            <v>18</v>
          </cell>
          <cell r="Z467">
            <v>0.52941176499999998</v>
          </cell>
        </row>
        <row r="468">
          <cell r="B468" t="str">
            <v>F298_1B</v>
          </cell>
          <cell r="C468" t="str">
            <v>R1_F298_1B</v>
          </cell>
          <cell r="D468">
            <v>0</v>
          </cell>
          <cell r="E468">
            <v>0.125</v>
          </cell>
          <cell r="F468">
            <v>336</v>
          </cell>
          <cell r="G468">
            <v>1</v>
          </cell>
          <cell r="H468">
            <v>70</v>
          </cell>
          <cell r="I468">
            <v>6</v>
          </cell>
          <cell r="J468">
            <v>1</v>
          </cell>
          <cell r="K468">
            <v>0</v>
          </cell>
          <cell r="L468">
            <v>11.060634</v>
          </cell>
          <cell r="M468">
            <v>-85.415369999999996</v>
          </cell>
          <cell r="N468" t="str">
            <v>Norte</v>
          </cell>
          <cell r="O468">
            <v>0</v>
          </cell>
          <cell r="P468" t="str">
            <v>generalito</v>
          </cell>
          <cell r="Q468" t="str">
            <v>cabecar</v>
          </cell>
          <cell r="R468" t="b">
            <v>0</v>
          </cell>
          <cell r="S468" t="str">
            <v>298_1</v>
          </cell>
          <cell r="T468">
            <v>0</v>
          </cell>
          <cell r="U468">
            <v>15</v>
          </cell>
          <cell r="V468">
            <v>6</v>
          </cell>
          <cell r="W468">
            <v>0.4</v>
          </cell>
          <cell r="X468">
            <v>64</v>
          </cell>
          <cell r="Y468">
            <v>33</v>
          </cell>
          <cell r="Z468">
            <v>0.515625</v>
          </cell>
        </row>
        <row r="469">
          <cell r="B469" t="str">
            <v>F298_2B</v>
          </cell>
          <cell r="C469" t="str">
            <v>R1_F298_2B</v>
          </cell>
          <cell r="D469">
            <v>1</v>
          </cell>
          <cell r="E469">
            <v>0.35</v>
          </cell>
          <cell r="F469">
            <v>336</v>
          </cell>
          <cell r="G469">
            <v>1</v>
          </cell>
          <cell r="H469">
            <v>70</v>
          </cell>
          <cell r="I469">
            <v>6</v>
          </cell>
          <cell r="J469">
            <v>1</v>
          </cell>
          <cell r="K469">
            <v>1</v>
          </cell>
          <cell r="L469">
            <v>11.060634</v>
          </cell>
          <cell r="M469">
            <v>-85.415369999999996</v>
          </cell>
          <cell r="N469" t="str">
            <v>Norte</v>
          </cell>
          <cell r="O469">
            <v>0</v>
          </cell>
          <cell r="P469" t="str">
            <v>guaymi</v>
          </cell>
          <cell r="Q469" t="str">
            <v>guaymi</v>
          </cell>
          <cell r="R469" t="b">
            <v>1</v>
          </cell>
          <cell r="S469" t="str">
            <v>298_2</v>
          </cell>
          <cell r="T469">
            <v>1</v>
          </cell>
          <cell r="U469">
            <v>15</v>
          </cell>
          <cell r="V469">
            <v>6</v>
          </cell>
          <cell r="W469">
            <v>0.4</v>
          </cell>
          <cell r="X469">
            <v>64</v>
          </cell>
          <cell r="Y469">
            <v>33</v>
          </cell>
          <cell r="Z469">
            <v>0.515625</v>
          </cell>
        </row>
        <row r="470">
          <cell r="B470" t="str">
            <v>F299_1B</v>
          </cell>
          <cell r="C470" t="str">
            <v>R1_F299_1B</v>
          </cell>
          <cell r="D470">
            <v>1</v>
          </cell>
          <cell r="E470">
            <v>0.5</v>
          </cell>
          <cell r="F470">
            <v>314</v>
          </cell>
          <cell r="G470">
            <v>0</v>
          </cell>
          <cell r="H470">
            <v>70</v>
          </cell>
          <cell r="I470">
            <v>6</v>
          </cell>
          <cell r="J470">
            <v>6</v>
          </cell>
          <cell r="K470">
            <v>1</v>
          </cell>
          <cell r="L470">
            <v>11.076871000000001</v>
          </cell>
          <cell r="M470">
            <v>-85.414541999999997</v>
          </cell>
          <cell r="N470" t="str">
            <v>Norte</v>
          </cell>
          <cell r="O470">
            <v>0</v>
          </cell>
          <cell r="P470" t="str">
            <v>cabecar</v>
          </cell>
          <cell r="Q470" t="str">
            <v>cabecar</v>
          </cell>
          <cell r="R470" t="b">
            <v>1</v>
          </cell>
          <cell r="S470" t="str">
            <v>299_1</v>
          </cell>
          <cell r="T470">
            <v>1</v>
          </cell>
          <cell r="U470">
            <v>4</v>
          </cell>
          <cell r="V470">
            <v>1</v>
          </cell>
          <cell r="W470">
            <v>0.25</v>
          </cell>
          <cell r="X470">
            <v>55</v>
          </cell>
          <cell r="Y470">
            <v>21</v>
          </cell>
          <cell r="Z470">
            <v>0.38181818200000001</v>
          </cell>
        </row>
        <row r="471">
          <cell r="B471" t="str">
            <v>F299_2B</v>
          </cell>
          <cell r="C471" t="str">
            <v>R1_F299_2B</v>
          </cell>
          <cell r="D471">
            <v>1</v>
          </cell>
          <cell r="E471">
            <v>1</v>
          </cell>
          <cell r="F471">
            <v>314</v>
          </cell>
          <cell r="G471">
            <v>0</v>
          </cell>
          <cell r="H471">
            <v>70</v>
          </cell>
          <cell r="I471">
            <v>6</v>
          </cell>
          <cell r="J471">
            <v>6</v>
          </cell>
          <cell r="K471">
            <v>1</v>
          </cell>
          <cell r="L471">
            <v>11.076871000000001</v>
          </cell>
          <cell r="M471">
            <v>-85.414541999999997</v>
          </cell>
          <cell r="N471" t="str">
            <v>Norte</v>
          </cell>
          <cell r="O471">
            <v>0</v>
          </cell>
          <cell r="P471" t="str">
            <v>guaymi</v>
          </cell>
          <cell r="Q471" t="str">
            <v>guaymi</v>
          </cell>
          <cell r="R471" t="b">
            <v>1</v>
          </cell>
          <cell r="S471" t="str">
            <v>299_2</v>
          </cell>
          <cell r="T471">
            <v>1</v>
          </cell>
          <cell r="U471">
            <v>4</v>
          </cell>
          <cell r="V471">
            <v>1</v>
          </cell>
          <cell r="W471">
            <v>0.25</v>
          </cell>
          <cell r="X471">
            <v>55</v>
          </cell>
          <cell r="Y471">
            <v>21</v>
          </cell>
          <cell r="Z471">
            <v>0.38181818200000001</v>
          </cell>
        </row>
        <row r="472">
          <cell r="B472" t="str">
            <v>F300_1B</v>
          </cell>
          <cell r="C472" t="str">
            <v>R1_F300_1B</v>
          </cell>
          <cell r="D472">
            <v>0</v>
          </cell>
          <cell r="E472">
            <v>1</v>
          </cell>
          <cell r="F472">
            <v>318</v>
          </cell>
          <cell r="G472">
            <v>1</v>
          </cell>
          <cell r="H472">
            <v>30</v>
          </cell>
          <cell r="I472">
            <v>6</v>
          </cell>
          <cell r="J472">
            <v>3</v>
          </cell>
          <cell r="K472">
            <v>1</v>
          </cell>
          <cell r="L472">
            <v>11.085015</v>
          </cell>
          <cell r="M472">
            <v>-85.395529999999994</v>
          </cell>
          <cell r="N472" t="str">
            <v>Norte</v>
          </cell>
          <cell r="O472">
            <v>0</v>
          </cell>
          <cell r="P472" t="str">
            <v>guaymi</v>
          </cell>
          <cell r="Q472" t="str">
            <v>nambi</v>
          </cell>
          <cell r="R472" t="b">
            <v>0</v>
          </cell>
          <cell r="S472" t="str">
            <v>300_1</v>
          </cell>
          <cell r="T472">
            <v>0</v>
          </cell>
          <cell r="U472">
            <v>2</v>
          </cell>
          <cell r="V472">
            <v>1</v>
          </cell>
          <cell r="W472">
            <v>0.5</v>
          </cell>
          <cell r="X472">
            <v>24</v>
          </cell>
          <cell r="Y472">
            <v>9</v>
          </cell>
          <cell r="Z472">
            <v>0.375</v>
          </cell>
        </row>
        <row r="473">
          <cell r="B473" t="str">
            <v>F301_1B</v>
          </cell>
          <cell r="C473" t="str">
            <v>R1_F301_1B</v>
          </cell>
          <cell r="D473">
            <v>0</v>
          </cell>
          <cell r="E473">
            <v>1</v>
          </cell>
          <cell r="F473">
            <v>276</v>
          </cell>
          <cell r="G473">
            <v>1</v>
          </cell>
          <cell r="H473">
            <v>54</v>
          </cell>
          <cell r="I473">
            <v>6</v>
          </cell>
          <cell r="J473">
            <v>5</v>
          </cell>
          <cell r="K473">
            <v>1</v>
          </cell>
          <cell r="L473">
            <v>11.085017000000001</v>
          </cell>
          <cell r="M473">
            <v>-85.401989999999998</v>
          </cell>
          <cell r="N473" t="str">
            <v>Norte</v>
          </cell>
          <cell r="O473">
            <v>0</v>
          </cell>
          <cell r="P473" t="str">
            <v>guaymi</v>
          </cell>
          <cell r="Q473" t="str">
            <v>other</v>
          </cell>
          <cell r="R473" t="str">
            <v>Not applicable</v>
          </cell>
          <cell r="S473" t="str">
            <v>301_1</v>
          </cell>
          <cell r="T473">
            <v>0</v>
          </cell>
          <cell r="U473">
            <v>2</v>
          </cell>
          <cell r="V473">
            <v>2</v>
          </cell>
          <cell r="W473">
            <v>1</v>
          </cell>
          <cell r="X473">
            <v>42</v>
          </cell>
          <cell r="Y473">
            <v>18</v>
          </cell>
          <cell r="Z473">
            <v>0.428571429</v>
          </cell>
        </row>
        <row r="474">
          <cell r="B474" t="str">
            <v>F302_1B</v>
          </cell>
          <cell r="C474" t="str">
            <v>R1_F302_1B</v>
          </cell>
          <cell r="D474">
            <v>0</v>
          </cell>
          <cell r="E474">
            <v>0.7</v>
          </cell>
          <cell r="F474">
            <v>320</v>
          </cell>
          <cell r="G474">
            <v>1</v>
          </cell>
          <cell r="H474">
            <v>38</v>
          </cell>
          <cell r="I474">
            <v>6</v>
          </cell>
          <cell r="J474">
            <v>5</v>
          </cell>
          <cell r="K474">
            <v>1</v>
          </cell>
          <cell r="L474">
            <v>11.081946</v>
          </cell>
          <cell r="M474">
            <v>-85.397075000000001</v>
          </cell>
          <cell r="N474" t="str">
            <v>Norte</v>
          </cell>
          <cell r="O474">
            <v>0</v>
          </cell>
          <cell r="P474" t="str">
            <v>guaymi</v>
          </cell>
          <cell r="Q474" t="str">
            <v>brunca</v>
          </cell>
          <cell r="R474" t="b">
            <v>0</v>
          </cell>
          <cell r="S474" t="str">
            <v>302_1</v>
          </cell>
          <cell r="T474">
            <v>1</v>
          </cell>
          <cell r="U474">
            <v>4</v>
          </cell>
          <cell r="V474">
            <v>1</v>
          </cell>
          <cell r="W474">
            <v>0.25</v>
          </cell>
          <cell r="X474">
            <v>40</v>
          </cell>
          <cell r="Y474">
            <v>15</v>
          </cell>
          <cell r="Z474">
            <v>0.375</v>
          </cell>
        </row>
        <row r="475">
          <cell r="B475" t="str">
            <v>F303_1B</v>
          </cell>
          <cell r="C475" t="str">
            <v>R1_F303_1B</v>
          </cell>
          <cell r="D475">
            <v>0</v>
          </cell>
          <cell r="E475">
            <v>0.7</v>
          </cell>
          <cell r="F475">
            <v>261</v>
          </cell>
          <cell r="G475">
            <v>1</v>
          </cell>
          <cell r="H475">
            <v>67</v>
          </cell>
          <cell r="I475">
            <v>2</v>
          </cell>
          <cell r="J475">
            <v>3</v>
          </cell>
          <cell r="K475">
            <v>1</v>
          </cell>
          <cell r="L475">
            <v>11.08572</v>
          </cell>
          <cell r="M475">
            <v>-85.403694999999999</v>
          </cell>
          <cell r="N475" t="str">
            <v>Norte</v>
          </cell>
          <cell r="O475">
            <v>0</v>
          </cell>
          <cell r="P475" t="str">
            <v>matambu</v>
          </cell>
          <cell r="Q475" t="str">
            <v>guaymi</v>
          </cell>
          <cell r="R475" t="b">
            <v>0</v>
          </cell>
          <cell r="S475" t="str">
            <v>303_1</v>
          </cell>
          <cell r="T475">
            <v>1</v>
          </cell>
          <cell r="U475">
            <v>2</v>
          </cell>
          <cell r="V475">
            <v>1</v>
          </cell>
          <cell r="W475">
            <v>0.5</v>
          </cell>
          <cell r="X475">
            <v>47</v>
          </cell>
          <cell r="Y475">
            <v>17</v>
          </cell>
          <cell r="Z475">
            <v>0.36170212800000001</v>
          </cell>
        </row>
        <row r="476">
          <cell r="B476" t="str">
            <v>F304_1B</v>
          </cell>
          <cell r="C476" t="str">
            <v>R1_F304_1B</v>
          </cell>
          <cell r="D476">
            <v>0</v>
          </cell>
          <cell r="E476">
            <v>1.4</v>
          </cell>
          <cell r="F476">
            <v>252</v>
          </cell>
          <cell r="G476">
            <v>1</v>
          </cell>
          <cell r="H476">
            <v>34</v>
          </cell>
          <cell r="I476">
            <v>6</v>
          </cell>
          <cell r="J476">
            <v>5</v>
          </cell>
          <cell r="K476">
            <v>1</v>
          </cell>
          <cell r="L476">
            <v>11.093807999999999</v>
          </cell>
          <cell r="M476">
            <v>-85.389008000000004</v>
          </cell>
          <cell r="N476" t="str">
            <v>Norte</v>
          </cell>
          <cell r="O476">
            <v>0</v>
          </cell>
          <cell r="P476" t="str">
            <v>brunca</v>
          </cell>
          <cell r="Q476" t="str">
            <v>nambi</v>
          </cell>
          <cell r="R476" t="b">
            <v>0</v>
          </cell>
          <cell r="S476" t="str">
            <v>304_1</v>
          </cell>
          <cell r="T476">
            <v>0</v>
          </cell>
          <cell r="U476">
            <v>2</v>
          </cell>
          <cell r="V476">
            <v>0</v>
          </cell>
          <cell r="W476">
            <v>0</v>
          </cell>
          <cell r="X476">
            <v>25</v>
          </cell>
          <cell r="Y476">
            <v>10</v>
          </cell>
          <cell r="Z476">
            <v>0.4</v>
          </cell>
        </row>
        <row r="477">
          <cell r="B477" t="str">
            <v>F305_1B</v>
          </cell>
          <cell r="C477" t="str">
            <v>R1_F305_1B</v>
          </cell>
          <cell r="D477">
            <v>0</v>
          </cell>
          <cell r="E477">
            <v>1</v>
          </cell>
          <cell r="F477">
            <v>314</v>
          </cell>
          <cell r="G477">
            <v>1</v>
          </cell>
          <cell r="H477">
            <v>38</v>
          </cell>
          <cell r="I477">
            <v>5</v>
          </cell>
          <cell r="J477">
            <v>7</v>
          </cell>
          <cell r="K477">
            <v>0</v>
          </cell>
          <cell r="L477">
            <v>11.08412</v>
          </cell>
          <cell r="M477">
            <v>-85.395612</v>
          </cell>
          <cell r="N477" t="str">
            <v>Norte</v>
          </cell>
          <cell r="O477">
            <v>0</v>
          </cell>
          <cell r="P477" t="str">
            <v>mantequilla</v>
          </cell>
          <cell r="Q477" t="str">
            <v>other</v>
          </cell>
          <cell r="R477" t="str">
            <v>Not applicable</v>
          </cell>
          <cell r="S477" t="str">
            <v>305_1</v>
          </cell>
          <cell r="T477">
            <v>0</v>
          </cell>
          <cell r="U477">
            <v>2</v>
          </cell>
          <cell r="V477">
            <v>1</v>
          </cell>
          <cell r="W477">
            <v>0.5</v>
          </cell>
          <cell r="X477">
            <v>24</v>
          </cell>
          <cell r="Y477">
            <v>9</v>
          </cell>
          <cell r="Z477">
            <v>0.375</v>
          </cell>
        </row>
        <row r="478">
          <cell r="B478" t="str">
            <v>F306_1B</v>
          </cell>
          <cell r="C478" t="str">
            <v>R1_F306_1B</v>
          </cell>
          <cell r="D478">
            <v>0</v>
          </cell>
          <cell r="E478">
            <v>1</v>
          </cell>
          <cell r="F478">
            <v>76</v>
          </cell>
          <cell r="G478">
            <v>1</v>
          </cell>
          <cell r="H478">
            <v>60</v>
          </cell>
          <cell r="I478">
            <v>6</v>
          </cell>
          <cell r="J478">
            <v>3</v>
          </cell>
          <cell r="K478">
            <v>0</v>
          </cell>
          <cell r="L478">
            <v>11.120011999999999</v>
          </cell>
          <cell r="M478">
            <v>-85.371153000000007</v>
          </cell>
          <cell r="N478" t="str">
            <v>Norte</v>
          </cell>
          <cell r="O478">
            <v>0</v>
          </cell>
          <cell r="P478" t="str">
            <v>generalito</v>
          </cell>
          <cell r="Q478" t="str">
            <v>other</v>
          </cell>
          <cell r="R478" t="str">
            <v>Not applicable</v>
          </cell>
          <cell r="S478" t="str">
            <v>306_1</v>
          </cell>
          <cell r="T478">
            <v>1</v>
          </cell>
          <cell r="U478">
            <v>1</v>
          </cell>
          <cell r="V478">
            <v>1</v>
          </cell>
          <cell r="W478">
            <v>1</v>
          </cell>
          <cell r="X478">
            <v>25</v>
          </cell>
          <cell r="Y478">
            <v>8</v>
          </cell>
          <cell r="Z478">
            <v>0.32</v>
          </cell>
        </row>
        <row r="479">
          <cell r="B479" t="str">
            <v>F307_1B</v>
          </cell>
          <cell r="C479" t="str">
            <v>R1_F307_1B</v>
          </cell>
          <cell r="D479">
            <v>0</v>
          </cell>
          <cell r="E479">
            <v>0.7</v>
          </cell>
          <cell r="F479">
            <v>69</v>
          </cell>
          <cell r="G479">
            <v>1</v>
          </cell>
          <cell r="H479">
            <v>37</v>
          </cell>
          <cell r="I479">
            <v>10</v>
          </cell>
          <cell r="J479">
            <v>4</v>
          </cell>
          <cell r="K479">
            <v>1</v>
          </cell>
          <cell r="L479">
            <v>11.110290000000001</v>
          </cell>
          <cell r="M479">
            <v>-85.368647999999993</v>
          </cell>
          <cell r="N479" t="str">
            <v>Norte</v>
          </cell>
          <cell r="O479">
            <v>0</v>
          </cell>
          <cell r="P479" t="str">
            <v>nambi</v>
          </cell>
          <cell r="Q479" t="str">
            <v>guaymi</v>
          </cell>
          <cell r="R479" t="b">
            <v>0</v>
          </cell>
          <cell r="S479" t="str">
            <v>307_1</v>
          </cell>
          <cell r="T479">
            <v>0</v>
          </cell>
          <cell r="U479">
            <v>0</v>
          </cell>
          <cell r="V479">
            <v>0</v>
          </cell>
          <cell r="W479" t="str">
            <v>NA</v>
          </cell>
          <cell r="X479">
            <v>17</v>
          </cell>
          <cell r="Y479">
            <v>7</v>
          </cell>
          <cell r="Z479">
            <v>0.41176470599999998</v>
          </cell>
        </row>
        <row r="480">
          <cell r="B480" t="str">
            <v>F308_1B</v>
          </cell>
          <cell r="C480" t="str">
            <v>R1_F308_1B</v>
          </cell>
          <cell r="D480">
            <v>0</v>
          </cell>
          <cell r="E480">
            <v>1.4</v>
          </cell>
          <cell r="F480">
            <v>72</v>
          </cell>
          <cell r="G480">
            <v>1</v>
          </cell>
          <cell r="H480">
            <v>73</v>
          </cell>
          <cell r="I480">
            <v>0</v>
          </cell>
          <cell r="J480">
            <v>3</v>
          </cell>
          <cell r="K480">
            <v>1</v>
          </cell>
          <cell r="L480">
            <v>11.108922</v>
          </cell>
          <cell r="M480">
            <v>-85.365992000000006</v>
          </cell>
          <cell r="N480" t="str">
            <v>Norte</v>
          </cell>
          <cell r="O480">
            <v>0</v>
          </cell>
          <cell r="P480" t="str">
            <v>tayni</v>
          </cell>
          <cell r="Q480" t="str">
            <v>cabecar</v>
          </cell>
          <cell r="R480" t="b">
            <v>0</v>
          </cell>
          <cell r="S480" t="str">
            <v>308_1</v>
          </cell>
          <cell r="T480">
            <v>0</v>
          </cell>
          <cell r="U480">
            <v>0</v>
          </cell>
          <cell r="V480">
            <v>0</v>
          </cell>
          <cell r="W480" t="str">
            <v>NA</v>
          </cell>
          <cell r="X480">
            <v>22</v>
          </cell>
          <cell r="Y480">
            <v>9</v>
          </cell>
          <cell r="Z480">
            <v>0.409090909</v>
          </cell>
        </row>
        <row r="481">
          <cell r="B481" t="str">
            <v>F308_2B</v>
          </cell>
          <cell r="C481" t="str">
            <v>R1_F308_2B</v>
          </cell>
          <cell r="D481">
            <v>1</v>
          </cell>
          <cell r="E481">
            <v>1.4</v>
          </cell>
          <cell r="F481">
            <v>72</v>
          </cell>
          <cell r="G481">
            <v>1</v>
          </cell>
          <cell r="H481">
            <v>73</v>
          </cell>
          <cell r="I481">
            <v>0</v>
          </cell>
          <cell r="J481">
            <v>3</v>
          </cell>
          <cell r="K481">
            <v>1</v>
          </cell>
          <cell r="L481">
            <v>11.108922</v>
          </cell>
          <cell r="M481">
            <v>-85.365992000000006</v>
          </cell>
          <cell r="N481" t="str">
            <v>Norte</v>
          </cell>
          <cell r="O481">
            <v>0</v>
          </cell>
          <cell r="P481" t="str">
            <v>nambi</v>
          </cell>
          <cell r="Q481" t="str">
            <v>nambi</v>
          </cell>
          <cell r="R481" t="b">
            <v>1</v>
          </cell>
          <cell r="S481" t="str">
            <v>308_2</v>
          </cell>
          <cell r="T481">
            <v>1</v>
          </cell>
          <cell r="U481">
            <v>0</v>
          </cell>
          <cell r="V481">
            <v>0</v>
          </cell>
          <cell r="W481" t="str">
            <v>NA</v>
          </cell>
          <cell r="X481">
            <v>22</v>
          </cell>
          <cell r="Y481">
            <v>9</v>
          </cell>
          <cell r="Z481">
            <v>0.409090909</v>
          </cell>
        </row>
        <row r="482">
          <cell r="B482" t="str">
            <v>F309_1B</v>
          </cell>
          <cell r="C482" t="str">
            <v>R1_F309_1B</v>
          </cell>
          <cell r="D482">
            <v>1</v>
          </cell>
          <cell r="E482">
            <v>1</v>
          </cell>
          <cell r="F482">
            <v>356</v>
          </cell>
          <cell r="G482">
            <v>1</v>
          </cell>
          <cell r="H482">
            <v>32</v>
          </cell>
          <cell r="I482">
            <v>11</v>
          </cell>
          <cell r="J482">
            <v>1</v>
          </cell>
          <cell r="K482">
            <v>1</v>
          </cell>
          <cell r="L482">
            <v>11.045249999999999</v>
          </cell>
          <cell r="M482">
            <v>-85.372268000000005</v>
          </cell>
          <cell r="N482" t="str">
            <v>Norte</v>
          </cell>
          <cell r="O482">
            <v>0</v>
          </cell>
          <cell r="P482" t="str">
            <v>nambi</v>
          </cell>
          <cell r="Q482" t="str">
            <v>nambi</v>
          </cell>
          <cell r="R482" t="b">
            <v>1</v>
          </cell>
          <cell r="S482" t="str">
            <v>309_1</v>
          </cell>
          <cell r="T482">
            <v>1</v>
          </cell>
          <cell r="U482">
            <v>2</v>
          </cell>
          <cell r="V482">
            <v>0</v>
          </cell>
          <cell r="W482">
            <v>0</v>
          </cell>
          <cell r="X482">
            <v>48</v>
          </cell>
          <cell r="Y482">
            <v>18</v>
          </cell>
          <cell r="Z482">
            <v>0.375</v>
          </cell>
        </row>
        <row r="483">
          <cell r="B483" t="str">
            <v>F310_1B</v>
          </cell>
          <cell r="C483" t="str">
            <v>R1_F310_1B</v>
          </cell>
          <cell r="D483">
            <v>1</v>
          </cell>
          <cell r="E483">
            <v>2</v>
          </cell>
          <cell r="F483">
            <v>347</v>
          </cell>
          <cell r="G483">
            <v>1</v>
          </cell>
          <cell r="H483">
            <v>42</v>
          </cell>
          <cell r="I483">
            <v>5</v>
          </cell>
          <cell r="J483">
            <v>3</v>
          </cell>
          <cell r="K483">
            <v>1</v>
          </cell>
          <cell r="L483">
            <v>11.05771</v>
          </cell>
          <cell r="M483">
            <v>-85.417862</v>
          </cell>
          <cell r="N483" t="str">
            <v>Norte</v>
          </cell>
          <cell r="O483">
            <v>0</v>
          </cell>
          <cell r="P483" t="str">
            <v>nambi</v>
          </cell>
          <cell r="Q483" t="str">
            <v>nambi</v>
          </cell>
          <cell r="R483" t="b">
            <v>1</v>
          </cell>
          <cell r="S483" t="str">
            <v>310_1</v>
          </cell>
          <cell r="T483">
            <v>1</v>
          </cell>
          <cell r="U483">
            <v>14</v>
          </cell>
          <cell r="V483">
            <v>4</v>
          </cell>
          <cell r="W483">
            <v>0.28571428599999998</v>
          </cell>
          <cell r="X483">
            <v>61</v>
          </cell>
          <cell r="Y483">
            <v>29</v>
          </cell>
          <cell r="Z483">
            <v>0.47540983599999997</v>
          </cell>
        </row>
        <row r="484">
          <cell r="B484" t="str">
            <v>F310_2B</v>
          </cell>
          <cell r="C484" t="str">
            <v>R1_F310_2B</v>
          </cell>
          <cell r="D484">
            <v>1</v>
          </cell>
          <cell r="E484">
            <v>1.5</v>
          </cell>
          <cell r="F484">
            <v>347</v>
          </cell>
          <cell r="G484">
            <v>1</v>
          </cell>
          <cell r="H484">
            <v>42</v>
          </cell>
          <cell r="I484">
            <v>5</v>
          </cell>
          <cell r="J484">
            <v>3</v>
          </cell>
          <cell r="K484">
            <v>1</v>
          </cell>
          <cell r="L484">
            <v>11.05771</v>
          </cell>
          <cell r="M484">
            <v>-85.417862</v>
          </cell>
          <cell r="N484" t="str">
            <v>Norte</v>
          </cell>
          <cell r="O484">
            <v>0</v>
          </cell>
          <cell r="P484" t="str">
            <v>cabecar</v>
          </cell>
          <cell r="Q484" t="str">
            <v>cabecar</v>
          </cell>
          <cell r="R484" t="b">
            <v>1</v>
          </cell>
          <cell r="S484" t="str">
            <v>310_2</v>
          </cell>
          <cell r="T484">
            <v>1</v>
          </cell>
          <cell r="U484">
            <v>14</v>
          </cell>
          <cell r="V484">
            <v>4</v>
          </cell>
          <cell r="W484">
            <v>0.28571428599999998</v>
          </cell>
          <cell r="X484">
            <v>61</v>
          </cell>
          <cell r="Y484">
            <v>29</v>
          </cell>
          <cell r="Z484">
            <v>0.47540983599999997</v>
          </cell>
        </row>
        <row r="485">
          <cell r="B485" t="str">
            <v>F311_1B</v>
          </cell>
          <cell r="C485" t="str">
            <v>R1_F311_1B</v>
          </cell>
          <cell r="D485">
            <v>0</v>
          </cell>
          <cell r="E485">
            <v>0.17499999999999999</v>
          </cell>
          <cell r="F485">
            <v>327</v>
          </cell>
          <cell r="G485">
            <v>1</v>
          </cell>
          <cell r="H485">
            <v>34</v>
          </cell>
          <cell r="I485">
            <v>7</v>
          </cell>
          <cell r="J485">
            <v>4</v>
          </cell>
          <cell r="K485">
            <v>0</v>
          </cell>
          <cell r="L485">
            <v>11.061297</v>
          </cell>
          <cell r="M485">
            <v>-85.419606999999999</v>
          </cell>
          <cell r="N485" t="str">
            <v>Norte</v>
          </cell>
          <cell r="O485">
            <v>0</v>
          </cell>
          <cell r="P485" t="str">
            <v>victoria</v>
          </cell>
          <cell r="Q485" t="str">
            <v>rojo</v>
          </cell>
          <cell r="R485" t="str">
            <v>Not applicable</v>
          </cell>
          <cell r="S485" t="str">
            <v>311_1</v>
          </cell>
          <cell r="T485">
            <v>0</v>
          </cell>
          <cell r="U485">
            <v>17</v>
          </cell>
          <cell r="V485">
            <v>7</v>
          </cell>
          <cell r="W485">
            <v>0.41176470599999998</v>
          </cell>
          <cell r="X485">
            <v>64</v>
          </cell>
          <cell r="Y485">
            <v>33</v>
          </cell>
          <cell r="Z485">
            <v>0.515625</v>
          </cell>
        </row>
        <row r="486">
          <cell r="B486" t="str">
            <v>F312_1B</v>
          </cell>
          <cell r="C486" t="str">
            <v>R1_F312_1B</v>
          </cell>
          <cell r="D486">
            <v>1</v>
          </cell>
          <cell r="E486">
            <v>1</v>
          </cell>
          <cell r="F486">
            <v>157</v>
          </cell>
          <cell r="G486">
            <v>0</v>
          </cell>
          <cell r="H486">
            <v>63</v>
          </cell>
          <cell r="I486">
            <v>6</v>
          </cell>
          <cell r="J486">
            <v>3</v>
          </cell>
          <cell r="K486">
            <v>1</v>
          </cell>
          <cell r="L486">
            <v>11.108230000000001</v>
          </cell>
          <cell r="M486">
            <v>-85.420911000000004</v>
          </cell>
          <cell r="N486" t="str">
            <v>Norte</v>
          </cell>
          <cell r="O486">
            <v>0</v>
          </cell>
          <cell r="P486" t="str">
            <v>cabecar</v>
          </cell>
          <cell r="Q486" t="str">
            <v>cabecar</v>
          </cell>
          <cell r="R486" t="b">
            <v>1</v>
          </cell>
          <cell r="S486" t="str">
            <v>312_1</v>
          </cell>
          <cell r="T486">
            <v>1</v>
          </cell>
          <cell r="U486">
            <v>17</v>
          </cell>
          <cell r="V486">
            <v>4</v>
          </cell>
          <cell r="W486">
            <v>0.235294118</v>
          </cell>
          <cell r="X486">
            <v>27</v>
          </cell>
          <cell r="Y486">
            <v>10</v>
          </cell>
          <cell r="Z486">
            <v>0.37037037</v>
          </cell>
        </row>
        <row r="487">
          <cell r="B487" t="str">
            <v>F313_1B</v>
          </cell>
          <cell r="C487" t="str">
            <v>R1_F313_1B</v>
          </cell>
          <cell r="D487">
            <v>0</v>
          </cell>
          <cell r="E487">
            <v>0.7</v>
          </cell>
          <cell r="F487">
            <v>164</v>
          </cell>
          <cell r="G487">
            <v>1</v>
          </cell>
          <cell r="H487">
            <v>52</v>
          </cell>
          <cell r="I487">
            <v>2</v>
          </cell>
          <cell r="J487">
            <v>6</v>
          </cell>
          <cell r="K487">
            <v>1</v>
          </cell>
          <cell r="L487">
            <v>11.104003000000001</v>
          </cell>
          <cell r="M487">
            <v>-85.420906000000002</v>
          </cell>
          <cell r="N487" t="str">
            <v>Norte</v>
          </cell>
          <cell r="O487">
            <v>0</v>
          </cell>
          <cell r="P487" t="str">
            <v>matambu</v>
          </cell>
          <cell r="Q487" t="str">
            <v>guaymi</v>
          </cell>
          <cell r="R487" t="b">
            <v>0</v>
          </cell>
          <cell r="S487" t="str">
            <v>313_1</v>
          </cell>
          <cell r="T487">
            <v>0</v>
          </cell>
          <cell r="U487">
            <v>17</v>
          </cell>
          <cell r="V487">
            <v>7</v>
          </cell>
          <cell r="W487">
            <v>0.41176470599999998</v>
          </cell>
          <cell r="X487">
            <v>27</v>
          </cell>
          <cell r="Y487">
            <v>12</v>
          </cell>
          <cell r="Z487">
            <v>0.44444444399999999</v>
          </cell>
        </row>
        <row r="488">
          <cell r="B488" t="str">
            <v>F313_2B</v>
          </cell>
          <cell r="C488" t="str">
            <v>R1_F313_2B</v>
          </cell>
          <cell r="D488">
            <v>0</v>
          </cell>
          <cell r="E488">
            <v>1</v>
          </cell>
          <cell r="F488">
            <v>164</v>
          </cell>
          <cell r="G488">
            <v>1</v>
          </cell>
          <cell r="H488">
            <v>52</v>
          </cell>
          <cell r="I488">
            <v>2</v>
          </cell>
          <cell r="J488">
            <v>6</v>
          </cell>
          <cell r="K488">
            <v>0</v>
          </cell>
          <cell r="L488">
            <v>11.104003000000001</v>
          </cell>
          <cell r="M488">
            <v>-85.420906000000002</v>
          </cell>
          <cell r="N488" t="str">
            <v>Norte</v>
          </cell>
          <cell r="O488">
            <v>0</v>
          </cell>
          <cell r="P488" t="str">
            <v>generalito</v>
          </cell>
          <cell r="Q488" t="str">
            <v>cabecar</v>
          </cell>
          <cell r="R488" t="b">
            <v>0</v>
          </cell>
          <cell r="S488" t="str">
            <v>313_2</v>
          </cell>
          <cell r="T488">
            <v>0</v>
          </cell>
          <cell r="U488">
            <v>17</v>
          </cell>
          <cell r="V488">
            <v>7</v>
          </cell>
          <cell r="W488">
            <v>0.41176470599999998</v>
          </cell>
          <cell r="X488">
            <v>27</v>
          </cell>
          <cell r="Y488">
            <v>12</v>
          </cell>
          <cell r="Z488">
            <v>0.44444444399999999</v>
          </cell>
        </row>
        <row r="489">
          <cell r="B489" t="str">
            <v>F314_1B</v>
          </cell>
          <cell r="C489" t="str">
            <v>R1_F314_1B</v>
          </cell>
          <cell r="D489">
            <v>0</v>
          </cell>
          <cell r="E489">
            <v>0.35</v>
          </cell>
          <cell r="F489">
            <v>150</v>
          </cell>
          <cell r="G489">
            <v>1</v>
          </cell>
          <cell r="H489">
            <v>37</v>
          </cell>
          <cell r="I489">
            <v>11</v>
          </cell>
          <cell r="J489">
            <v>5</v>
          </cell>
          <cell r="K489">
            <v>1</v>
          </cell>
          <cell r="L489">
            <v>11.106927000000001</v>
          </cell>
          <cell r="M489">
            <v>-85.421063000000004</v>
          </cell>
          <cell r="N489" t="str">
            <v>Norte</v>
          </cell>
          <cell r="O489">
            <v>0</v>
          </cell>
          <cell r="P489" t="str">
            <v>brunca</v>
          </cell>
          <cell r="Q489" t="str">
            <v>nambi</v>
          </cell>
          <cell r="R489" t="b">
            <v>0</v>
          </cell>
          <cell r="S489" t="str">
            <v>314_1</v>
          </cell>
          <cell r="T489">
            <v>0</v>
          </cell>
          <cell r="U489">
            <v>17</v>
          </cell>
          <cell r="V489">
            <v>5</v>
          </cell>
          <cell r="W489">
            <v>0.29411764699999998</v>
          </cell>
          <cell r="X489">
            <v>27</v>
          </cell>
          <cell r="Y489">
            <v>11</v>
          </cell>
          <cell r="Z489">
            <v>0.407407407</v>
          </cell>
        </row>
        <row r="490">
          <cell r="B490" t="str">
            <v>F315_1B</v>
          </cell>
          <cell r="C490" t="str">
            <v>R1_F315_1B</v>
          </cell>
          <cell r="D490">
            <v>1</v>
          </cell>
          <cell r="E490">
            <v>1.4</v>
          </cell>
          <cell r="F490">
            <v>192</v>
          </cell>
          <cell r="G490">
            <v>1</v>
          </cell>
          <cell r="H490">
            <v>68</v>
          </cell>
          <cell r="I490">
            <v>5</v>
          </cell>
          <cell r="J490">
            <v>1</v>
          </cell>
          <cell r="K490">
            <v>1</v>
          </cell>
          <cell r="L490">
            <v>11.099117</v>
          </cell>
          <cell r="M490">
            <v>-85.417055000000005</v>
          </cell>
          <cell r="N490" t="str">
            <v>Norte</v>
          </cell>
          <cell r="O490">
            <v>0</v>
          </cell>
          <cell r="P490" t="str">
            <v>guaymi</v>
          </cell>
          <cell r="Q490" t="str">
            <v>guaymi</v>
          </cell>
          <cell r="R490" t="b">
            <v>1</v>
          </cell>
          <cell r="S490" t="str">
            <v>315_1</v>
          </cell>
          <cell r="T490">
            <v>1</v>
          </cell>
          <cell r="U490">
            <v>8</v>
          </cell>
          <cell r="V490">
            <v>3</v>
          </cell>
          <cell r="W490">
            <v>0.375</v>
          </cell>
          <cell r="X490">
            <v>36</v>
          </cell>
          <cell r="Y490">
            <v>15</v>
          </cell>
          <cell r="Z490">
            <v>0.41666666699999999</v>
          </cell>
        </row>
        <row r="491">
          <cell r="B491" t="str">
            <v>F316_1B</v>
          </cell>
          <cell r="C491" t="str">
            <v>R1_F316_1B</v>
          </cell>
          <cell r="D491">
            <v>0</v>
          </cell>
          <cell r="E491">
            <v>0.7</v>
          </cell>
          <cell r="F491">
            <v>139</v>
          </cell>
          <cell r="G491">
            <v>0</v>
          </cell>
          <cell r="H491">
            <v>60</v>
          </cell>
          <cell r="I491">
            <v>6</v>
          </cell>
          <cell r="J491">
            <v>1</v>
          </cell>
          <cell r="K491">
            <v>1</v>
          </cell>
          <cell r="L491">
            <v>11.113935</v>
          </cell>
          <cell r="M491">
            <v>-85.421853999999996</v>
          </cell>
          <cell r="N491" t="str">
            <v>Norte</v>
          </cell>
          <cell r="O491">
            <v>0</v>
          </cell>
          <cell r="P491" t="str">
            <v>guaymi</v>
          </cell>
          <cell r="Q491" t="str">
            <v>brunca</v>
          </cell>
          <cell r="R491" t="b">
            <v>0</v>
          </cell>
          <cell r="S491" t="str">
            <v>316_1</v>
          </cell>
          <cell r="T491">
            <v>1</v>
          </cell>
          <cell r="U491">
            <v>5</v>
          </cell>
          <cell r="V491">
            <v>1</v>
          </cell>
          <cell r="W491">
            <v>0.2</v>
          </cell>
          <cell r="X491">
            <v>27</v>
          </cell>
          <cell r="Y491">
            <v>9</v>
          </cell>
          <cell r="Z491">
            <v>0.33333333300000001</v>
          </cell>
        </row>
        <row r="492">
          <cell r="B492" t="str">
            <v>F317_1B</v>
          </cell>
          <cell r="C492" t="str">
            <v>R1_F317_1B</v>
          </cell>
          <cell r="D492">
            <v>1</v>
          </cell>
          <cell r="E492">
            <v>0.1</v>
          </cell>
          <cell r="F492">
            <v>157</v>
          </cell>
          <cell r="G492">
            <v>1</v>
          </cell>
          <cell r="H492">
            <v>43</v>
          </cell>
          <cell r="I492">
            <v>6</v>
          </cell>
          <cell r="J492">
            <v>6</v>
          </cell>
          <cell r="K492">
            <v>1</v>
          </cell>
          <cell r="L492">
            <v>11.106361</v>
          </cell>
          <cell r="M492">
            <v>-85.422611000000003</v>
          </cell>
          <cell r="N492" t="str">
            <v>Norte</v>
          </cell>
          <cell r="O492">
            <v>0</v>
          </cell>
          <cell r="P492" t="str">
            <v>guaymi</v>
          </cell>
          <cell r="Q492" t="str">
            <v>guaymi</v>
          </cell>
          <cell r="R492" t="b">
            <v>1</v>
          </cell>
          <cell r="S492" t="str">
            <v>317_1</v>
          </cell>
          <cell r="T492">
            <v>1</v>
          </cell>
          <cell r="U492">
            <v>12</v>
          </cell>
          <cell r="V492">
            <v>2</v>
          </cell>
          <cell r="W492">
            <v>0.16666666699999999</v>
          </cell>
          <cell r="X492">
            <v>26</v>
          </cell>
          <cell r="Y492">
            <v>10</v>
          </cell>
          <cell r="Z492">
            <v>0.38461538499999998</v>
          </cell>
        </row>
        <row r="493">
          <cell r="B493" t="str">
            <v>F317_2B</v>
          </cell>
          <cell r="C493" t="str">
            <v>R1_F317_2B</v>
          </cell>
          <cell r="D493">
            <v>0</v>
          </cell>
          <cell r="E493">
            <v>0.1</v>
          </cell>
          <cell r="F493">
            <v>157</v>
          </cell>
          <cell r="G493">
            <v>1</v>
          </cell>
          <cell r="H493">
            <v>43</v>
          </cell>
          <cell r="I493">
            <v>6</v>
          </cell>
          <cell r="J493">
            <v>6</v>
          </cell>
          <cell r="K493">
            <v>0</v>
          </cell>
          <cell r="L493">
            <v>11.106361</v>
          </cell>
          <cell r="M493">
            <v>-85.422611000000003</v>
          </cell>
          <cell r="N493" t="str">
            <v>Norte</v>
          </cell>
          <cell r="O493">
            <v>0</v>
          </cell>
          <cell r="P493" t="str">
            <v>SEF 62</v>
          </cell>
          <cell r="Q493" t="str">
            <v>SEF 60</v>
          </cell>
          <cell r="R493" t="b">
            <v>0</v>
          </cell>
          <cell r="S493" t="str">
            <v>317_2</v>
          </cell>
          <cell r="T493">
            <v>0</v>
          </cell>
          <cell r="U493">
            <v>12</v>
          </cell>
          <cell r="V493">
            <v>2</v>
          </cell>
          <cell r="W493">
            <v>0.16666666699999999</v>
          </cell>
          <cell r="X493">
            <v>26</v>
          </cell>
          <cell r="Y493">
            <v>10</v>
          </cell>
          <cell r="Z493">
            <v>0.38461538499999998</v>
          </cell>
        </row>
        <row r="494">
          <cell r="B494" t="str">
            <v>F318_1B</v>
          </cell>
          <cell r="C494" t="str">
            <v>R1_F318_1B</v>
          </cell>
          <cell r="D494">
            <v>0</v>
          </cell>
          <cell r="E494">
            <v>0.17499999999999999</v>
          </cell>
          <cell r="F494">
            <v>194</v>
          </cell>
          <cell r="G494">
            <v>0</v>
          </cell>
          <cell r="H494">
            <v>59</v>
          </cell>
          <cell r="I494">
            <v>1</v>
          </cell>
          <cell r="J494">
            <v>1</v>
          </cell>
          <cell r="K494">
            <v>0</v>
          </cell>
          <cell r="L494">
            <v>11.099287</v>
          </cell>
          <cell r="M494">
            <v>-85.416245000000004</v>
          </cell>
          <cell r="N494" t="str">
            <v>Norte</v>
          </cell>
          <cell r="O494">
            <v>0</v>
          </cell>
          <cell r="P494" t="str">
            <v>victoria</v>
          </cell>
          <cell r="Q494" t="str">
            <v>cabecar</v>
          </cell>
          <cell r="R494" t="b">
            <v>0</v>
          </cell>
          <cell r="S494" t="str">
            <v>318_1</v>
          </cell>
          <cell r="T494">
            <v>1</v>
          </cell>
          <cell r="U494">
            <v>7</v>
          </cell>
          <cell r="V494">
            <v>2</v>
          </cell>
          <cell r="W494">
            <v>0.28571428599999998</v>
          </cell>
          <cell r="X494">
            <v>35</v>
          </cell>
          <cell r="Y494">
            <v>14</v>
          </cell>
          <cell r="Z494">
            <v>0.4</v>
          </cell>
        </row>
        <row r="495">
          <cell r="B495" t="str">
            <v>F318_2B</v>
          </cell>
          <cell r="C495" t="str">
            <v>R1_F318_2B</v>
          </cell>
          <cell r="D495">
            <v>0</v>
          </cell>
          <cell r="E495">
            <v>0.17499999999999999</v>
          </cell>
          <cell r="F495">
            <v>194</v>
          </cell>
          <cell r="G495">
            <v>0</v>
          </cell>
          <cell r="H495">
            <v>59</v>
          </cell>
          <cell r="I495">
            <v>1</v>
          </cell>
          <cell r="J495">
            <v>1</v>
          </cell>
          <cell r="K495">
            <v>1</v>
          </cell>
          <cell r="L495">
            <v>11.099287</v>
          </cell>
          <cell r="M495">
            <v>-85.416245000000004</v>
          </cell>
          <cell r="N495" t="str">
            <v>Norte</v>
          </cell>
          <cell r="O495">
            <v>0</v>
          </cell>
          <cell r="P495" t="str">
            <v>guaymi</v>
          </cell>
          <cell r="Q495" t="str">
            <v>brunca</v>
          </cell>
          <cell r="R495" t="b">
            <v>0</v>
          </cell>
          <cell r="S495" t="str">
            <v>318_2</v>
          </cell>
          <cell r="T495">
            <v>1</v>
          </cell>
          <cell r="U495">
            <v>7</v>
          </cell>
          <cell r="V495">
            <v>2</v>
          </cell>
          <cell r="W495">
            <v>0.28571428599999998</v>
          </cell>
          <cell r="X495">
            <v>35</v>
          </cell>
          <cell r="Y495">
            <v>14</v>
          </cell>
          <cell r="Z495">
            <v>0.4</v>
          </cell>
        </row>
        <row r="496">
          <cell r="B496" t="str">
            <v>F319_1B</v>
          </cell>
          <cell r="C496" t="str">
            <v>R1_F319_1B</v>
          </cell>
          <cell r="D496">
            <v>1</v>
          </cell>
          <cell r="E496">
            <v>1.4</v>
          </cell>
          <cell r="F496">
            <v>344</v>
          </cell>
          <cell r="G496">
            <v>1</v>
          </cell>
          <cell r="H496">
            <v>48</v>
          </cell>
          <cell r="I496">
            <v>3</v>
          </cell>
          <cell r="J496">
            <v>4</v>
          </cell>
          <cell r="K496">
            <v>1</v>
          </cell>
          <cell r="L496">
            <v>11.061998000000001</v>
          </cell>
          <cell r="M496">
            <v>-85.413786000000002</v>
          </cell>
          <cell r="N496" t="str">
            <v>Norte</v>
          </cell>
          <cell r="O496">
            <v>0</v>
          </cell>
          <cell r="P496" t="str">
            <v>guaymi</v>
          </cell>
          <cell r="Q496" t="str">
            <v>guaymi</v>
          </cell>
          <cell r="R496" t="b">
            <v>1</v>
          </cell>
          <cell r="S496" t="str">
            <v>319_1</v>
          </cell>
          <cell r="T496">
            <v>1</v>
          </cell>
          <cell r="U496">
            <v>16</v>
          </cell>
          <cell r="V496">
            <v>6</v>
          </cell>
          <cell r="W496">
            <v>0.375</v>
          </cell>
          <cell r="X496">
            <v>68</v>
          </cell>
          <cell r="Y496">
            <v>36</v>
          </cell>
          <cell r="Z496">
            <v>0.52941176499999998</v>
          </cell>
        </row>
        <row r="497">
          <cell r="B497" t="str">
            <v>F320_1B</v>
          </cell>
          <cell r="C497" t="str">
            <v>R1_F320_1B</v>
          </cell>
          <cell r="D497">
            <v>0</v>
          </cell>
          <cell r="E497">
            <v>0.35</v>
          </cell>
          <cell r="F497">
            <v>243</v>
          </cell>
          <cell r="G497">
            <v>1</v>
          </cell>
          <cell r="H497">
            <v>72</v>
          </cell>
          <cell r="I497">
            <v>0</v>
          </cell>
          <cell r="J497">
            <v>3</v>
          </cell>
          <cell r="K497">
            <v>1</v>
          </cell>
          <cell r="L497">
            <v>11.089392999999999</v>
          </cell>
          <cell r="M497">
            <v>-85.412750000000003</v>
          </cell>
          <cell r="N497" t="str">
            <v>Norte</v>
          </cell>
          <cell r="O497">
            <v>0</v>
          </cell>
          <cell r="P497" t="str">
            <v>brunca</v>
          </cell>
          <cell r="Q497" t="str">
            <v>guaymi</v>
          </cell>
          <cell r="R497" t="b">
            <v>0</v>
          </cell>
          <cell r="S497" t="str">
            <v>320_1</v>
          </cell>
          <cell r="T497">
            <v>0</v>
          </cell>
          <cell r="U497">
            <v>0</v>
          </cell>
          <cell r="V497">
            <v>0</v>
          </cell>
          <cell r="W497" t="str">
            <v>NA</v>
          </cell>
          <cell r="X497">
            <v>53</v>
          </cell>
          <cell r="Y497">
            <v>21</v>
          </cell>
          <cell r="Z497">
            <v>0.396226415</v>
          </cell>
        </row>
        <row r="498">
          <cell r="B498" t="str">
            <v>F321_1B</v>
          </cell>
          <cell r="C498" t="str">
            <v>R1_F321_1B</v>
          </cell>
          <cell r="D498">
            <v>0</v>
          </cell>
          <cell r="E498">
            <v>0.35</v>
          </cell>
          <cell r="F498">
            <v>161</v>
          </cell>
          <cell r="G498">
            <v>1</v>
          </cell>
          <cell r="H498">
            <v>34</v>
          </cell>
          <cell r="I498">
            <v>15</v>
          </cell>
          <cell r="J498">
            <v>4</v>
          </cell>
          <cell r="K498">
            <v>0</v>
          </cell>
          <cell r="L498">
            <v>11.104262</v>
          </cell>
          <cell r="M498">
            <v>-85.421316000000004</v>
          </cell>
          <cell r="N498" t="str">
            <v>Norte</v>
          </cell>
          <cell r="O498">
            <v>0</v>
          </cell>
          <cell r="P498" t="str">
            <v>generalito</v>
          </cell>
          <cell r="Q498" t="str">
            <v>cabecar</v>
          </cell>
          <cell r="R498" t="b">
            <v>0</v>
          </cell>
          <cell r="S498" t="str">
            <v>321_1</v>
          </cell>
          <cell r="T498">
            <v>0</v>
          </cell>
          <cell r="U498">
            <v>18</v>
          </cell>
          <cell r="V498">
            <v>7</v>
          </cell>
          <cell r="W498">
            <v>0.38888888900000002</v>
          </cell>
          <cell r="X498">
            <v>28</v>
          </cell>
          <cell r="Y498">
            <v>12</v>
          </cell>
          <cell r="Z498">
            <v>0.428571429</v>
          </cell>
        </row>
        <row r="499">
          <cell r="B499" t="str">
            <v>F322_1B</v>
          </cell>
          <cell r="C499" t="str">
            <v>R1_F322_1B</v>
          </cell>
          <cell r="D499">
            <v>0</v>
          </cell>
          <cell r="E499">
            <v>0.7</v>
          </cell>
          <cell r="F499">
            <v>154</v>
          </cell>
          <cell r="G499">
            <v>1</v>
          </cell>
          <cell r="H499">
            <v>39</v>
          </cell>
          <cell r="I499">
            <v>7</v>
          </cell>
          <cell r="J499">
            <v>4</v>
          </cell>
          <cell r="K499">
            <v>1</v>
          </cell>
          <cell r="L499">
            <v>11.108637</v>
          </cell>
          <cell r="M499">
            <v>-85.421239999999997</v>
          </cell>
          <cell r="N499" t="str">
            <v>Norte</v>
          </cell>
          <cell r="O499">
            <v>0</v>
          </cell>
          <cell r="P499" t="str">
            <v>guaymi</v>
          </cell>
          <cell r="Q499" t="str">
            <v>SEF 60</v>
          </cell>
          <cell r="R499" t="b">
            <v>0</v>
          </cell>
          <cell r="S499" t="str">
            <v>322_1</v>
          </cell>
          <cell r="T499">
            <v>0</v>
          </cell>
          <cell r="U499">
            <v>14</v>
          </cell>
          <cell r="V499">
            <v>4</v>
          </cell>
          <cell r="W499">
            <v>0.28571428599999998</v>
          </cell>
          <cell r="X499">
            <v>26</v>
          </cell>
          <cell r="Y499">
            <v>11</v>
          </cell>
          <cell r="Z499">
            <v>0.42307692299999999</v>
          </cell>
        </row>
        <row r="500">
          <cell r="B500" t="str">
            <v>F322_2B</v>
          </cell>
          <cell r="C500" t="str">
            <v>R1_F322_2B</v>
          </cell>
          <cell r="D500">
            <v>0</v>
          </cell>
          <cell r="E500">
            <v>0.35</v>
          </cell>
          <cell r="F500">
            <v>154</v>
          </cell>
          <cell r="G500">
            <v>1</v>
          </cell>
          <cell r="H500">
            <v>39</v>
          </cell>
          <cell r="I500">
            <v>7</v>
          </cell>
          <cell r="J500">
            <v>4</v>
          </cell>
          <cell r="K500">
            <v>1</v>
          </cell>
          <cell r="L500">
            <v>11.108637</v>
          </cell>
          <cell r="M500">
            <v>-85.421239999999997</v>
          </cell>
          <cell r="N500" t="str">
            <v>Norte</v>
          </cell>
          <cell r="O500">
            <v>0</v>
          </cell>
          <cell r="P500" t="str">
            <v>cabecar</v>
          </cell>
          <cell r="Q500" t="str">
            <v>guaymi</v>
          </cell>
          <cell r="R500" t="b">
            <v>0</v>
          </cell>
          <cell r="S500" t="str">
            <v>322_2</v>
          </cell>
          <cell r="T500">
            <v>0</v>
          </cell>
          <cell r="U500">
            <v>14</v>
          </cell>
          <cell r="V500">
            <v>4</v>
          </cell>
          <cell r="W500">
            <v>0.28571428599999998</v>
          </cell>
          <cell r="X500">
            <v>26</v>
          </cell>
          <cell r="Y500">
            <v>11</v>
          </cell>
          <cell r="Z500">
            <v>0.42307692299999999</v>
          </cell>
        </row>
        <row r="501">
          <cell r="B501" t="str">
            <v>F323_1B</v>
          </cell>
          <cell r="C501" t="str">
            <v>R1_F323_1B</v>
          </cell>
          <cell r="D501">
            <v>0</v>
          </cell>
          <cell r="E501">
            <v>0.35</v>
          </cell>
          <cell r="F501">
            <v>174</v>
          </cell>
          <cell r="G501">
            <v>0</v>
          </cell>
          <cell r="H501">
            <v>63</v>
          </cell>
          <cell r="I501">
            <v>2</v>
          </cell>
          <cell r="J501">
            <v>1</v>
          </cell>
          <cell r="K501">
            <v>0</v>
          </cell>
          <cell r="L501">
            <v>11.102786999999999</v>
          </cell>
          <cell r="M501">
            <v>-85.419454999999999</v>
          </cell>
          <cell r="N501" t="str">
            <v>Norte</v>
          </cell>
          <cell r="O501">
            <v>0</v>
          </cell>
          <cell r="P501" t="str">
            <v>generalito</v>
          </cell>
          <cell r="Q501" t="str">
            <v>other</v>
          </cell>
          <cell r="R501" t="str">
            <v>Not applicable</v>
          </cell>
          <cell r="S501" t="str">
            <v>323_1</v>
          </cell>
          <cell r="T501">
            <v>0</v>
          </cell>
          <cell r="U501">
            <v>18</v>
          </cell>
          <cell r="V501">
            <v>7</v>
          </cell>
          <cell r="W501">
            <v>0.38888888900000002</v>
          </cell>
          <cell r="X501">
            <v>29</v>
          </cell>
          <cell r="Y501">
            <v>12</v>
          </cell>
          <cell r="Z501">
            <v>0.413793103</v>
          </cell>
        </row>
        <row r="502">
          <cell r="B502" t="str">
            <v>F324_1B</v>
          </cell>
          <cell r="C502" t="str">
            <v>R1_F324_1B</v>
          </cell>
          <cell r="D502">
            <v>0</v>
          </cell>
          <cell r="E502">
            <v>1</v>
          </cell>
          <cell r="F502">
            <v>163</v>
          </cell>
          <cell r="G502">
            <v>1</v>
          </cell>
          <cell r="H502">
            <v>77</v>
          </cell>
          <cell r="I502">
            <v>4</v>
          </cell>
          <cell r="J502">
            <v>3</v>
          </cell>
          <cell r="K502">
            <v>1</v>
          </cell>
          <cell r="L502">
            <v>11.103536999999999</v>
          </cell>
          <cell r="M502">
            <v>-85.418064999999999</v>
          </cell>
          <cell r="N502" t="str">
            <v>Norte</v>
          </cell>
          <cell r="O502">
            <v>0</v>
          </cell>
          <cell r="P502" t="str">
            <v>guaymi</v>
          </cell>
          <cell r="Q502" t="str">
            <v>brunca</v>
          </cell>
          <cell r="R502" t="b">
            <v>0</v>
          </cell>
          <cell r="S502" t="str">
            <v>324_1</v>
          </cell>
          <cell r="T502">
            <v>1</v>
          </cell>
          <cell r="U502">
            <v>10</v>
          </cell>
          <cell r="V502">
            <v>4</v>
          </cell>
          <cell r="W502">
            <v>0.4</v>
          </cell>
          <cell r="X502">
            <v>29</v>
          </cell>
          <cell r="Y502">
            <v>11</v>
          </cell>
          <cell r="Z502">
            <v>0.37931034499999999</v>
          </cell>
        </row>
        <row r="503">
          <cell r="B503" t="str">
            <v>F325_1B</v>
          </cell>
          <cell r="C503" t="str">
            <v>R1_F325_1B</v>
          </cell>
          <cell r="D503">
            <v>1</v>
          </cell>
          <cell r="E503">
            <v>1.75</v>
          </cell>
          <cell r="F503">
            <v>347</v>
          </cell>
          <cell r="G503">
            <v>1</v>
          </cell>
          <cell r="H503">
            <v>64</v>
          </cell>
          <cell r="I503">
            <v>5</v>
          </cell>
          <cell r="J503">
            <v>3</v>
          </cell>
          <cell r="K503">
            <v>1</v>
          </cell>
          <cell r="L503">
            <v>11.047162999999999</v>
          </cell>
          <cell r="M503">
            <v>-85.413837999999998</v>
          </cell>
          <cell r="N503" t="str">
            <v>Norte</v>
          </cell>
          <cell r="O503">
            <v>0</v>
          </cell>
          <cell r="P503" t="str">
            <v>nambi</v>
          </cell>
          <cell r="Q503" t="str">
            <v>nambi</v>
          </cell>
          <cell r="R503" t="b">
            <v>1</v>
          </cell>
          <cell r="S503" t="str">
            <v>325_1</v>
          </cell>
          <cell r="T503">
            <v>1</v>
          </cell>
          <cell r="U503">
            <v>5</v>
          </cell>
          <cell r="V503">
            <v>3</v>
          </cell>
          <cell r="W503">
            <v>0.6</v>
          </cell>
          <cell r="X503">
            <v>43</v>
          </cell>
          <cell r="Y503">
            <v>22</v>
          </cell>
          <cell r="Z503">
            <v>0.51162790700000005</v>
          </cell>
        </row>
        <row r="504">
          <cell r="B504" t="str">
            <v>F326_1B</v>
          </cell>
          <cell r="C504" t="str">
            <v>R1_F326_1B</v>
          </cell>
          <cell r="D504">
            <v>0</v>
          </cell>
          <cell r="E504">
            <v>0.5</v>
          </cell>
          <cell r="F504">
            <v>374</v>
          </cell>
          <cell r="G504">
            <v>1</v>
          </cell>
          <cell r="H504">
            <v>45</v>
          </cell>
          <cell r="I504">
            <v>11</v>
          </cell>
          <cell r="J504">
            <v>7</v>
          </cell>
          <cell r="K504">
            <v>0</v>
          </cell>
          <cell r="L504">
            <v>11.04363</v>
          </cell>
          <cell r="M504">
            <v>-85.419065000000003</v>
          </cell>
          <cell r="N504" t="str">
            <v>Norte</v>
          </cell>
          <cell r="O504">
            <v>0</v>
          </cell>
          <cell r="P504" t="str">
            <v>generalito</v>
          </cell>
          <cell r="Q504" t="str">
            <v>cabecar</v>
          </cell>
          <cell r="R504" t="b">
            <v>0</v>
          </cell>
          <cell r="S504" t="str">
            <v>326_1</v>
          </cell>
          <cell r="T504">
            <v>0</v>
          </cell>
          <cell r="U504">
            <v>1</v>
          </cell>
          <cell r="V504">
            <v>1</v>
          </cell>
          <cell r="W504">
            <v>1</v>
          </cell>
          <cell r="X504">
            <v>40</v>
          </cell>
          <cell r="Y504">
            <v>20</v>
          </cell>
          <cell r="Z504">
            <v>0.5</v>
          </cell>
        </row>
        <row r="505">
          <cell r="B505" t="str">
            <v>F326_2B</v>
          </cell>
          <cell r="C505" t="str">
            <v>R1_F326_2B</v>
          </cell>
          <cell r="D505">
            <v>1</v>
          </cell>
          <cell r="E505">
            <v>1</v>
          </cell>
          <cell r="F505">
            <v>374</v>
          </cell>
          <cell r="G505">
            <v>1</v>
          </cell>
          <cell r="H505">
            <v>45</v>
          </cell>
          <cell r="I505">
            <v>11</v>
          </cell>
          <cell r="J505">
            <v>7</v>
          </cell>
          <cell r="K505">
            <v>1</v>
          </cell>
          <cell r="L505">
            <v>11.04363</v>
          </cell>
          <cell r="M505">
            <v>-85.419065000000003</v>
          </cell>
          <cell r="N505" t="str">
            <v>Norte</v>
          </cell>
          <cell r="O505">
            <v>0</v>
          </cell>
          <cell r="P505" t="str">
            <v>nambi</v>
          </cell>
          <cell r="Q505" t="str">
            <v>nambi</v>
          </cell>
          <cell r="R505" t="b">
            <v>1</v>
          </cell>
          <cell r="S505" t="str">
            <v>326_2</v>
          </cell>
          <cell r="T505">
            <v>1</v>
          </cell>
          <cell r="U505">
            <v>1</v>
          </cell>
          <cell r="V505">
            <v>1</v>
          </cell>
          <cell r="W505">
            <v>1</v>
          </cell>
          <cell r="X505">
            <v>40</v>
          </cell>
          <cell r="Y505">
            <v>20</v>
          </cell>
          <cell r="Z505">
            <v>0.5</v>
          </cell>
        </row>
        <row r="506">
          <cell r="B506" t="str">
            <v>F327_1B</v>
          </cell>
          <cell r="C506" t="str">
            <v>R1_F327_1B</v>
          </cell>
          <cell r="D506">
            <v>0</v>
          </cell>
          <cell r="E506">
            <v>2</v>
          </cell>
          <cell r="F506">
            <v>347</v>
          </cell>
          <cell r="G506">
            <v>0</v>
          </cell>
          <cell r="H506">
            <v>48</v>
          </cell>
          <cell r="I506">
            <v>6</v>
          </cell>
          <cell r="J506">
            <v>3</v>
          </cell>
          <cell r="K506">
            <v>1</v>
          </cell>
          <cell r="L506">
            <v>11.051938</v>
          </cell>
          <cell r="M506">
            <v>-85.426648</v>
          </cell>
          <cell r="N506" t="str">
            <v>Norte</v>
          </cell>
          <cell r="O506">
            <v>0</v>
          </cell>
          <cell r="P506" t="str">
            <v>nambi</v>
          </cell>
          <cell r="Q506" t="str">
            <v>guaymi</v>
          </cell>
          <cell r="R506" t="b">
            <v>0</v>
          </cell>
          <cell r="S506" t="str">
            <v>327_1</v>
          </cell>
          <cell r="T506">
            <v>0</v>
          </cell>
          <cell r="U506">
            <v>0</v>
          </cell>
          <cell r="V506">
            <v>0</v>
          </cell>
          <cell r="W506" t="str">
            <v>NA</v>
          </cell>
          <cell r="X506">
            <v>51</v>
          </cell>
          <cell r="Y506">
            <v>28</v>
          </cell>
          <cell r="Z506">
            <v>0.54901960800000005</v>
          </cell>
        </row>
        <row r="507">
          <cell r="B507" t="str">
            <v>F328_1B</v>
          </cell>
          <cell r="C507" t="str">
            <v>R1_F328_1B</v>
          </cell>
          <cell r="D507">
            <v>1</v>
          </cell>
          <cell r="E507">
            <v>2</v>
          </cell>
          <cell r="F507">
            <v>365</v>
          </cell>
          <cell r="G507">
            <v>1</v>
          </cell>
          <cell r="H507">
            <v>51</v>
          </cell>
          <cell r="I507">
            <v>8</v>
          </cell>
          <cell r="J507">
            <v>6</v>
          </cell>
          <cell r="K507">
            <v>1</v>
          </cell>
          <cell r="L507">
            <v>11.046585</v>
          </cell>
          <cell r="M507">
            <v>-85.404578000000001</v>
          </cell>
          <cell r="N507" t="str">
            <v>Norte</v>
          </cell>
          <cell r="O507">
            <v>0</v>
          </cell>
          <cell r="P507" t="str">
            <v>nambi</v>
          </cell>
          <cell r="Q507" t="str">
            <v>nambi</v>
          </cell>
          <cell r="R507" t="b">
            <v>1</v>
          </cell>
          <cell r="S507" t="str">
            <v>328_1</v>
          </cell>
          <cell r="T507">
            <v>1</v>
          </cell>
          <cell r="U507">
            <v>2</v>
          </cell>
          <cell r="V507">
            <v>0</v>
          </cell>
          <cell r="W507">
            <v>0</v>
          </cell>
          <cell r="X507">
            <v>52</v>
          </cell>
          <cell r="Y507">
            <v>24</v>
          </cell>
          <cell r="Z507">
            <v>0.46153846199999998</v>
          </cell>
        </row>
        <row r="508">
          <cell r="B508" t="str">
            <v>F328_2B</v>
          </cell>
          <cell r="C508" t="str">
            <v>R1_F328_2B</v>
          </cell>
          <cell r="D508">
            <v>1</v>
          </cell>
          <cell r="E508">
            <v>0.35</v>
          </cell>
          <cell r="F508">
            <v>365</v>
          </cell>
          <cell r="G508">
            <v>1</v>
          </cell>
          <cell r="H508">
            <v>51</v>
          </cell>
          <cell r="I508">
            <v>8</v>
          </cell>
          <cell r="J508">
            <v>6</v>
          </cell>
          <cell r="K508">
            <v>1</v>
          </cell>
          <cell r="L508">
            <v>11.046585</v>
          </cell>
          <cell r="M508">
            <v>-85.404578000000001</v>
          </cell>
          <cell r="N508" t="str">
            <v>Norte</v>
          </cell>
          <cell r="O508">
            <v>0</v>
          </cell>
          <cell r="P508" t="str">
            <v>guaymi</v>
          </cell>
          <cell r="Q508" t="str">
            <v>guaymi</v>
          </cell>
          <cell r="R508" t="b">
            <v>1</v>
          </cell>
          <cell r="S508" t="str">
            <v>328_2</v>
          </cell>
          <cell r="T508">
            <v>1</v>
          </cell>
          <cell r="U508">
            <v>2</v>
          </cell>
          <cell r="V508">
            <v>0</v>
          </cell>
          <cell r="W508">
            <v>0</v>
          </cell>
          <cell r="X508">
            <v>52</v>
          </cell>
          <cell r="Y508">
            <v>24</v>
          </cell>
          <cell r="Z508">
            <v>0.46153846199999998</v>
          </cell>
        </row>
        <row r="509">
          <cell r="B509" t="str">
            <v>F329_1B</v>
          </cell>
          <cell r="C509" t="str">
            <v>R1_F329_1B</v>
          </cell>
          <cell r="D509">
            <v>1</v>
          </cell>
          <cell r="E509">
            <v>1</v>
          </cell>
          <cell r="F509">
            <v>291</v>
          </cell>
          <cell r="G509">
            <v>1</v>
          </cell>
          <cell r="H509">
            <v>51</v>
          </cell>
          <cell r="I509">
            <v>7</v>
          </cell>
          <cell r="J509">
            <v>6</v>
          </cell>
          <cell r="K509">
            <v>1</v>
          </cell>
          <cell r="L509">
            <v>11.066105</v>
          </cell>
          <cell r="M509">
            <v>-85.454329999999999</v>
          </cell>
          <cell r="N509" t="str">
            <v>Norte</v>
          </cell>
          <cell r="O509">
            <v>0</v>
          </cell>
          <cell r="P509" t="str">
            <v>cabecar</v>
          </cell>
          <cell r="Q509" t="str">
            <v>cabecar</v>
          </cell>
          <cell r="R509" t="b">
            <v>1</v>
          </cell>
          <cell r="S509" t="str">
            <v>329_1</v>
          </cell>
          <cell r="T509">
            <v>1</v>
          </cell>
          <cell r="U509">
            <v>7</v>
          </cell>
          <cell r="V509">
            <v>3</v>
          </cell>
          <cell r="W509">
            <v>0.428571429</v>
          </cell>
          <cell r="X509">
            <v>20</v>
          </cell>
          <cell r="Y509">
            <v>10</v>
          </cell>
          <cell r="Z509">
            <v>0.5</v>
          </cell>
        </row>
        <row r="510">
          <cell r="B510" t="str">
            <v>F329_2B</v>
          </cell>
          <cell r="C510" t="str">
            <v>R1_F329_2B</v>
          </cell>
          <cell r="D510">
            <v>1</v>
          </cell>
          <cell r="E510">
            <v>0.7</v>
          </cell>
          <cell r="F510">
            <v>291</v>
          </cell>
          <cell r="G510">
            <v>1</v>
          </cell>
          <cell r="H510">
            <v>51</v>
          </cell>
          <cell r="I510">
            <v>7</v>
          </cell>
          <cell r="J510">
            <v>6</v>
          </cell>
          <cell r="K510">
            <v>1</v>
          </cell>
          <cell r="L510">
            <v>11.066105</v>
          </cell>
          <cell r="M510">
            <v>-85.454329999999999</v>
          </cell>
          <cell r="N510" t="str">
            <v>Norte</v>
          </cell>
          <cell r="O510">
            <v>0</v>
          </cell>
          <cell r="P510" t="str">
            <v>guaymi</v>
          </cell>
          <cell r="Q510" t="str">
            <v>guaymi</v>
          </cell>
          <cell r="R510" t="b">
            <v>1</v>
          </cell>
          <cell r="S510" t="str">
            <v>329_2</v>
          </cell>
          <cell r="T510">
            <v>1</v>
          </cell>
          <cell r="U510">
            <v>7</v>
          </cell>
          <cell r="V510">
            <v>3</v>
          </cell>
          <cell r="W510">
            <v>0.428571429</v>
          </cell>
          <cell r="X510">
            <v>20</v>
          </cell>
          <cell r="Y510">
            <v>10</v>
          </cell>
          <cell r="Z510">
            <v>0.5</v>
          </cell>
        </row>
        <row r="511">
          <cell r="B511" t="str">
            <v>F330_1B</v>
          </cell>
          <cell r="C511" t="str">
            <v>R1_F330_1B</v>
          </cell>
          <cell r="D511">
            <v>0</v>
          </cell>
          <cell r="E511">
            <v>2.5000000000000001E-2</v>
          </cell>
          <cell r="F511">
            <v>290</v>
          </cell>
          <cell r="G511">
            <v>1</v>
          </cell>
          <cell r="H511">
            <v>74</v>
          </cell>
          <cell r="I511">
            <v>6</v>
          </cell>
          <cell r="J511">
            <v>3</v>
          </cell>
          <cell r="K511">
            <v>1</v>
          </cell>
          <cell r="L511">
            <v>11.065796000000001</v>
          </cell>
          <cell r="M511">
            <v>-85.454223999999996</v>
          </cell>
          <cell r="N511" t="str">
            <v>Norte</v>
          </cell>
          <cell r="O511">
            <v>0</v>
          </cell>
          <cell r="P511" t="str">
            <v>tayni</v>
          </cell>
          <cell r="Q511" t="str">
            <v>uran</v>
          </cell>
          <cell r="R511" t="b">
            <v>0</v>
          </cell>
          <cell r="S511" t="str">
            <v>330_1</v>
          </cell>
          <cell r="T511">
            <v>0</v>
          </cell>
          <cell r="U511">
            <v>5</v>
          </cell>
          <cell r="V511">
            <v>3</v>
          </cell>
          <cell r="W511">
            <v>0.6</v>
          </cell>
          <cell r="X511">
            <v>18</v>
          </cell>
          <cell r="Y511">
            <v>10</v>
          </cell>
          <cell r="Z511">
            <v>0.55555555599999995</v>
          </cell>
        </row>
        <row r="512">
          <cell r="B512" t="str">
            <v>F330_2B</v>
          </cell>
          <cell r="C512" t="str">
            <v>R1_F330_2B</v>
          </cell>
          <cell r="D512">
            <v>0</v>
          </cell>
          <cell r="E512">
            <v>0.25</v>
          </cell>
          <cell r="F512">
            <v>290</v>
          </cell>
          <cell r="G512">
            <v>1</v>
          </cell>
          <cell r="H512">
            <v>74</v>
          </cell>
          <cell r="I512">
            <v>6</v>
          </cell>
          <cell r="J512">
            <v>3</v>
          </cell>
          <cell r="K512">
            <v>1</v>
          </cell>
          <cell r="L512">
            <v>11.065796000000001</v>
          </cell>
          <cell r="M512">
            <v>-85.454223999999996</v>
          </cell>
          <cell r="N512" t="str">
            <v>Norte</v>
          </cell>
          <cell r="O512">
            <v>0</v>
          </cell>
          <cell r="P512" t="str">
            <v>cabecar</v>
          </cell>
          <cell r="Q512" t="str">
            <v>SEF 60</v>
          </cell>
          <cell r="R512" t="b">
            <v>0</v>
          </cell>
          <cell r="S512" t="str">
            <v>330_2</v>
          </cell>
          <cell r="T512">
            <v>0</v>
          </cell>
          <cell r="U512">
            <v>5</v>
          </cell>
          <cell r="V512">
            <v>3</v>
          </cell>
          <cell r="W512">
            <v>0.6</v>
          </cell>
          <cell r="X512">
            <v>18</v>
          </cell>
          <cell r="Y512">
            <v>10</v>
          </cell>
          <cell r="Z512">
            <v>0.55555555599999995</v>
          </cell>
        </row>
        <row r="513">
          <cell r="B513" t="str">
            <v>F330_3B</v>
          </cell>
          <cell r="C513" t="str">
            <v>R1_F330_3B</v>
          </cell>
          <cell r="D513">
            <v>1</v>
          </cell>
          <cell r="E513">
            <v>1</v>
          </cell>
          <cell r="F513">
            <v>290</v>
          </cell>
          <cell r="G513">
            <v>1</v>
          </cell>
          <cell r="H513">
            <v>74</v>
          </cell>
          <cell r="I513">
            <v>6</v>
          </cell>
          <cell r="J513">
            <v>3</v>
          </cell>
          <cell r="K513">
            <v>1</v>
          </cell>
          <cell r="L513">
            <v>11.065796000000001</v>
          </cell>
          <cell r="M513">
            <v>-85.454223999999996</v>
          </cell>
          <cell r="N513" t="str">
            <v>Norte</v>
          </cell>
          <cell r="O513">
            <v>0</v>
          </cell>
          <cell r="P513" t="str">
            <v>guaymi</v>
          </cell>
          <cell r="Q513" t="str">
            <v>guaymi</v>
          </cell>
          <cell r="R513" t="b">
            <v>1</v>
          </cell>
          <cell r="S513" t="str">
            <v>330_3</v>
          </cell>
          <cell r="T513">
            <v>1</v>
          </cell>
          <cell r="U513">
            <v>5</v>
          </cell>
          <cell r="V513">
            <v>3</v>
          </cell>
          <cell r="W513">
            <v>0.6</v>
          </cell>
          <cell r="X513">
            <v>18</v>
          </cell>
          <cell r="Y513">
            <v>10</v>
          </cell>
          <cell r="Z513">
            <v>0.55555555599999995</v>
          </cell>
        </row>
        <row r="514">
          <cell r="B514" t="str">
            <v>F330_4B</v>
          </cell>
          <cell r="C514" t="str">
            <v>R1_F330_4B</v>
          </cell>
          <cell r="D514">
            <v>1</v>
          </cell>
          <cell r="E514">
            <v>1</v>
          </cell>
          <cell r="F514">
            <v>290</v>
          </cell>
          <cell r="G514">
            <v>1</v>
          </cell>
          <cell r="H514">
            <v>74</v>
          </cell>
          <cell r="I514">
            <v>6</v>
          </cell>
          <cell r="J514">
            <v>3</v>
          </cell>
          <cell r="K514">
            <v>1</v>
          </cell>
          <cell r="L514">
            <v>11.065796000000001</v>
          </cell>
          <cell r="M514">
            <v>-85.454223999999996</v>
          </cell>
          <cell r="N514" t="str">
            <v>Norte</v>
          </cell>
          <cell r="O514">
            <v>0</v>
          </cell>
          <cell r="P514" t="str">
            <v>brunca</v>
          </cell>
          <cell r="Q514" t="str">
            <v>brunca</v>
          </cell>
          <cell r="R514" t="b">
            <v>1</v>
          </cell>
          <cell r="S514" t="str">
            <v>330_4</v>
          </cell>
          <cell r="T514">
            <v>1</v>
          </cell>
          <cell r="U514">
            <v>5</v>
          </cell>
          <cell r="V514">
            <v>3</v>
          </cell>
          <cell r="W514">
            <v>0.6</v>
          </cell>
          <cell r="X514">
            <v>18</v>
          </cell>
          <cell r="Y514">
            <v>10</v>
          </cell>
          <cell r="Z514">
            <v>0.55555555599999995</v>
          </cell>
        </row>
        <row r="515">
          <cell r="B515" t="str">
            <v>F331_1B</v>
          </cell>
          <cell r="C515" t="str">
            <v>R1_F331_1B</v>
          </cell>
          <cell r="D515">
            <v>0</v>
          </cell>
          <cell r="E515">
            <v>4</v>
          </cell>
          <cell r="F515">
            <v>338</v>
          </cell>
          <cell r="G515">
            <v>0</v>
          </cell>
          <cell r="H515">
            <v>39</v>
          </cell>
          <cell r="I515">
            <v>5</v>
          </cell>
          <cell r="J515">
            <v>4</v>
          </cell>
          <cell r="K515">
            <v>1</v>
          </cell>
          <cell r="L515">
            <v>11.060649</v>
          </cell>
          <cell r="M515">
            <v>-85.415006000000005</v>
          </cell>
          <cell r="N515" t="str">
            <v>Norte</v>
          </cell>
          <cell r="O515">
            <v>0</v>
          </cell>
          <cell r="P515" t="str">
            <v>tayni</v>
          </cell>
          <cell r="Q515" t="str">
            <v>dontknow</v>
          </cell>
          <cell r="R515" t="str">
            <v>Not applicable</v>
          </cell>
          <cell r="S515" t="str">
            <v>331_1</v>
          </cell>
          <cell r="T515">
            <v>0</v>
          </cell>
          <cell r="U515">
            <v>12</v>
          </cell>
          <cell r="V515">
            <v>6</v>
          </cell>
          <cell r="W515">
            <v>0.5</v>
          </cell>
          <cell r="X515">
            <v>61</v>
          </cell>
          <cell r="Y515">
            <v>33</v>
          </cell>
          <cell r="Z515">
            <v>0.54098360700000003</v>
          </cell>
        </row>
        <row r="516">
          <cell r="B516" t="str">
            <v>F331_2B</v>
          </cell>
          <cell r="C516" t="str">
            <v>R1_F331_2B</v>
          </cell>
          <cell r="D516">
            <v>0</v>
          </cell>
          <cell r="E516">
            <v>4</v>
          </cell>
          <cell r="F516">
            <v>338</v>
          </cell>
          <cell r="G516">
            <v>0</v>
          </cell>
          <cell r="H516">
            <v>39</v>
          </cell>
          <cell r="I516">
            <v>5</v>
          </cell>
          <cell r="J516">
            <v>4</v>
          </cell>
          <cell r="K516">
            <v>1</v>
          </cell>
          <cell r="L516">
            <v>11.060649</v>
          </cell>
          <cell r="M516">
            <v>-85.415006000000005</v>
          </cell>
          <cell r="N516" t="str">
            <v>Norte</v>
          </cell>
          <cell r="O516">
            <v>0</v>
          </cell>
          <cell r="P516" t="str">
            <v>guaymi</v>
          </cell>
          <cell r="Q516" t="str">
            <v>other</v>
          </cell>
          <cell r="R516" t="str">
            <v>Not applicable</v>
          </cell>
          <cell r="S516" t="str">
            <v>331_2</v>
          </cell>
          <cell r="T516">
            <v>0</v>
          </cell>
          <cell r="U516">
            <v>12</v>
          </cell>
          <cell r="V516">
            <v>6</v>
          </cell>
          <cell r="W516">
            <v>0.5</v>
          </cell>
          <cell r="X516">
            <v>61</v>
          </cell>
          <cell r="Y516">
            <v>33</v>
          </cell>
          <cell r="Z516">
            <v>0.54098360700000003</v>
          </cell>
        </row>
        <row r="517">
          <cell r="B517" t="str">
            <v>F331_3B</v>
          </cell>
          <cell r="C517" t="str">
            <v>R1_F331_3B</v>
          </cell>
          <cell r="D517">
            <v>0</v>
          </cell>
          <cell r="E517">
            <v>4</v>
          </cell>
          <cell r="F517">
            <v>338</v>
          </cell>
          <cell r="G517">
            <v>0</v>
          </cell>
          <cell r="H517">
            <v>39</v>
          </cell>
          <cell r="I517">
            <v>5</v>
          </cell>
          <cell r="J517">
            <v>4</v>
          </cell>
          <cell r="K517">
            <v>1</v>
          </cell>
          <cell r="L517">
            <v>11.060649</v>
          </cell>
          <cell r="M517">
            <v>-85.415006000000005</v>
          </cell>
          <cell r="N517" t="str">
            <v>Norte</v>
          </cell>
          <cell r="O517">
            <v>0</v>
          </cell>
          <cell r="P517" t="str">
            <v>guaymi</v>
          </cell>
          <cell r="Q517" t="str">
            <v>tayni</v>
          </cell>
          <cell r="R517" t="b">
            <v>0</v>
          </cell>
          <cell r="S517" t="str">
            <v>331_3</v>
          </cell>
          <cell r="T517">
            <v>0</v>
          </cell>
          <cell r="U517">
            <v>12</v>
          </cell>
          <cell r="V517">
            <v>6</v>
          </cell>
          <cell r="W517">
            <v>0.5</v>
          </cell>
          <cell r="X517">
            <v>61</v>
          </cell>
          <cell r="Y517">
            <v>33</v>
          </cell>
          <cell r="Z517">
            <v>0.54098360700000003</v>
          </cell>
        </row>
        <row r="518">
          <cell r="B518" t="str">
            <v>F331_4B</v>
          </cell>
          <cell r="C518" t="str">
            <v>R1_F331_4B</v>
          </cell>
          <cell r="D518">
            <v>0</v>
          </cell>
          <cell r="E518">
            <v>1.4</v>
          </cell>
          <cell r="F518">
            <v>338</v>
          </cell>
          <cell r="G518">
            <v>0</v>
          </cell>
          <cell r="H518">
            <v>39</v>
          </cell>
          <cell r="I518">
            <v>5</v>
          </cell>
          <cell r="J518">
            <v>4</v>
          </cell>
          <cell r="K518">
            <v>0</v>
          </cell>
          <cell r="L518">
            <v>11.060649</v>
          </cell>
          <cell r="M518">
            <v>-85.415006000000005</v>
          </cell>
          <cell r="N518" t="str">
            <v>Norte</v>
          </cell>
          <cell r="O518">
            <v>0</v>
          </cell>
          <cell r="P518" t="str">
            <v>sacapobres</v>
          </cell>
          <cell r="Q518" t="str">
            <v>cuarenteno</v>
          </cell>
          <cell r="R518" t="b">
            <v>0</v>
          </cell>
          <cell r="S518" t="str">
            <v>331_4</v>
          </cell>
          <cell r="T518">
            <v>1</v>
          </cell>
          <cell r="U518">
            <v>12</v>
          </cell>
          <cell r="V518">
            <v>6</v>
          </cell>
          <cell r="W518">
            <v>0.5</v>
          </cell>
          <cell r="X518">
            <v>61</v>
          </cell>
          <cell r="Y518">
            <v>33</v>
          </cell>
          <cell r="Z518">
            <v>0.54098360700000003</v>
          </cell>
        </row>
        <row r="519">
          <cell r="B519" t="str">
            <v>F331_5B</v>
          </cell>
          <cell r="C519" t="str">
            <v>R1_F331_5B</v>
          </cell>
          <cell r="D519">
            <v>0</v>
          </cell>
          <cell r="E519">
            <v>1.4</v>
          </cell>
          <cell r="F519">
            <v>338</v>
          </cell>
          <cell r="G519">
            <v>0</v>
          </cell>
          <cell r="H519">
            <v>39</v>
          </cell>
          <cell r="I519">
            <v>5</v>
          </cell>
          <cell r="J519">
            <v>4</v>
          </cell>
          <cell r="K519">
            <v>1</v>
          </cell>
          <cell r="L519">
            <v>11.060649</v>
          </cell>
          <cell r="M519">
            <v>-85.415006000000005</v>
          </cell>
          <cell r="N519" t="str">
            <v>Norte</v>
          </cell>
          <cell r="O519">
            <v>0</v>
          </cell>
          <cell r="P519" t="str">
            <v>cabecar</v>
          </cell>
          <cell r="Q519" t="str">
            <v>dontknow</v>
          </cell>
          <cell r="R519" t="str">
            <v>Not applicable</v>
          </cell>
          <cell r="S519" t="str">
            <v>331_5</v>
          </cell>
          <cell r="T519">
            <v>0</v>
          </cell>
          <cell r="U519">
            <v>12</v>
          </cell>
          <cell r="V519">
            <v>6</v>
          </cell>
          <cell r="W519">
            <v>0.5</v>
          </cell>
          <cell r="X519">
            <v>61</v>
          </cell>
          <cell r="Y519">
            <v>33</v>
          </cell>
          <cell r="Z519">
            <v>0.54098360700000003</v>
          </cell>
        </row>
        <row r="520">
          <cell r="B520" t="str">
            <v>F332_1B</v>
          </cell>
          <cell r="C520" t="str">
            <v>R1_F332_1B</v>
          </cell>
          <cell r="D520">
            <v>0</v>
          </cell>
          <cell r="E520">
            <v>0.1</v>
          </cell>
          <cell r="F520">
            <v>270</v>
          </cell>
          <cell r="G520">
            <v>1</v>
          </cell>
          <cell r="H520">
            <v>69</v>
          </cell>
          <cell r="I520">
            <v>0</v>
          </cell>
          <cell r="J520">
            <v>3</v>
          </cell>
          <cell r="K520">
            <v>0</v>
          </cell>
          <cell r="L520">
            <v>11.087210000000001</v>
          </cell>
          <cell r="M520">
            <v>-85.464302000000004</v>
          </cell>
          <cell r="N520" t="str">
            <v>Norte</v>
          </cell>
          <cell r="O520">
            <v>0</v>
          </cell>
          <cell r="P520" t="str">
            <v>generalito</v>
          </cell>
          <cell r="Q520" t="str">
            <v>bayo</v>
          </cell>
          <cell r="R520" t="b">
            <v>0</v>
          </cell>
          <cell r="S520" t="str">
            <v>332_1</v>
          </cell>
          <cell r="T520">
            <v>0</v>
          </cell>
          <cell r="U520">
            <v>0</v>
          </cell>
          <cell r="V520">
            <v>0</v>
          </cell>
          <cell r="W520" t="str">
            <v>NA</v>
          </cell>
          <cell r="X520">
            <v>6</v>
          </cell>
          <cell r="Y520">
            <v>4</v>
          </cell>
          <cell r="Z520">
            <v>0.66666666699999999</v>
          </cell>
        </row>
        <row r="521">
          <cell r="B521" t="str">
            <v>F332_2B</v>
          </cell>
          <cell r="C521" t="str">
            <v>R1_F332_2B</v>
          </cell>
          <cell r="D521">
            <v>0</v>
          </cell>
          <cell r="E521">
            <v>1</v>
          </cell>
          <cell r="F521">
            <v>270</v>
          </cell>
          <cell r="G521">
            <v>1</v>
          </cell>
          <cell r="H521">
            <v>69</v>
          </cell>
          <cell r="I521">
            <v>0</v>
          </cell>
          <cell r="J521">
            <v>3</v>
          </cell>
          <cell r="K521">
            <v>1</v>
          </cell>
          <cell r="L521">
            <v>11.087210000000001</v>
          </cell>
          <cell r="M521">
            <v>-85.464302000000004</v>
          </cell>
          <cell r="N521" t="str">
            <v>Norte</v>
          </cell>
          <cell r="O521">
            <v>0</v>
          </cell>
          <cell r="P521" t="str">
            <v>guaymi</v>
          </cell>
          <cell r="Q521" t="str">
            <v>other</v>
          </cell>
          <cell r="R521" t="str">
            <v>Not applicable</v>
          </cell>
          <cell r="S521" t="str">
            <v>332_2</v>
          </cell>
          <cell r="T521">
            <v>0</v>
          </cell>
          <cell r="U521">
            <v>0</v>
          </cell>
          <cell r="V521">
            <v>0</v>
          </cell>
          <cell r="W521" t="str">
            <v>NA</v>
          </cell>
          <cell r="X521">
            <v>6</v>
          </cell>
          <cell r="Y521">
            <v>4</v>
          </cell>
          <cell r="Z521">
            <v>0.66666666699999999</v>
          </cell>
        </row>
        <row r="522">
          <cell r="B522" t="str">
            <v>F332_3B</v>
          </cell>
          <cell r="C522" t="str">
            <v>R1_F332_3B</v>
          </cell>
          <cell r="D522">
            <v>1</v>
          </cell>
          <cell r="E522">
            <v>0.1</v>
          </cell>
          <cell r="F522">
            <v>270</v>
          </cell>
          <cell r="G522">
            <v>1</v>
          </cell>
          <cell r="H522">
            <v>69</v>
          </cell>
          <cell r="I522">
            <v>0</v>
          </cell>
          <cell r="J522">
            <v>3</v>
          </cell>
          <cell r="K522">
            <v>0</v>
          </cell>
          <cell r="L522">
            <v>11.087210000000001</v>
          </cell>
          <cell r="M522">
            <v>-85.464302000000004</v>
          </cell>
          <cell r="N522" t="str">
            <v>Norte</v>
          </cell>
          <cell r="O522">
            <v>0</v>
          </cell>
          <cell r="P522" t="str">
            <v>mantequilla</v>
          </cell>
          <cell r="Q522" t="str">
            <v>mantequilla</v>
          </cell>
          <cell r="R522" t="b">
            <v>1</v>
          </cell>
          <cell r="S522" t="str">
            <v>332_3</v>
          </cell>
          <cell r="T522">
            <v>1</v>
          </cell>
          <cell r="U522">
            <v>0</v>
          </cell>
          <cell r="V522">
            <v>0</v>
          </cell>
          <cell r="W522" t="str">
            <v>NA</v>
          </cell>
          <cell r="X522">
            <v>6</v>
          </cell>
          <cell r="Y522">
            <v>4</v>
          </cell>
          <cell r="Z522">
            <v>0.66666666699999999</v>
          </cell>
        </row>
        <row r="523">
          <cell r="B523" t="str">
            <v>F332_4B</v>
          </cell>
          <cell r="C523" t="str">
            <v>R1_F332_4B</v>
          </cell>
          <cell r="D523">
            <v>0</v>
          </cell>
          <cell r="E523">
            <v>0.1</v>
          </cell>
          <cell r="F523">
            <v>270</v>
          </cell>
          <cell r="G523">
            <v>1</v>
          </cell>
          <cell r="H523">
            <v>69</v>
          </cell>
          <cell r="I523">
            <v>0</v>
          </cell>
          <cell r="J523">
            <v>3</v>
          </cell>
          <cell r="K523">
            <v>0</v>
          </cell>
          <cell r="L523">
            <v>11.087210000000001</v>
          </cell>
          <cell r="M523">
            <v>-85.464302000000004</v>
          </cell>
          <cell r="N523" t="str">
            <v>Norte</v>
          </cell>
          <cell r="O523">
            <v>0</v>
          </cell>
          <cell r="P523" t="str">
            <v>generalito</v>
          </cell>
          <cell r="Q523" t="str">
            <v>other</v>
          </cell>
          <cell r="R523" t="str">
            <v>Not applicable</v>
          </cell>
          <cell r="S523" t="str">
            <v>332_4</v>
          </cell>
          <cell r="T523">
            <v>0</v>
          </cell>
          <cell r="U523">
            <v>0</v>
          </cell>
          <cell r="V523">
            <v>0</v>
          </cell>
          <cell r="W523" t="str">
            <v>NA</v>
          </cell>
          <cell r="X523">
            <v>6</v>
          </cell>
          <cell r="Y523">
            <v>4</v>
          </cell>
          <cell r="Z523">
            <v>0.66666666699999999</v>
          </cell>
        </row>
        <row r="524">
          <cell r="B524" t="str">
            <v>F332_5B</v>
          </cell>
          <cell r="C524" t="str">
            <v>R1_F332_5B</v>
          </cell>
          <cell r="D524">
            <v>0</v>
          </cell>
          <cell r="E524">
            <v>0.25</v>
          </cell>
          <cell r="F524">
            <v>270</v>
          </cell>
          <cell r="G524">
            <v>1</v>
          </cell>
          <cell r="H524">
            <v>69</v>
          </cell>
          <cell r="I524">
            <v>0</v>
          </cell>
          <cell r="J524">
            <v>3</v>
          </cell>
          <cell r="K524">
            <v>1</v>
          </cell>
          <cell r="L524">
            <v>11.087210000000001</v>
          </cell>
          <cell r="M524">
            <v>-85.464302000000004</v>
          </cell>
          <cell r="N524" t="str">
            <v>Norte</v>
          </cell>
          <cell r="O524">
            <v>0</v>
          </cell>
          <cell r="P524" t="str">
            <v>matambu</v>
          </cell>
          <cell r="Q524" t="str">
            <v>talamanca</v>
          </cell>
          <cell r="R524" t="b">
            <v>0</v>
          </cell>
          <cell r="S524" t="str">
            <v>332_5</v>
          </cell>
          <cell r="T524">
            <v>0</v>
          </cell>
          <cell r="U524">
            <v>0</v>
          </cell>
          <cell r="V524">
            <v>0</v>
          </cell>
          <cell r="W524" t="str">
            <v>NA</v>
          </cell>
          <cell r="X524">
            <v>6</v>
          </cell>
          <cell r="Y524">
            <v>4</v>
          </cell>
          <cell r="Z524">
            <v>0.66666666699999999</v>
          </cell>
        </row>
        <row r="525">
          <cell r="B525" t="str">
            <v>F333_1B</v>
          </cell>
          <cell r="C525" t="str">
            <v>R1_F333_1B</v>
          </cell>
          <cell r="D525">
            <v>0</v>
          </cell>
          <cell r="E525">
            <v>0.7</v>
          </cell>
          <cell r="F525">
            <v>296</v>
          </cell>
          <cell r="G525">
            <v>1</v>
          </cell>
          <cell r="H525">
            <v>64</v>
          </cell>
          <cell r="I525">
            <v>0</v>
          </cell>
          <cell r="J525">
            <v>3</v>
          </cell>
          <cell r="K525">
            <v>1</v>
          </cell>
          <cell r="L525">
            <v>11.06549</v>
          </cell>
          <cell r="M525">
            <v>-85.457318000000001</v>
          </cell>
          <cell r="N525" t="str">
            <v>Norte</v>
          </cell>
          <cell r="O525">
            <v>0</v>
          </cell>
          <cell r="P525" t="str">
            <v>guaymi</v>
          </cell>
          <cell r="Q525" t="str">
            <v>nambi</v>
          </cell>
          <cell r="R525" t="b">
            <v>0</v>
          </cell>
          <cell r="S525" t="str">
            <v>333_1</v>
          </cell>
          <cell r="T525">
            <v>0</v>
          </cell>
          <cell r="U525">
            <v>6</v>
          </cell>
          <cell r="V525">
            <v>4</v>
          </cell>
          <cell r="W525">
            <v>0.66666666699999999</v>
          </cell>
          <cell r="X525">
            <v>12</v>
          </cell>
          <cell r="Y525">
            <v>8</v>
          </cell>
          <cell r="Z525">
            <v>0.66666666699999999</v>
          </cell>
        </row>
        <row r="526">
          <cell r="B526" t="str">
            <v>F333_2B</v>
          </cell>
          <cell r="C526" t="str">
            <v>R1_F333_2B</v>
          </cell>
          <cell r="D526">
            <v>1</v>
          </cell>
          <cell r="E526">
            <v>0.7</v>
          </cell>
          <cell r="F526">
            <v>296</v>
          </cell>
          <cell r="G526">
            <v>1</v>
          </cell>
          <cell r="H526">
            <v>64</v>
          </cell>
          <cell r="I526">
            <v>0</v>
          </cell>
          <cell r="J526">
            <v>3</v>
          </cell>
          <cell r="K526">
            <v>1</v>
          </cell>
          <cell r="L526">
            <v>11.06549</v>
          </cell>
          <cell r="M526">
            <v>-85.457318000000001</v>
          </cell>
          <cell r="N526" t="str">
            <v>Norte</v>
          </cell>
          <cell r="O526">
            <v>0</v>
          </cell>
          <cell r="P526" t="str">
            <v>cabecar</v>
          </cell>
          <cell r="Q526" t="str">
            <v>cabecar</v>
          </cell>
          <cell r="R526" t="b">
            <v>1</v>
          </cell>
          <cell r="S526" t="str">
            <v>333_2</v>
          </cell>
          <cell r="T526">
            <v>1</v>
          </cell>
          <cell r="U526">
            <v>6</v>
          </cell>
          <cell r="V526">
            <v>4</v>
          </cell>
          <cell r="W526">
            <v>0.66666666699999999</v>
          </cell>
          <cell r="X526">
            <v>12</v>
          </cell>
          <cell r="Y526">
            <v>8</v>
          </cell>
          <cell r="Z526">
            <v>0.66666666699999999</v>
          </cell>
        </row>
        <row r="527">
          <cell r="B527" t="str">
            <v>F333_3B</v>
          </cell>
          <cell r="C527" t="str">
            <v>R1_F333_3B</v>
          </cell>
          <cell r="D527">
            <v>0</v>
          </cell>
          <cell r="E527">
            <v>1</v>
          </cell>
          <cell r="F527">
            <v>296</v>
          </cell>
          <cell r="G527">
            <v>1</v>
          </cell>
          <cell r="H527">
            <v>64</v>
          </cell>
          <cell r="I527">
            <v>0</v>
          </cell>
          <cell r="J527">
            <v>3</v>
          </cell>
          <cell r="K527">
            <v>0</v>
          </cell>
          <cell r="L527">
            <v>11.06549</v>
          </cell>
          <cell r="M527">
            <v>-85.457318000000001</v>
          </cell>
          <cell r="N527" t="str">
            <v>Norte</v>
          </cell>
          <cell r="O527">
            <v>0</v>
          </cell>
          <cell r="P527" t="str">
            <v>SEF 60</v>
          </cell>
          <cell r="Q527" t="str">
            <v>uran</v>
          </cell>
          <cell r="R527" t="b">
            <v>0</v>
          </cell>
          <cell r="S527" t="str">
            <v>333_3</v>
          </cell>
          <cell r="T527">
            <v>0</v>
          </cell>
          <cell r="U527">
            <v>6</v>
          </cell>
          <cell r="V527">
            <v>4</v>
          </cell>
          <cell r="W527">
            <v>0.66666666699999999</v>
          </cell>
          <cell r="X527">
            <v>12</v>
          </cell>
          <cell r="Y527">
            <v>8</v>
          </cell>
          <cell r="Z527">
            <v>0.66666666699999999</v>
          </cell>
        </row>
        <row r="528">
          <cell r="B528" t="str">
            <v>F334_1B</v>
          </cell>
          <cell r="C528" t="str">
            <v>R1_F334_1B</v>
          </cell>
          <cell r="D528">
            <v>1</v>
          </cell>
          <cell r="E528">
            <v>16.5</v>
          </cell>
          <cell r="F528">
            <v>359</v>
          </cell>
          <cell r="G528">
            <v>1</v>
          </cell>
          <cell r="H528">
            <v>52</v>
          </cell>
          <cell r="I528">
            <v>6</v>
          </cell>
          <cell r="J528">
            <v>5</v>
          </cell>
          <cell r="K528">
            <v>1</v>
          </cell>
          <cell r="L528">
            <v>11.04679</v>
          </cell>
          <cell r="M528">
            <v>-85.389662999999999</v>
          </cell>
          <cell r="N528" t="str">
            <v>Norte</v>
          </cell>
          <cell r="O528">
            <v>0</v>
          </cell>
          <cell r="P528" t="str">
            <v>nambi</v>
          </cell>
          <cell r="Q528" t="str">
            <v>nambi</v>
          </cell>
          <cell r="R528" t="b">
            <v>1</v>
          </cell>
          <cell r="S528" t="str">
            <v>334_1</v>
          </cell>
          <cell r="T528">
            <v>1</v>
          </cell>
          <cell r="U528">
            <v>6</v>
          </cell>
          <cell r="V528">
            <v>1</v>
          </cell>
          <cell r="W528">
            <v>0.16666666699999999</v>
          </cell>
          <cell r="X528">
            <v>61</v>
          </cell>
          <cell r="Y528">
            <v>24</v>
          </cell>
          <cell r="Z528">
            <v>0.39344262299999999</v>
          </cell>
        </row>
        <row r="529">
          <cell r="B529" t="str">
            <v>F334_2B</v>
          </cell>
          <cell r="C529" t="str">
            <v>R1_F334_2B</v>
          </cell>
          <cell r="D529">
            <v>1</v>
          </cell>
          <cell r="E529">
            <v>8</v>
          </cell>
          <cell r="F529">
            <v>359</v>
          </cell>
          <cell r="G529">
            <v>1</v>
          </cell>
          <cell r="H529">
            <v>52</v>
          </cell>
          <cell r="I529">
            <v>6</v>
          </cell>
          <cell r="J529">
            <v>5</v>
          </cell>
          <cell r="K529">
            <v>1</v>
          </cell>
          <cell r="L529">
            <v>11.04679</v>
          </cell>
          <cell r="M529">
            <v>-85.389662999999999</v>
          </cell>
          <cell r="N529" t="str">
            <v>Norte</v>
          </cell>
          <cell r="O529">
            <v>0</v>
          </cell>
          <cell r="P529" t="str">
            <v>cabecar</v>
          </cell>
          <cell r="Q529" t="str">
            <v>cabecar</v>
          </cell>
          <cell r="R529" t="b">
            <v>1</v>
          </cell>
          <cell r="S529" t="str">
            <v>334_2</v>
          </cell>
          <cell r="T529">
            <v>1</v>
          </cell>
          <cell r="U529">
            <v>6</v>
          </cell>
          <cell r="V529">
            <v>1</v>
          </cell>
          <cell r="W529">
            <v>0.16666666699999999</v>
          </cell>
          <cell r="X529">
            <v>61</v>
          </cell>
          <cell r="Y529">
            <v>24</v>
          </cell>
          <cell r="Z529">
            <v>0.39344262299999999</v>
          </cell>
        </row>
        <row r="530">
          <cell r="B530" t="str">
            <v>F335_1B</v>
          </cell>
          <cell r="C530" t="str">
            <v>R1_F335_1B</v>
          </cell>
          <cell r="D530">
            <v>0</v>
          </cell>
          <cell r="E530">
            <v>2</v>
          </cell>
          <cell r="F530">
            <v>359</v>
          </cell>
          <cell r="G530">
            <v>1</v>
          </cell>
          <cell r="H530">
            <v>73</v>
          </cell>
          <cell r="I530">
            <v>2</v>
          </cell>
          <cell r="J530">
            <v>4</v>
          </cell>
          <cell r="K530">
            <v>1</v>
          </cell>
          <cell r="L530">
            <v>11.032617999999999</v>
          </cell>
          <cell r="M530">
            <v>-85.368449999999996</v>
          </cell>
          <cell r="N530" t="str">
            <v>Norte</v>
          </cell>
          <cell r="O530">
            <v>0</v>
          </cell>
          <cell r="P530" t="str">
            <v>guaymi</v>
          </cell>
          <cell r="Q530" t="str">
            <v>negro</v>
          </cell>
          <cell r="R530" t="str">
            <v>Not applicable</v>
          </cell>
          <cell r="S530" t="str">
            <v>335_1</v>
          </cell>
          <cell r="T530">
            <v>0</v>
          </cell>
          <cell r="U530">
            <v>12</v>
          </cell>
          <cell r="V530">
            <v>4</v>
          </cell>
          <cell r="W530">
            <v>0.33333333300000001</v>
          </cell>
          <cell r="X530">
            <v>44</v>
          </cell>
          <cell r="Y530">
            <v>18</v>
          </cell>
          <cell r="Z530">
            <v>0.409090909</v>
          </cell>
        </row>
        <row r="531">
          <cell r="B531" t="str">
            <v>F335_2B</v>
          </cell>
          <cell r="C531" t="str">
            <v>R1_F335_2B</v>
          </cell>
          <cell r="D531">
            <v>0</v>
          </cell>
          <cell r="E531">
            <v>0.17499999999999999</v>
          </cell>
          <cell r="F531">
            <v>359</v>
          </cell>
          <cell r="G531">
            <v>1</v>
          </cell>
          <cell r="H531">
            <v>73</v>
          </cell>
          <cell r="I531">
            <v>2</v>
          </cell>
          <cell r="J531">
            <v>4</v>
          </cell>
          <cell r="K531">
            <v>0</v>
          </cell>
          <cell r="L531">
            <v>11.032617999999999</v>
          </cell>
          <cell r="M531">
            <v>-85.368449999999996</v>
          </cell>
          <cell r="N531" t="str">
            <v>Norte</v>
          </cell>
          <cell r="O531">
            <v>0</v>
          </cell>
          <cell r="P531" t="str">
            <v>tequila</v>
          </cell>
          <cell r="Q531" t="str">
            <v>rojo</v>
          </cell>
          <cell r="R531" t="str">
            <v>Not applicable</v>
          </cell>
          <cell r="S531" t="str">
            <v>335_2</v>
          </cell>
          <cell r="T531">
            <v>0</v>
          </cell>
          <cell r="U531">
            <v>12</v>
          </cell>
          <cell r="V531">
            <v>4</v>
          </cell>
          <cell r="W531">
            <v>0.33333333300000001</v>
          </cell>
          <cell r="X531">
            <v>44</v>
          </cell>
          <cell r="Y531">
            <v>18</v>
          </cell>
          <cell r="Z531">
            <v>0.409090909</v>
          </cell>
        </row>
        <row r="532">
          <cell r="B532" t="str">
            <v>F336_1B</v>
          </cell>
          <cell r="C532" t="str">
            <v>R1_F336_1B</v>
          </cell>
          <cell r="D532">
            <v>1</v>
          </cell>
          <cell r="E532">
            <v>1</v>
          </cell>
          <cell r="F532">
            <v>384</v>
          </cell>
          <cell r="G532">
            <v>0</v>
          </cell>
          <cell r="H532">
            <v>29</v>
          </cell>
          <cell r="I532">
            <v>9</v>
          </cell>
          <cell r="J532">
            <v>5</v>
          </cell>
          <cell r="K532">
            <v>1</v>
          </cell>
          <cell r="L532">
            <v>11.032779</v>
          </cell>
          <cell r="M532">
            <v>-85.396083000000004</v>
          </cell>
          <cell r="N532" t="str">
            <v>Norte</v>
          </cell>
          <cell r="O532">
            <v>0</v>
          </cell>
          <cell r="P532" t="str">
            <v>guaymi</v>
          </cell>
          <cell r="Q532" t="str">
            <v>guaymi</v>
          </cell>
          <cell r="R532" t="b">
            <v>1</v>
          </cell>
          <cell r="S532" t="str">
            <v>336_1</v>
          </cell>
          <cell r="T532">
            <v>1</v>
          </cell>
          <cell r="U532">
            <v>3</v>
          </cell>
          <cell r="V532">
            <v>2</v>
          </cell>
          <cell r="W532">
            <v>0.66666666699999999</v>
          </cell>
          <cell r="X532">
            <v>30</v>
          </cell>
          <cell r="Y532">
            <v>13</v>
          </cell>
          <cell r="Z532">
            <v>0.43333333299999999</v>
          </cell>
        </row>
        <row r="533">
          <cell r="B533" t="str">
            <v>F336_2B</v>
          </cell>
          <cell r="C533" t="str">
            <v>R1_F336_2B</v>
          </cell>
          <cell r="D533">
            <v>1</v>
          </cell>
          <cell r="E533">
            <v>0.5</v>
          </cell>
          <cell r="F533">
            <v>384</v>
          </cell>
          <cell r="G533">
            <v>0</v>
          </cell>
          <cell r="H533">
            <v>29</v>
          </cell>
          <cell r="I533">
            <v>9</v>
          </cell>
          <cell r="J533">
            <v>5</v>
          </cell>
          <cell r="K533">
            <v>1</v>
          </cell>
          <cell r="L533">
            <v>11.032779</v>
          </cell>
          <cell r="M533">
            <v>-85.396083000000004</v>
          </cell>
          <cell r="N533" t="str">
            <v>Norte</v>
          </cell>
          <cell r="O533">
            <v>0</v>
          </cell>
          <cell r="P533" t="str">
            <v>cabecar</v>
          </cell>
          <cell r="Q533" t="str">
            <v>cabecar</v>
          </cell>
          <cell r="R533" t="b">
            <v>1</v>
          </cell>
          <cell r="S533" t="str">
            <v>336_2</v>
          </cell>
          <cell r="T533">
            <v>1</v>
          </cell>
          <cell r="U533">
            <v>3</v>
          </cell>
          <cell r="V533">
            <v>2</v>
          </cell>
          <cell r="W533">
            <v>0.66666666699999999</v>
          </cell>
          <cell r="X533">
            <v>30</v>
          </cell>
          <cell r="Y533">
            <v>13</v>
          </cell>
          <cell r="Z533">
            <v>0.43333333299999999</v>
          </cell>
        </row>
        <row r="534">
          <cell r="B534" t="str">
            <v>F337_1B</v>
          </cell>
          <cell r="C534" t="str">
            <v>R1_F337_1B</v>
          </cell>
          <cell r="D534">
            <v>1</v>
          </cell>
          <cell r="E534">
            <v>1.5</v>
          </cell>
          <cell r="F534">
            <v>369</v>
          </cell>
          <cell r="G534">
            <v>1</v>
          </cell>
          <cell r="H534">
            <v>51</v>
          </cell>
          <cell r="I534">
            <v>6</v>
          </cell>
          <cell r="J534">
            <v>1</v>
          </cell>
          <cell r="K534">
            <v>1</v>
          </cell>
          <cell r="L534">
            <v>11.035876999999999</v>
          </cell>
          <cell r="M534">
            <v>-85.370172999999994</v>
          </cell>
          <cell r="N534" t="str">
            <v>Norte</v>
          </cell>
          <cell r="O534">
            <v>0</v>
          </cell>
          <cell r="P534" t="str">
            <v>guaymi</v>
          </cell>
          <cell r="Q534" t="str">
            <v>guaymi</v>
          </cell>
          <cell r="R534" t="b">
            <v>1</v>
          </cell>
          <cell r="S534" t="str">
            <v>337_1</v>
          </cell>
          <cell r="T534">
            <v>1</v>
          </cell>
          <cell r="U534">
            <v>10</v>
          </cell>
          <cell r="V534">
            <v>2</v>
          </cell>
          <cell r="W534">
            <v>0.2</v>
          </cell>
          <cell r="X534">
            <v>45</v>
          </cell>
          <cell r="Y534">
            <v>17</v>
          </cell>
          <cell r="Z534">
            <v>0.37777777800000001</v>
          </cell>
        </row>
        <row r="535">
          <cell r="B535" t="str">
            <v>F337_2B</v>
          </cell>
          <cell r="C535" t="str">
            <v>R1_F337_2B</v>
          </cell>
          <cell r="D535">
            <v>0</v>
          </cell>
          <cell r="E535">
            <v>0.5</v>
          </cell>
          <cell r="F535">
            <v>369</v>
          </cell>
          <cell r="G535">
            <v>1</v>
          </cell>
          <cell r="H535">
            <v>51</v>
          </cell>
          <cell r="I535">
            <v>6</v>
          </cell>
          <cell r="J535">
            <v>1</v>
          </cell>
          <cell r="K535">
            <v>0</v>
          </cell>
          <cell r="L535">
            <v>11.035876999999999</v>
          </cell>
          <cell r="M535">
            <v>-85.370172999999994</v>
          </cell>
          <cell r="N535" t="str">
            <v>Norte</v>
          </cell>
          <cell r="O535">
            <v>0</v>
          </cell>
          <cell r="P535" t="str">
            <v>SEF 62</v>
          </cell>
          <cell r="Q535" t="str">
            <v>cabecar</v>
          </cell>
          <cell r="R535" t="b">
            <v>0</v>
          </cell>
          <cell r="S535" t="str">
            <v>337_2</v>
          </cell>
          <cell r="T535">
            <v>0</v>
          </cell>
          <cell r="U535">
            <v>10</v>
          </cell>
          <cell r="V535">
            <v>2</v>
          </cell>
          <cell r="W535">
            <v>0.2</v>
          </cell>
          <cell r="X535">
            <v>45</v>
          </cell>
          <cell r="Y535">
            <v>17</v>
          </cell>
          <cell r="Z535">
            <v>0.37777777800000001</v>
          </cell>
        </row>
        <row r="536">
          <cell r="B536" t="str">
            <v>F338_1B</v>
          </cell>
          <cell r="C536" t="str">
            <v>R1_F338_1B</v>
          </cell>
          <cell r="D536">
            <v>1</v>
          </cell>
          <cell r="E536">
            <v>2</v>
          </cell>
          <cell r="F536">
            <v>369</v>
          </cell>
          <cell r="G536">
            <v>1</v>
          </cell>
          <cell r="H536">
            <v>33</v>
          </cell>
          <cell r="I536">
            <v>6</v>
          </cell>
          <cell r="J536">
            <v>1</v>
          </cell>
          <cell r="K536">
            <v>1</v>
          </cell>
          <cell r="L536">
            <v>11.035731</v>
          </cell>
          <cell r="M536">
            <v>-85.370289</v>
          </cell>
          <cell r="N536" t="str">
            <v>Norte</v>
          </cell>
          <cell r="O536">
            <v>0</v>
          </cell>
          <cell r="P536" t="str">
            <v>guaymi</v>
          </cell>
          <cell r="Q536" t="str">
            <v>guaymi</v>
          </cell>
          <cell r="R536" t="b">
            <v>1</v>
          </cell>
          <cell r="S536" t="str">
            <v>338_1</v>
          </cell>
          <cell r="T536">
            <v>1</v>
          </cell>
          <cell r="U536">
            <v>11</v>
          </cell>
          <cell r="V536">
            <v>2</v>
          </cell>
          <cell r="W536">
            <v>0.18181818199999999</v>
          </cell>
          <cell r="X536">
            <v>46</v>
          </cell>
          <cell r="Y536">
            <v>17</v>
          </cell>
          <cell r="Z536">
            <v>0.369565217</v>
          </cell>
        </row>
        <row r="537">
          <cell r="B537" t="str">
            <v>F339_1B</v>
          </cell>
          <cell r="C537" t="str">
            <v>R1_F339_1B</v>
          </cell>
          <cell r="D537">
            <v>0</v>
          </cell>
          <cell r="E537">
            <v>0.05</v>
          </cell>
          <cell r="F537">
            <v>332</v>
          </cell>
          <cell r="G537">
            <v>0</v>
          </cell>
          <cell r="H537">
            <v>29</v>
          </cell>
          <cell r="I537">
            <v>11</v>
          </cell>
          <cell r="J537">
            <v>4</v>
          </cell>
          <cell r="K537">
            <v>0</v>
          </cell>
          <cell r="L537">
            <v>11.017123</v>
          </cell>
          <cell r="M537">
            <v>-85.361791999999994</v>
          </cell>
          <cell r="N537" t="str">
            <v>Norte</v>
          </cell>
          <cell r="O537">
            <v>0</v>
          </cell>
          <cell r="P537" t="str">
            <v>RCB 593</v>
          </cell>
          <cell r="Q537" t="str">
            <v>SEF 61</v>
          </cell>
          <cell r="R537" t="b">
            <v>0</v>
          </cell>
          <cell r="S537" t="str">
            <v>339_1</v>
          </cell>
          <cell r="T537">
            <v>0</v>
          </cell>
          <cell r="U537">
            <v>6</v>
          </cell>
          <cell r="V537">
            <v>2</v>
          </cell>
          <cell r="W537">
            <v>0.33333333300000001</v>
          </cell>
          <cell r="X537">
            <v>33</v>
          </cell>
          <cell r="Y537">
            <v>13</v>
          </cell>
          <cell r="Z537">
            <v>0.393939394</v>
          </cell>
        </row>
        <row r="538">
          <cell r="B538" t="str">
            <v>F340_1B</v>
          </cell>
          <cell r="C538" t="str">
            <v>R1_F340_1B</v>
          </cell>
          <cell r="D538">
            <v>1</v>
          </cell>
          <cell r="E538">
            <v>0.5</v>
          </cell>
          <cell r="F538">
            <v>330</v>
          </cell>
          <cell r="G538">
            <v>0</v>
          </cell>
          <cell r="H538">
            <v>52</v>
          </cell>
          <cell r="I538">
            <v>5</v>
          </cell>
          <cell r="J538">
            <v>4</v>
          </cell>
          <cell r="K538">
            <v>1</v>
          </cell>
          <cell r="L538">
            <v>11.022549</v>
          </cell>
          <cell r="M538">
            <v>-85.365127999999999</v>
          </cell>
          <cell r="N538" t="str">
            <v>Norte</v>
          </cell>
          <cell r="O538">
            <v>0</v>
          </cell>
          <cell r="P538" t="str">
            <v>guaymi</v>
          </cell>
          <cell r="Q538" t="str">
            <v>guaymi</v>
          </cell>
          <cell r="R538" t="b">
            <v>1</v>
          </cell>
          <cell r="S538" t="str">
            <v>340_1</v>
          </cell>
          <cell r="T538">
            <v>1</v>
          </cell>
          <cell r="U538">
            <v>0</v>
          </cell>
          <cell r="V538">
            <v>0</v>
          </cell>
          <cell r="W538" t="str">
            <v>NA</v>
          </cell>
          <cell r="X538">
            <v>40</v>
          </cell>
          <cell r="Y538">
            <v>13</v>
          </cell>
          <cell r="Z538">
            <v>0.32500000000000001</v>
          </cell>
        </row>
        <row r="539">
          <cell r="B539" t="str">
            <v>F340_2B</v>
          </cell>
          <cell r="C539" t="str">
            <v>R1_F340_2B</v>
          </cell>
          <cell r="D539">
            <v>1</v>
          </cell>
          <cell r="E539">
            <v>0.5</v>
          </cell>
          <cell r="F539">
            <v>330</v>
          </cell>
          <cell r="G539">
            <v>0</v>
          </cell>
          <cell r="H539">
            <v>52</v>
          </cell>
          <cell r="I539">
            <v>5</v>
          </cell>
          <cell r="J539">
            <v>4</v>
          </cell>
          <cell r="K539">
            <v>1</v>
          </cell>
          <cell r="L539">
            <v>11.022549</v>
          </cell>
          <cell r="M539">
            <v>-85.365127999999999</v>
          </cell>
          <cell r="N539" t="str">
            <v>Norte</v>
          </cell>
          <cell r="O539">
            <v>0</v>
          </cell>
          <cell r="P539" t="str">
            <v>cabecar</v>
          </cell>
          <cell r="Q539" t="str">
            <v>cabecar</v>
          </cell>
          <cell r="R539" t="b">
            <v>1</v>
          </cell>
          <cell r="S539" t="str">
            <v>340_2</v>
          </cell>
          <cell r="T539">
            <v>1</v>
          </cell>
          <cell r="U539">
            <v>0</v>
          </cell>
          <cell r="V539">
            <v>0</v>
          </cell>
          <cell r="W539" t="str">
            <v>NA</v>
          </cell>
          <cell r="X539">
            <v>40</v>
          </cell>
          <cell r="Y539">
            <v>13</v>
          </cell>
          <cell r="Z539">
            <v>0.32500000000000001</v>
          </cell>
        </row>
        <row r="540">
          <cell r="B540" t="str">
            <v>F341_1B</v>
          </cell>
          <cell r="C540" t="str">
            <v>R1_F341_1B</v>
          </cell>
          <cell r="D540">
            <v>0</v>
          </cell>
          <cell r="E540">
            <v>1</v>
          </cell>
          <cell r="F540">
            <v>361</v>
          </cell>
          <cell r="G540">
            <v>0</v>
          </cell>
          <cell r="H540">
            <v>37</v>
          </cell>
          <cell r="I540">
            <v>9</v>
          </cell>
          <cell r="J540">
            <v>4</v>
          </cell>
          <cell r="K540">
            <v>1</v>
          </cell>
          <cell r="L540">
            <v>11.047245</v>
          </cell>
          <cell r="M540">
            <v>-85.387152</v>
          </cell>
          <cell r="N540" t="str">
            <v>Norte</v>
          </cell>
          <cell r="O540">
            <v>0</v>
          </cell>
          <cell r="P540" t="str">
            <v>guaymi</v>
          </cell>
          <cell r="Q540" t="str">
            <v>nambi</v>
          </cell>
          <cell r="R540" t="b">
            <v>0</v>
          </cell>
          <cell r="S540" t="str">
            <v>341_1</v>
          </cell>
          <cell r="T540">
            <v>0</v>
          </cell>
          <cell r="U540">
            <v>7</v>
          </cell>
          <cell r="V540">
            <v>3</v>
          </cell>
          <cell r="W540">
            <v>0.428571429</v>
          </cell>
          <cell r="X540">
            <v>59</v>
          </cell>
          <cell r="Y540">
            <v>24</v>
          </cell>
          <cell r="Z540">
            <v>0.40677966100000001</v>
          </cell>
        </row>
        <row r="541">
          <cell r="B541" t="str">
            <v>F342_1B</v>
          </cell>
          <cell r="C541" t="str">
            <v>R1_F342_1B</v>
          </cell>
          <cell r="D541">
            <v>1</v>
          </cell>
          <cell r="E541">
            <v>1</v>
          </cell>
          <cell r="F541">
            <v>358</v>
          </cell>
          <cell r="G541">
            <v>0</v>
          </cell>
          <cell r="H541">
            <v>44</v>
          </cell>
          <cell r="I541">
            <v>6</v>
          </cell>
          <cell r="J541">
            <v>7</v>
          </cell>
          <cell r="K541">
            <v>1</v>
          </cell>
          <cell r="L541">
            <v>11.032847</v>
          </cell>
          <cell r="M541">
            <v>-85.362944999999996</v>
          </cell>
          <cell r="N541" t="str">
            <v>Norte</v>
          </cell>
          <cell r="O541">
            <v>0</v>
          </cell>
          <cell r="P541" t="str">
            <v>nambi</v>
          </cell>
          <cell r="Q541" t="str">
            <v>nambi</v>
          </cell>
          <cell r="R541" t="b">
            <v>1</v>
          </cell>
          <cell r="S541" t="str">
            <v>342_1</v>
          </cell>
          <cell r="T541">
            <v>1</v>
          </cell>
          <cell r="U541">
            <v>6</v>
          </cell>
          <cell r="V541">
            <v>2</v>
          </cell>
          <cell r="W541">
            <v>0.33333333300000001</v>
          </cell>
          <cell r="X541">
            <v>43</v>
          </cell>
          <cell r="Y541">
            <v>15</v>
          </cell>
          <cell r="Z541">
            <v>0.34883720899999998</v>
          </cell>
        </row>
        <row r="542">
          <cell r="B542" t="str">
            <v>F343_1B</v>
          </cell>
          <cell r="C542" t="str">
            <v>R1_F343_1B</v>
          </cell>
          <cell r="D542">
            <v>0</v>
          </cell>
          <cell r="E542">
            <v>0.35</v>
          </cell>
          <cell r="F542">
            <v>364</v>
          </cell>
          <cell r="G542">
            <v>1</v>
          </cell>
          <cell r="H542">
            <v>63</v>
          </cell>
          <cell r="I542">
            <v>5</v>
          </cell>
          <cell r="J542">
            <v>5</v>
          </cell>
          <cell r="K542">
            <v>0</v>
          </cell>
          <cell r="L542">
            <v>11.038361999999999</v>
          </cell>
          <cell r="M542">
            <v>-85.372667000000007</v>
          </cell>
          <cell r="N542" t="str">
            <v>Norte</v>
          </cell>
          <cell r="O542">
            <v>0</v>
          </cell>
          <cell r="P542" t="str">
            <v>SEF 64</v>
          </cell>
          <cell r="Q542" t="str">
            <v>uran</v>
          </cell>
          <cell r="R542" t="b">
            <v>0</v>
          </cell>
          <cell r="S542" t="str">
            <v>343_1</v>
          </cell>
          <cell r="T542">
            <v>0</v>
          </cell>
          <cell r="U542">
            <v>11</v>
          </cell>
          <cell r="V542">
            <v>4</v>
          </cell>
          <cell r="W542">
            <v>0.36363636399999999</v>
          </cell>
          <cell r="X542">
            <v>50</v>
          </cell>
          <cell r="Y542">
            <v>20</v>
          </cell>
          <cell r="Z542">
            <v>0.4</v>
          </cell>
        </row>
        <row r="543">
          <cell r="B543" t="str">
            <v>F343_2B</v>
          </cell>
          <cell r="C543" t="str">
            <v>R1_F343_2B</v>
          </cell>
          <cell r="D543">
            <v>0</v>
          </cell>
          <cell r="E543">
            <v>1.5</v>
          </cell>
          <cell r="F543">
            <v>364</v>
          </cell>
          <cell r="G543">
            <v>1</v>
          </cell>
          <cell r="H543">
            <v>63</v>
          </cell>
          <cell r="I543">
            <v>5</v>
          </cell>
          <cell r="J543">
            <v>5</v>
          </cell>
          <cell r="K543">
            <v>1</v>
          </cell>
          <cell r="L543">
            <v>11.038361999999999</v>
          </cell>
          <cell r="M543">
            <v>-85.372667000000007</v>
          </cell>
          <cell r="N543" t="str">
            <v>Norte</v>
          </cell>
          <cell r="O543">
            <v>0</v>
          </cell>
          <cell r="P543" t="str">
            <v>guaymi</v>
          </cell>
          <cell r="Q543" t="str">
            <v>nambi</v>
          </cell>
          <cell r="R543" t="b">
            <v>0</v>
          </cell>
          <cell r="S543" t="str">
            <v>343_2</v>
          </cell>
          <cell r="T543">
            <v>0</v>
          </cell>
          <cell r="U543">
            <v>11</v>
          </cell>
          <cell r="V543">
            <v>4</v>
          </cell>
          <cell r="W543">
            <v>0.36363636399999999</v>
          </cell>
          <cell r="X543">
            <v>50</v>
          </cell>
          <cell r="Y543">
            <v>20</v>
          </cell>
          <cell r="Z543">
            <v>0.4</v>
          </cell>
        </row>
        <row r="544">
          <cell r="B544" t="str">
            <v>F344_1B</v>
          </cell>
          <cell r="C544" t="str">
            <v>R1_F344_1B</v>
          </cell>
          <cell r="D544">
            <v>1</v>
          </cell>
          <cell r="E544">
            <v>0.7</v>
          </cell>
          <cell r="F544">
            <v>352</v>
          </cell>
          <cell r="G544">
            <v>1</v>
          </cell>
          <cell r="H544">
            <v>52</v>
          </cell>
          <cell r="I544">
            <v>9</v>
          </cell>
          <cell r="J544">
            <v>3</v>
          </cell>
          <cell r="K544">
            <v>1</v>
          </cell>
          <cell r="L544">
            <v>11.049778</v>
          </cell>
          <cell r="M544">
            <v>-85.437657999999999</v>
          </cell>
          <cell r="N544" t="str">
            <v>Norte</v>
          </cell>
          <cell r="O544">
            <v>0</v>
          </cell>
          <cell r="P544" t="str">
            <v>uran</v>
          </cell>
          <cell r="Q544" t="str">
            <v>uran</v>
          </cell>
          <cell r="R544" t="b">
            <v>1</v>
          </cell>
          <cell r="S544" t="str">
            <v>344_1</v>
          </cell>
          <cell r="T544">
            <v>0</v>
          </cell>
          <cell r="U544">
            <v>2</v>
          </cell>
          <cell r="V544">
            <v>2</v>
          </cell>
          <cell r="W544">
            <v>1</v>
          </cell>
          <cell r="X544">
            <v>12</v>
          </cell>
          <cell r="Y544">
            <v>9</v>
          </cell>
          <cell r="Z544">
            <v>0.75</v>
          </cell>
        </row>
        <row r="545">
          <cell r="B545" t="str">
            <v>F344_2B</v>
          </cell>
          <cell r="C545" t="str">
            <v>R1_F344_2B</v>
          </cell>
          <cell r="D545">
            <v>1</v>
          </cell>
          <cell r="E545">
            <v>2.5</v>
          </cell>
          <cell r="F545">
            <v>352</v>
          </cell>
          <cell r="G545">
            <v>1</v>
          </cell>
          <cell r="H545">
            <v>52</v>
          </cell>
          <cell r="I545">
            <v>9</v>
          </cell>
          <cell r="J545">
            <v>3</v>
          </cell>
          <cell r="K545">
            <v>1</v>
          </cell>
          <cell r="L545">
            <v>11.049778</v>
          </cell>
          <cell r="M545">
            <v>-85.437657999999999</v>
          </cell>
          <cell r="N545" t="str">
            <v>Norte</v>
          </cell>
          <cell r="O545">
            <v>0</v>
          </cell>
          <cell r="P545" t="str">
            <v>guaymi</v>
          </cell>
          <cell r="Q545" t="str">
            <v>guaymi</v>
          </cell>
          <cell r="R545" t="b">
            <v>1</v>
          </cell>
          <cell r="S545" t="str">
            <v>344_2</v>
          </cell>
          <cell r="T545">
            <v>1</v>
          </cell>
          <cell r="U545">
            <v>2</v>
          </cell>
          <cell r="V545">
            <v>2</v>
          </cell>
          <cell r="W545">
            <v>1</v>
          </cell>
          <cell r="X545">
            <v>12</v>
          </cell>
          <cell r="Y545">
            <v>9</v>
          </cell>
          <cell r="Z545">
            <v>0.75</v>
          </cell>
        </row>
        <row r="546">
          <cell r="B546" t="str">
            <v>F345_1B</v>
          </cell>
          <cell r="C546" t="str">
            <v>R1_F345_1B</v>
          </cell>
          <cell r="D546">
            <v>0</v>
          </cell>
          <cell r="E546">
            <v>1</v>
          </cell>
          <cell r="F546">
            <v>365</v>
          </cell>
          <cell r="G546">
            <v>1</v>
          </cell>
          <cell r="H546">
            <v>63</v>
          </cell>
          <cell r="I546">
            <v>11</v>
          </cell>
          <cell r="J546">
            <v>5</v>
          </cell>
          <cell r="K546">
            <v>1</v>
          </cell>
          <cell r="L546">
            <v>11.03299</v>
          </cell>
          <cell r="M546">
            <v>-85.370410000000007</v>
          </cell>
          <cell r="N546" t="str">
            <v>Norte</v>
          </cell>
          <cell r="O546">
            <v>0</v>
          </cell>
          <cell r="P546" t="str">
            <v>guaymi</v>
          </cell>
          <cell r="Q546" t="str">
            <v>nambi</v>
          </cell>
          <cell r="R546" t="b">
            <v>0</v>
          </cell>
          <cell r="S546" t="str">
            <v>345_1</v>
          </cell>
          <cell r="T546">
            <v>0</v>
          </cell>
          <cell r="U546">
            <v>10</v>
          </cell>
          <cell r="V546">
            <v>3</v>
          </cell>
          <cell r="W546">
            <v>0.3</v>
          </cell>
          <cell r="X546">
            <v>45</v>
          </cell>
          <cell r="Y546">
            <v>18</v>
          </cell>
          <cell r="Z546">
            <v>0.4</v>
          </cell>
        </row>
        <row r="547">
          <cell r="B547" t="str">
            <v>F345_2B</v>
          </cell>
          <cell r="C547" t="str">
            <v>R1_F345_2B</v>
          </cell>
          <cell r="D547">
            <v>0</v>
          </cell>
          <cell r="E547">
            <v>0.5</v>
          </cell>
          <cell r="F547">
            <v>365</v>
          </cell>
          <cell r="G547">
            <v>1</v>
          </cell>
          <cell r="H547">
            <v>63</v>
          </cell>
          <cell r="I547">
            <v>11</v>
          </cell>
          <cell r="J547">
            <v>5</v>
          </cell>
          <cell r="K547">
            <v>1</v>
          </cell>
          <cell r="L547">
            <v>11.03299</v>
          </cell>
          <cell r="M547">
            <v>-85.370410000000007</v>
          </cell>
          <cell r="N547" t="str">
            <v>Norte</v>
          </cell>
          <cell r="O547">
            <v>0</v>
          </cell>
          <cell r="P547" t="str">
            <v>cabecar</v>
          </cell>
          <cell r="Q547" t="str">
            <v>other</v>
          </cell>
          <cell r="R547" t="str">
            <v>Not applicable</v>
          </cell>
          <cell r="S547" t="str">
            <v>345_2</v>
          </cell>
          <cell r="T547">
            <v>0</v>
          </cell>
          <cell r="U547">
            <v>10</v>
          </cell>
          <cell r="V547">
            <v>3</v>
          </cell>
          <cell r="W547">
            <v>0.3</v>
          </cell>
          <cell r="X547">
            <v>45</v>
          </cell>
          <cell r="Y547">
            <v>18</v>
          </cell>
          <cell r="Z547">
            <v>0.4</v>
          </cell>
        </row>
        <row r="548">
          <cell r="B548" t="str">
            <v>F346_1B</v>
          </cell>
          <cell r="C548" t="str">
            <v>R1_F346_1B</v>
          </cell>
          <cell r="D548">
            <v>1</v>
          </cell>
          <cell r="E548">
            <v>8</v>
          </cell>
          <cell r="F548">
            <v>340</v>
          </cell>
          <cell r="G548">
            <v>1</v>
          </cell>
          <cell r="H548">
            <v>50</v>
          </cell>
          <cell r="I548">
            <v>6</v>
          </cell>
          <cell r="J548">
            <v>4</v>
          </cell>
          <cell r="K548">
            <v>1</v>
          </cell>
          <cell r="L548">
            <v>11.064317000000001</v>
          </cell>
          <cell r="M548">
            <v>-85.414660999999995</v>
          </cell>
          <cell r="N548" t="str">
            <v>Norte</v>
          </cell>
          <cell r="O548">
            <v>0</v>
          </cell>
          <cell r="P548" t="str">
            <v>nambi</v>
          </cell>
          <cell r="Q548" t="str">
            <v>nambi</v>
          </cell>
          <cell r="R548" t="b">
            <v>1</v>
          </cell>
          <cell r="S548" t="str">
            <v>346_1</v>
          </cell>
          <cell r="T548">
            <v>1</v>
          </cell>
          <cell r="U548">
            <v>13</v>
          </cell>
          <cell r="V548">
            <v>4</v>
          </cell>
          <cell r="W548">
            <v>0.30769230800000003</v>
          </cell>
          <cell r="X548">
            <v>69</v>
          </cell>
          <cell r="Y548">
            <v>34</v>
          </cell>
          <cell r="Z548">
            <v>0.49275362299999997</v>
          </cell>
        </row>
        <row r="549">
          <cell r="B549" t="str">
            <v>F347_1B</v>
          </cell>
          <cell r="C549" t="str">
            <v>R1_F347_1B</v>
          </cell>
          <cell r="D549">
            <v>1</v>
          </cell>
          <cell r="E549">
            <v>2</v>
          </cell>
          <cell r="F549">
            <v>331</v>
          </cell>
          <cell r="G549">
            <v>1</v>
          </cell>
          <cell r="H549">
            <v>30</v>
          </cell>
          <cell r="I549">
            <v>11</v>
          </cell>
          <cell r="J549">
            <v>5</v>
          </cell>
          <cell r="K549">
            <v>1</v>
          </cell>
          <cell r="L549">
            <v>11.06071</v>
          </cell>
          <cell r="M549">
            <v>-85.425360999999995</v>
          </cell>
          <cell r="N549" t="str">
            <v>Norte</v>
          </cell>
          <cell r="O549">
            <v>0</v>
          </cell>
          <cell r="P549" t="str">
            <v>nambi</v>
          </cell>
          <cell r="Q549" t="str">
            <v>nambi</v>
          </cell>
          <cell r="R549" t="b">
            <v>1</v>
          </cell>
          <cell r="S549" t="str">
            <v>347_1</v>
          </cell>
          <cell r="T549">
            <v>1</v>
          </cell>
          <cell r="U549">
            <v>3</v>
          </cell>
          <cell r="V549">
            <v>1</v>
          </cell>
          <cell r="W549">
            <v>0.33333333300000001</v>
          </cell>
          <cell r="X549">
            <v>58</v>
          </cell>
          <cell r="Y549">
            <v>30</v>
          </cell>
          <cell r="Z549">
            <v>0.517241379</v>
          </cell>
        </row>
        <row r="550">
          <cell r="B550" t="str">
            <v>F348_1B</v>
          </cell>
          <cell r="C550" t="str">
            <v>R1_F348_1B</v>
          </cell>
          <cell r="D550">
            <v>1</v>
          </cell>
          <cell r="E550">
            <v>1</v>
          </cell>
          <cell r="F550">
            <v>337</v>
          </cell>
          <cell r="G550">
            <v>1</v>
          </cell>
          <cell r="H550">
            <v>62</v>
          </cell>
          <cell r="I550">
            <v>11</v>
          </cell>
          <cell r="J550">
            <v>5</v>
          </cell>
          <cell r="K550">
            <v>1</v>
          </cell>
          <cell r="L550">
            <v>11.059798000000001</v>
          </cell>
          <cell r="M550">
            <v>-85.423531999999994</v>
          </cell>
          <cell r="N550" t="str">
            <v>Norte</v>
          </cell>
          <cell r="O550">
            <v>0</v>
          </cell>
          <cell r="P550" t="str">
            <v>nambi</v>
          </cell>
          <cell r="Q550" t="str">
            <v>nambi</v>
          </cell>
          <cell r="R550" t="b">
            <v>1</v>
          </cell>
          <cell r="S550" t="str">
            <v>348_1</v>
          </cell>
          <cell r="T550">
            <v>1</v>
          </cell>
          <cell r="U550">
            <v>2</v>
          </cell>
          <cell r="V550">
            <v>1</v>
          </cell>
          <cell r="W550">
            <v>0.5</v>
          </cell>
          <cell r="X550">
            <v>52</v>
          </cell>
          <cell r="Y550">
            <v>29</v>
          </cell>
          <cell r="Z550">
            <v>0.55769230800000003</v>
          </cell>
        </row>
        <row r="551">
          <cell r="B551" t="str">
            <v>F349_1B</v>
          </cell>
          <cell r="C551" t="str">
            <v>R1_F349_1B</v>
          </cell>
          <cell r="D551">
            <v>1</v>
          </cell>
          <cell r="E551">
            <v>0.7</v>
          </cell>
          <cell r="F551">
            <v>346</v>
          </cell>
          <cell r="G551">
            <v>1</v>
          </cell>
          <cell r="H551">
            <v>55</v>
          </cell>
          <cell r="I551">
            <v>6</v>
          </cell>
          <cell r="J551">
            <v>5</v>
          </cell>
          <cell r="K551">
            <v>1</v>
          </cell>
          <cell r="L551">
            <v>11.040137</v>
          </cell>
          <cell r="M551">
            <v>-85.417923000000002</v>
          </cell>
          <cell r="N551" t="str">
            <v>Norte</v>
          </cell>
          <cell r="O551">
            <v>0</v>
          </cell>
          <cell r="P551" t="str">
            <v>cabecar</v>
          </cell>
          <cell r="Q551" t="str">
            <v>cabecar</v>
          </cell>
          <cell r="R551" t="b">
            <v>1</v>
          </cell>
          <cell r="S551" t="str">
            <v>349_1</v>
          </cell>
          <cell r="T551">
            <v>1</v>
          </cell>
          <cell r="U551">
            <v>0</v>
          </cell>
          <cell r="V551">
            <v>0</v>
          </cell>
          <cell r="W551" t="str">
            <v>NA</v>
          </cell>
          <cell r="X551">
            <v>38</v>
          </cell>
          <cell r="Y551">
            <v>19</v>
          </cell>
          <cell r="Z551">
            <v>0.5</v>
          </cell>
        </row>
        <row r="552">
          <cell r="B552" t="str">
            <v>F349_2B</v>
          </cell>
          <cell r="C552" t="str">
            <v>R1_F349_2B</v>
          </cell>
          <cell r="D552">
            <v>0</v>
          </cell>
          <cell r="E552">
            <v>1.4</v>
          </cell>
          <cell r="F552">
            <v>346</v>
          </cell>
          <cell r="G552">
            <v>1</v>
          </cell>
          <cell r="H552">
            <v>55</v>
          </cell>
          <cell r="I552">
            <v>6</v>
          </cell>
          <cell r="J552">
            <v>5</v>
          </cell>
          <cell r="K552">
            <v>1</v>
          </cell>
          <cell r="L552">
            <v>11.040137</v>
          </cell>
          <cell r="M552">
            <v>-85.417923000000002</v>
          </cell>
          <cell r="N552" t="str">
            <v>Norte</v>
          </cell>
          <cell r="O552">
            <v>0</v>
          </cell>
          <cell r="P552" t="str">
            <v>nambi</v>
          </cell>
          <cell r="Q552" t="str">
            <v>guaymi</v>
          </cell>
          <cell r="R552" t="b">
            <v>0</v>
          </cell>
          <cell r="S552" t="str">
            <v>349_2</v>
          </cell>
          <cell r="T552">
            <v>0</v>
          </cell>
          <cell r="U552">
            <v>0</v>
          </cell>
          <cell r="V552">
            <v>0</v>
          </cell>
          <cell r="W552" t="str">
            <v>NA</v>
          </cell>
          <cell r="X552">
            <v>38</v>
          </cell>
          <cell r="Y552">
            <v>19</v>
          </cell>
          <cell r="Z552">
            <v>0.5</v>
          </cell>
        </row>
        <row r="553">
          <cell r="B553" t="str">
            <v>F350_1B</v>
          </cell>
          <cell r="C553" t="str">
            <v>R1_F350_1B</v>
          </cell>
          <cell r="D553">
            <v>0</v>
          </cell>
          <cell r="E553">
            <v>1</v>
          </cell>
          <cell r="F553">
            <v>384</v>
          </cell>
          <cell r="G553">
            <v>1</v>
          </cell>
          <cell r="H553">
            <v>57</v>
          </cell>
          <cell r="I553">
            <v>5</v>
          </cell>
          <cell r="J553">
            <v>4</v>
          </cell>
          <cell r="K553">
            <v>1</v>
          </cell>
          <cell r="L553">
            <v>11.041998</v>
          </cell>
          <cell r="M553">
            <v>-85.410488000000001</v>
          </cell>
          <cell r="N553" t="str">
            <v>Norte</v>
          </cell>
          <cell r="O553">
            <v>0</v>
          </cell>
          <cell r="P553" t="str">
            <v>guaymi</v>
          </cell>
          <cell r="Q553" t="str">
            <v>other</v>
          </cell>
          <cell r="R553" t="str">
            <v>Not applicable</v>
          </cell>
          <cell r="S553" t="str">
            <v>350_1</v>
          </cell>
          <cell r="T553">
            <v>0</v>
          </cell>
          <cell r="U553">
            <v>3</v>
          </cell>
          <cell r="V553">
            <v>1</v>
          </cell>
          <cell r="W553">
            <v>0.33333333300000001</v>
          </cell>
          <cell r="X553">
            <v>41</v>
          </cell>
          <cell r="Y553">
            <v>21</v>
          </cell>
          <cell r="Z553">
            <v>0.51219512199999995</v>
          </cell>
        </row>
        <row r="554">
          <cell r="B554" t="str">
            <v>F350_2B</v>
          </cell>
          <cell r="C554" t="str">
            <v>R1_F350_2B</v>
          </cell>
          <cell r="D554">
            <v>1</v>
          </cell>
          <cell r="E554">
            <v>0.7</v>
          </cell>
          <cell r="F554">
            <v>384</v>
          </cell>
          <cell r="G554">
            <v>1</v>
          </cell>
          <cell r="H554">
            <v>57</v>
          </cell>
          <cell r="I554">
            <v>5</v>
          </cell>
          <cell r="J554">
            <v>4</v>
          </cell>
          <cell r="K554">
            <v>1</v>
          </cell>
          <cell r="L554">
            <v>11.041998</v>
          </cell>
          <cell r="M554">
            <v>-85.410488000000001</v>
          </cell>
          <cell r="N554" t="str">
            <v>Norte</v>
          </cell>
          <cell r="O554">
            <v>0</v>
          </cell>
          <cell r="P554" t="str">
            <v>nambi</v>
          </cell>
          <cell r="Q554" t="str">
            <v>nambi</v>
          </cell>
          <cell r="R554" t="b">
            <v>1</v>
          </cell>
          <cell r="S554" t="str">
            <v>350_2</v>
          </cell>
          <cell r="T554">
            <v>1</v>
          </cell>
          <cell r="U554">
            <v>3</v>
          </cell>
          <cell r="V554">
            <v>1</v>
          </cell>
          <cell r="W554">
            <v>0.33333333300000001</v>
          </cell>
          <cell r="X554">
            <v>41</v>
          </cell>
          <cell r="Y554">
            <v>21</v>
          </cell>
          <cell r="Z554">
            <v>0.51219512199999995</v>
          </cell>
        </row>
        <row r="555">
          <cell r="B555" t="str">
            <v>F350_3B</v>
          </cell>
          <cell r="C555" t="str">
            <v>R1_F350_3B</v>
          </cell>
          <cell r="D555">
            <v>0</v>
          </cell>
          <cell r="E555">
            <v>0.35</v>
          </cell>
          <cell r="F555">
            <v>384</v>
          </cell>
          <cell r="G555">
            <v>1</v>
          </cell>
          <cell r="H555">
            <v>57</v>
          </cell>
          <cell r="I555">
            <v>5</v>
          </cell>
          <cell r="J555">
            <v>4</v>
          </cell>
          <cell r="K555">
            <v>0</v>
          </cell>
          <cell r="L555">
            <v>11.041998</v>
          </cell>
          <cell r="M555">
            <v>-85.410488000000001</v>
          </cell>
          <cell r="N555" t="str">
            <v>Norte</v>
          </cell>
          <cell r="O555">
            <v>0</v>
          </cell>
          <cell r="P555" t="str">
            <v>sacapobres</v>
          </cell>
          <cell r="Q555" t="str">
            <v>rojo</v>
          </cell>
          <cell r="R555" t="str">
            <v>Not applicable</v>
          </cell>
          <cell r="S555" t="str">
            <v>350_3</v>
          </cell>
          <cell r="T555">
            <v>1</v>
          </cell>
          <cell r="U555">
            <v>3</v>
          </cell>
          <cell r="V555">
            <v>1</v>
          </cell>
          <cell r="W555">
            <v>0.33333333300000001</v>
          </cell>
          <cell r="X555">
            <v>41</v>
          </cell>
          <cell r="Y555">
            <v>21</v>
          </cell>
          <cell r="Z555">
            <v>0.51219512199999995</v>
          </cell>
        </row>
        <row r="556">
          <cell r="B556" t="str">
            <v>F351_1B</v>
          </cell>
          <cell r="C556" t="str">
            <v>R1_F351_1B</v>
          </cell>
          <cell r="D556">
            <v>0</v>
          </cell>
          <cell r="E556">
            <v>1.4</v>
          </cell>
          <cell r="F556">
            <v>313</v>
          </cell>
          <cell r="G556">
            <v>1</v>
          </cell>
          <cell r="H556">
            <v>37</v>
          </cell>
          <cell r="I556">
            <v>6</v>
          </cell>
          <cell r="J556">
            <v>5</v>
          </cell>
          <cell r="K556">
            <v>1</v>
          </cell>
          <cell r="L556">
            <v>11.079658</v>
          </cell>
          <cell r="M556">
            <v>-85.411972000000006</v>
          </cell>
          <cell r="N556" t="str">
            <v>Norte</v>
          </cell>
          <cell r="O556">
            <v>0</v>
          </cell>
          <cell r="P556" t="str">
            <v>guaymi</v>
          </cell>
          <cell r="Q556" t="str">
            <v>other</v>
          </cell>
          <cell r="R556" t="str">
            <v>Not applicable</v>
          </cell>
          <cell r="S556" t="str">
            <v>351_1</v>
          </cell>
          <cell r="T556">
            <v>0</v>
          </cell>
          <cell r="U556">
            <v>5</v>
          </cell>
          <cell r="V556">
            <v>3</v>
          </cell>
          <cell r="W556">
            <v>0.6</v>
          </cell>
          <cell r="X556">
            <v>60</v>
          </cell>
          <cell r="Y556">
            <v>24</v>
          </cell>
          <cell r="Z556">
            <v>0.4</v>
          </cell>
        </row>
        <row r="557">
          <cell r="B557" t="str">
            <v>F352_1B</v>
          </cell>
          <cell r="C557" t="str">
            <v>R1_F352_1B</v>
          </cell>
          <cell r="D557">
            <v>0</v>
          </cell>
          <cell r="E557">
            <v>0.25</v>
          </cell>
          <cell r="F557">
            <v>337</v>
          </cell>
          <cell r="G557">
            <v>1</v>
          </cell>
          <cell r="H557">
            <v>71</v>
          </cell>
          <cell r="I557">
            <v>6</v>
          </cell>
          <cell r="J557">
            <v>3</v>
          </cell>
          <cell r="K557">
            <v>1</v>
          </cell>
          <cell r="L557">
            <v>11.023536999999999</v>
          </cell>
          <cell r="M557">
            <v>-85.361459999999994</v>
          </cell>
          <cell r="N557" t="str">
            <v>Norte</v>
          </cell>
          <cell r="O557">
            <v>0</v>
          </cell>
          <cell r="P557" t="str">
            <v>nambi</v>
          </cell>
          <cell r="Q557" t="str">
            <v>rojo</v>
          </cell>
          <cell r="R557" t="str">
            <v>Not applicable</v>
          </cell>
          <cell r="S557" t="str">
            <v>352_1</v>
          </cell>
          <cell r="T557">
            <v>0</v>
          </cell>
          <cell r="U557">
            <v>3</v>
          </cell>
          <cell r="V557">
            <v>2</v>
          </cell>
          <cell r="W557">
            <v>0.66666666699999999</v>
          </cell>
          <cell r="X557">
            <v>42</v>
          </cell>
          <cell r="Y557">
            <v>16</v>
          </cell>
          <cell r="Z557">
            <v>0.38095238100000001</v>
          </cell>
        </row>
        <row r="558">
          <cell r="B558" t="str">
            <v>F352_2B</v>
          </cell>
          <cell r="C558" t="str">
            <v>R1_F352_2B</v>
          </cell>
          <cell r="D558">
            <v>0</v>
          </cell>
          <cell r="E558">
            <v>0.25</v>
          </cell>
          <cell r="F558">
            <v>337</v>
          </cell>
          <cell r="G558">
            <v>1</v>
          </cell>
          <cell r="H558">
            <v>71</v>
          </cell>
          <cell r="I558">
            <v>6</v>
          </cell>
          <cell r="J558">
            <v>3</v>
          </cell>
          <cell r="K558">
            <v>1</v>
          </cell>
          <cell r="L558">
            <v>11.023536999999999</v>
          </cell>
          <cell r="M558">
            <v>-85.361459999999994</v>
          </cell>
          <cell r="N558" t="str">
            <v>Norte</v>
          </cell>
          <cell r="O558">
            <v>0</v>
          </cell>
          <cell r="P558" t="str">
            <v>nambi</v>
          </cell>
          <cell r="Q558" t="str">
            <v>blanco</v>
          </cell>
          <cell r="R558" t="b">
            <v>0</v>
          </cell>
          <cell r="S558" t="str">
            <v>352_2</v>
          </cell>
          <cell r="T558">
            <v>0</v>
          </cell>
          <cell r="U558">
            <v>3</v>
          </cell>
          <cell r="V558">
            <v>2</v>
          </cell>
          <cell r="W558">
            <v>0.66666666699999999</v>
          </cell>
          <cell r="X558">
            <v>42</v>
          </cell>
          <cell r="Y558">
            <v>16</v>
          </cell>
          <cell r="Z558">
            <v>0.38095238100000001</v>
          </cell>
        </row>
        <row r="559">
          <cell r="B559" t="str">
            <v>F353_1B</v>
          </cell>
          <cell r="C559" t="str">
            <v>R1_F353_1B</v>
          </cell>
          <cell r="D559">
            <v>0</v>
          </cell>
          <cell r="E559">
            <v>0.5</v>
          </cell>
          <cell r="F559">
            <v>344</v>
          </cell>
          <cell r="G559">
            <v>1</v>
          </cell>
          <cell r="H559">
            <v>32</v>
          </cell>
          <cell r="I559">
            <v>6</v>
          </cell>
          <cell r="J559">
            <v>3</v>
          </cell>
          <cell r="K559">
            <v>1</v>
          </cell>
          <cell r="L559">
            <v>11.020313</v>
          </cell>
          <cell r="M559">
            <v>-85.348803000000004</v>
          </cell>
          <cell r="N559" t="str">
            <v>Norte</v>
          </cell>
          <cell r="O559">
            <v>0</v>
          </cell>
          <cell r="P559" t="str">
            <v>matambu</v>
          </cell>
          <cell r="Q559" t="str">
            <v>negro</v>
          </cell>
          <cell r="R559" t="str">
            <v>Not applicable</v>
          </cell>
          <cell r="S559" t="str">
            <v>353_1</v>
          </cell>
          <cell r="T559">
            <v>0</v>
          </cell>
          <cell r="U559">
            <v>3</v>
          </cell>
          <cell r="V559">
            <v>1</v>
          </cell>
          <cell r="W559">
            <v>0.33333333300000001</v>
          </cell>
          <cell r="X559">
            <v>32</v>
          </cell>
          <cell r="Y559">
            <v>12</v>
          </cell>
          <cell r="Z559">
            <v>0.375</v>
          </cell>
        </row>
        <row r="560">
          <cell r="B560" t="str">
            <v>F354_1B</v>
          </cell>
          <cell r="C560" t="str">
            <v>R1_F354_1B</v>
          </cell>
          <cell r="D560">
            <v>1</v>
          </cell>
          <cell r="E560">
            <v>1.5</v>
          </cell>
          <cell r="F560">
            <v>338</v>
          </cell>
          <cell r="G560">
            <v>0</v>
          </cell>
          <cell r="H560">
            <v>50</v>
          </cell>
          <cell r="I560">
            <v>3</v>
          </cell>
          <cell r="J560">
            <v>3</v>
          </cell>
          <cell r="K560">
            <v>1</v>
          </cell>
          <cell r="L560">
            <v>11.016933</v>
          </cell>
          <cell r="M560">
            <v>-85.362144999999998</v>
          </cell>
          <cell r="N560" t="str">
            <v>Norte</v>
          </cell>
          <cell r="O560">
            <v>0</v>
          </cell>
          <cell r="P560" t="str">
            <v>guaymi</v>
          </cell>
          <cell r="Q560" t="str">
            <v>guaymi</v>
          </cell>
          <cell r="R560" t="b">
            <v>1</v>
          </cell>
          <cell r="S560" t="str">
            <v>354_1</v>
          </cell>
          <cell r="T560">
            <v>1</v>
          </cell>
          <cell r="U560">
            <v>6</v>
          </cell>
          <cell r="V560">
            <v>1</v>
          </cell>
          <cell r="W560">
            <v>0.16666666699999999</v>
          </cell>
          <cell r="X560">
            <v>33</v>
          </cell>
          <cell r="Y560">
            <v>12</v>
          </cell>
          <cell r="Z560">
            <v>0.36363636399999999</v>
          </cell>
        </row>
        <row r="561">
          <cell r="B561" t="str">
            <v>F355_1B</v>
          </cell>
          <cell r="C561" t="str">
            <v>R1_F355_1B</v>
          </cell>
          <cell r="D561">
            <v>0</v>
          </cell>
          <cell r="E561">
            <v>0.7</v>
          </cell>
          <cell r="F561">
            <v>337</v>
          </cell>
          <cell r="G561">
            <v>1</v>
          </cell>
          <cell r="H561">
            <v>66</v>
          </cell>
          <cell r="I561">
            <v>6</v>
          </cell>
          <cell r="J561">
            <v>3</v>
          </cell>
          <cell r="K561">
            <v>1</v>
          </cell>
          <cell r="L561">
            <v>11.020076</v>
          </cell>
          <cell r="M561">
            <v>-85.351680000000002</v>
          </cell>
          <cell r="N561" t="str">
            <v>Norte</v>
          </cell>
          <cell r="O561">
            <v>0</v>
          </cell>
          <cell r="P561" t="str">
            <v>guaymi</v>
          </cell>
          <cell r="Q561" t="str">
            <v>dontknow</v>
          </cell>
          <cell r="R561" t="str">
            <v>Not applicable</v>
          </cell>
          <cell r="S561" t="str">
            <v>355_1</v>
          </cell>
          <cell r="T561">
            <v>0</v>
          </cell>
          <cell r="U561">
            <v>3</v>
          </cell>
          <cell r="V561">
            <v>1</v>
          </cell>
          <cell r="W561">
            <v>0.33333333300000001</v>
          </cell>
          <cell r="X561">
            <v>33</v>
          </cell>
          <cell r="Y561">
            <v>13</v>
          </cell>
          <cell r="Z561">
            <v>0.393939394</v>
          </cell>
        </row>
        <row r="562">
          <cell r="B562" t="str">
            <v>F356_1B</v>
          </cell>
          <cell r="C562" t="str">
            <v>R1_F356_1B</v>
          </cell>
          <cell r="D562">
            <v>0</v>
          </cell>
          <cell r="E562">
            <v>0.17499999999999999</v>
          </cell>
          <cell r="F562">
            <v>352</v>
          </cell>
          <cell r="G562">
            <v>1</v>
          </cell>
          <cell r="H562">
            <v>71</v>
          </cell>
          <cell r="I562">
            <v>0</v>
          </cell>
          <cell r="J562">
            <v>4</v>
          </cell>
          <cell r="K562">
            <v>0</v>
          </cell>
          <cell r="L562">
            <v>11.020557</v>
          </cell>
          <cell r="M562">
            <v>-85.348522000000003</v>
          </cell>
          <cell r="N562" t="str">
            <v>Norte</v>
          </cell>
          <cell r="O562">
            <v>0</v>
          </cell>
          <cell r="P562" t="str">
            <v>talamanca</v>
          </cell>
          <cell r="Q562" t="str">
            <v>guaymi</v>
          </cell>
          <cell r="R562" t="b">
            <v>0</v>
          </cell>
          <cell r="S562" t="str">
            <v>356_1</v>
          </cell>
          <cell r="T562">
            <v>1</v>
          </cell>
          <cell r="U562">
            <v>3</v>
          </cell>
          <cell r="V562">
            <v>0</v>
          </cell>
          <cell r="W562">
            <v>0</v>
          </cell>
          <cell r="X562">
            <v>32</v>
          </cell>
          <cell r="Y562">
            <v>11</v>
          </cell>
          <cell r="Z562">
            <v>0.34375</v>
          </cell>
        </row>
        <row r="563">
          <cell r="B563" t="str">
            <v>F357_1B</v>
          </cell>
          <cell r="C563" t="str">
            <v>R1_F357_1B</v>
          </cell>
          <cell r="D563">
            <v>0</v>
          </cell>
          <cell r="E563">
            <v>1.4</v>
          </cell>
          <cell r="F563">
            <v>345</v>
          </cell>
          <cell r="G563">
            <v>1</v>
          </cell>
          <cell r="H563">
            <v>67</v>
          </cell>
          <cell r="I563">
            <v>4</v>
          </cell>
          <cell r="J563">
            <v>3</v>
          </cell>
          <cell r="K563">
            <v>0</v>
          </cell>
          <cell r="L563">
            <v>11.016306</v>
          </cell>
          <cell r="M563">
            <v>-85.367560999999995</v>
          </cell>
          <cell r="N563" t="str">
            <v>Norte</v>
          </cell>
          <cell r="O563">
            <v>0</v>
          </cell>
          <cell r="P563" t="str">
            <v>generalito</v>
          </cell>
          <cell r="Q563" t="str">
            <v>guaymi</v>
          </cell>
          <cell r="R563" t="b">
            <v>0</v>
          </cell>
          <cell r="S563" t="str">
            <v>357_1</v>
          </cell>
          <cell r="T563">
            <v>0</v>
          </cell>
          <cell r="U563">
            <v>3</v>
          </cell>
          <cell r="V563">
            <v>2</v>
          </cell>
          <cell r="W563">
            <v>0.66666666699999999</v>
          </cell>
          <cell r="X563">
            <v>32</v>
          </cell>
          <cell r="Y563">
            <v>13</v>
          </cell>
          <cell r="Z563">
            <v>0.40625</v>
          </cell>
        </row>
        <row r="564">
          <cell r="B564" t="str">
            <v>F357_2B</v>
          </cell>
          <cell r="C564" t="str">
            <v>R1_F357_2B</v>
          </cell>
          <cell r="D564">
            <v>0</v>
          </cell>
          <cell r="E564">
            <v>0.4</v>
          </cell>
          <cell r="F564">
            <v>345</v>
          </cell>
          <cell r="G564">
            <v>1</v>
          </cell>
          <cell r="H564">
            <v>67</v>
          </cell>
          <cell r="I564">
            <v>4</v>
          </cell>
          <cell r="J564">
            <v>3</v>
          </cell>
          <cell r="K564">
            <v>1</v>
          </cell>
          <cell r="L564">
            <v>11.016306</v>
          </cell>
          <cell r="M564">
            <v>-85.367560999999995</v>
          </cell>
          <cell r="N564" t="str">
            <v>Norte</v>
          </cell>
          <cell r="O564">
            <v>0</v>
          </cell>
          <cell r="P564" t="str">
            <v>nambi</v>
          </cell>
          <cell r="Q564" t="str">
            <v>rojo</v>
          </cell>
          <cell r="R564" t="str">
            <v>Not applicable</v>
          </cell>
          <cell r="S564" t="str">
            <v>357_2</v>
          </cell>
          <cell r="T564">
            <v>0</v>
          </cell>
          <cell r="U564">
            <v>3</v>
          </cell>
          <cell r="V564">
            <v>2</v>
          </cell>
          <cell r="W564">
            <v>0.66666666699999999</v>
          </cell>
          <cell r="X564">
            <v>32</v>
          </cell>
          <cell r="Y564">
            <v>13</v>
          </cell>
          <cell r="Z564">
            <v>0.40625</v>
          </cell>
        </row>
        <row r="565">
          <cell r="B565" t="str">
            <v>F358_1B</v>
          </cell>
          <cell r="C565" t="str">
            <v>R1_F358_1B</v>
          </cell>
          <cell r="D565">
            <v>0</v>
          </cell>
          <cell r="E565">
            <v>1.4</v>
          </cell>
          <cell r="F565">
            <v>338</v>
          </cell>
          <cell r="G565">
            <v>1</v>
          </cell>
          <cell r="H565">
            <v>38</v>
          </cell>
          <cell r="I565">
            <v>10</v>
          </cell>
          <cell r="J565">
            <v>1</v>
          </cell>
          <cell r="K565">
            <v>1</v>
          </cell>
          <cell r="L565">
            <v>11.016861</v>
          </cell>
          <cell r="M565">
            <v>-85.362285</v>
          </cell>
          <cell r="N565" t="str">
            <v>Norte</v>
          </cell>
          <cell r="O565">
            <v>0</v>
          </cell>
          <cell r="P565" t="str">
            <v>nambi</v>
          </cell>
          <cell r="Q565" t="str">
            <v>guaymi</v>
          </cell>
          <cell r="R565" t="b">
            <v>0</v>
          </cell>
          <cell r="S565" t="str">
            <v>358_1</v>
          </cell>
          <cell r="T565">
            <v>1</v>
          </cell>
          <cell r="U565">
            <v>6</v>
          </cell>
          <cell r="V565">
            <v>1</v>
          </cell>
          <cell r="W565">
            <v>0.16666666699999999</v>
          </cell>
          <cell r="X565">
            <v>33</v>
          </cell>
          <cell r="Y565">
            <v>12</v>
          </cell>
          <cell r="Z565">
            <v>0.36363636399999999</v>
          </cell>
        </row>
        <row r="566">
          <cell r="B566" t="str">
            <v>F359_1B</v>
          </cell>
          <cell r="C566" t="str">
            <v>R1_F359_1B</v>
          </cell>
          <cell r="D566">
            <v>1</v>
          </cell>
          <cell r="E566">
            <v>1</v>
          </cell>
          <cell r="F566">
            <v>354</v>
          </cell>
          <cell r="G566">
            <v>0</v>
          </cell>
          <cell r="H566">
            <v>50</v>
          </cell>
          <cell r="I566">
            <v>7</v>
          </cell>
          <cell r="J566">
            <v>1</v>
          </cell>
          <cell r="K566">
            <v>1</v>
          </cell>
          <cell r="L566">
            <v>11.037222</v>
          </cell>
          <cell r="M566">
            <v>-85.373502999999999</v>
          </cell>
          <cell r="N566" t="str">
            <v>Norte</v>
          </cell>
          <cell r="O566">
            <v>0</v>
          </cell>
          <cell r="P566" t="str">
            <v>guaymi</v>
          </cell>
          <cell r="Q566" t="str">
            <v>guaymi</v>
          </cell>
          <cell r="R566" t="b">
            <v>1</v>
          </cell>
          <cell r="S566" t="str">
            <v>359_1</v>
          </cell>
          <cell r="T566">
            <v>1</v>
          </cell>
          <cell r="U566">
            <v>9</v>
          </cell>
          <cell r="V566">
            <v>2</v>
          </cell>
          <cell r="W566">
            <v>0.222222222</v>
          </cell>
          <cell r="X566">
            <v>46</v>
          </cell>
          <cell r="Y566">
            <v>17</v>
          </cell>
          <cell r="Z566">
            <v>0.369565217</v>
          </cell>
        </row>
        <row r="567">
          <cell r="B567" t="str">
            <v>F359_2A</v>
          </cell>
          <cell r="C567" t="str">
            <v>R1_F359_2A</v>
          </cell>
          <cell r="D567">
            <v>0</v>
          </cell>
          <cell r="E567">
            <v>1</v>
          </cell>
          <cell r="F567">
            <v>354</v>
          </cell>
          <cell r="G567">
            <v>0</v>
          </cell>
          <cell r="H567">
            <v>50</v>
          </cell>
          <cell r="I567">
            <v>7</v>
          </cell>
          <cell r="J567">
            <v>1</v>
          </cell>
          <cell r="K567">
            <v>1</v>
          </cell>
          <cell r="L567">
            <v>11.037222</v>
          </cell>
          <cell r="M567">
            <v>-85.373502999999999</v>
          </cell>
          <cell r="N567" t="str">
            <v>Norte</v>
          </cell>
          <cell r="O567">
            <v>0</v>
          </cell>
          <cell r="P567" t="str">
            <v>guaymi</v>
          </cell>
          <cell r="Q567" t="str">
            <v>brunca</v>
          </cell>
          <cell r="R567" t="b">
            <v>0</v>
          </cell>
          <cell r="S567" t="str">
            <v>359_2</v>
          </cell>
          <cell r="T567">
            <v>0</v>
          </cell>
          <cell r="U567">
            <v>9</v>
          </cell>
          <cell r="V567">
            <v>2</v>
          </cell>
          <cell r="W567">
            <v>0.222222222</v>
          </cell>
          <cell r="X567">
            <v>46</v>
          </cell>
          <cell r="Y567">
            <v>17</v>
          </cell>
          <cell r="Z567">
            <v>0.369565217</v>
          </cell>
        </row>
        <row r="568">
          <cell r="B568" t="str">
            <v>F359_3A</v>
          </cell>
          <cell r="C568" t="str">
            <v>R1_F359_3A</v>
          </cell>
          <cell r="D568">
            <v>0</v>
          </cell>
          <cell r="E568">
            <v>0.98</v>
          </cell>
          <cell r="F568">
            <v>354</v>
          </cell>
          <cell r="G568">
            <v>0</v>
          </cell>
          <cell r="H568">
            <v>50</v>
          </cell>
          <cell r="I568">
            <v>7</v>
          </cell>
          <cell r="J568">
            <v>1</v>
          </cell>
          <cell r="K568">
            <v>0</v>
          </cell>
          <cell r="L568">
            <v>11.037222</v>
          </cell>
          <cell r="M568">
            <v>-85.373502999999999</v>
          </cell>
          <cell r="N568" t="str">
            <v>Norte</v>
          </cell>
          <cell r="O568">
            <v>0</v>
          </cell>
          <cell r="P568" t="str">
            <v>gibre</v>
          </cell>
          <cell r="Q568" t="str">
            <v>other</v>
          </cell>
          <cell r="R568" t="str">
            <v>Not applicable</v>
          </cell>
          <cell r="S568" t="str">
            <v>359_3</v>
          </cell>
          <cell r="T568">
            <v>0</v>
          </cell>
          <cell r="U568">
            <v>9</v>
          </cell>
          <cell r="V568">
            <v>2</v>
          </cell>
          <cell r="W568">
            <v>0.222222222</v>
          </cell>
          <cell r="X568">
            <v>46</v>
          </cell>
          <cell r="Y568">
            <v>17</v>
          </cell>
          <cell r="Z568">
            <v>0.369565217</v>
          </cell>
        </row>
        <row r="569">
          <cell r="B569" t="str">
            <v>F360_1B</v>
          </cell>
          <cell r="C569" t="str">
            <v>R1_F360_1B</v>
          </cell>
          <cell r="D569">
            <v>0</v>
          </cell>
          <cell r="E569">
            <v>0.5</v>
          </cell>
          <cell r="F569">
            <v>358</v>
          </cell>
          <cell r="G569">
            <v>0</v>
          </cell>
          <cell r="H569">
            <v>64</v>
          </cell>
          <cell r="I569">
            <v>6</v>
          </cell>
          <cell r="J569">
            <v>4</v>
          </cell>
          <cell r="K569">
            <v>0</v>
          </cell>
          <cell r="L569">
            <v>11.021127999999999</v>
          </cell>
          <cell r="M569">
            <v>-85.348046999999994</v>
          </cell>
          <cell r="N569" t="str">
            <v>Norte</v>
          </cell>
          <cell r="O569">
            <v>0</v>
          </cell>
          <cell r="P569" t="str">
            <v>SEF 62</v>
          </cell>
          <cell r="Q569" t="str">
            <v>talamanca</v>
          </cell>
          <cell r="R569" t="b">
            <v>0</v>
          </cell>
          <cell r="S569" t="str">
            <v>360_1</v>
          </cell>
          <cell r="T569">
            <v>0</v>
          </cell>
          <cell r="U569">
            <v>3</v>
          </cell>
          <cell r="V569">
            <v>1</v>
          </cell>
          <cell r="W569">
            <v>0.33333333300000001</v>
          </cell>
          <cell r="X569">
            <v>32</v>
          </cell>
          <cell r="Y569">
            <v>12</v>
          </cell>
          <cell r="Z569">
            <v>0.375</v>
          </cell>
        </row>
        <row r="570">
          <cell r="B570" t="str">
            <v>F361_1B</v>
          </cell>
          <cell r="C570" t="str">
            <v>R1_F361_1B</v>
          </cell>
          <cell r="D570">
            <v>0</v>
          </cell>
          <cell r="E570">
            <v>1</v>
          </cell>
          <cell r="F570">
            <v>357</v>
          </cell>
          <cell r="G570">
            <v>0</v>
          </cell>
          <cell r="H570">
            <v>34</v>
          </cell>
          <cell r="I570">
            <v>11</v>
          </cell>
          <cell r="J570">
            <v>5</v>
          </cell>
          <cell r="K570">
            <v>0</v>
          </cell>
          <cell r="L570">
            <v>11.032482</v>
          </cell>
          <cell r="M570">
            <v>-85.363061999999999</v>
          </cell>
          <cell r="N570" t="str">
            <v>Norte</v>
          </cell>
          <cell r="O570">
            <v>0</v>
          </cell>
          <cell r="P570" t="str">
            <v>talamanca</v>
          </cell>
          <cell r="Q570" t="str">
            <v>guaymi</v>
          </cell>
          <cell r="R570" t="b">
            <v>0</v>
          </cell>
          <cell r="S570" t="str">
            <v>361_1</v>
          </cell>
          <cell r="T570">
            <v>0</v>
          </cell>
          <cell r="U570">
            <v>6</v>
          </cell>
          <cell r="V570">
            <v>3</v>
          </cell>
          <cell r="W570">
            <v>0.5</v>
          </cell>
          <cell r="X570">
            <v>43</v>
          </cell>
          <cell r="Y570">
            <v>16</v>
          </cell>
          <cell r="Z570">
            <v>0.37209302300000002</v>
          </cell>
        </row>
        <row r="571">
          <cell r="B571" t="str">
            <v>F362_1B</v>
          </cell>
          <cell r="C571" t="str">
            <v>R1_F362_1B</v>
          </cell>
          <cell r="D571">
            <v>0</v>
          </cell>
          <cell r="E571">
            <v>1</v>
          </cell>
          <cell r="F571">
            <v>182</v>
          </cell>
          <cell r="G571">
            <v>0</v>
          </cell>
          <cell r="H571">
            <v>46</v>
          </cell>
          <cell r="I571">
            <v>6</v>
          </cell>
          <cell r="J571">
            <v>4</v>
          </cell>
          <cell r="K571">
            <v>1</v>
          </cell>
          <cell r="L571">
            <v>11.101372</v>
          </cell>
          <cell r="M571">
            <v>-85.417761999999996</v>
          </cell>
          <cell r="N571" t="str">
            <v>Norte</v>
          </cell>
          <cell r="O571">
            <v>0</v>
          </cell>
          <cell r="P571" t="str">
            <v>nambi</v>
          </cell>
          <cell r="Q571" t="str">
            <v>guaymi</v>
          </cell>
          <cell r="R571" t="b">
            <v>0</v>
          </cell>
          <cell r="S571" t="str">
            <v>362_1</v>
          </cell>
          <cell r="T571">
            <v>0</v>
          </cell>
          <cell r="U571">
            <v>10</v>
          </cell>
          <cell r="V571">
            <v>5</v>
          </cell>
          <cell r="W571">
            <v>0.5</v>
          </cell>
          <cell r="X571">
            <v>30</v>
          </cell>
          <cell r="Y571">
            <v>13</v>
          </cell>
          <cell r="Z571">
            <v>0.43333333299999999</v>
          </cell>
        </row>
        <row r="572">
          <cell r="B572" t="str">
            <v>F363_1B</v>
          </cell>
          <cell r="C572" t="str">
            <v>R1_F363_1B</v>
          </cell>
          <cell r="D572">
            <v>0</v>
          </cell>
          <cell r="E572">
            <v>1</v>
          </cell>
          <cell r="F572">
            <v>359</v>
          </cell>
          <cell r="G572">
            <v>1</v>
          </cell>
          <cell r="H572">
            <v>40</v>
          </cell>
          <cell r="I572">
            <v>2</v>
          </cell>
          <cell r="J572">
            <v>6</v>
          </cell>
          <cell r="K572">
            <v>1</v>
          </cell>
          <cell r="L572">
            <v>11.033955000000001</v>
          </cell>
          <cell r="M572">
            <v>-85.362791999999999</v>
          </cell>
          <cell r="N572" t="str">
            <v>Norte</v>
          </cell>
          <cell r="O572">
            <v>0</v>
          </cell>
          <cell r="P572" t="str">
            <v>tayni</v>
          </cell>
          <cell r="Q572" t="str">
            <v>cabecar</v>
          </cell>
          <cell r="R572" t="b">
            <v>0</v>
          </cell>
          <cell r="S572" t="str">
            <v>363_1</v>
          </cell>
          <cell r="T572">
            <v>0</v>
          </cell>
          <cell r="U572">
            <v>4</v>
          </cell>
          <cell r="V572">
            <v>3</v>
          </cell>
          <cell r="W572">
            <v>0.75</v>
          </cell>
          <cell r="X572">
            <v>43</v>
          </cell>
          <cell r="Y572">
            <v>16</v>
          </cell>
          <cell r="Z572">
            <v>0.37209302300000002</v>
          </cell>
        </row>
        <row r="573">
          <cell r="B573" t="str">
            <v>F364_1B</v>
          </cell>
          <cell r="C573" t="str">
            <v>R1_F364_1B</v>
          </cell>
          <cell r="D573">
            <v>1</v>
          </cell>
          <cell r="E573">
            <v>2.1</v>
          </cell>
          <cell r="F573">
            <v>82</v>
          </cell>
          <cell r="G573">
            <v>1</v>
          </cell>
          <cell r="H573">
            <v>58</v>
          </cell>
          <cell r="I573">
            <v>1</v>
          </cell>
          <cell r="J573">
            <v>3</v>
          </cell>
          <cell r="K573">
            <v>1</v>
          </cell>
          <cell r="L573">
            <v>11.107047</v>
          </cell>
          <cell r="M573">
            <v>-85.343181999999999</v>
          </cell>
          <cell r="N573" t="str">
            <v>Norte</v>
          </cell>
          <cell r="O573">
            <v>0</v>
          </cell>
          <cell r="P573" t="str">
            <v>nambi</v>
          </cell>
          <cell r="Q573" t="str">
            <v>nambi</v>
          </cell>
          <cell r="R573" t="b">
            <v>1</v>
          </cell>
          <cell r="S573" t="str">
            <v>364_1</v>
          </cell>
          <cell r="T573">
            <v>1</v>
          </cell>
          <cell r="U573">
            <v>6</v>
          </cell>
          <cell r="V573">
            <v>1</v>
          </cell>
          <cell r="W573">
            <v>0.16666666699999999</v>
          </cell>
          <cell r="X573">
            <v>13</v>
          </cell>
          <cell r="Y573">
            <v>5</v>
          </cell>
          <cell r="Z573">
            <v>0.38461538499999998</v>
          </cell>
        </row>
        <row r="574">
          <cell r="B574" t="str">
            <v>F364_2B</v>
          </cell>
          <cell r="C574" t="str">
            <v>R1_F364_2B</v>
          </cell>
          <cell r="D574">
            <v>0</v>
          </cell>
          <cell r="E574">
            <v>2.1</v>
          </cell>
          <cell r="F574">
            <v>82</v>
          </cell>
          <cell r="G574">
            <v>1</v>
          </cell>
          <cell r="H574">
            <v>58</v>
          </cell>
          <cell r="I574">
            <v>1</v>
          </cell>
          <cell r="J574">
            <v>3</v>
          </cell>
          <cell r="K574">
            <v>0</v>
          </cell>
          <cell r="L574">
            <v>11.107047</v>
          </cell>
          <cell r="M574">
            <v>-85.343181999999999</v>
          </cell>
          <cell r="N574" t="str">
            <v>Norte</v>
          </cell>
          <cell r="O574">
            <v>0</v>
          </cell>
          <cell r="P574" t="str">
            <v>victoria</v>
          </cell>
          <cell r="Q574" t="str">
            <v>other</v>
          </cell>
          <cell r="R574" t="str">
            <v>Not applicable</v>
          </cell>
          <cell r="S574" t="str">
            <v>364_2</v>
          </cell>
          <cell r="T574">
            <v>0</v>
          </cell>
          <cell r="U574">
            <v>6</v>
          </cell>
          <cell r="V574">
            <v>1</v>
          </cell>
          <cell r="W574">
            <v>0.16666666699999999</v>
          </cell>
          <cell r="X574">
            <v>13</v>
          </cell>
          <cell r="Y574">
            <v>5</v>
          </cell>
          <cell r="Z574">
            <v>0.38461538499999998</v>
          </cell>
        </row>
        <row r="575">
          <cell r="B575" t="str">
            <v>F365_1B</v>
          </cell>
          <cell r="C575" t="str">
            <v>R1_F365_1B</v>
          </cell>
          <cell r="D575">
            <v>1</v>
          </cell>
          <cell r="E575">
            <v>1.05</v>
          </cell>
          <cell r="F575">
            <v>178</v>
          </cell>
          <cell r="G575">
            <v>1</v>
          </cell>
          <cell r="H575">
            <v>52</v>
          </cell>
          <cell r="I575">
            <v>3</v>
          </cell>
          <cell r="J575">
            <v>4</v>
          </cell>
          <cell r="K575">
            <v>1</v>
          </cell>
          <cell r="L575">
            <v>11.097758000000001</v>
          </cell>
          <cell r="M575">
            <v>-85.350952000000007</v>
          </cell>
          <cell r="N575" t="str">
            <v>Norte</v>
          </cell>
          <cell r="O575">
            <v>0</v>
          </cell>
          <cell r="P575" t="str">
            <v>guaymi</v>
          </cell>
          <cell r="Q575" t="str">
            <v>guaymi</v>
          </cell>
          <cell r="R575" t="b">
            <v>1</v>
          </cell>
          <cell r="S575" t="str">
            <v>365_1</v>
          </cell>
          <cell r="T575">
            <v>1</v>
          </cell>
          <cell r="U575">
            <v>4</v>
          </cell>
          <cell r="V575">
            <v>2</v>
          </cell>
          <cell r="W575">
            <v>0.5</v>
          </cell>
          <cell r="X575">
            <v>19</v>
          </cell>
          <cell r="Y575">
            <v>7</v>
          </cell>
          <cell r="Z575">
            <v>0.368421053</v>
          </cell>
        </row>
        <row r="576">
          <cell r="B576" t="str">
            <v>F365_2B</v>
          </cell>
          <cell r="C576" t="str">
            <v>R1_F365_2B</v>
          </cell>
          <cell r="D576">
            <v>0</v>
          </cell>
          <cell r="E576">
            <v>1.5</v>
          </cell>
          <cell r="F576">
            <v>178</v>
          </cell>
          <cell r="G576">
            <v>1</v>
          </cell>
          <cell r="H576">
            <v>52</v>
          </cell>
          <cell r="I576">
            <v>3</v>
          </cell>
          <cell r="J576">
            <v>4</v>
          </cell>
          <cell r="K576">
            <v>0</v>
          </cell>
          <cell r="L576">
            <v>11.097758000000001</v>
          </cell>
          <cell r="M576">
            <v>-85.350952000000007</v>
          </cell>
          <cell r="N576" t="str">
            <v>Norte</v>
          </cell>
          <cell r="O576">
            <v>0</v>
          </cell>
          <cell r="P576" t="str">
            <v>generalito</v>
          </cell>
          <cell r="Q576" t="str">
            <v>rojo</v>
          </cell>
          <cell r="R576" t="str">
            <v>Not applicable</v>
          </cell>
          <cell r="S576" t="str">
            <v>365_2</v>
          </cell>
          <cell r="T576">
            <v>0</v>
          </cell>
          <cell r="U576">
            <v>4</v>
          </cell>
          <cell r="V576">
            <v>2</v>
          </cell>
          <cell r="W576">
            <v>0.5</v>
          </cell>
          <cell r="X576">
            <v>19</v>
          </cell>
          <cell r="Y576">
            <v>7</v>
          </cell>
          <cell r="Z576">
            <v>0.368421053</v>
          </cell>
        </row>
        <row r="577">
          <cell r="B577" t="str">
            <v>F366_1B</v>
          </cell>
          <cell r="C577" t="str">
            <v>R1_F366_1B</v>
          </cell>
          <cell r="D577">
            <v>1</v>
          </cell>
          <cell r="E577">
            <v>1.4</v>
          </cell>
          <cell r="F577">
            <v>101</v>
          </cell>
          <cell r="G577">
            <v>1</v>
          </cell>
          <cell r="H577">
            <v>49</v>
          </cell>
          <cell r="I577">
            <v>6</v>
          </cell>
          <cell r="J577">
            <v>3</v>
          </cell>
          <cell r="K577">
            <v>1</v>
          </cell>
          <cell r="L577">
            <v>11.104069000000001</v>
          </cell>
          <cell r="M577">
            <v>-85.345237999999995</v>
          </cell>
          <cell r="N577" t="str">
            <v>Norte</v>
          </cell>
          <cell r="O577">
            <v>0</v>
          </cell>
          <cell r="P577" t="str">
            <v>guaymi</v>
          </cell>
          <cell r="Q577" t="str">
            <v>guaymi</v>
          </cell>
          <cell r="R577" t="b">
            <v>1</v>
          </cell>
          <cell r="S577" t="str">
            <v>366_1</v>
          </cell>
          <cell r="T577">
            <v>1</v>
          </cell>
          <cell r="U577">
            <v>7</v>
          </cell>
          <cell r="V577">
            <v>2</v>
          </cell>
          <cell r="W577">
            <v>0.28571428599999998</v>
          </cell>
          <cell r="X577">
            <v>13</v>
          </cell>
          <cell r="Y577">
            <v>5</v>
          </cell>
          <cell r="Z577">
            <v>0.38461538499999998</v>
          </cell>
        </row>
        <row r="578">
          <cell r="B578" t="str">
            <v>F366_2B</v>
          </cell>
          <cell r="C578" t="str">
            <v>R1_F366_2B</v>
          </cell>
          <cell r="D578">
            <v>0</v>
          </cell>
          <cell r="E578">
            <v>0.7</v>
          </cell>
          <cell r="F578">
            <v>101</v>
          </cell>
          <cell r="G578">
            <v>1</v>
          </cell>
          <cell r="H578">
            <v>49</v>
          </cell>
          <cell r="I578">
            <v>6</v>
          </cell>
          <cell r="J578">
            <v>3</v>
          </cell>
          <cell r="K578">
            <v>0</v>
          </cell>
          <cell r="L578">
            <v>11.104069000000001</v>
          </cell>
          <cell r="M578">
            <v>-85.345237999999995</v>
          </cell>
          <cell r="N578" t="str">
            <v>Norte</v>
          </cell>
          <cell r="O578">
            <v>0</v>
          </cell>
          <cell r="P578" t="str">
            <v>tequila</v>
          </cell>
          <cell r="Q578" t="str">
            <v>cabecar</v>
          </cell>
          <cell r="R578" t="b">
            <v>0</v>
          </cell>
          <cell r="S578" t="str">
            <v>366_2</v>
          </cell>
          <cell r="T578">
            <v>0</v>
          </cell>
          <cell r="U578">
            <v>7</v>
          </cell>
          <cell r="V578">
            <v>2</v>
          </cell>
          <cell r="W578">
            <v>0.28571428599999998</v>
          </cell>
          <cell r="X578">
            <v>13</v>
          </cell>
          <cell r="Y578">
            <v>5</v>
          </cell>
          <cell r="Z578">
            <v>0.38461538499999998</v>
          </cell>
        </row>
        <row r="579">
          <cell r="B579" t="str">
            <v>F367_1B</v>
          </cell>
          <cell r="C579" t="str">
            <v>R1_F367_1B</v>
          </cell>
          <cell r="D579">
            <v>0</v>
          </cell>
          <cell r="E579">
            <v>0.7</v>
          </cell>
          <cell r="F579">
            <v>82</v>
          </cell>
          <cell r="G579">
            <v>1</v>
          </cell>
          <cell r="H579">
            <v>48</v>
          </cell>
          <cell r="I579">
            <v>6</v>
          </cell>
          <cell r="J579">
            <v>1</v>
          </cell>
          <cell r="K579">
            <v>1</v>
          </cell>
          <cell r="L579">
            <v>11.106206</v>
          </cell>
          <cell r="M579">
            <v>-85.34187</v>
          </cell>
          <cell r="N579" t="str">
            <v>Norte</v>
          </cell>
          <cell r="O579">
            <v>0</v>
          </cell>
          <cell r="P579" t="str">
            <v>guaymi</v>
          </cell>
          <cell r="Q579" t="str">
            <v>cabecar</v>
          </cell>
          <cell r="R579" t="b">
            <v>0</v>
          </cell>
          <cell r="S579" t="str">
            <v>367_1</v>
          </cell>
          <cell r="T579">
            <v>0</v>
          </cell>
          <cell r="U579">
            <v>6</v>
          </cell>
          <cell r="V579">
            <v>2</v>
          </cell>
          <cell r="W579">
            <v>0.33333333300000001</v>
          </cell>
          <cell r="X579">
            <v>13</v>
          </cell>
          <cell r="Y579">
            <v>6</v>
          </cell>
          <cell r="Z579">
            <v>0.46153846199999998</v>
          </cell>
        </row>
        <row r="580">
          <cell r="B580" t="str">
            <v>F367_2B</v>
          </cell>
          <cell r="C580" t="str">
            <v>R1_F367_2B</v>
          </cell>
          <cell r="D580">
            <v>0</v>
          </cell>
          <cell r="E580">
            <v>1.4</v>
          </cell>
          <cell r="F580">
            <v>82</v>
          </cell>
          <cell r="G580">
            <v>1</v>
          </cell>
          <cell r="H580">
            <v>48</v>
          </cell>
          <cell r="I580">
            <v>6</v>
          </cell>
          <cell r="J580">
            <v>1</v>
          </cell>
          <cell r="K580">
            <v>1</v>
          </cell>
          <cell r="L580">
            <v>11.106206</v>
          </cell>
          <cell r="M580">
            <v>-85.34187</v>
          </cell>
          <cell r="N580" t="str">
            <v>Norte</v>
          </cell>
          <cell r="O580">
            <v>0</v>
          </cell>
          <cell r="P580" t="str">
            <v>nambi</v>
          </cell>
          <cell r="Q580" t="str">
            <v>other</v>
          </cell>
          <cell r="R580" t="str">
            <v>Not applicable</v>
          </cell>
          <cell r="S580" t="str">
            <v>367_2</v>
          </cell>
          <cell r="T580">
            <v>0</v>
          </cell>
          <cell r="U580">
            <v>6</v>
          </cell>
          <cell r="V580">
            <v>2</v>
          </cell>
          <cell r="W580">
            <v>0.33333333300000001</v>
          </cell>
          <cell r="X580">
            <v>13</v>
          </cell>
          <cell r="Y580">
            <v>6</v>
          </cell>
          <cell r="Z580">
            <v>0.46153846199999998</v>
          </cell>
        </row>
        <row r="581">
          <cell r="B581" t="str">
            <v>F368_1B</v>
          </cell>
          <cell r="C581" t="str">
            <v>R1_F368_1B</v>
          </cell>
          <cell r="D581">
            <v>1</v>
          </cell>
          <cell r="E581">
            <v>0.5</v>
          </cell>
          <cell r="F581">
            <v>165</v>
          </cell>
          <cell r="G581">
            <v>1</v>
          </cell>
          <cell r="H581">
            <v>42</v>
          </cell>
          <cell r="I581">
            <v>12</v>
          </cell>
          <cell r="J581">
            <v>3</v>
          </cell>
          <cell r="K581">
            <v>0</v>
          </cell>
          <cell r="L581">
            <v>11.099501999999999</v>
          </cell>
          <cell r="M581">
            <v>-85.347803999999996</v>
          </cell>
          <cell r="N581" t="str">
            <v>Norte</v>
          </cell>
          <cell r="O581">
            <v>0</v>
          </cell>
          <cell r="P581" t="str">
            <v>sacapobres</v>
          </cell>
          <cell r="Q581" t="str">
            <v>sacapobres</v>
          </cell>
          <cell r="R581" t="b">
            <v>1</v>
          </cell>
          <cell r="S581" t="str">
            <v>368_1</v>
          </cell>
          <cell r="T581">
            <v>1</v>
          </cell>
          <cell r="U581">
            <v>9</v>
          </cell>
          <cell r="V581">
            <v>3</v>
          </cell>
          <cell r="W581">
            <v>0.33333333300000001</v>
          </cell>
          <cell r="X581">
            <v>20</v>
          </cell>
          <cell r="Y581">
            <v>7</v>
          </cell>
          <cell r="Z581">
            <v>0.35</v>
          </cell>
        </row>
        <row r="582">
          <cell r="B582" t="str">
            <v>F369_1B</v>
          </cell>
          <cell r="C582" t="str">
            <v>R1_F369_1B</v>
          </cell>
          <cell r="D582">
            <v>0</v>
          </cell>
          <cell r="E582">
            <v>2</v>
          </cell>
          <cell r="F582">
            <v>88</v>
          </cell>
          <cell r="G582">
            <v>1</v>
          </cell>
          <cell r="H582">
            <v>42</v>
          </cell>
          <cell r="I582">
            <v>6</v>
          </cell>
          <cell r="J582">
            <v>3</v>
          </cell>
          <cell r="K582">
            <v>1</v>
          </cell>
          <cell r="L582">
            <v>11.106980999999999</v>
          </cell>
          <cell r="M582">
            <v>-85.345038000000002</v>
          </cell>
          <cell r="N582" t="str">
            <v>Norte</v>
          </cell>
          <cell r="O582">
            <v>0</v>
          </cell>
          <cell r="P582" t="str">
            <v>nambi</v>
          </cell>
          <cell r="Q582" t="str">
            <v>guaymi</v>
          </cell>
          <cell r="R582" t="b">
            <v>0</v>
          </cell>
          <cell r="S582" t="str">
            <v>369_1</v>
          </cell>
          <cell r="T582">
            <v>0</v>
          </cell>
          <cell r="U582">
            <v>7</v>
          </cell>
          <cell r="V582">
            <v>3</v>
          </cell>
          <cell r="W582">
            <v>0.428571429</v>
          </cell>
          <cell r="X582">
            <v>13</v>
          </cell>
          <cell r="Y582">
            <v>6</v>
          </cell>
          <cell r="Z582">
            <v>0.46153846199999998</v>
          </cell>
        </row>
        <row r="583">
          <cell r="B583" t="str">
            <v>F369_2B</v>
          </cell>
          <cell r="C583" t="str">
            <v>R1_F369_2B</v>
          </cell>
          <cell r="D583">
            <v>0</v>
          </cell>
          <cell r="E583">
            <v>2</v>
          </cell>
          <cell r="F583">
            <v>88</v>
          </cell>
          <cell r="G583">
            <v>1</v>
          </cell>
          <cell r="H583">
            <v>42</v>
          </cell>
          <cell r="I583">
            <v>6</v>
          </cell>
          <cell r="J583">
            <v>3</v>
          </cell>
          <cell r="K583">
            <v>0</v>
          </cell>
          <cell r="L583">
            <v>11.106980999999999</v>
          </cell>
          <cell r="M583">
            <v>-85.345038000000002</v>
          </cell>
          <cell r="N583" t="str">
            <v>Norte</v>
          </cell>
          <cell r="O583">
            <v>0</v>
          </cell>
          <cell r="P583" t="str">
            <v>generalito</v>
          </cell>
          <cell r="Q583" t="str">
            <v>other</v>
          </cell>
          <cell r="R583" t="str">
            <v>Not applicable</v>
          </cell>
          <cell r="S583" t="str">
            <v>369_2</v>
          </cell>
          <cell r="T583">
            <v>0</v>
          </cell>
          <cell r="U583">
            <v>7</v>
          </cell>
          <cell r="V583">
            <v>3</v>
          </cell>
          <cell r="W583">
            <v>0.428571429</v>
          </cell>
          <cell r="X583">
            <v>13</v>
          </cell>
          <cell r="Y583">
            <v>6</v>
          </cell>
          <cell r="Z583">
            <v>0.46153846199999998</v>
          </cell>
        </row>
        <row r="584">
          <cell r="B584" t="str">
            <v>F370_1B</v>
          </cell>
          <cell r="C584" t="str">
            <v>R1_F370_1B</v>
          </cell>
          <cell r="D584">
            <v>0</v>
          </cell>
          <cell r="E584">
            <v>1</v>
          </cell>
          <cell r="F584">
            <v>220</v>
          </cell>
          <cell r="G584">
            <v>1</v>
          </cell>
          <cell r="H584">
            <v>42</v>
          </cell>
          <cell r="I584">
            <v>6</v>
          </cell>
          <cell r="J584">
            <v>3</v>
          </cell>
          <cell r="K584">
            <v>0</v>
          </cell>
          <cell r="L584">
            <v>11.09623</v>
          </cell>
          <cell r="M584">
            <v>-85.347476999999998</v>
          </cell>
          <cell r="N584" t="str">
            <v>Norte</v>
          </cell>
          <cell r="O584">
            <v>0</v>
          </cell>
          <cell r="P584" t="str">
            <v>generalito</v>
          </cell>
          <cell r="Q584" t="str">
            <v>rojo</v>
          </cell>
          <cell r="R584" t="str">
            <v>Not applicable</v>
          </cell>
          <cell r="S584" t="str">
            <v>370_1</v>
          </cell>
          <cell r="T584">
            <v>0</v>
          </cell>
          <cell r="U584">
            <v>3</v>
          </cell>
          <cell r="V584">
            <v>2</v>
          </cell>
          <cell r="W584">
            <v>0.66666666699999999</v>
          </cell>
          <cell r="X584">
            <v>18</v>
          </cell>
          <cell r="Y584">
            <v>7</v>
          </cell>
          <cell r="Z584">
            <v>0.38888888900000002</v>
          </cell>
        </row>
        <row r="585">
          <cell r="B585" t="str">
            <v>F370_2B</v>
          </cell>
          <cell r="C585" t="str">
            <v>R1_F370_2B</v>
          </cell>
          <cell r="D585">
            <v>0</v>
          </cell>
          <cell r="E585">
            <v>4</v>
          </cell>
          <cell r="F585">
            <v>220</v>
          </cell>
          <cell r="G585">
            <v>1</v>
          </cell>
          <cell r="H585">
            <v>42</v>
          </cell>
          <cell r="I585">
            <v>6</v>
          </cell>
          <cell r="J585">
            <v>3</v>
          </cell>
          <cell r="K585">
            <v>0</v>
          </cell>
          <cell r="L585">
            <v>11.09623</v>
          </cell>
          <cell r="M585">
            <v>-85.347476999999998</v>
          </cell>
          <cell r="N585" t="str">
            <v>Norte</v>
          </cell>
          <cell r="O585">
            <v>0</v>
          </cell>
          <cell r="P585" t="str">
            <v>victoria</v>
          </cell>
          <cell r="Q585" t="str">
            <v>cabecar</v>
          </cell>
          <cell r="R585" t="b">
            <v>0</v>
          </cell>
          <cell r="S585" t="str">
            <v>370_2</v>
          </cell>
          <cell r="T585">
            <v>0</v>
          </cell>
          <cell r="U585">
            <v>3</v>
          </cell>
          <cell r="V585">
            <v>2</v>
          </cell>
          <cell r="W585">
            <v>0.66666666699999999</v>
          </cell>
          <cell r="X585">
            <v>18</v>
          </cell>
          <cell r="Y585">
            <v>7</v>
          </cell>
          <cell r="Z585">
            <v>0.38888888900000002</v>
          </cell>
        </row>
        <row r="586">
          <cell r="B586" t="str">
            <v>F370_3B</v>
          </cell>
          <cell r="C586" t="str">
            <v>R1_F370_3B</v>
          </cell>
          <cell r="D586">
            <v>1</v>
          </cell>
          <cell r="E586">
            <v>8</v>
          </cell>
          <cell r="F586">
            <v>220</v>
          </cell>
          <cell r="G586">
            <v>1</v>
          </cell>
          <cell r="H586">
            <v>42</v>
          </cell>
          <cell r="I586">
            <v>6</v>
          </cell>
          <cell r="J586">
            <v>3</v>
          </cell>
          <cell r="K586">
            <v>1</v>
          </cell>
          <cell r="L586">
            <v>11.09623</v>
          </cell>
          <cell r="M586">
            <v>-85.347476999999998</v>
          </cell>
          <cell r="N586" t="str">
            <v>Norte</v>
          </cell>
          <cell r="O586">
            <v>0</v>
          </cell>
          <cell r="P586" t="str">
            <v>nambi</v>
          </cell>
          <cell r="Q586" t="str">
            <v>nambi</v>
          </cell>
          <cell r="R586" t="b">
            <v>1</v>
          </cell>
          <cell r="S586" t="str">
            <v>370_3</v>
          </cell>
          <cell r="T586">
            <v>1</v>
          </cell>
          <cell r="U586">
            <v>3</v>
          </cell>
          <cell r="V586">
            <v>2</v>
          </cell>
          <cell r="W586">
            <v>0.66666666699999999</v>
          </cell>
          <cell r="X586">
            <v>18</v>
          </cell>
          <cell r="Y586">
            <v>7</v>
          </cell>
          <cell r="Z586">
            <v>0.38888888900000002</v>
          </cell>
        </row>
        <row r="587">
          <cell r="B587" t="str">
            <v>F371_1B</v>
          </cell>
          <cell r="C587" t="str">
            <v>R1_F371_1B</v>
          </cell>
          <cell r="D587">
            <v>0</v>
          </cell>
          <cell r="E587">
            <v>1.4</v>
          </cell>
          <cell r="F587">
            <v>135</v>
          </cell>
          <cell r="G587">
            <v>1</v>
          </cell>
          <cell r="H587">
            <v>50</v>
          </cell>
          <cell r="I587">
            <v>5</v>
          </cell>
          <cell r="J587">
            <v>3</v>
          </cell>
          <cell r="K587">
            <v>1</v>
          </cell>
          <cell r="L587">
            <v>11.113244</v>
          </cell>
          <cell r="M587">
            <v>-85.421831999999995</v>
          </cell>
          <cell r="N587" t="str">
            <v>Norte</v>
          </cell>
          <cell r="O587">
            <v>0</v>
          </cell>
          <cell r="P587" t="str">
            <v>guaymi</v>
          </cell>
          <cell r="Q587" t="str">
            <v>talamanca</v>
          </cell>
          <cell r="R587" t="b">
            <v>0</v>
          </cell>
          <cell r="S587" t="str">
            <v>371_1</v>
          </cell>
          <cell r="T587">
            <v>0</v>
          </cell>
          <cell r="U587">
            <v>9</v>
          </cell>
          <cell r="V587">
            <v>3</v>
          </cell>
          <cell r="W587">
            <v>0.33333333300000001</v>
          </cell>
          <cell r="X587">
            <v>27</v>
          </cell>
          <cell r="Y587">
            <v>10</v>
          </cell>
          <cell r="Z587">
            <v>0.37037037</v>
          </cell>
        </row>
        <row r="588">
          <cell r="B588" t="str">
            <v>F372_1B</v>
          </cell>
          <cell r="C588" t="str">
            <v>R1_F372_1B</v>
          </cell>
          <cell r="D588">
            <v>0</v>
          </cell>
          <cell r="E588">
            <v>2</v>
          </cell>
          <cell r="F588">
            <v>88</v>
          </cell>
          <cell r="G588">
            <v>0</v>
          </cell>
          <cell r="H588">
            <v>40</v>
          </cell>
          <cell r="I588">
            <v>11</v>
          </cell>
          <cell r="J588">
            <v>4</v>
          </cell>
          <cell r="K588">
            <v>1</v>
          </cell>
          <cell r="L588">
            <v>11.123988000000001</v>
          </cell>
          <cell r="M588">
            <v>-85.380953000000005</v>
          </cell>
          <cell r="N588" t="str">
            <v>Norte</v>
          </cell>
          <cell r="O588">
            <v>0</v>
          </cell>
          <cell r="P588" t="str">
            <v>cabecar</v>
          </cell>
          <cell r="Q588" t="str">
            <v>nambi</v>
          </cell>
          <cell r="R588" t="b">
            <v>0</v>
          </cell>
          <cell r="S588" t="str">
            <v>372_1</v>
          </cell>
          <cell r="T588">
            <v>0</v>
          </cell>
          <cell r="U588">
            <v>0</v>
          </cell>
          <cell r="V588">
            <v>0</v>
          </cell>
          <cell r="W588" t="str">
            <v>NA</v>
          </cell>
          <cell r="X588">
            <v>0</v>
          </cell>
          <cell r="Y588">
            <v>0</v>
          </cell>
          <cell r="Z588" t="str">
            <v>NA</v>
          </cell>
        </row>
        <row r="589">
          <cell r="B589" t="str">
            <v>F373_1B</v>
          </cell>
          <cell r="C589" t="str">
            <v>R1_F373_1B</v>
          </cell>
          <cell r="D589">
            <v>0</v>
          </cell>
          <cell r="E589">
            <v>0.91</v>
          </cell>
          <cell r="F589">
            <v>203</v>
          </cell>
          <cell r="G589">
            <v>0</v>
          </cell>
          <cell r="H589">
            <v>27</v>
          </cell>
          <cell r="I589">
            <v>9</v>
          </cell>
          <cell r="J589">
            <v>3</v>
          </cell>
          <cell r="K589">
            <v>1</v>
          </cell>
          <cell r="L589">
            <v>11.110552999999999</v>
          </cell>
          <cell r="M589">
            <v>-85.382746999999995</v>
          </cell>
          <cell r="N589" t="str">
            <v>Norte</v>
          </cell>
          <cell r="O589">
            <v>0</v>
          </cell>
          <cell r="P589" t="str">
            <v>nambi</v>
          </cell>
          <cell r="Q589" t="str">
            <v>rojo</v>
          </cell>
          <cell r="R589" t="str">
            <v>Not applicable</v>
          </cell>
          <cell r="S589" t="str">
            <v>373_1</v>
          </cell>
          <cell r="T589">
            <v>0</v>
          </cell>
          <cell r="U589">
            <v>6</v>
          </cell>
          <cell r="V589">
            <v>3</v>
          </cell>
          <cell r="W589">
            <v>0.5</v>
          </cell>
          <cell r="X589">
            <v>24</v>
          </cell>
          <cell r="Y589">
            <v>9</v>
          </cell>
          <cell r="Z589">
            <v>0.375</v>
          </cell>
        </row>
        <row r="590">
          <cell r="B590" t="str">
            <v>F374_1B</v>
          </cell>
          <cell r="C590" t="str">
            <v>R1_F374_1B</v>
          </cell>
          <cell r="D590">
            <v>0</v>
          </cell>
          <cell r="E590">
            <v>1</v>
          </cell>
          <cell r="F590">
            <v>118</v>
          </cell>
          <cell r="G590">
            <v>1</v>
          </cell>
          <cell r="H590">
            <v>38</v>
          </cell>
          <cell r="I590">
            <v>9</v>
          </cell>
          <cell r="J590">
            <v>1</v>
          </cell>
          <cell r="K590">
            <v>1</v>
          </cell>
          <cell r="L590">
            <v>11.119711000000001</v>
          </cell>
          <cell r="M590">
            <v>-85.389251999999999</v>
          </cell>
          <cell r="N590" t="str">
            <v>Norte</v>
          </cell>
          <cell r="O590">
            <v>0</v>
          </cell>
          <cell r="P590" t="str">
            <v>nambi</v>
          </cell>
          <cell r="Q590" t="str">
            <v>guaymi</v>
          </cell>
          <cell r="R590" t="b">
            <v>0</v>
          </cell>
          <cell r="S590" t="str">
            <v>374_1</v>
          </cell>
          <cell r="T590">
            <v>0</v>
          </cell>
          <cell r="U590">
            <v>0</v>
          </cell>
          <cell r="V590">
            <v>0</v>
          </cell>
          <cell r="W590" t="str">
            <v>NA</v>
          </cell>
          <cell r="X590">
            <v>21</v>
          </cell>
          <cell r="Y590">
            <v>7</v>
          </cell>
          <cell r="Z590">
            <v>0.33333333300000001</v>
          </cell>
        </row>
        <row r="591">
          <cell r="B591" t="str">
            <v>F374_2B</v>
          </cell>
          <cell r="C591" t="str">
            <v>R1_F374_2B</v>
          </cell>
          <cell r="D591">
            <v>0</v>
          </cell>
          <cell r="E591">
            <v>1</v>
          </cell>
          <cell r="F591">
            <v>118</v>
          </cell>
          <cell r="G591">
            <v>1</v>
          </cell>
          <cell r="H591">
            <v>38</v>
          </cell>
          <cell r="I591">
            <v>9</v>
          </cell>
          <cell r="J591">
            <v>1</v>
          </cell>
          <cell r="K591">
            <v>0</v>
          </cell>
          <cell r="L591">
            <v>11.119711000000001</v>
          </cell>
          <cell r="M591">
            <v>-85.389251999999999</v>
          </cell>
          <cell r="N591" t="str">
            <v>Norte</v>
          </cell>
          <cell r="O591">
            <v>0</v>
          </cell>
          <cell r="P591" t="str">
            <v>victoria</v>
          </cell>
          <cell r="Q591" t="str">
            <v>cabecar</v>
          </cell>
          <cell r="R591" t="b">
            <v>0</v>
          </cell>
          <cell r="S591" t="str">
            <v>374_2</v>
          </cell>
          <cell r="T591">
            <v>1</v>
          </cell>
          <cell r="U591">
            <v>0</v>
          </cell>
          <cell r="V591">
            <v>0</v>
          </cell>
          <cell r="W591" t="str">
            <v>NA</v>
          </cell>
          <cell r="X591">
            <v>21</v>
          </cell>
          <cell r="Y591">
            <v>7</v>
          </cell>
          <cell r="Z591">
            <v>0.33333333300000001</v>
          </cell>
        </row>
        <row r="592">
          <cell r="B592" t="str">
            <v>F375_1B</v>
          </cell>
          <cell r="C592" t="str">
            <v>R1_F375_1B</v>
          </cell>
          <cell r="D592">
            <v>0</v>
          </cell>
          <cell r="E592">
            <v>1</v>
          </cell>
          <cell r="F592">
            <v>232</v>
          </cell>
          <cell r="G592">
            <v>1</v>
          </cell>
          <cell r="H592">
            <v>43</v>
          </cell>
          <cell r="I592">
            <v>8</v>
          </cell>
          <cell r="J592">
            <v>1</v>
          </cell>
          <cell r="K592">
            <v>0</v>
          </cell>
          <cell r="L592">
            <v>11.106439</v>
          </cell>
          <cell r="M592">
            <v>-85.393501000000001</v>
          </cell>
          <cell r="N592" t="str">
            <v>Norte</v>
          </cell>
          <cell r="O592">
            <v>0</v>
          </cell>
          <cell r="P592" t="str">
            <v>generalito</v>
          </cell>
          <cell r="Q592" t="str">
            <v>rojo</v>
          </cell>
          <cell r="R592" t="str">
            <v>Not applicable</v>
          </cell>
          <cell r="S592" t="str">
            <v>375_1</v>
          </cell>
          <cell r="T592">
            <v>0</v>
          </cell>
          <cell r="U592">
            <v>0</v>
          </cell>
          <cell r="V592">
            <v>0</v>
          </cell>
          <cell r="W592" t="str">
            <v>NA</v>
          </cell>
          <cell r="X592">
            <v>26</v>
          </cell>
          <cell r="Y592">
            <v>10</v>
          </cell>
          <cell r="Z592">
            <v>0.38461538499999998</v>
          </cell>
        </row>
        <row r="593">
          <cell r="B593" t="str">
            <v>F375_2B</v>
          </cell>
          <cell r="C593" t="str">
            <v>R1_F375_2B</v>
          </cell>
          <cell r="D593">
            <v>0</v>
          </cell>
          <cell r="E593">
            <v>1</v>
          </cell>
          <cell r="F593">
            <v>232</v>
          </cell>
          <cell r="G593">
            <v>1</v>
          </cell>
          <cell r="H593">
            <v>43</v>
          </cell>
          <cell r="I593">
            <v>8</v>
          </cell>
          <cell r="J593">
            <v>1</v>
          </cell>
          <cell r="K593">
            <v>1</v>
          </cell>
          <cell r="L593">
            <v>11.106439</v>
          </cell>
          <cell r="M593">
            <v>-85.393501000000001</v>
          </cell>
          <cell r="N593" t="str">
            <v>Norte</v>
          </cell>
          <cell r="O593">
            <v>0</v>
          </cell>
          <cell r="P593" t="str">
            <v>brunca</v>
          </cell>
          <cell r="Q593" t="str">
            <v>guaymi</v>
          </cell>
          <cell r="R593" t="b">
            <v>0</v>
          </cell>
          <cell r="S593" t="str">
            <v>375_2</v>
          </cell>
          <cell r="T593">
            <v>0</v>
          </cell>
          <cell r="U593">
            <v>0</v>
          </cell>
          <cell r="V593">
            <v>0</v>
          </cell>
          <cell r="W593" t="str">
            <v>NA</v>
          </cell>
          <cell r="X593">
            <v>26</v>
          </cell>
          <cell r="Y593">
            <v>10</v>
          </cell>
          <cell r="Z593">
            <v>0.38461538499999998</v>
          </cell>
        </row>
        <row r="594">
          <cell r="B594" t="str">
            <v>F376_1B</v>
          </cell>
          <cell r="C594" t="str">
            <v>R1_F376_1B</v>
          </cell>
          <cell r="D594">
            <v>0</v>
          </cell>
          <cell r="E594">
            <v>1</v>
          </cell>
          <cell r="F594">
            <v>364</v>
          </cell>
          <cell r="G594">
            <v>1</v>
          </cell>
          <cell r="H594">
            <v>49</v>
          </cell>
          <cell r="I594">
            <v>6</v>
          </cell>
          <cell r="J594">
            <v>4</v>
          </cell>
          <cell r="K594">
            <v>1</v>
          </cell>
          <cell r="L594">
            <v>11.046215999999999</v>
          </cell>
          <cell r="M594">
            <v>-85.391266999999999</v>
          </cell>
          <cell r="N594" t="str">
            <v>Norte</v>
          </cell>
          <cell r="O594">
            <v>0</v>
          </cell>
          <cell r="P594" t="str">
            <v>guaymi</v>
          </cell>
          <cell r="Q594" t="str">
            <v>nambi</v>
          </cell>
          <cell r="R594" t="b">
            <v>0</v>
          </cell>
          <cell r="S594" t="str">
            <v>376_1</v>
          </cell>
          <cell r="T594">
            <v>0</v>
          </cell>
          <cell r="U594">
            <v>6</v>
          </cell>
          <cell r="V594">
            <v>2</v>
          </cell>
          <cell r="W594">
            <v>0.33333333300000001</v>
          </cell>
          <cell r="X594">
            <v>58</v>
          </cell>
          <cell r="Y594">
            <v>23</v>
          </cell>
          <cell r="Z594">
            <v>0.39655172399999999</v>
          </cell>
        </row>
        <row r="595">
          <cell r="B595" t="str">
            <v>F376_2B</v>
          </cell>
          <cell r="C595" t="str">
            <v>R1_F376_2B</v>
          </cell>
          <cell r="D595">
            <v>0</v>
          </cell>
          <cell r="E595">
            <v>1</v>
          </cell>
          <cell r="F595">
            <v>364</v>
          </cell>
          <cell r="G595">
            <v>1</v>
          </cell>
          <cell r="H595">
            <v>49</v>
          </cell>
          <cell r="I595">
            <v>6</v>
          </cell>
          <cell r="J595">
            <v>4</v>
          </cell>
          <cell r="K595">
            <v>0</v>
          </cell>
          <cell r="L595">
            <v>11.046215999999999</v>
          </cell>
          <cell r="M595">
            <v>-85.391266999999999</v>
          </cell>
          <cell r="N595" t="str">
            <v>Norte</v>
          </cell>
          <cell r="O595">
            <v>0</v>
          </cell>
          <cell r="P595" t="str">
            <v>victoria</v>
          </cell>
          <cell r="Q595" t="str">
            <v>cabecar</v>
          </cell>
          <cell r="R595" t="b">
            <v>0</v>
          </cell>
          <cell r="S595" t="str">
            <v>376_2</v>
          </cell>
          <cell r="T595">
            <v>1</v>
          </cell>
          <cell r="U595">
            <v>6</v>
          </cell>
          <cell r="V595">
            <v>2</v>
          </cell>
          <cell r="W595">
            <v>0.33333333300000001</v>
          </cell>
          <cell r="X595">
            <v>58</v>
          </cell>
          <cell r="Y595">
            <v>23</v>
          </cell>
          <cell r="Z595">
            <v>0.39655172399999999</v>
          </cell>
        </row>
        <row r="596">
          <cell r="B596" t="str">
            <v>F377_1B</v>
          </cell>
          <cell r="C596" t="str">
            <v>R1_F377_1B</v>
          </cell>
          <cell r="D596">
            <v>1</v>
          </cell>
          <cell r="E596">
            <v>0.7</v>
          </cell>
          <cell r="F596">
            <v>220</v>
          </cell>
          <cell r="G596">
            <v>1</v>
          </cell>
          <cell r="H596">
            <v>32</v>
          </cell>
          <cell r="I596">
            <v>16</v>
          </cell>
          <cell r="J596">
            <v>5</v>
          </cell>
          <cell r="K596">
            <v>1</v>
          </cell>
          <cell r="L596">
            <v>11.110866</v>
          </cell>
          <cell r="M596">
            <v>-85.385388000000006</v>
          </cell>
          <cell r="N596" t="str">
            <v>Norte</v>
          </cell>
          <cell r="O596">
            <v>0</v>
          </cell>
          <cell r="P596" t="str">
            <v>nambi</v>
          </cell>
          <cell r="Q596" t="str">
            <v>nambi</v>
          </cell>
          <cell r="R596" t="b">
            <v>1</v>
          </cell>
          <cell r="S596" t="str">
            <v>377_1</v>
          </cell>
          <cell r="T596">
            <v>1</v>
          </cell>
          <cell r="U596">
            <v>5</v>
          </cell>
          <cell r="V596">
            <v>2</v>
          </cell>
          <cell r="W596">
            <v>0.4</v>
          </cell>
          <cell r="X596">
            <v>24</v>
          </cell>
          <cell r="Y596">
            <v>8</v>
          </cell>
          <cell r="Z596">
            <v>0.33333333300000001</v>
          </cell>
        </row>
        <row r="597">
          <cell r="B597" t="str">
            <v>F377_2B</v>
          </cell>
          <cell r="C597" t="str">
            <v>R1_F377_2B</v>
          </cell>
          <cell r="D597">
            <v>0</v>
          </cell>
          <cell r="E597">
            <v>1.4</v>
          </cell>
          <cell r="F597">
            <v>220</v>
          </cell>
          <cell r="G597">
            <v>1</v>
          </cell>
          <cell r="H597">
            <v>32</v>
          </cell>
          <cell r="I597">
            <v>16</v>
          </cell>
          <cell r="J597">
            <v>5</v>
          </cell>
          <cell r="K597">
            <v>0</v>
          </cell>
          <cell r="L597">
            <v>11.110866</v>
          </cell>
          <cell r="M597">
            <v>-85.385388000000006</v>
          </cell>
          <cell r="N597" t="str">
            <v>Norte</v>
          </cell>
          <cell r="O597">
            <v>0</v>
          </cell>
          <cell r="P597" t="str">
            <v>SEF 62</v>
          </cell>
          <cell r="Q597" t="str">
            <v>other</v>
          </cell>
          <cell r="R597" t="str">
            <v>Not applicable</v>
          </cell>
          <cell r="S597" t="str">
            <v>377_2</v>
          </cell>
          <cell r="T597">
            <v>0</v>
          </cell>
          <cell r="U597">
            <v>5</v>
          </cell>
          <cell r="V597">
            <v>2</v>
          </cell>
          <cell r="W597">
            <v>0.4</v>
          </cell>
          <cell r="X597">
            <v>24</v>
          </cell>
          <cell r="Y597">
            <v>8</v>
          </cell>
          <cell r="Z597">
            <v>0.33333333300000001</v>
          </cell>
        </row>
        <row r="598">
          <cell r="B598" t="str">
            <v>F378_1B</v>
          </cell>
          <cell r="C598" t="str">
            <v>R1_F378_1B</v>
          </cell>
          <cell r="D598">
            <v>0</v>
          </cell>
          <cell r="E598">
            <v>3</v>
          </cell>
          <cell r="F598">
            <v>196</v>
          </cell>
          <cell r="G598">
            <v>1</v>
          </cell>
          <cell r="H598">
            <v>68</v>
          </cell>
          <cell r="I598">
            <v>0</v>
          </cell>
          <cell r="J598">
            <v>3</v>
          </cell>
          <cell r="K598">
            <v>1</v>
          </cell>
          <cell r="L598">
            <v>11.110535</v>
          </cell>
          <cell r="M598">
            <v>-85.381771000000001</v>
          </cell>
          <cell r="N598" t="str">
            <v>Norte</v>
          </cell>
          <cell r="O598">
            <v>0</v>
          </cell>
          <cell r="P598" t="str">
            <v>nambi</v>
          </cell>
          <cell r="Q598" t="str">
            <v>rojo</v>
          </cell>
          <cell r="R598" t="str">
            <v>Not applicable</v>
          </cell>
          <cell r="S598" t="str">
            <v>378_1</v>
          </cell>
          <cell r="T598">
            <v>0</v>
          </cell>
          <cell r="U598">
            <v>6</v>
          </cell>
          <cell r="V598">
            <v>3</v>
          </cell>
          <cell r="W598">
            <v>0.5</v>
          </cell>
          <cell r="X598">
            <v>23</v>
          </cell>
          <cell r="Y598">
            <v>8</v>
          </cell>
          <cell r="Z598">
            <v>0.34782608700000001</v>
          </cell>
        </row>
        <row r="599">
          <cell r="B599" t="str">
            <v>F380_1B</v>
          </cell>
          <cell r="C599" t="str">
            <v>R1_F380_1B</v>
          </cell>
          <cell r="D599">
            <v>1</v>
          </cell>
          <cell r="E599">
            <v>1.4</v>
          </cell>
          <cell r="F599">
            <v>213</v>
          </cell>
          <cell r="G599">
            <v>1</v>
          </cell>
          <cell r="H599">
            <v>39</v>
          </cell>
          <cell r="I599">
            <v>6</v>
          </cell>
          <cell r="J599">
            <v>3</v>
          </cell>
          <cell r="K599">
            <v>1</v>
          </cell>
          <cell r="L599">
            <v>11.110694000000001</v>
          </cell>
          <cell r="M599">
            <v>-85.386657999999997</v>
          </cell>
          <cell r="N599" t="str">
            <v>Norte</v>
          </cell>
          <cell r="O599">
            <v>0</v>
          </cell>
          <cell r="P599" t="str">
            <v>cabecar</v>
          </cell>
          <cell r="Q599" t="str">
            <v>cabecar</v>
          </cell>
          <cell r="R599" t="b">
            <v>1</v>
          </cell>
          <cell r="S599" t="str">
            <v>380_1</v>
          </cell>
          <cell r="T599">
            <v>1</v>
          </cell>
          <cell r="U599">
            <v>6</v>
          </cell>
          <cell r="V599">
            <v>2</v>
          </cell>
          <cell r="W599">
            <v>0.33333333300000001</v>
          </cell>
          <cell r="X599">
            <v>25</v>
          </cell>
          <cell r="Y599">
            <v>8</v>
          </cell>
          <cell r="Z599">
            <v>0.32</v>
          </cell>
        </row>
        <row r="600">
          <cell r="B600" t="str">
            <v>F381_2B</v>
          </cell>
          <cell r="C600" t="str">
            <v>R1_F381_2B</v>
          </cell>
          <cell r="D600">
            <v>0</v>
          </cell>
          <cell r="E600">
            <v>0.5</v>
          </cell>
          <cell r="F600">
            <v>209</v>
          </cell>
          <cell r="G600">
            <v>0</v>
          </cell>
          <cell r="H600">
            <v>65</v>
          </cell>
          <cell r="I600">
            <v>6</v>
          </cell>
          <cell r="J600">
            <v>4</v>
          </cell>
          <cell r="K600">
            <v>0</v>
          </cell>
          <cell r="L600">
            <v>11.110555</v>
          </cell>
          <cell r="M600">
            <v>-85.383927999999997</v>
          </cell>
          <cell r="N600" t="str">
            <v>Norte</v>
          </cell>
          <cell r="O600">
            <v>0</v>
          </cell>
          <cell r="P600" t="str">
            <v>RCB 593</v>
          </cell>
          <cell r="Q600" t="str">
            <v>other</v>
          </cell>
          <cell r="R600" t="str">
            <v>Not applicable</v>
          </cell>
          <cell r="S600" t="str">
            <v>381_2</v>
          </cell>
          <cell r="T600">
            <v>0</v>
          </cell>
          <cell r="U600">
            <v>6</v>
          </cell>
          <cell r="V600">
            <v>3</v>
          </cell>
          <cell r="W600">
            <v>0.5</v>
          </cell>
          <cell r="X600">
            <v>24</v>
          </cell>
          <cell r="Y600">
            <v>9</v>
          </cell>
          <cell r="Z600">
            <v>0.375</v>
          </cell>
        </row>
        <row r="601">
          <cell r="B601" t="str">
            <v>F383_1B</v>
          </cell>
          <cell r="C601" t="str">
            <v>R1_F383_1B</v>
          </cell>
          <cell r="D601">
            <v>0</v>
          </cell>
          <cell r="E601">
            <v>1.75</v>
          </cell>
          <cell r="F601">
            <v>75</v>
          </cell>
          <cell r="G601">
            <v>1</v>
          </cell>
          <cell r="H601">
            <v>59</v>
          </cell>
          <cell r="I601">
            <v>1</v>
          </cell>
          <cell r="J601">
            <v>6</v>
          </cell>
          <cell r="K601">
            <v>0</v>
          </cell>
          <cell r="L601">
            <v>11.125305000000001</v>
          </cell>
          <cell r="M601">
            <v>-85.377342999999996</v>
          </cell>
          <cell r="N601" t="str">
            <v>Norte</v>
          </cell>
          <cell r="O601">
            <v>0</v>
          </cell>
          <cell r="P601" t="str">
            <v>talamanca</v>
          </cell>
          <cell r="Q601" t="str">
            <v>guaymi</v>
          </cell>
          <cell r="R601" t="b">
            <v>0</v>
          </cell>
          <cell r="S601" t="str">
            <v>383_1</v>
          </cell>
          <cell r="T601">
            <v>0</v>
          </cell>
          <cell r="U601">
            <v>1</v>
          </cell>
          <cell r="V601">
            <v>1</v>
          </cell>
          <cell r="W601">
            <v>1</v>
          </cell>
          <cell r="X601">
            <v>16</v>
          </cell>
          <cell r="Y601">
            <v>7</v>
          </cell>
          <cell r="Z601">
            <v>0.4375</v>
          </cell>
        </row>
        <row r="602">
          <cell r="B602" t="str">
            <v>F383_2B</v>
          </cell>
          <cell r="C602" t="str">
            <v>R1_F383_2B</v>
          </cell>
          <cell r="D602">
            <v>0</v>
          </cell>
          <cell r="E602">
            <v>1.75</v>
          </cell>
          <cell r="F602">
            <v>75</v>
          </cell>
          <cell r="G602">
            <v>1</v>
          </cell>
          <cell r="H602">
            <v>59</v>
          </cell>
          <cell r="I602">
            <v>1</v>
          </cell>
          <cell r="J602">
            <v>6</v>
          </cell>
          <cell r="K602">
            <v>1</v>
          </cell>
          <cell r="L602">
            <v>11.125305000000001</v>
          </cell>
          <cell r="M602">
            <v>-85.377342999999996</v>
          </cell>
          <cell r="N602" t="str">
            <v>Norte</v>
          </cell>
          <cell r="O602">
            <v>0</v>
          </cell>
          <cell r="P602" t="str">
            <v>guaymi</v>
          </cell>
          <cell r="Q602" t="str">
            <v>other</v>
          </cell>
          <cell r="R602" t="str">
            <v>Not applicable</v>
          </cell>
          <cell r="S602" t="str">
            <v>383_2</v>
          </cell>
          <cell r="T602">
            <v>0</v>
          </cell>
          <cell r="U602">
            <v>1</v>
          </cell>
          <cell r="V602">
            <v>1</v>
          </cell>
          <cell r="W602">
            <v>1</v>
          </cell>
          <cell r="X602">
            <v>16</v>
          </cell>
          <cell r="Y602">
            <v>7</v>
          </cell>
          <cell r="Z602">
            <v>0.4375</v>
          </cell>
        </row>
        <row r="603">
          <cell r="B603" t="str">
            <v>F384_1B</v>
          </cell>
          <cell r="C603" t="str">
            <v>R1_F384_1B</v>
          </cell>
          <cell r="D603">
            <v>1</v>
          </cell>
          <cell r="E603">
            <v>1</v>
          </cell>
          <cell r="F603">
            <v>196</v>
          </cell>
          <cell r="G603">
            <v>1</v>
          </cell>
          <cell r="H603">
            <v>40</v>
          </cell>
          <cell r="I603">
            <v>6</v>
          </cell>
          <cell r="J603">
            <v>5</v>
          </cell>
          <cell r="K603">
            <v>1</v>
          </cell>
          <cell r="L603">
            <v>11.110549000000001</v>
          </cell>
          <cell r="M603">
            <v>-85.381553999999994</v>
          </cell>
          <cell r="N603" t="str">
            <v>Norte</v>
          </cell>
          <cell r="O603">
            <v>0</v>
          </cell>
          <cell r="P603" t="str">
            <v>nambi</v>
          </cell>
          <cell r="Q603" t="str">
            <v>nambi</v>
          </cell>
          <cell r="R603" t="b">
            <v>1</v>
          </cell>
          <cell r="S603" t="str">
            <v>384_1</v>
          </cell>
          <cell r="T603">
            <v>1</v>
          </cell>
          <cell r="U603">
            <v>6</v>
          </cell>
          <cell r="V603">
            <v>2</v>
          </cell>
          <cell r="W603">
            <v>0.33333333300000001</v>
          </cell>
          <cell r="X603">
            <v>23</v>
          </cell>
          <cell r="Y603">
            <v>7</v>
          </cell>
          <cell r="Z603">
            <v>0.30434782599999999</v>
          </cell>
        </row>
        <row r="604">
          <cell r="B604" t="str">
            <v>F385_1B</v>
          </cell>
          <cell r="C604" t="str">
            <v>R1_F385_1B</v>
          </cell>
          <cell r="D604">
            <v>0</v>
          </cell>
          <cell r="E604">
            <v>2</v>
          </cell>
          <cell r="F604">
            <v>118</v>
          </cell>
          <cell r="G604">
            <v>1</v>
          </cell>
          <cell r="H604">
            <v>40</v>
          </cell>
          <cell r="I604">
            <v>6</v>
          </cell>
          <cell r="J604">
            <v>3</v>
          </cell>
          <cell r="K604">
            <v>0</v>
          </cell>
          <cell r="L604">
            <v>11.120958999999999</v>
          </cell>
          <cell r="M604">
            <v>-85.376092999999997</v>
          </cell>
          <cell r="N604" t="str">
            <v>Norte</v>
          </cell>
          <cell r="O604">
            <v>0</v>
          </cell>
          <cell r="P604" t="str">
            <v>generalito</v>
          </cell>
          <cell r="Q604" t="str">
            <v>other</v>
          </cell>
          <cell r="R604" t="str">
            <v>Not applicable</v>
          </cell>
          <cell r="S604" t="str">
            <v>385_1</v>
          </cell>
          <cell r="T604">
            <v>1</v>
          </cell>
          <cell r="U604">
            <v>3</v>
          </cell>
          <cell r="V604">
            <v>1</v>
          </cell>
          <cell r="W604">
            <v>0.33333333300000001</v>
          </cell>
          <cell r="X604">
            <v>18</v>
          </cell>
          <cell r="Y604">
            <v>6</v>
          </cell>
          <cell r="Z604">
            <v>0.33333333300000001</v>
          </cell>
        </row>
        <row r="605">
          <cell r="B605" t="str">
            <v>F386_1B</v>
          </cell>
          <cell r="C605" t="str">
            <v>R1_F386_1B</v>
          </cell>
          <cell r="D605">
            <v>0</v>
          </cell>
          <cell r="E605">
            <v>1</v>
          </cell>
          <cell r="F605">
            <v>232</v>
          </cell>
          <cell r="G605">
            <v>0</v>
          </cell>
          <cell r="H605">
            <v>47</v>
          </cell>
          <cell r="I605">
            <v>5</v>
          </cell>
          <cell r="J605">
            <v>3</v>
          </cell>
          <cell r="K605">
            <v>1</v>
          </cell>
          <cell r="L605">
            <v>11.087232999999999</v>
          </cell>
          <cell r="M605">
            <v>-85.375923</v>
          </cell>
          <cell r="N605" t="str">
            <v>Norte</v>
          </cell>
          <cell r="O605">
            <v>0</v>
          </cell>
          <cell r="P605" t="str">
            <v>matambu</v>
          </cell>
          <cell r="Q605" t="str">
            <v>other</v>
          </cell>
          <cell r="R605" t="str">
            <v>Not applicable</v>
          </cell>
          <cell r="S605" t="str">
            <v>386_1</v>
          </cell>
          <cell r="T605">
            <v>0</v>
          </cell>
          <cell r="U605">
            <v>7</v>
          </cell>
          <cell r="V605">
            <v>1</v>
          </cell>
          <cell r="W605">
            <v>0.14285714299999999</v>
          </cell>
          <cell r="X605">
            <v>13</v>
          </cell>
          <cell r="Y605">
            <v>3</v>
          </cell>
          <cell r="Z605">
            <v>0.23076923099999999</v>
          </cell>
        </row>
        <row r="606">
          <cell r="B606" t="str">
            <v>F386_2B</v>
          </cell>
          <cell r="C606" t="str">
            <v>R1_F386_2B</v>
          </cell>
          <cell r="D606">
            <v>0</v>
          </cell>
          <cell r="E606">
            <v>1</v>
          </cell>
          <cell r="F606">
            <v>232</v>
          </cell>
          <cell r="G606">
            <v>0</v>
          </cell>
          <cell r="H606">
            <v>47</v>
          </cell>
          <cell r="I606">
            <v>5</v>
          </cell>
          <cell r="J606">
            <v>3</v>
          </cell>
          <cell r="K606">
            <v>0</v>
          </cell>
          <cell r="L606">
            <v>11.087232999999999</v>
          </cell>
          <cell r="M606">
            <v>-85.375923</v>
          </cell>
          <cell r="N606" t="str">
            <v>Norte</v>
          </cell>
          <cell r="O606">
            <v>0</v>
          </cell>
          <cell r="P606" t="str">
            <v>victoria</v>
          </cell>
          <cell r="Q606" t="str">
            <v>cabecar</v>
          </cell>
          <cell r="R606" t="b">
            <v>0</v>
          </cell>
          <cell r="S606" t="str">
            <v>386_2</v>
          </cell>
          <cell r="T606">
            <v>0</v>
          </cell>
          <cell r="U606">
            <v>7</v>
          </cell>
          <cell r="V606">
            <v>1</v>
          </cell>
          <cell r="W606">
            <v>0.14285714299999999</v>
          </cell>
          <cell r="X606">
            <v>13</v>
          </cell>
          <cell r="Y606">
            <v>3</v>
          </cell>
          <cell r="Z606">
            <v>0.23076923099999999</v>
          </cell>
        </row>
        <row r="607">
          <cell r="B607" t="str">
            <v>F386_3B</v>
          </cell>
          <cell r="C607" t="str">
            <v>R1_F386_3B</v>
          </cell>
          <cell r="D607">
            <v>1</v>
          </cell>
          <cell r="E607">
            <v>1</v>
          </cell>
          <cell r="F607">
            <v>232</v>
          </cell>
          <cell r="G607">
            <v>0</v>
          </cell>
          <cell r="H607">
            <v>47</v>
          </cell>
          <cell r="I607">
            <v>5</v>
          </cell>
          <cell r="J607">
            <v>3</v>
          </cell>
          <cell r="K607">
            <v>1</v>
          </cell>
          <cell r="L607">
            <v>11.087232999999999</v>
          </cell>
          <cell r="M607">
            <v>-85.375923</v>
          </cell>
          <cell r="N607" t="str">
            <v>Norte</v>
          </cell>
          <cell r="O607">
            <v>0</v>
          </cell>
          <cell r="P607" t="str">
            <v>nambi</v>
          </cell>
          <cell r="Q607" t="str">
            <v>nambi</v>
          </cell>
          <cell r="R607" t="b">
            <v>1</v>
          </cell>
          <cell r="S607" t="str">
            <v>386_3</v>
          </cell>
          <cell r="T607">
            <v>1</v>
          </cell>
          <cell r="U607">
            <v>7</v>
          </cell>
          <cell r="V607">
            <v>1</v>
          </cell>
          <cell r="W607">
            <v>0.14285714299999999</v>
          </cell>
          <cell r="X607">
            <v>13</v>
          </cell>
          <cell r="Y607">
            <v>3</v>
          </cell>
          <cell r="Z607">
            <v>0.23076923099999999</v>
          </cell>
        </row>
        <row r="608">
          <cell r="B608" t="str">
            <v>F386_4B</v>
          </cell>
          <cell r="C608" t="str">
            <v>R1_F386_4B</v>
          </cell>
          <cell r="D608">
            <v>0</v>
          </cell>
          <cell r="E608">
            <v>1</v>
          </cell>
          <cell r="F608">
            <v>232</v>
          </cell>
          <cell r="G608">
            <v>0</v>
          </cell>
          <cell r="H608">
            <v>47</v>
          </cell>
          <cell r="I608">
            <v>5</v>
          </cell>
          <cell r="J608">
            <v>3</v>
          </cell>
          <cell r="K608">
            <v>0</v>
          </cell>
          <cell r="L608">
            <v>11.087232999999999</v>
          </cell>
          <cell r="M608">
            <v>-85.375923</v>
          </cell>
          <cell r="N608" t="str">
            <v>Norte</v>
          </cell>
          <cell r="O608">
            <v>0</v>
          </cell>
          <cell r="P608" t="str">
            <v>victoria</v>
          </cell>
          <cell r="Q608" t="str">
            <v>sacapobres</v>
          </cell>
          <cell r="R608" t="b">
            <v>0</v>
          </cell>
          <cell r="S608" t="str">
            <v>386_4</v>
          </cell>
          <cell r="T608">
            <v>0</v>
          </cell>
          <cell r="U608">
            <v>7</v>
          </cell>
          <cell r="V608">
            <v>1</v>
          </cell>
          <cell r="W608">
            <v>0.14285714299999999</v>
          </cell>
          <cell r="X608">
            <v>13</v>
          </cell>
          <cell r="Y608">
            <v>3</v>
          </cell>
          <cell r="Z608">
            <v>0.23076923099999999</v>
          </cell>
        </row>
        <row r="609">
          <cell r="B609" t="str">
            <v>F387_1B</v>
          </cell>
          <cell r="C609" t="str">
            <v>R1_F387_1B</v>
          </cell>
          <cell r="D609">
            <v>0</v>
          </cell>
          <cell r="E609">
            <v>0.7</v>
          </cell>
          <cell r="F609">
            <v>229</v>
          </cell>
          <cell r="G609">
            <v>1</v>
          </cell>
          <cell r="H609">
            <v>65</v>
          </cell>
          <cell r="I609">
            <v>10</v>
          </cell>
          <cell r="J609">
            <v>4</v>
          </cell>
          <cell r="K609">
            <v>0</v>
          </cell>
          <cell r="L609">
            <v>11.088601000000001</v>
          </cell>
          <cell r="M609">
            <v>-85.376807999999997</v>
          </cell>
          <cell r="N609" t="str">
            <v>Norte</v>
          </cell>
          <cell r="O609">
            <v>0</v>
          </cell>
          <cell r="P609" t="str">
            <v>SEF 62</v>
          </cell>
          <cell r="Q609" t="str">
            <v>rojo</v>
          </cell>
          <cell r="R609" t="str">
            <v>Not applicable</v>
          </cell>
          <cell r="S609" t="str">
            <v>387_1</v>
          </cell>
          <cell r="T609">
            <v>0</v>
          </cell>
          <cell r="U609">
            <v>8</v>
          </cell>
          <cell r="V609">
            <v>2</v>
          </cell>
          <cell r="W609">
            <v>0.25</v>
          </cell>
          <cell r="X609">
            <v>13</v>
          </cell>
          <cell r="Y609">
            <v>4</v>
          </cell>
          <cell r="Z609">
            <v>0.30769230800000003</v>
          </cell>
        </row>
        <row r="610">
          <cell r="B610" t="str">
            <v>F387_2B</v>
          </cell>
          <cell r="C610" t="str">
            <v>R1_F387_2B</v>
          </cell>
          <cell r="D610">
            <v>0</v>
          </cell>
          <cell r="E610">
            <v>0.7</v>
          </cell>
          <cell r="F610">
            <v>229</v>
          </cell>
          <cell r="G610">
            <v>1</v>
          </cell>
          <cell r="H610">
            <v>65</v>
          </cell>
          <cell r="I610">
            <v>10</v>
          </cell>
          <cell r="J610">
            <v>4</v>
          </cell>
          <cell r="K610">
            <v>1</v>
          </cell>
          <cell r="L610">
            <v>11.088601000000001</v>
          </cell>
          <cell r="M610">
            <v>-85.376807999999997</v>
          </cell>
          <cell r="N610" t="str">
            <v>Norte</v>
          </cell>
          <cell r="O610">
            <v>0</v>
          </cell>
          <cell r="P610" t="str">
            <v>nambi</v>
          </cell>
          <cell r="Q610" t="str">
            <v>cuarenteno</v>
          </cell>
          <cell r="R610" t="b">
            <v>0</v>
          </cell>
          <cell r="S610" t="str">
            <v>387_2</v>
          </cell>
          <cell r="T610">
            <v>0</v>
          </cell>
          <cell r="U610">
            <v>8</v>
          </cell>
          <cell r="V610">
            <v>2</v>
          </cell>
          <cell r="W610">
            <v>0.25</v>
          </cell>
          <cell r="X610">
            <v>13</v>
          </cell>
          <cell r="Y610">
            <v>4</v>
          </cell>
          <cell r="Z610">
            <v>0.30769230800000003</v>
          </cell>
        </row>
        <row r="611">
          <cell r="B611" t="str">
            <v>F387_3B</v>
          </cell>
          <cell r="C611" t="str">
            <v>R1_F387_3B</v>
          </cell>
          <cell r="D611">
            <v>0</v>
          </cell>
          <cell r="E611">
            <v>0.7</v>
          </cell>
          <cell r="F611">
            <v>229</v>
          </cell>
          <cell r="G611">
            <v>1</v>
          </cell>
          <cell r="H611">
            <v>65</v>
          </cell>
          <cell r="I611">
            <v>10</v>
          </cell>
          <cell r="J611">
            <v>4</v>
          </cell>
          <cell r="K611">
            <v>0</v>
          </cell>
          <cell r="L611">
            <v>11.088601000000001</v>
          </cell>
          <cell r="M611">
            <v>-85.376807999999997</v>
          </cell>
          <cell r="N611" t="str">
            <v>Norte</v>
          </cell>
          <cell r="O611">
            <v>0</v>
          </cell>
          <cell r="P611" t="str">
            <v>suru</v>
          </cell>
          <cell r="Q611" t="str">
            <v>guaymi</v>
          </cell>
          <cell r="R611" t="b">
            <v>0</v>
          </cell>
          <cell r="S611" t="str">
            <v>387_3</v>
          </cell>
          <cell r="T611">
            <v>0</v>
          </cell>
          <cell r="U611">
            <v>8</v>
          </cell>
          <cell r="V611">
            <v>2</v>
          </cell>
          <cell r="W611">
            <v>0.25</v>
          </cell>
          <cell r="X611">
            <v>13</v>
          </cell>
          <cell r="Y611">
            <v>4</v>
          </cell>
          <cell r="Z611">
            <v>0.30769230800000003</v>
          </cell>
        </row>
        <row r="612">
          <cell r="B612" t="str">
            <v>F389_1B</v>
          </cell>
          <cell r="C612" t="str">
            <v>R1_F389_1B</v>
          </cell>
          <cell r="D612">
            <v>0</v>
          </cell>
          <cell r="E612">
            <v>1.5</v>
          </cell>
          <cell r="F612">
            <v>150</v>
          </cell>
          <cell r="G612">
            <v>0</v>
          </cell>
          <cell r="H612">
            <v>38</v>
          </cell>
          <cell r="I612">
            <v>16</v>
          </cell>
          <cell r="J612">
            <v>6</v>
          </cell>
          <cell r="K612">
            <v>1</v>
          </cell>
          <cell r="L612">
            <v>11.106991000000001</v>
          </cell>
          <cell r="M612">
            <v>-85.422622000000004</v>
          </cell>
          <cell r="N612" t="str">
            <v>Norte</v>
          </cell>
          <cell r="O612">
            <v>0</v>
          </cell>
          <cell r="P612" t="str">
            <v>brunca</v>
          </cell>
          <cell r="Q612" t="str">
            <v>negro</v>
          </cell>
          <cell r="R612" t="str">
            <v>Not applicable</v>
          </cell>
          <cell r="S612" t="str">
            <v>389_1</v>
          </cell>
          <cell r="T612">
            <v>0</v>
          </cell>
          <cell r="U612">
            <v>11</v>
          </cell>
          <cell r="V612">
            <v>2</v>
          </cell>
          <cell r="W612">
            <v>0.18181818199999999</v>
          </cell>
          <cell r="X612">
            <v>24</v>
          </cell>
          <cell r="Y612">
            <v>10</v>
          </cell>
          <cell r="Z612">
            <v>0.41666666699999999</v>
          </cell>
        </row>
        <row r="613">
          <cell r="B613" t="str">
            <v>F389_2B</v>
          </cell>
          <cell r="C613" t="str">
            <v>R1_F389_2B</v>
          </cell>
          <cell r="D613">
            <v>0</v>
          </cell>
          <cell r="E613">
            <v>0.5</v>
          </cell>
          <cell r="F613">
            <v>150</v>
          </cell>
          <cell r="G613">
            <v>0</v>
          </cell>
          <cell r="H613">
            <v>38</v>
          </cell>
          <cell r="I613">
            <v>16</v>
          </cell>
          <cell r="J613">
            <v>6</v>
          </cell>
          <cell r="K613">
            <v>0</v>
          </cell>
          <cell r="L613">
            <v>11.106991000000001</v>
          </cell>
          <cell r="M613">
            <v>-85.422622000000004</v>
          </cell>
          <cell r="N613" t="str">
            <v>Norte</v>
          </cell>
          <cell r="O613">
            <v>0</v>
          </cell>
          <cell r="P613" t="str">
            <v>generalito</v>
          </cell>
          <cell r="Q613" t="str">
            <v>rojo</v>
          </cell>
          <cell r="R613" t="str">
            <v>Not applicable</v>
          </cell>
          <cell r="S613" t="str">
            <v>389_2</v>
          </cell>
          <cell r="T613">
            <v>0</v>
          </cell>
          <cell r="U613">
            <v>11</v>
          </cell>
          <cell r="V613">
            <v>2</v>
          </cell>
          <cell r="W613">
            <v>0.18181818199999999</v>
          </cell>
          <cell r="X613">
            <v>24</v>
          </cell>
          <cell r="Y613">
            <v>10</v>
          </cell>
          <cell r="Z613">
            <v>0.41666666699999999</v>
          </cell>
        </row>
        <row r="614">
          <cell r="B614" t="str">
            <v>F389_3B</v>
          </cell>
          <cell r="C614" t="str">
            <v>R1_F389_3B</v>
          </cell>
          <cell r="D614">
            <v>0</v>
          </cell>
          <cell r="E614">
            <v>0.28000000000000003</v>
          </cell>
          <cell r="F614">
            <v>150</v>
          </cell>
          <cell r="G614">
            <v>0</v>
          </cell>
          <cell r="H614">
            <v>38</v>
          </cell>
          <cell r="I614">
            <v>16</v>
          </cell>
          <cell r="J614">
            <v>6</v>
          </cell>
          <cell r="K614">
            <v>0</v>
          </cell>
          <cell r="L614">
            <v>11.106991000000001</v>
          </cell>
          <cell r="M614">
            <v>-85.422622000000004</v>
          </cell>
          <cell r="N614" t="str">
            <v>Norte</v>
          </cell>
          <cell r="O614">
            <v>0</v>
          </cell>
          <cell r="P614" t="str">
            <v>generalito</v>
          </cell>
          <cell r="Q614" t="str">
            <v>bayo</v>
          </cell>
          <cell r="R614" t="b">
            <v>0</v>
          </cell>
          <cell r="S614" t="str">
            <v>389_3</v>
          </cell>
          <cell r="T614">
            <v>0</v>
          </cell>
          <cell r="U614">
            <v>11</v>
          </cell>
          <cell r="V614">
            <v>2</v>
          </cell>
          <cell r="W614">
            <v>0.18181818199999999</v>
          </cell>
          <cell r="X614">
            <v>24</v>
          </cell>
          <cell r="Y614">
            <v>10</v>
          </cell>
          <cell r="Z614">
            <v>0.41666666699999999</v>
          </cell>
        </row>
        <row r="615">
          <cell r="B615" t="str">
            <v>F389_4B</v>
          </cell>
          <cell r="C615" t="str">
            <v>R1_F389_4B</v>
          </cell>
          <cell r="D615">
            <v>1</v>
          </cell>
          <cell r="E615">
            <v>0.5</v>
          </cell>
          <cell r="F615">
            <v>150</v>
          </cell>
          <cell r="G615">
            <v>0</v>
          </cell>
          <cell r="H615">
            <v>38</v>
          </cell>
          <cell r="I615">
            <v>16</v>
          </cell>
          <cell r="J615">
            <v>6</v>
          </cell>
          <cell r="K615">
            <v>0</v>
          </cell>
          <cell r="L615">
            <v>11.106991000000001</v>
          </cell>
          <cell r="M615">
            <v>-85.422622000000004</v>
          </cell>
          <cell r="N615" t="str">
            <v>Norte</v>
          </cell>
          <cell r="O615">
            <v>0</v>
          </cell>
          <cell r="P615" t="str">
            <v>mantequilla</v>
          </cell>
          <cell r="Q615" t="str">
            <v>mantequilla</v>
          </cell>
          <cell r="R615" t="b">
            <v>1</v>
          </cell>
          <cell r="S615" t="str">
            <v>389_4</v>
          </cell>
          <cell r="T615">
            <v>1</v>
          </cell>
          <cell r="U615">
            <v>11</v>
          </cell>
          <cell r="V615">
            <v>2</v>
          </cell>
          <cell r="W615">
            <v>0.18181818199999999</v>
          </cell>
          <cell r="X615">
            <v>24</v>
          </cell>
          <cell r="Y615">
            <v>10</v>
          </cell>
          <cell r="Z615">
            <v>0.41666666699999999</v>
          </cell>
        </row>
        <row r="616">
          <cell r="B616" t="str">
            <v>F390_1B</v>
          </cell>
          <cell r="C616" t="str">
            <v>R1_F390_1B</v>
          </cell>
          <cell r="D616">
            <v>0</v>
          </cell>
          <cell r="E616">
            <v>2</v>
          </cell>
          <cell r="F616">
            <v>329</v>
          </cell>
          <cell r="G616">
            <v>1</v>
          </cell>
          <cell r="H616">
            <v>56</v>
          </cell>
          <cell r="I616">
            <v>11</v>
          </cell>
          <cell r="J616">
            <v>1</v>
          </cell>
          <cell r="K616">
            <v>0</v>
          </cell>
          <cell r="L616">
            <v>11.069566999999999</v>
          </cell>
          <cell r="M616">
            <v>-85.362740000000002</v>
          </cell>
          <cell r="N616" t="str">
            <v>Norte</v>
          </cell>
          <cell r="O616">
            <v>0</v>
          </cell>
          <cell r="P616" t="str">
            <v>generalito</v>
          </cell>
          <cell r="Q616" t="str">
            <v>rojo</v>
          </cell>
          <cell r="R616" t="str">
            <v>Not applicable</v>
          </cell>
          <cell r="S616" t="str">
            <v>390_1</v>
          </cell>
          <cell r="T616">
            <v>0</v>
          </cell>
          <cell r="U616">
            <v>3</v>
          </cell>
          <cell r="V616">
            <v>2</v>
          </cell>
          <cell r="W616">
            <v>0.66666666699999999</v>
          </cell>
          <cell r="X616">
            <v>37</v>
          </cell>
          <cell r="Y616">
            <v>13</v>
          </cell>
          <cell r="Z616">
            <v>0.35135135099999998</v>
          </cell>
        </row>
        <row r="617">
          <cell r="B617" t="str">
            <v>F390_2B</v>
          </cell>
          <cell r="C617" t="str">
            <v>R1_F390_2B</v>
          </cell>
          <cell r="D617">
            <v>0</v>
          </cell>
          <cell r="E617">
            <v>2</v>
          </cell>
          <cell r="F617">
            <v>329</v>
          </cell>
          <cell r="G617">
            <v>1</v>
          </cell>
          <cell r="H617">
            <v>56</v>
          </cell>
          <cell r="I617">
            <v>11</v>
          </cell>
          <cell r="J617">
            <v>1</v>
          </cell>
          <cell r="K617">
            <v>1</v>
          </cell>
          <cell r="L617">
            <v>11.069566999999999</v>
          </cell>
          <cell r="M617">
            <v>-85.362740000000002</v>
          </cell>
          <cell r="N617" t="str">
            <v>Norte</v>
          </cell>
          <cell r="O617">
            <v>0</v>
          </cell>
          <cell r="P617" t="str">
            <v>nambi</v>
          </cell>
          <cell r="Q617" t="str">
            <v>negro</v>
          </cell>
          <cell r="R617" t="str">
            <v>Not applicable</v>
          </cell>
          <cell r="S617" t="str">
            <v>390_2</v>
          </cell>
          <cell r="T617">
            <v>0</v>
          </cell>
          <cell r="U617">
            <v>3</v>
          </cell>
          <cell r="V617">
            <v>2</v>
          </cell>
          <cell r="W617">
            <v>0.66666666699999999</v>
          </cell>
          <cell r="X617">
            <v>37</v>
          </cell>
          <cell r="Y617">
            <v>13</v>
          </cell>
          <cell r="Z617">
            <v>0.35135135099999998</v>
          </cell>
        </row>
        <row r="618">
          <cell r="B618" t="str">
            <v>F391_1B</v>
          </cell>
          <cell r="C618" t="str">
            <v>R1_F391_1B</v>
          </cell>
          <cell r="D618">
            <v>0</v>
          </cell>
          <cell r="E618">
            <v>0.35</v>
          </cell>
          <cell r="F618">
            <v>359</v>
          </cell>
          <cell r="G618">
            <v>0</v>
          </cell>
          <cell r="H618">
            <v>55</v>
          </cell>
          <cell r="I618">
            <v>2</v>
          </cell>
          <cell r="J618">
            <v>7</v>
          </cell>
          <cell r="K618">
            <v>1</v>
          </cell>
          <cell r="L618">
            <v>11.049251999999999</v>
          </cell>
          <cell r="M618">
            <v>-85.385407000000001</v>
          </cell>
          <cell r="N618" t="str">
            <v>Norte</v>
          </cell>
          <cell r="O618">
            <v>0</v>
          </cell>
          <cell r="P618" t="str">
            <v>guaymi</v>
          </cell>
          <cell r="Q618" t="str">
            <v>negro</v>
          </cell>
          <cell r="R618" t="str">
            <v>Not applicable</v>
          </cell>
          <cell r="S618" t="str">
            <v>391_1</v>
          </cell>
          <cell r="T618">
            <v>0</v>
          </cell>
          <cell r="U618">
            <v>7</v>
          </cell>
          <cell r="V618">
            <v>3</v>
          </cell>
          <cell r="W618">
            <v>0.428571429</v>
          </cell>
          <cell r="X618">
            <v>55</v>
          </cell>
          <cell r="Y618">
            <v>23</v>
          </cell>
          <cell r="Z618">
            <v>0.41818181799999998</v>
          </cell>
        </row>
        <row r="619">
          <cell r="B619" t="str">
            <v>F392_1B</v>
          </cell>
          <cell r="C619" t="str">
            <v>R1_F392_1B</v>
          </cell>
          <cell r="D619">
            <v>0</v>
          </cell>
          <cell r="E619">
            <v>0.35</v>
          </cell>
          <cell r="F619">
            <v>359</v>
          </cell>
          <cell r="G619">
            <v>1</v>
          </cell>
          <cell r="H619">
            <v>65</v>
          </cell>
          <cell r="I619">
            <v>6</v>
          </cell>
          <cell r="J619">
            <v>3</v>
          </cell>
          <cell r="K619">
            <v>1</v>
          </cell>
          <cell r="L619">
            <v>11.049232</v>
          </cell>
          <cell r="M619">
            <v>-85.385638</v>
          </cell>
          <cell r="N619" t="str">
            <v>Norte</v>
          </cell>
          <cell r="O619">
            <v>0</v>
          </cell>
          <cell r="P619" t="str">
            <v>guaymi</v>
          </cell>
          <cell r="Q619" t="str">
            <v>negro</v>
          </cell>
          <cell r="R619" t="str">
            <v>Not applicable</v>
          </cell>
          <cell r="S619" t="str">
            <v>392_1</v>
          </cell>
          <cell r="T619">
            <v>0</v>
          </cell>
          <cell r="U619">
            <v>7</v>
          </cell>
          <cell r="V619">
            <v>3</v>
          </cell>
          <cell r="W619">
            <v>0.428571429</v>
          </cell>
          <cell r="X619">
            <v>55</v>
          </cell>
          <cell r="Y619">
            <v>23</v>
          </cell>
          <cell r="Z619">
            <v>0.41818181799999998</v>
          </cell>
        </row>
        <row r="620">
          <cell r="B620" t="str">
            <v>F393_1B</v>
          </cell>
          <cell r="C620" t="str">
            <v>R1_F393_1B</v>
          </cell>
          <cell r="D620">
            <v>0</v>
          </cell>
          <cell r="E620">
            <v>1</v>
          </cell>
          <cell r="F620">
            <v>364</v>
          </cell>
          <cell r="G620">
            <v>1</v>
          </cell>
          <cell r="H620">
            <v>57</v>
          </cell>
          <cell r="I620">
            <v>6</v>
          </cell>
          <cell r="J620">
            <v>7</v>
          </cell>
          <cell r="K620">
            <v>1</v>
          </cell>
          <cell r="L620">
            <v>11.036960000000001</v>
          </cell>
          <cell r="M620">
            <v>-85.358046999999999</v>
          </cell>
          <cell r="N620" t="str">
            <v>Norte</v>
          </cell>
          <cell r="O620">
            <v>0</v>
          </cell>
          <cell r="P620" t="str">
            <v>guaymi</v>
          </cell>
          <cell r="Q620" t="str">
            <v>other</v>
          </cell>
          <cell r="R620" t="str">
            <v>Not applicable</v>
          </cell>
          <cell r="S620" t="str">
            <v>393_1</v>
          </cell>
          <cell r="T620">
            <v>0</v>
          </cell>
          <cell r="U620">
            <v>2</v>
          </cell>
          <cell r="V620">
            <v>1</v>
          </cell>
          <cell r="W620">
            <v>0.5</v>
          </cell>
          <cell r="X620">
            <v>33</v>
          </cell>
          <cell r="Y620">
            <v>13</v>
          </cell>
          <cell r="Z620">
            <v>0.393939394</v>
          </cell>
        </row>
        <row r="621">
          <cell r="B621" t="str">
            <v>F394_1B</v>
          </cell>
          <cell r="C621" t="str">
            <v>R1_F394_1B</v>
          </cell>
          <cell r="D621">
            <v>1</v>
          </cell>
          <cell r="E621">
            <v>0.5</v>
          </cell>
          <cell r="F621">
            <v>332</v>
          </cell>
          <cell r="G621">
            <v>1</v>
          </cell>
          <cell r="H621">
            <v>44</v>
          </cell>
          <cell r="I621">
            <v>6</v>
          </cell>
          <cell r="J621">
            <v>4</v>
          </cell>
          <cell r="K621">
            <v>1</v>
          </cell>
          <cell r="L621">
            <v>11.070612000000001</v>
          </cell>
          <cell r="M621">
            <v>-85.363273000000007</v>
          </cell>
          <cell r="N621" t="str">
            <v>Norte</v>
          </cell>
          <cell r="O621">
            <v>0</v>
          </cell>
          <cell r="P621" t="str">
            <v>guaymi</v>
          </cell>
          <cell r="Q621" t="str">
            <v>guaymi</v>
          </cell>
          <cell r="R621" t="b">
            <v>1</v>
          </cell>
          <cell r="S621" t="str">
            <v>394_1</v>
          </cell>
          <cell r="T621">
            <v>1</v>
          </cell>
          <cell r="U621">
            <v>4</v>
          </cell>
          <cell r="V621">
            <v>1</v>
          </cell>
          <cell r="W621">
            <v>0.25</v>
          </cell>
          <cell r="X621">
            <v>33</v>
          </cell>
          <cell r="Y621">
            <v>9</v>
          </cell>
          <cell r="Z621">
            <v>0.27272727299999999</v>
          </cell>
        </row>
        <row r="622">
          <cell r="B622" t="str">
            <v>F395_1B</v>
          </cell>
          <cell r="C622" t="str">
            <v>R1_F395_1B</v>
          </cell>
          <cell r="D622">
            <v>0</v>
          </cell>
          <cell r="E622">
            <v>0.35</v>
          </cell>
          <cell r="F622">
            <v>359</v>
          </cell>
          <cell r="G622">
            <v>1</v>
          </cell>
          <cell r="H622">
            <v>71</v>
          </cell>
          <cell r="I622">
            <v>3</v>
          </cell>
          <cell r="J622">
            <v>3</v>
          </cell>
          <cell r="K622">
            <v>1</v>
          </cell>
          <cell r="L622">
            <v>11.047052000000001</v>
          </cell>
          <cell r="M622">
            <v>-85.387876000000006</v>
          </cell>
          <cell r="N622" t="str">
            <v>Norte</v>
          </cell>
          <cell r="O622">
            <v>0</v>
          </cell>
          <cell r="P622" t="str">
            <v>nambi</v>
          </cell>
          <cell r="Q622" t="str">
            <v>negro</v>
          </cell>
          <cell r="R622" t="str">
            <v>Not applicable</v>
          </cell>
          <cell r="S622" t="str">
            <v>395_1</v>
          </cell>
          <cell r="T622">
            <v>0</v>
          </cell>
          <cell r="U622">
            <v>7</v>
          </cell>
          <cell r="V622">
            <v>3</v>
          </cell>
          <cell r="W622">
            <v>0.428571429</v>
          </cell>
          <cell r="X622">
            <v>59</v>
          </cell>
          <cell r="Y622">
            <v>24</v>
          </cell>
          <cell r="Z622">
            <v>0.40677966100000001</v>
          </cell>
        </row>
        <row r="623">
          <cell r="B623" t="str">
            <v>F396_1B</v>
          </cell>
          <cell r="C623" t="str">
            <v>R1_F396_1B</v>
          </cell>
          <cell r="D623">
            <v>0</v>
          </cell>
          <cell r="E623">
            <v>1.5</v>
          </cell>
          <cell r="F623">
            <v>233</v>
          </cell>
          <cell r="G623">
            <v>1</v>
          </cell>
          <cell r="H623">
            <v>80</v>
          </cell>
          <cell r="I623">
            <v>6</v>
          </cell>
          <cell r="J623">
            <v>3</v>
          </cell>
          <cell r="K623">
            <v>1</v>
          </cell>
          <cell r="L623">
            <v>11.086214999999999</v>
          </cell>
          <cell r="M623">
            <v>-85.374645000000001</v>
          </cell>
          <cell r="N623" t="str">
            <v>Norte</v>
          </cell>
          <cell r="O623">
            <v>0</v>
          </cell>
          <cell r="P623" t="str">
            <v>nambi</v>
          </cell>
          <cell r="Q623" t="str">
            <v>rojo</v>
          </cell>
          <cell r="R623" t="str">
            <v>Not applicable</v>
          </cell>
          <cell r="S623" t="str">
            <v>396_1</v>
          </cell>
          <cell r="T623">
            <v>0</v>
          </cell>
          <cell r="U623">
            <v>9</v>
          </cell>
          <cell r="V623">
            <v>2</v>
          </cell>
          <cell r="W623">
            <v>0.222222222</v>
          </cell>
          <cell r="X623">
            <v>15</v>
          </cell>
          <cell r="Y623">
            <v>4</v>
          </cell>
          <cell r="Z623">
            <v>0.26666666700000002</v>
          </cell>
        </row>
        <row r="624">
          <cell r="B624" t="str">
            <v>F396_2B</v>
          </cell>
          <cell r="C624" t="str">
            <v>R1_F396_2B</v>
          </cell>
          <cell r="D624">
            <v>0</v>
          </cell>
          <cell r="E624">
            <v>1</v>
          </cell>
          <cell r="F624">
            <v>233</v>
          </cell>
          <cell r="G624">
            <v>1</v>
          </cell>
          <cell r="H624">
            <v>80</v>
          </cell>
          <cell r="I624">
            <v>6</v>
          </cell>
          <cell r="J624">
            <v>3</v>
          </cell>
          <cell r="K624">
            <v>1</v>
          </cell>
          <cell r="L624">
            <v>11.086214999999999</v>
          </cell>
          <cell r="M624">
            <v>-85.374645000000001</v>
          </cell>
          <cell r="N624" t="str">
            <v>Norte</v>
          </cell>
          <cell r="O624">
            <v>0</v>
          </cell>
          <cell r="P624" t="str">
            <v>nambi</v>
          </cell>
          <cell r="Q624" t="str">
            <v>negro</v>
          </cell>
          <cell r="R624" t="str">
            <v>Not applicable</v>
          </cell>
          <cell r="S624" t="str">
            <v>396_2</v>
          </cell>
          <cell r="T624">
            <v>0</v>
          </cell>
          <cell r="U624">
            <v>9</v>
          </cell>
          <cell r="V624">
            <v>2</v>
          </cell>
          <cell r="W624">
            <v>0.222222222</v>
          </cell>
          <cell r="X624">
            <v>15</v>
          </cell>
          <cell r="Y624">
            <v>4</v>
          </cell>
          <cell r="Z624">
            <v>0.26666666700000002</v>
          </cell>
        </row>
        <row r="625">
          <cell r="B625" t="str">
            <v>F397_1B</v>
          </cell>
          <cell r="C625" t="str">
            <v>R1_F397_1B</v>
          </cell>
          <cell r="D625">
            <v>1</v>
          </cell>
          <cell r="E625">
            <v>0.7</v>
          </cell>
          <cell r="F625">
            <v>364</v>
          </cell>
          <cell r="G625">
            <v>1</v>
          </cell>
          <cell r="H625">
            <v>36</v>
          </cell>
          <cell r="I625">
            <v>7</v>
          </cell>
          <cell r="J625">
            <v>4</v>
          </cell>
          <cell r="K625">
            <v>1</v>
          </cell>
          <cell r="L625">
            <v>11.036949999999999</v>
          </cell>
          <cell r="M625">
            <v>-85.358087999999995</v>
          </cell>
          <cell r="N625" t="str">
            <v>Norte</v>
          </cell>
          <cell r="O625">
            <v>0</v>
          </cell>
          <cell r="P625" t="str">
            <v>guaymi</v>
          </cell>
          <cell r="Q625" t="str">
            <v>guaymi</v>
          </cell>
          <cell r="R625" t="b">
            <v>1</v>
          </cell>
          <cell r="S625" t="str">
            <v>397_1</v>
          </cell>
          <cell r="T625">
            <v>1</v>
          </cell>
          <cell r="U625">
            <v>2</v>
          </cell>
          <cell r="V625">
            <v>0</v>
          </cell>
          <cell r="W625">
            <v>0</v>
          </cell>
          <cell r="X625">
            <v>33</v>
          </cell>
          <cell r="Y625">
            <v>12</v>
          </cell>
          <cell r="Z625">
            <v>0.36363636399999999</v>
          </cell>
        </row>
        <row r="626">
          <cell r="B626" t="str">
            <v>F399_1C</v>
          </cell>
          <cell r="C626" t="str">
            <v>R1_F399_1C</v>
          </cell>
          <cell r="D626">
            <v>1</v>
          </cell>
          <cell r="E626">
            <v>1</v>
          </cell>
          <cell r="F626">
            <v>358</v>
          </cell>
          <cell r="G626">
            <v>1</v>
          </cell>
          <cell r="H626">
            <v>53</v>
          </cell>
          <cell r="I626">
            <v>11</v>
          </cell>
          <cell r="J626">
            <v>1</v>
          </cell>
          <cell r="K626">
            <v>1</v>
          </cell>
          <cell r="L626">
            <v>11.033435000000001</v>
          </cell>
          <cell r="M626">
            <v>-85.362737999999993</v>
          </cell>
          <cell r="N626" t="str">
            <v>Norte</v>
          </cell>
          <cell r="O626">
            <v>0</v>
          </cell>
          <cell r="P626" t="str">
            <v>guaymi</v>
          </cell>
          <cell r="Q626" t="str">
            <v>guaymi</v>
          </cell>
          <cell r="R626" t="b">
            <v>1</v>
          </cell>
          <cell r="S626" t="str">
            <v>399_1</v>
          </cell>
          <cell r="T626">
            <v>1</v>
          </cell>
          <cell r="U626">
            <v>3</v>
          </cell>
          <cell r="V626">
            <v>1</v>
          </cell>
          <cell r="W626">
            <v>0.33333333300000001</v>
          </cell>
          <cell r="X626">
            <v>42</v>
          </cell>
          <cell r="Y626">
            <v>14</v>
          </cell>
          <cell r="Z626">
            <v>0.33333333300000001</v>
          </cell>
        </row>
        <row r="627">
          <cell r="B627" t="str">
            <v>F399_2A</v>
          </cell>
          <cell r="C627" t="str">
            <v>R1_F399_2A</v>
          </cell>
          <cell r="D627">
            <v>1</v>
          </cell>
          <cell r="E627">
            <v>0.5</v>
          </cell>
          <cell r="F627">
            <v>358</v>
          </cell>
          <cell r="G627">
            <v>1</v>
          </cell>
          <cell r="H627">
            <v>53</v>
          </cell>
          <cell r="I627">
            <v>11</v>
          </cell>
          <cell r="J627">
            <v>1</v>
          </cell>
          <cell r="K627">
            <v>1</v>
          </cell>
          <cell r="L627">
            <v>11.033435000000001</v>
          </cell>
          <cell r="M627">
            <v>-85.362737999999993</v>
          </cell>
          <cell r="N627" t="str">
            <v>Norte</v>
          </cell>
          <cell r="O627">
            <v>0</v>
          </cell>
          <cell r="P627" t="str">
            <v>tayni</v>
          </cell>
          <cell r="Q627" t="str">
            <v>tayni</v>
          </cell>
          <cell r="R627" t="b">
            <v>1</v>
          </cell>
          <cell r="S627" t="str">
            <v>399_2</v>
          </cell>
          <cell r="T627">
            <v>1</v>
          </cell>
          <cell r="U627">
            <v>3</v>
          </cell>
          <cell r="V627">
            <v>1</v>
          </cell>
          <cell r="W627">
            <v>0.33333333300000001</v>
          </cell>
          <cell r="X627">
            <v>42</v>
          </cell>
          <cell r="Y627">
            <v>14</v>
          </cell>
          <cell r="Z627">
            <v>0.33333333300000001</v>
          </cell>
        </row>
        <row r="628">
          <cell r="B628" t="str">
            <v>F400_1B</v>
          </cell>
          <cell r="C628" t="str">
            <v>R1_F400_1B</v>
          </cell>
          <cell r="D628">
            <v>0</v>
          </cell>
          <cell r="E628">
            <v>0.7</v>
          </cell>
          <cell r="F628">
            <v>361</v>
          </cell>
          <cell r="G628">
            <v>1</v>
          </cell>
          <cell r="H628">
            <v>37</v>
          </cell>
          <cell r="I628">
            <v>6</v>
          </cell>
          <cell r="J628">
            <v>4</v>
          </cell>
          <cell r="K628">
            <v>1</v>
          </cell>
          <cell r="L628">
            <v>11.036911</v>
          </cell>
          <cell r="M628">
            <v>-85.358222999999995</v>
          </cell>
          <cell r="N628" t="str">
            <v>Norte</v>
          </cell>
          <cell r="O628">
            <v>0</v>
          </cell>
          <cell r="P628" t="str">
            <v>tayni</v>
          </cell>
          <cell r="Q628" t="str">
            <v>cabecar</v>
          </cell>
          <cell r="R628" t="b">
            <v>0</v>
          </cell>
          <cell r="S628" t="str">
            <v>400_1</v>
          </cell>
          <cell r="T628">
            <v>0</v>
          </cell>
          <cell r="U628">
            <v>2</v>
          </cell>
          <cell r="V628">
            <v>1</v>
          </cell>
          <cell r="W628">
            <v>0.5</v>
          </cell>
          <cell r="X628">
            <v>33</v>
          </cell>
          <cell r="Y628">
            <v>13</v>
          </cell>
          <cell r="Z628">
            <v>0.393939394</v>
          </cell>
        </row>
        <row r="629">
          <cell r="B629" t="str">
            <v>F402_1B</v>
          </cell>
          <cell r="C629" t="str">
            <v>R1_F402_1B</v>
          </cell>
          <cell r="D629">
            <v>0</v>
          </cell>
          <cell r="E629">
            <v>0.17499999999999999</v>
          </cell>
          <cell r="F629">
            <v>337</v>
          </cell>
          <cell r="G629">
            <v>1</v>
          </cell>
          <cell r="H629">
            <v>49</v>
          </cell>
          <cell r="I629">
            <v>6</v>
          </cell>
          <cell r="J629">
            <v>4</v>
          </cell>
          <cell r="K629">
            <v>0</v>
          </cell>
          <cell r="L629">
            <v>11.054403000000001</v>
          </cell>
          <cell r="M629">
            <v>-85.369479999999996</v>
          </cell>
          <cell r="N629" t="str">
            <v>Norte</v>
          </cell>
          <cell r="O629">
            <v>0</v>
          </cell>
          <cell r="P629" t="str">
            <v>talamanca</v>
          </cell>
          <cell r="Q629" t="str">
            <v>negro</v>
          </cell>
          <cell r="R629" t="str">
            <v>Not applicable</v>
          </cell>
          <cell r="S629" t="str">
            <v>402_1</v>
          </cell>
          <cell r="T629">
            <v>0</v>
          </cell>
          <cell r="U629">
            <v>1</v>
          </cell>
          <cell r="V629">
            <v>0</v>
          </cell>
          <cell r="W629">
            <v>0</v>
          </cell>
          <cell r="X629">
            <v>36</v>
          </cell>
          <cell r="Y629">
            <v>14</v>
          </cell>
          <cell r="Z629">
            <v>0.38888888900000002</v>
          </cell>
        </row>
        <row r="630">
          <cell r="B630" t="str">
            <v>F403_1B</v>
          </cell>
          <cell r="C630" t="str">
            <v>R1_F403_1B</v>
          </cell>
          <cell r="D630">
            <v>0</v>
          </cell>
          <cell r="E630">
            <v>0.5</v>
          </cell>
          <cell r="F630">
            <v>344</v>
          </cell>
          <cell r="G630">
            <v>1</v>
          </cell>
          <cell r="H630">
            <v>66</v>
          </cell>
          <cell r="I630">
            <v>6</v>
          </cell>
          <cell r="J630">
            <v>7</v>
          </cell>
          <cell r="K630">
            <v>1</v>
          </cell>
          <cell r="L630">
            <v>11.061995</v>
          </cell>
          <cell r="M630">
            <v>-85.413788999999994</v>
          </cell>
          <cell r="N630" t="str">
            <v>Norte</v>
          </cell>
          <cell r="O630">
            <v>0</v>
          </cell>
          <cell r="P630" t="str">
            <v>guaymi</v>
          </cell>
          <cell r="Q630" t="str">
            <v>negro</v>
          </cell>
          <cell r="R630" t="str">
            <v>Not applicable</v>
          </cell>
          <cell r="S630" t="str">
            <v>403_1</v>
          </cell>
          <cell r="T630">
            <v>0</v>
          </cell>
          <cell r="U630">
            <v>15</v>
          </cell>
          <cell r="V630">
            <v>7</v>
          </cell>
          <cell r="W630">
            <v>0.46666666699999998</v>
          </cell>
          <cell r="X630">
            <v>67</v>
          </cell>
          <cell r="Y630">
            <v>37</v>
          </cell>
          <cell r="Z630">
            <v>0.55223880599999997</v>
          </cell>
        </row>
        <row r="631">
          <cell r="B631" t="str">
            <v>F403_2B</v>
          </cell>
          <cell r="C631" t="str">
            <v>R1_F403_2B</v>
          </cell>
          <cell r="D631">
            <v>0</v>
          </cell>
          <cell r="E631">
            <v>0.5</v>
          </cell>
          <cell r="F631">
            <v>344</v>
          </cell>
          <cell r="G631">
            <v>1</v>
          </cell>
          <cell r="H631">
            <v>66</v>
          </cell>
          <cell r="I631">
            <v>6</v>
          </cell>
          <cell r="J631">
            <v>7</v>
          </cell>
          <cell r="K631">
            <v>1</v>
          </cell>
          <cell r="L631">
            <v>11.061995</v>
          </cell>
          <cell r="M631">
            <v>-85.413788999999994</v>
          </cell>
          <cell r="N631" t="str">
            <v>Norte</v>
          </cell>
          <cell r="O631">
            <v>0</v>
          </cell>
          <cell r="P631" t="str">
            <v>cabecar</v>
          </cell>
          <cell r="Q631" t="str">
            <v>rojo</v>
          </cell>
          <cell r="R631" t="str">
            <v>Not applicable</v>
          </cell>
          <cell r="S631" t="str">
            <v>403_2</v>
          </cell>
          <cell r="T631">
            <v>0</v>
          </cell>
          <cell r="U631">
            <v>15</v>
          </cell>
          <cell r="V631">
            <v>7</v>
          </cell>
          <cell r="W631">
            <v>0.46666666699999998</v>
          </cell>
          <cell r="X631">
            <v>67</v>
          </cell>
          <cell r="Y631">
            <v>37</v>
          </cell>
          <cell r="Z631">
            <v>0.55223880599999997</v>
          </cell>
        </row>
        <row r="632">
          <cell r="B632" t="str">
            <v>F404_1B</v>
          </cell>
          <cell r="C632" t="str">
            <v>R1_F404_1B</v>
          </cell>
          <cell r="D632">
            <v>1</v>
          </cell>
          <cell r="E632">
            <v>3</v>
          </cell>
          <cell r="F632">
            <v>298</v>
          </cell>
          <cell r="G632">
            <v>1</v>
          </cell>
          <cell r="H632">
            <v>65</v>
          </cell>
          <cell r="I632">
            <v>3</v>
          </cell>
          <cell r="J632">
            <v>7</v>
          </cell>
          <cell r="K632">
            <v>1</v>
          </cell>
          <cell r="L632">
            <v>11.082042</v>
          </cell>
          <cell r="M632">
            <v>-85.414002999999994</v>
          </cell>
          <cell r="N632" t="str">
            <v>Norte</v>
          </cell>
          <cell r="O632">
            <v>0</v>
          </cell>
          <cell r="P632" t="str">
            <v>guaymi</v>
          </cell>
          <cell r="Q632" t="str">
            <v>guaymi</v>
          </cell>
          <cell r="R632" t="b">
            <v>1</v>
          </cell>
          <cell r="S632" t="str">
            <v>404_1</v>
          </cell>
          <cell r="T632">
            <v>1</v>
          </cell>
          <cell r="U632">
            <v>5</v>
          </cell>
          <cell r="V632">
            <v>2</v>
          </cell>
          <cell r="W632">
            <v>0.4</v>
          </cell>
          <cell r="X632">
            <v>60</v>
          </cell>
          <cell r="Y632">
            <v>23</v>
          </cell>
          <cell r="Z632">
            <v>0.383333333</v>
          </cell>
        </row>
        <row r="633">
          <cell r="B633" t="str">
            <v>F405_1B</v>
          </cell>
          <cell r="C633" t="str">
            <v>R1_F405_1B</v>
          </cell>
          <cell r="D633">
            <v>1</v>
          </cell>
          <cell r="E633">
            <v>2.5</v>
          </cell>
          <cell r="F633">
            <v>330</v>
          </cell>
          <cell r="G633">
            <v>1</v>
          </cell>
          <cell r="H633">
            <v>48</v>
          </cell>
          <cell r="I633">
            <v>6</v>
          </cell>
          <cell r="J633">
            <v>5</v>
          </cell>
          <cell r="K633">
            <v>1</v>
          </cell>
          <cell r="L633">
            <v>11.070765</v>
          </cell>
          <cell r="M633">
            <v>-85.363230999999999</v>
          </cell>
          <cell r="N633" t="str">
            <v>Norte</v>
          </cell>
          <cell r="O633">
            <v>0</v>
          </cell>
          <cell r="P633" t="str">
            <v>guaymi</v>
          </cell>
          <cell r="Q633" t="str">
            <v>guaymi</v>
          </cell>
          <cell r="R633" t="b">
            <v>1</v>
          </cell>
          <cell r="S633" t="str">
            <v>405_1</v>
          </cell>
          <cell r="T633">
            <v>1</v>
          </cell>
          <cell r="U633">
            <v>3</v>
          </cell>
          <cell r="V633">
            <v>1</v>
          </cell>
          <cell r="W633">
            <v>0.33333333300000001</v>
          </cell>
          <cell r="X633">
            <v>32</v>
          </cell>
          <cell r="Y633">
            <v>9</v>
          </cell>
          <cell r="Z633">
            <v>0.28125</v>
          </cell>
        </row>
        <row r="634">
          <cell r="B634" t="str">
            <v>F405_2B</v>
          </cell>
          <cell r="C634" t="str">
            <v>R1_F405_2B</v>
          </cell>
          <cell r="D634">
            <v>0</v>
          </cell>
          <cell r="E634">
            <v>4.5</v>
          </cell>
          <cell r="F634">
            <v>330</v>
          </cell>
          <cell r="G634">
            <v>1</v>
          </cell>
          <cell r="H634">
            <v>48</v>
          </cell>
          <cell r="I634">
            <v>6</v>
          </cell>
          <cell r="J634">
            <v>5</v>
          </cell>
          <cell r="K634">
            <v>1</v>
          </cell>
          <cell r="L634">
            <v>11.070765</v>
          </cell>
          <cell r="M634">
            <v>-85.363230999999999</v>
          </cell>
          <cell r="N634" t="str">
            <v>Norte</v>
          </cell>
          <cell r="O634">
            <v>0</v>
          </cell>
          <cell r="P634" t="str">
            <v>nambi</v>
          </cell>
          <cell r="Q634" t="str">
            <v>cabecar</v>
          </cell>
          <cell r="R634" t="b">
            <v>0</v>
          </cell>
          <cell r="S634" t="str">
            <v>405_2</v>
          </cell>
          <cell r="T634">
            <v>0</v>
          </cell>
          <cell r="U634">
            <v>3</v>
          </cell>
          <cell r="V634">
            <v>1</v>
          </cell>
          <cell r="W634">
            <v>0.33333333300000001</v>
          </cell>
          <cell r="X634">
            <v>32</v>
          </cell>
          <cell r="Y634">
            <v>9</v>
          </cell>
          <cell r="Z634">
            <v>0.28125</v>
          </cell>
        </row>
        <row r="635">
          <cell r="B635" t="str">
            <v>F406_1B</v>
          </cell>
          <cell r="C635" t="str">
            <v>R1_F406_1B</v>
          </cell>
          <cell r="D635">
            <v>1</v>
          </cell>
          <cell r="E635">
            <v>0.7</v>
          </cell>
          <cell r="F635">
            <v>250</v>
          </cell>
          <cell r="G635">
            <v>1</v>
          </cell>
          <cell r="H635">
            <v>66</v>
          </cell>
          <cell r="I635">
            <v>6</v>
          </cell>
          <cell r="J635">
            <v>3</v>
          </cell>
          <cell r="K635">
            <v>1</v>
          </cell>
          <cell r="L635">
            <v>11.060708999999999</v>
          </cell>
          <cell r="M635">
            <v>-85.321188000000006</v>
          </cell>
          <cell r="N635" t="str">
            <v>Norte</v>
          </cell>
          <cell r="O635">
            <v>0</v>
          </cell>
          <cell r="P635" t="str">
            <v>nambi</v>
          </cell>
          <cell r="Q635" t="str">
            <v>nambi</v>
          </cell>
          <cell r="R635" t="b">
            <v>1</v>
          </cell>
          <cell r="S635" t="str">
            <v>406_1</v>
          </cell>
          <cell r="T635">
            <v>1</v>
          </cell>
          <cell r="U635">
            <v>4</v>
          </cell>
          <cell r="V635">
            <v>2</v>
          </cell>
          <cell r="W635">
            <v>0.5</v>
          </cell>
          <cell r="X635">
            <v>44</v>
          </cell>
          <cell r="Y635">
            <v>22</v>
          </cell>
          <cell r="Z635">
            <v>0.5</v>
          </cell>
        </row>
        <row r="636">
          <cell r="B636" t="str">
            <v>F406_2B</v>
          </cell>
          <cell r="C636" t="str">
            <v>R1_F406_2B</v>
          </cell>
          <cell r="D636">
            <v>0</v>
          </cell>
          <cell r="E636">
            <v>0.35</v>
          </cell>
          <cell r="F636">
            <v>250</v>
          </cell>
          <cell r="G636">
            <v>1</v>
          </cell>
          <cell r="H636">
            <v>66</v>
          </cell>
          <cell r="I636">
            <v>6</v>
          </cell>
          <cell r="J636">
            <v>3</v>
          </cell>
          <cell r="K636">
            <v>1</v>
          </cell>
          <cell r="L636">
            <v>11.060708999999999</v>
          </cell>
          <cell r="M636">
            <v>-85.321188000000006</v>
          </cell>
          <cell r="N636" t="str">
            <v>Norte</v>
          </cell>
          <cell r="O636">
            <v>0</v>
          </cell>
          <cell r="P636" t="str">
            <v>cabecar</v>
          </cell>
          <cell r="Q636" t="str">
            <v>rojo</v>
          </cell>
          <cell r="R636" t="str">
            <v>Not applicable</v>
          </cell>
          <cell r="S636" t="str">
            <v>406_2</v>
          </cell>
          <cell r="T636">
            <v>0</v>
          </cell>
          <cell r="U636">
            <v>4</v>
          </cell>
          <cell r="V636">
            <v>2</v>
          </cell>
          <cell r="W636">
            <v>0.5</v>
          </cell>
          <cell r="X636">
            <v>44</v>
          </cell>
          <cell r="Y636">
            <v>22</v>
          </cell>
          <cell r="Z636">
            <v>0.5</v>
          </cell>
        </row>
        <row r="637">
          <cell r="B637" t="str">
            <v>F407_1B</v>
          </cell>
          <cell r="C637" t="str">
            <v>R1_F407_1B</v>
          </cell>
          <cell r="D637">
            <v>0</v>
          </cell>
          <cell r="E637">
            <v>1</v>
          </cell>
          <cell r="F637">
            <v>287</v>
          </cell>
          <cell r="G637">
            <v>1</v>
          </cell>
          <cell r="H637">
            <v>52</v>
          </cell>
          <cell r="I637">
            <v>0</v>
          </cell>
          <cell r="J637">
            <v>9</v>
          </cell>
          <cell r="K637">
            <v>0</v>
          </cell>
          <cell r="L637">
            <v>11.062108</v>
          </cell>
          <cell r="M637">
            <v>-85.325788000000003</v>
          </cell>
          <cell r="N637" t="str">
            <v>Norte</v>
          </cell>
          <cell r="O637">
            <v>0</v>
          </cell>
          <cell r="P637" t="str">
            <v>talamanca</v>
          </cell>
          <cell r="Q637" t="str">
            <v>guaymi</v>
          </cell>
          <cell r="R637" t="b">
            <v>0</v>
          </cell>
          <cell r="S637" t="str">
            <v>407_1</v>
          </cell>
          <cell r="T637">
            <v>0</v>
          </cell>
          <cell r="U637">
            <v>7</v>
          </cell>
          <cell r="V637">
            <v>4</v>
          </cell>
          <cell r="W637">
            <v>0.571428571</v>
          </cell>
          <cell r="X637">
            <v>46</v>
          </cell>
          <cell r="Y637">
            <v>24</v>
          </cell>
          <cell r="Z637">
            <v>0.52173913000000005</v>
          </cell>
        </row>
        <row r="638">
          <cell r="B638" t="str">
            <v>F408_1B</v>
          </cell>
          <cell r="C638" t="str">
            <v>R1_F408_1B</v>
          </cell>
          <cell r="D638">
            <v>1</v>
          </cell>
          <cell r="E638">
            <v>2.5</v>
          </cell>
          <cell r="F638">
            <v>230</v>
          </cell>
          <cell r="G638">
            <v>1</v>
          </cell>
          <cell r="H638">
            <v>43</v>
          </cell>
          <cell r="I638">
            <v>11</v>
          </cell>
          <cell r="J638">
            <v>1</v>
          </cell>
          <cell r="K638">
            <v>1</v>
          </cell>
          <cell r="L638">
            <v>11.052215</v>
          </cell>
          <cell r="M638">
            <v>-85.318359999999998</v>
          </cell>
          <cell r="N638" t="str">
            <v>Norte</v>
          </cell>
          <cell r="O638">
            <v>0</v>
          </cell>
          <cell r="P638" t="str">
            <v>nambi</v>
          </cell>
          <cell r="Q638" t="str">
            <v>nambi</v>
          </cell>
          <cell r="R638" t="b">
            <v>1</v>
          </cell>
          <cell r="S638" t="str">
            <v>408_1</v>
          </cell>
          <cell r="T638">
            <v>1</v>
          </cell>
          <cell r="U638">
            <v>3</v>
          </cell>
          <cell r="V638">
            <v>1</v>
          </cell>
          <cell r="W638">
            <v>0.33333333300000001</v>
          </cell>
          <cell r="X638">
            <v>41</v>
          </cell>
          <cell r="Y638">
            <v>23</v>
          </cell>
          <cell r="Z638">
            <v>0.56097560999999996</v>
          </cell>
        </row>
        <row r="639">
          <cell r="B639" t="str">
            <v>F408_2B</v>
          </cell>
          <cell r="C639" t="str">
            <v>R1_F408_2B</v>
          </cell>
          <cell r="D639">
            <v>0</v>
          </cell>
          <cell r="E639">
            <v>0.28000000000000003</v>
          </cell>
          <cell r="F639">
            <v>230</v>
          </cell>
          <cell r="G639">
            <v>1</v>
          </cell>
          <cell r="H639">
            <v>43</v>
          </cell>
          <cell r="I639">
            <v>11</v>
          </cell>
          <cell r="J639">
            <v>1</v>
          </cell>
          <cell r="K639">
            <v>1</v>
          </cell>
          <cell r="L639">
            <v>11.052215</v>
          </cell>
          <cell r="M639">
            <v>-85.318359999999998</v>
          </cell>
          <cell r="N639" t="str">
            <v>Norte</v>
          </cell>
          <cell r="O639">
            <v>0</v>
          </cell>
          <cell r="P639" t="str">
            <v>cabecar</v>
          </cell>
          <cell r="Q639" t="str">
            <v>uran</v>
          </cell>
          <cell r="R639" t="b">
            <v>0</v>
          </cell>
          <cell r="S639" t="str">
            <v>408_2</v>
          </cell>
          <cell r="T639">
            <v>0</v>
          </cell>
          <cell r="U639">
            <v>3</v>
          </cell>
          <cell r="V639">
            <v>1</v>
          </cell>
          <cell r="W639">
            <v>0.33333333300000001</v>
          </cell>
          <cell r="X639">
            <v>41</v>
          </cell>
          <cell r="Y639">
            <v>23</v>
          </cell>
          <cell r="Z639">
            <v>0.56097560999999996</v>
          </cell>
        </row>
        <row r="640">
          <cell r="B640" t="str">
            <v>F409_1B</v>
          </cell>
          <cell r="C640" t="str">
            <v>R1_F409_1B</v>
          </cell>
          <cell r="D640">
            <v>0</v>
          </cell>
          <cell r="E640">
            <v>1.4</v>
          </cell>
          <cell r="F640">
            <v>246</v>
          </cell>
          <cell r="G640">
            <v>1</v>
          </cell>
          <cell r="H640">
            <v>78</v>
          </cell>
          <cell r="I640">
            <v>12</v>
          </cell>
          <cell r="J640">
            <v>3</v>
          </cell>
          <cell r="K640">
            <v>0</v>
          </cell>
          <cell r="L640">
            <v>11.046071</v>
          </cell>
          <cell r="M640">
            <v>-85.311222999999998</v>
          </cell>
          <cell r="N640" t="str">
            <v>Norte</v>
          </cell>
          <cell r="O640">
            <v>0</v>
          </cell>
          <cell r="P640" t="str">
            <v>talamanca</v>
          </cell>
          <cell r="Q640" t="str">
            <v>nambi</v>
          </cell>
          <cell r="R640" t="b">
            <v>0</v>
          </cell>
          <cell r="S640" t="str">
            <v>409_1</v>
          </cell>
          <cell r="T640">
            <v>0</v>
          </cell>
          <cell r="U640">
            <v>2</v>
          </cell>
          <cell r="V640">
            <v>0</v>
          </cell>
          <cell r="W640">
            <v>0</v>
          </cell>
          <cell r="X640">
            <v>37</v>
          </cell>
          <cell r="Y640">
            <v>14</v>
          </cell>
          <cell r="Z640">
            <v>0.37837837800000002</v>
          </cell>
        </row>
        <row r="641">
          <cell r="B641" t="str">
            <v>F409_2B</v>
          </cell>
          <cell r="C641" t="str">
            <v>R1_F409_2B</v>
          </cell>
          <cell r="D641">
            <v>1</v>
          </cell>
          <cell r="E641">
            <v>1</v>
          </cell>
          <cell r="F641">
            <v>246</v>
          </cell>
          <cell r="G641">
            <v>1</v>
          </cell>
          <cell r="H641">
            <v>78</v>
          </cell>
          <cell r="I641">
            <v>12</v>
          </cell>
          <cell r="J641">
            <v>3</v>
          </cell>
          <cell r="K641">
            <v>1</v>
          </cell>
          <cell r="L641">
            <v>11.046071</v>
          </cell>
          <cell r="M641">
            <v>-85.311222999999998</v>
          </cell>
          <cell r="N641" t="str">
            <v>Norte</v>
          </cell>
          <cell r="O641">
            <v>0</v>
          </cell>
          <cell r="P641" t="str">
            <v>cabecar</v>
          </cell>
          <cell r="Q641" t="str">
            <v>cabecar</v>
          </cell>
          <cell r="R641" t="b">
            <v>1</v>
          </cell>
          <cell r="S641" t="str">
            <v>409_2</v>
          </cell>
          <cell r="T641">
            <v>1</v>
          </cell>
          <cell r="U641">
            <v>2</v>
          </cell>
          <cell r="V641">
            <v>0</v>
          </cell>
          <cell r="W641">
            <v>0</v>
          </cell>
          <cell r="X641">
            <v>37</v>
          </cell>
          <cell r="Y641">
            <v>14</v>
          </cell>
          <cell r="Z641">
            <v>0.37837837800000002</v>
          </cell>
        </row>
        <row r="642">
          <cell r="B642" t="str">
            <v>F410_1B</v>
          </cell>
          <cell r="C642" t="str">
            <v>R1_F410_1B</v>
          </cell>
          <cell r="D642">
            <v>0</v>
          </cell>
          <cell r="E642">
            <v>1</v>
          </cell>
          <cell r="F642">
            <v>287</v>
          </cell>
          <cell r="G642">
            <v>1</v>
          </cell>
          <cell r="H642">
            <v>36</v>
          </cell>
          <cell r="I642">
            <v>4</v>
          </cell>
          <cell r="J642">
            <v>4</v>
          </cell>
          <cell r="K642">
            <v>1</v>
          </cell>
          <cell r="L642">
            <v>11.062108</v>
          </cell>
          <cell r="M642">
            <v>-85.325788000000003</v>
          </cell>
          <cell r="N642" t="str">
            <v>Norte</v>
          </cell>
          <cell r="O642">
            <v>0</v>
          </cell>
          <cell r="P642" t="str">
            <v>nambi</v>
          </cell>
          <cell r="Q642" t="str">
            <v>negro</v>
          </cell>
          <cell r="R642" t="str">
            <v>Not applicable</v>
          </cell>
          <cell r="S642" t="str">
            <v>410_1</v>
          </cell>
          <cell r="T642">
            <v>0</v>
          </cell>
          <cell r="U642">
            <v>7</v>
          </cell>
          <cell r="V642">
            <v>4</v>
          </cell>
          <cell r="W642">
            <v>0.571428571</v>
          </cell>
          <cell r="X642">
            <v>46</v>
          </cell>
          <cell r="Y642">
            <v>24</v>
          </cell>
          <cell r="Z642">
            <v>0.52173913000000005</v>
          </cell>
        </row>
        <row r="643">
          <cell r="B643" t="str">
            <v>F411_1B</v>
          </cell>
          <cell r="C643" t="str">
            <v>R1_F411_1B</v>
          </cell>
          <cell r="D643">
            <v>0</v>
          </cell>
          <cell r="E643">
            <v>2</v>
          </cell>
          <cell r="F643">
            <v>316</v>
          </cell>
          <cell r="G643">
            <v>1</v>
          </cell>
          <cell r="H643">
            <v>69</v>
          </cell>
          <cell r="I643">
            <v>0</v>
          </cell>
          <cell r="J643">
            <v>3</v>
          </cell>
          <cell r="K643">
            <v>0</v>
          </cell>
          <cell r="L643">
            <v>11.077947999999999</v>
          </cell>
          <cell r="M643">
            <v>-85.413629999999998</v>
          </cell>
          <cell r="N643" t="str">
            <v>Norte</v>
          </cell>
          <cell r="O643">
            <v>0</v>
          </cell>
          <cell r="P643" t="str">
            <v>sacapobres</v>
          </cell>
          <cell r="Q643" t="str">
            <v>guaymi</v>
          </cell>
          <cell r="R643" t="b">
            <v>0</v>
          </cell>
          <cell r="S643" t="str">
            <v>411_1</v>
          </cell>
          <cell r="T643">
            <v>0</v>
          </cell>
          <cell r="U643">
            <v>4</v>
          </cell>
          <cell r="V643">
            <v>3</v>
          </cell>
          <cell r="W643">
            <v>0.75</v>
          </cell>
          <cell r="X643">
            <v>57</v>
          </cell>
          <cell r="Y643">
            <v>24</v>
          </cell>
          <cell r="Z643">
            <v>0.42105263199999998</v>
          </cell>
        </row>
        <row r="644">
          <cell r="B644" t="str">
            <v>F411_2B</v>
          </cell>
          <cell r="C644" t="str">
            <v>R1_F411_2B</v>
          </cell>
          <cell r="D644">
            <v>0</v>
          </cell>
          <cell r="E644">
            <v>2</v>
          </cell>
          <cell r="F644">
            <v>316</v>
          </cell>
          <cell r="G644">
            <v>1</v>
          </cell>
          <cell r="H644">
            <v>69</v>
          </cell>
          <cell r="I644">
            <v>0</v>
          </cell>
          <cell r="J644">
            <v>3</v>
          </cell>
          <cell r="K644">
            <v>0</v>
          </cell>
          <cell r="L644">
            <v>11.077947999999999</v>
          </cell>
          <cell r="M644">
            <v>-85.413629999999998</v>
          </cell>
          <cell r="N644" t="str">
            <v>Norte</v>
          </cell>
          <cell r="O644">
            <v>0</v>
          </cell>
          <cell r="P644" t="str">
            <v>victoria</v>
          </cell>
          <cell r="Q644" t="str">
            <v>cabecar</v>
          </cell>
          <cell r="R644" t="b">
            <v>0</v>
          </cell>
          <cell r="S644" t="str">
            <v>411_2</v>
          </cell>
          <cell r="T644">
            <v>0</v>
          </cell>
          <cell r="U644">
            <v>4</v>
          </cell>
          <cell r="V644">
            <v>3</v>
          </cell>
          <cell r="W644">
            <v>0.75</v>
          </cell>
          <cell r="X644">
            <v>57</v>
          </cell>
          <cell r="Y644">
            <v>24</v>
          </cell>
          <cell r="Z644">
            <v>0.42105263199999998</v>
          </cell>
        </row>
        <row r="645">
          <cell r="B645" t="str">
            <v>F412_1B</v>
          </cell>
          <cell r="C645" t="str">
            <v>R1_F412_1B</v>
          </cell>
          <cell r="D645">
            <v>0</v>
          </cell>
          <cell r="E645">
            <v>0.35</v>
          </cell>
          <cell r="F645">
            <v>231</v>
          </cell>
          <cell r="G645">
            <v>1</v>
          </cell>
          <cell r="H645">
            <v>67</v>
          </cell>
          <cell r="I645">
            <v>2</v>
          </cell>
          <cell r="J645">
            <v>1</v>
          </cell>
          <cell r="K645">
            <v>0</v>
          </cell>
          <cell r="L645">
            <v>11.086264</v>
          </cell>
          <cell r="M645">
            <v>-85.374688000000006</v>
          </cell>
          <cell r="N645" t="str">
            <v>Norte</v>
          </cell>
          <cell r="O645">
            <v>0</v>
          </cell>
          <cell r="P645" t="str">
            <v>victoria</v>
          </cell>
          <cell r="Q645" t="str">
            <v>cabecar</v>
          </cell>
          <cell r="R645" t="b">
            <v>0</v>
          </cell>
          <cell r="S645" t="str">
            <v>412_1</v>
          </cell>
          <cell r="T645">
            <v>1</v>
          </cell>
          <cell r="U645">
            <v>9</v>
          </cell>
          <cell r="V645">
            <v>1</v>
          </cell>
          <cell r="W645">
            <v>0.111111111</v>
          </cell>
          <cell r="X645">
            <v>15</v>
          </cell>
          <cell r="Y645">
            <v>3</v>
          </cell>
          <cell r="Z645">
            <v>0.2</v>
          </cell>
        </row>
        <row r="646">
          <cell r="B646" t="str">
            <v>F412_2B</v>
          </cell>
          <cell r="C646" t="str">
            <v>R1_F412_2B</v>
          </cell>
          <cell r="D646">
            <v>0</v>
          </cell>
          <cell r="E646">
            <v>0.35</v>
          </cell>
          <cell r="F646">
            <v>231</v>
          </cell>
          <cell r="G646">
            <v>1</v>
          </cell>
          <cell r="H646">
            <v>67</v>
          </cell>
          <cell r="I646">
            <v>2</v>
          </cell>
          <cell r="J646">
            <v>1</v>
          </cell>
          <cell r="K646">
            <v>0</v>
          </cell>
          <cell r="L646">
            <v>11.086264</v>
          </cell>
          <cell r="M646">
            <v>-85.374688000000006</v>
          </cell>
          <cell r="N646" t="str">
            <v>Norte</v>
          </cell>
          <cell r="O646">
            <v>0</v>
          </cell>
          <cell r="P646" t="str">
            <v>victoria</v>
          </cell>
          <cell r="Q646" t="str">
            <v>sacapobres</v>
          </cell>
          <cell r="R646" t="b">
            <v>0</v>
          </cell>
          <cell r="S646" t="str">
            <v>412_2</v>
          </cell>
          <cell r="T646">
            <v>0</v>
          </cell>
          <cell r="U646">
            <v>9</v>
          </cell>
          <cell r="V646">
            <v>1</v>
          </cell>
          <cell r="W646">
            <v>0.111111111</v>
          </cell>
          <cell r="X646">
            <v>15</v>
          </cell>
          <cell r="Y646">
            <v>3</v>
          </cell>
          <cell r="Z646">
            <v>0.2</v>
          </cell>
        </row>
        <row r="647">
          <cell r="B647" t="str">
            <v>F413_1B</v>
          </cell>
          <cell r="C647" t="str">
            <v>R1_F413_1B</v>
          </cell>
          <cell r="D647">
            <v>0</v>
          </cell>
          <cell r="E647">
            <v>1</v>
          </cell>
          <cell r="F647">
            <v>287</v>
          </cell>
          <cell r="G647">
            <v>1</v>
          </cell>
          <cell r="H647">
            <v>51</v>
          </cell>
          <cell r="I647">
            <v>6</v>
          </cell>
          <cell r="J647">
            <v>3</v>
          </cell>
          <cell r="K647">
            <v>1</v>
          </cell>
          <cell r="L647">
            <v>11.056376</v>
          </cell>
          <cell r="M647">
            <v>-85.330494999999999</v>
          </cell>
          <cell r="N647" t="str">
            <v>Norte</v>
          </cell>
          <cell r="O647">
            <v>0</v>
          </cell>
          <cell r="P647" t="str">
            <v>cabecar</v>
          </cell>
          <cell r="Q647" t="str">
            <v>nambi</v>
          </cell>
          <cell r="R647" t="b">
            <v>0</v>
          </cell>
          <cell r="S647" t="str">
            <v>413_1</v>
          </cell>
          <cell r="T647">
            <v>0</v>
          </cell>
          <cell r="U647">
            <v>0</v>
          </cell>
          <cell r="V647">
            <v>0</v>
          </cell>
          <cell r="W647" t="str">
            <v>NA</v>
          </cell>
          <cell r="X647">
            <v>21</v>
          </cell>
          <cell r="Y647">
            <v>10</v>
          </cell>
          <cell r="Z647">
            <v>0.47619047599999997</v>
          </cell>
        </row>
        <row r="648">
          <cell r="B648" t="str">
            <v>F413_2B</v>
          </cell>
          <cell r="C648" t="str">
            <v>R1_F413_2B</v>
          </cell>
          <cell r="D648">
            <v>0</v>
          </cell>
          <cell r="E648">
            <v>0.5</v>
          </cell>
          <cell r="F648">
            <v>287</v>
          </cell>
          <cell r="G648">
            <v>1</v>
          </cell>
          <cell r="H648">
            <v>51</v>
          </cell>
          <cell r="I648">
            <v>6</v>
          </cell>
          <cell r="J648">
            <v>3</v>
          </cell>
          <cell r="K648">
            <v>1</v>
          </cell>
          <cell r="L648">
            <v>11.056376</v>
          </cell>
          <cell r="M648">
            <v>-85.330494999999999</v>
          </cell>
          <cell r="N648" t="str">
            <v>Norte</v>
          </cell>
          <cell r="O648">
            <v>0</v>
          </cell>
          <cell r="P648" t="str">
            <v>guaymi</v>
          </cell>
          <cell r="Q648" t="str">
            <v>cabecar</v>
          </cell>
          <cell r="R648" t="b">
            <v>0</v>
          </cell>
          <cell r="S648" t="str">
            <v>413_2</v>
          </cell>
          <cell r="T648">
            <v>0</v>
          </cell>
          <cell r="U648">
            <v>0</v>
          </cell>
          <cell r="V648">
            <v>0</v>
          </cell>
          <cell r="W648" t="str">
            <v>NA</v>
          </cell>
          <cell r="X648">
            <v>21</v>
          </cell>
          <cell r="Y648">
            <v>10</v>
          </cell>
          <cell r="Z648">
            <v>0.47619047599999997</v>
          </cell>
        </row>
        <row r="649">
          <cell r="B649" t="str">
            <v>F414_1B</v>
          </cell>
          <cell r="C649" t="str">
            <v>R1_F414_1B</v>
          </cell>
          <cell r="D649">
            <v>0</v>
          </cell>
          <cell r="E649">
            <v>3</v>
          </cell>
          <cell r="F649">
            <v>269</v>
          </cell>
          <cell r="G649">
            <v>0</v>
          </cell>
          <cell r="H649">
            <v>64</v>
          </cell>
          <cell r="I649">
            <v>6</v>
          </cell>
          <cell r="J649">
            <v>3</v>
          </cell>
          <cell r="K649">
            <v>1</v>
          </cell>
          <cell r="L649">
            <v>11.090237999999999</v>
          </cell>
          <cell r="M649">
            <v>-85.389340000000004</v>
          </cell>
          <cell r="N649" t="str">
            <v>Norte</v>
          </cell>
          <cell r="O649">
            <v>0</v>
          </cell>
          <cell r="P649" t="str">
            <v>cabecar</v>
          </cell>
          <cell r="Q649" t="str">
            <v>nambi</v>
          </cell>
          <cell r="R649" t="b">
            <v>0</v>
          </cell>
          <cell r="S649" t="str">
            <v>414_1</v>
          </cell>
          <cell r="T649">
            <v>0</v>
          </cell>
          <cell r="U649">
            <v>1</v>
          </cell>
          <cell r="V649">
            <v>0</v>
          </cell>
          <cell r="W649">
            <v>0</v>
          </cell>
          <cell r="X649">
            <v>24</v>
          </cell>
          <cell r="Y649">
            <v>9</v>
          </cell>
          <cell r="Z649">
            <v>0.375</v>
          </cell>
        </row>
        <row r="650">
          <cell r="B650" t="str">
            <v>F414_2B</v>
          </cell>
          <cell r="C650" t="str">
            <v>R1_F414_2B</v>
          </cell>
          <cell r="D650">
            <v>0</v>
          </cell>
          <cell r="E650">
            <v>3</v>
          </cell>
          <cell r="F650">
            <v>269</v>
          </cell>
          <cell r="G650">
            <v>0</v>
          </cell>
          <cell r="H650">
            <v>64</v>
          </cell>
          <cell r="I650">
            <v>6</v>
          </cell>
          <cell r="J650">
            <v>3</v>
          </cell>
          <cell r="K650">
            <v>1</v>
          </cell>
          <cell r="L650">
            <v>11.090237999999999</v>
          </cell>
          <cell r="M650">
            <v>-85.389340000000004</v>
          </cell>
          <cell r="N650" t="str">
            <v>Norte</v>
          </cell>
          <cell r="O650">
            <v>0</v>
          </cell>
          <cell r="P650" t="str">
            <v>guaymi</v>
          </cell>
          <cell r="Q650" t="str">
            <v>cabecar</v>
          </cell>
          <cell r="R650" t="b">
            <v>0</v>
          </cell>
          <cell r="S650" t="str">
            <v>414_2</v>
          </cell>
          <cell r="T650">
            <v>0</v>
          </cell>
          <cell r="U650">
            <v>1</v>
          </cell>
          <cell r="V650">
            <v>0</v>
          </cell>
          <cell r="W650">
            <v>0</v>
          </cell>
          <cell r="X650">
            <v>24</v>
          </cell>
          <cell r="Y650">
            <v>9</v>
          </cell>
          <cell r="Z650">
            <v>0.375</v>
          </cell>
        </row>
        <row r="651">
          <cell r="B651" t="str">
            <v>F415_1B</v>
          </cell>
          <cell r="C651" t="str">
            <v>R1_F415_1B</v>
          </cell>
          <cell r="D651">
            <v>1</v>
          </cell>
          <cell r="E651">
            <v>1</v>
          </cell>
          <cell r="F651">
            <v>296</v>
          </cell>
          <cell r="G651">
            <v>0</v>
          </cell>
          <cell r="H651">
            <v>64</v>
          </cell>
          <cell r="I651">
            <v>2</v>
          </cell>
          <cell r="J651">
            <v>5</v>
          </cell>
          <cell r="K651">
            <v>1</v>
          </cell>
          <cell r="L651">
            <v>11.059388</v>
          </cell>
          <cell r="M651">
            <v>-85.324273000000005</v>
          </cell>
          <cell r="N651" t="str">
            <v>Norte</v>
          </cell>
          <cell r="O651">
            <v>0</v>
          </cell>
          <cell r="P651" t="str">
            <v>guaymi</v>
          </cell>
          <cell r="Q651" t="str">
            <v>guaymi</v>
          </cell>
          <cell r="R651" t="b">
            <v>1</v>
          </cell>
          <cell r="S651" t="str">
            <v>415_1</v>
          </cell>
          <cell r="T651">
            <v>1</v>
          </cell>
          <cell r="U651">
            <v>6</v>
          </cell>
          <cell r="V651">
            <v>2</v>
          </cell>
          <cell r="W651">
            <v>0.33333333300000001</v>
          </cell>
          <cell r="X651">
            <v>46</v>
          </cell>
          <cell r="Y651">
            <v>23</v>
          </cell>
          <cell r="Z651">
            <v>0.5</v>
          </cell>
        </row>
        <row r="652">
          <cell r="B652" t="str">
            <v>F415_2B</v>
          </cell>
          <cell r="C652" t="str">
            <v>R1_F415_2B</v>
          </cell>
          <cell r="D652">
            <v>1</v>
          </cell>
          <cell r="E652">
            <v>2</v>
          </cell>
          <cell r="F652">
            <v>296</v>
          </cell>
          <cell r="G652">
            <v>0</v>
          </cell>
          <cell r="H652">
            <v>64</v>
          </cell>
          <cell r="I652">
            <v>2</v>
          </cell>
          <cell r="J652">
            <v>5</v>
          </cell>
          <cell r="K652">
            <v>1</v>
          </cell>
          <cell r="L652">
            <v>11.059388</v>
          </cell>
          <cell r="M652">
            <v>-85.324273000000005</v>
          </cell>
          <cell r="N652" t="str">
            <v>Norte</v>
          </cell>
          <cell r="O652">
            <v>0</v>
          </cell>
          <cell r="P652" t="str">
            <v>nambi</v>
          </cell>
          <cell r="Q652" t="str">
            <v>nambi</v>
          </cell>
          <cell r="R652" t="b">
            <v>1</v>
          </cell>
          <cell r="S652" t="str">
            <v>415_2</v>
          </cell>
          <cell r="T652">
            <v>1</v>
          </cell>
          <cell r="U652">
            <v>6</v>
          </cell>
          <cell r="V652">
            <v>2</v>
          </cell>
          <cell r="W652">
            <v>0.33333333300000001</v>
          </cell>
          <cell r="X652">
            <v>46</v>
          </cell>
          <cell r="Y652">
            <v>23</v>
          </cell>
          <cell r="Z652">
            <v>0.5</v>
          </cell>
        </row>
        <row r="653">
          <cell r="B653" t="str">
            <v>F416_1B</v>
          </cell>
          <cell r="C653" t="str">
            <v>R1_F416_1B</v>
          </cell>
          <cell r="D653">
            <v>0</v>
          </cell>
          <cell r="E653">
            <v>1</v>
          </cell>
          <cell r="F653">
            <v>233</v>
          </cell>
          <cell r="G653">
            <v>1</v>
          </cell>
          <cell r="H653">
            <v>23</v>
          </cell>
          <cell r="I653">
            <v>5</v>
          </cell>
          <cell r="J653">
            <v>3</v>
          </cell>
          <cell r="K653">
            <v>0</v>
          </cell>
          <cell r="L653">
            <v>11.043283000000001</v>
          </cell>
          <cell r="M653">
            <v>-85.306782999999996</v>
          </cell>
          <cell r="N653" t="str">
            <v>Norte</v>
          </cell>
          <cell r="O653">
            <v>0</v>
          </cell>
          <cell r="P653" t="str">
            <v>talamanca</v>
          </cell>
          <cell r="Q653" t="str">
            <v>guaymi</v>
          </cell>
          <cell r="R653" t="b">
            <v>0</v>
          </cell>
          <cell r="S653" t="str">
            <v>416_1</v>
          </cell>
          <cell r="T653">
            <v>0</v>
          </cell>
          <cell r="U653">
            <v>2</v>
          </cell>
          <cell r="V653">
            <v>1</v>
          </cell>
          <cell r="W653">
            <v>0.5</v>
          </cell>
          <cell r="X653">
            <v>40</v>
          </cell>
          <cell r="Y653">
            <v>17</v>
          </cell>
          <cell r="Z653">
            <v>0.42499999999999999</v>
          </cell>
        </row>
        <row r="654">
          <cell r="B654" t="str">
            <v>F416_2B</v>
          </cell>
          <cell r="C654" t="str">
            <v>R1_F416_2B</v>
          </cell>
          <cell r="D654">
            <v>0</v>
          </cell>
          <cell r="E654">
            <v>0.28000000000000003</v>
          </cell>
          <cell r="F654">
            <v>233</v>
          </cell>
          <cell r="G654">
            <v>1</v>
          </cell>
          <cell r="H654">
            <v>23</v>
          </cell>
          <cell r="I654">
            <v>5</v>
          </cell>
          <cell r="J654">
            <v>3</v>
          </cell>
          <cell r="K654">
            <v>0</v>
          </cell>
          <cell r="L654">
            <v>11.043283000000001</v>
          </cell>
          <cell r="M654">
            <v>-85.306782999999996</v>
          </cell>
          <cell r="N654" t="str">
            <v>Norte</v>
          </cell>
          <cell r="O654">
            <v>0</v>
          </cell>
          <cell r="P654" t="str">
            <v>generalito</v>
          </cell>
          <cell r="Q654" t="str">
            <v>rojo</v>
          </cell>
          <cell r="R654" t="str">
            <v>Not applicable</v>
          </cell>
          <cell r="S654" t="str">
            <v>416_2</v>
          </cell>
          <cell r="T654">
            <v>0</v>
          </cell>
          <cell r="U654">
            <v>2</v>
          </cell>
          <cell r="V654">
            <v>1</v>
          </cell>
          <cell r="W654">
            <v>0.5</v>
          </cell>
          <cell r="X654">
            <v>40</v>
          </cell>
          <cell r="Y654">
            <v>17</v>
          </cell>
          <cell r="Z654">
            <v>0.42499999999999999</v>
          </cell>
        </row>
        <row r="655">
          <cell r="B655" t="str">
            <v>F417_1B</v>
          </cell>
          <cell r="C655" t="str">
            <v>R1_F417_1B</v>
          </cell>
          <cell r="D655">
            <v>0</v>
          </cell>
          <cell r="E655">
            <v>3</v>
          </cell>
          <cell r="F655">
            <v>236</v>
          </cell>
          <cell r="G655">
            <v>1</v>
          </cell>
          <cell r="H655">
            <v>37</v>
          </cell>
          <cell r="I655">
            <v>1</v>
          </cell>
          <cell r="J655">
            <v>5</v>
          </cell>
          <cell r="K655">
            <v>0</v>
          </cell>
          <cell r="L655">
            <v>11.052655</v>
          </cell>
          <cell r="M655">
            <v>-85.318246400000007</v>
          </cell>
          <cell r="N655" t="str">
            <v>Norte</v>
          </cell>
          <cell r="O655">
            <v>0</v>
          </cell>
          <cell r="P655" t="str">
            <v>generalito</v>
          </cell>
          <cell r="Q655" t="str">
            <v>guaymi</v>
          </cell>
          <cell r="R655" t="b">
            <v>0</v>
          </cell>
          <cell r="S655" t="str">
            <v>417_1</v>
          </cell>
          <cell r="T655">
            <v>0</v>
          </cell>
          <cell r="U655">
            <v>4</v>
          </cell>
          <cell r="V655">
            <v>2</v>
          </cell>
          <cell r="W655">
            <v>0.5</v>
          </cell>
          <cell r="X655">
            <v>42</v>
          </cell>
          <cell r="Y655">
            <v>24</v>
          </cell>
          <cell r="Z655">
            <v>0.571428571</v>
          </cell>
        </row>
        <row r="656">
          <cell r="B656" t="str">
            <v>F418_1B</v>
          </cell>
          <cell r="C656" t="str">
            <v>R1_F418_1B</v>
          </cell>
          <cell r="D656">
            <v>1</v>
          </cell>
          <cell r="E656">
            <v>2</v>
          </cell>
          <cell r="F656">
            <v>236</v>
          </cell>
          <cell r="G656">
            <v>1</v>
          </cell>
          <cell r="H656">
            <v>59</v>
          </cell>
          <cell r="I656">
            <v>2</v>
          </cell>
          <cell r="J656">
            <v>3</v>
          </cell>
          <cell r="K656">
            <v>1</v>
          </cell>
          <cell r="L656">
            <v>11.052808000000001</v>
          </cell>
          <cell r="M656">
            <v>-85.318291000000002</v>
          </cell>
          <cell r="N656" t="str">
            <v>Norte</v>
          </cell>
          <cell r="O656">
            <v>0</v>
          </cell>
          <cell r="P656" t="str">
            <v>guaymi</v>
          </cell>
          <cell r="Q656" t="str">
            <v>guaymi</v>
          </cell>
          <cell r="R656" t="b">
            <v>1</v>
          </cell>
          <cell r="S656" t="str">
            <v>418_1</v>
          </cell>
          <cell r="T656">
            <v>1</v>
          </cell>
          <cell r="U656">
            <v>3</v>
          </cell>
          <cell r="V656">
            <v>1</v>
          </cell>
          <cell r="W656">
            <v>0.33333333300000001</v>
          </cell>
          <cell r="X656">
            <v>41</v>
          </cell>
          <cell r="Y656">
            <v>23</v>
          </cell>
          <cell r="Z656">
            <v>0.56097560999999996</v>
          </cell>
        </row>
        <row r="657">
          <cell r="B657" t="str">
            <v>F418_2B</v>
          </cell>
          <cell r="C657" t="str">
            <v>R1_F418_2B</v>
          </cell>
          <cell r="D657">
            <v>0</v>
          </cell>
          <cell r="E657">
            <v>1</v>
          </cell>
          <cell r="F657">
            <v>236</v>
          </cell>
          <cell r="G657">
            <v>1</v>
          </cell>
          <cell r="H657">
            <v>59</v>
          </cell>
          <cell r="I657">
            <v>2</v>
          </cell>
          <cell r="J657">
            <v>3</v>
          </cell>
          <cell r="K657">
            <v>0</v>
          </cell>
          <cell r="L657">
            <v>11.052808000000001</v>
          </cell>
          <cell r="M657">
            <v>-85.318291000000002</v>
          </cell>
          <cell r="N657" t="str">
            <v>Norte</v>
          </cell>
          <cell r="O657">
            <v>0</v>
          </cell>
          <cell r="P657" t="str">
            <v>generalito</v>
          </cell>
          <cell r="Q657" t="str">
            <v>rojo</v>
          </cell>
          <cell r="R657" t="str">
            <v>Not applicable</v>
          </cell>
          <cell r="S657" t="str">
            <v>418_2</v>
          </cell>
          <cell r="T657">
            <v>0</v>
          </cell>
          <cell r="U657">
            <v>3</v>
          </cell>
          <cell r="V657">
            <v>1</v>
          </cell>
          <cell r="W657">
            <v>0.33333333300000001</v>
          </cell>
          <cell r="X657">
            <v>41</v>
          </cell>
          <cell r="Y657">
            <v>23</v>
          </cell>
          <cell r="Z657">
            <v>0.56097560999999996</v>
          </cell>
        </row>
        <row r="658">
          <cell r="B658" t="str">
            <v>F419_1B</v>
          </cell>
          <cell r="C658" t="str">
            <v>R1_F419_1B</v>
          </cell>
          <cell r="D658">
            <v>0</v>
          </cell>
          <cell r="E658">
            <v>0.7</v>
          </cell>
          <cell r="F658">
            <v>61</v>
          </cell>
          <cell r="G658">
            <v>1</v>
          </cell>
          <cell r="H658">
            <v>21</v>
          </cell>
          <cell r="I658">
            <v>11</v>
          </cell>
          <cell r="J658">
            <v>6</v>
          </cell>
          <cell r="K658">
            <v>0</v>
          </cell>
          <cell r="L658">
            <v>11.053402999999999</v>
          </cell>
          <cell r="M658">
            <v>-85.268570999999994</v>
          </cell>
          <cell r="N658" t="str">
            <v>Norte</v>
          </cell>
          <cell r="O658">
            <v>0</v>
          </cell>
          <cell r="P658" t="str">
            <v>generalito</v>
          </cell>
          <cell r="Q658" t="str">
            <v>other</v>
          </cell>
          <cell r="R658" t="str">
            <v>Not applicable</v>
          </cell>
          <cell r="S658" t="str">
            <v>419_1</v>
          </cell>
          <cell r="T658">
            <v>0</v>
          </cell>
          <cell r="U658">
            <v>6</v>
          </cell>
          <cell r="V658">
            <v>3</v>
          </cell>
          <cell r="W658">
            <v>0.5</v>
          </cell>
          <cell r="X658">
            <v>50</v>
          </cell>
          <cell r="Y658">
            <v>22</v>
          </cell>
          <cell r="Z658">
            <v>0.44</v>
          </cell>
        </row>
        <row r="659">
          <cell r="B659" t="str">
            <v>F419_2B</v>
          </cell>
          <cell r="C659" t="str">
            <v>R1_F419_2B</v>
          </cell>
          <cell r="D659">
            <v>1</v>
          </cell>
          <cell r="E659">
            <v>1</v>
          </cell>
          <cell r="F659">
            <v>61</v>
          </cell>
          <cell r="G659">
            <v>1</v>
          </cell>
          <cell r="H659">
            <v>21</v>
          </cell>
          <cell r="I659">
            <v>11</v>
          </cell>
          <cell r="J659">
            <v>6</v>
          </cell>
          <cell r="K659">
            <v>1</v>
          </cell>
          <cell r="L659">
            <v>11.053402999999999</v>
          </cell>
          <cell r="M659">
            <v>-85.268570999999994</v>
          </cell>
          <cell r="N659" t="str">
            <v>Norte</v>
          </cell>
          <cell r="O659">
            <v>0</v>
          </cell>
          <cell r="P659" t="str">
            <v>nambi</v>
          </cell>
          <cell r="Q659" t="str">
            <v>nambi</v>
          </cell>
          <cell r="R659" t="b">
            <v>1</v>
          </cell>
          <cell r="S659" t="str">
            <v>419_2</v>
          </cell>
          <cell r="T659">
            <v>1</v>
          </cell>
          <cell r="U659">
            <v>6</v>
          </cell>
          <cell r="V659">
            <v>3</v>
          </cell>
          <cell r="W659">
            <v>0.5</v>
          </cell>
          <cell r="X659">
            <v>50</v>
          </cell>
          <cell r="Y659">
            <v>22</v>
          </cell>
          <cell r="Z659">
            <v>0.44</v>
          </cell>
        </row>
        <row r="660">
          <cell r="B660" t="str">
            <v>F420_1B</v>
          </cell>
          <cell r="C660" t="str">
            <v>R1_F420_1B</v>
          </cell>
          <cell r="D660">
            <v>1</v>
          </cell>
          <cell r="E660">
            <v>1</v>
          </cell>
          <cell r="F660">
            <v>101</v>
          </cell>
          <cell r="G660">
            <v>1</v>
          </cell>
          <cell r="H660">
            <v>30</v>
          </cell>
          <cell r="I660">
            <v>6</v>
          </cell>
          <cell r="J660">
            <v>5</v>
          </cell>
          <cell r="K660">
            <v>1</v>
          </cell>
          <cell r="L660">
            <v>11.054576000000001</v>
          </cell>
          <cell r="M660">
            <v>-85.277446999999995</v>
          </cell>
          <cell r="N660" t="str">
            <v>Norte</v>
          </cell>
          <cell r="O660">
            <v>0</v>
          </cell>
          <cell r="P660" t="str">
            <v>nambi</v>
          </cell>
          <cell r="Q660" t="str">
            <v>nambi</v>
          </cell>
          <cell r="R660" t="b">
            <v>1</v>
          </cell>
          <cell r="S660" t="str">
            <v>420_1</v>
          </cell>
          <cell r="T660">
            <v>1</v>
          </cell>
          <cell r="U660">
            <v>8</v>
          </cell>
          <cell r="V660">
            <v>5</v>
          </cell>
          <cell r="W660">
            <v>0.625</v>
          </cell>
          <cell r="X660">
            <v>54</v>
          </cell>
          <cell r="Y660">
            <v>23</v>
          </cell>
          <cell r="Z660">
            <v>0.42592592600000001</v>
          </cell>
        </row>
        <row r="661">
          <cell r="B661" t="str">
            <v>F421_1B</v>
          </cell>
          <cell r="C661" t="str">
            <v>R1_F421_1B</v>
          </cell>
          <cell r="D661">
            <v>1</v>
          </cell>
          <cell r="E661">
            <v>3</v>
          </cell>
          <cell r="F661">
            <v>99</v>
          </cell>
          <cell r="G661">
            <v>1</v>
          </cell>
          <cell r="H661">
            <v>42</v>
          </cell>
          <cell r="I661">
            <v>6</v>
          </cell>
          <cell r="J661">
            <v>5</v>
          </cell>
          <cell r="K661">
            <v>1</v>
          </cell>
          <cell r="L661">
            <v>11.054478</v>
          </cell>
          <cell r="M661">
            <v>-85.277680000000004</v>
          </cell>
          <cell r="N661" t="str">
            <v>Norte</v>
          </cell>
          <cell r="O661">
            <v>0</v>
          </cell>
          <cell r="P661" t="str">
            <v>nambi</v>
          </cell>
          <cell r="Q661" t="str">
            <v>nambi</v>
          </cell>
          <cell r="R661" t="b">
            <v>1</v>
          </cell>
          <cell r="S661" t="str">
            <v>421_1</v>
          </cell>
          <cell r="T661">
            <v>1</v>
          </cell>
          <cell r="U661">
            <v>8</v>
          </cell>
          <cell r="V661">
            <v>5</v>
          </cell>
          <cell r="W661">
            <v>0.625</v>
          </cell>
          <cell r="X661">
            <v>53</v>
          </cell>
          <cell r="Y661">
            <v>23</v>
          </cell>
          <cell r="Z661">
            <v>0.43396226399999999</v>
          </cell>
        </row>
        <row r="662">
          <cell r="B662" t="str">
            <v>F422_1B</v>
          </cell>
          <cell r="C662" t="str">
            <v>R1_F422_1B</v>
          </cell>
          <cell r="D662">
            <v>1</v>
          </cell>
          <cell r="E662">
            <v>2.1</v>
          </cell>
          <cell r="F662">
            <v>71</v>
          </cell>
          <cell r="G662">
            <v>1</v>
          </cell>
          <cell r="H662">
            <v>42</v>
          </cell>
          <cell r="I662">
            <v>6</v>
          </cell>
          <cell r="J662">
            <v>5</v>
          </cell>
          <cell r="K662">
            <v>1</v>
          </cell>
          <cell r="L662">
            <v>11.052312000000001</v>
          </cell>
          <cell r="M662">
            <v>-85.268088000000006</v>
          </cell>
          <cell r="N662" t="str">
            <v>Norte</v>
          </cell>
          <cell r="O662">
            <v>0</v>
          </cell>
          <cell r="P662" t="str">
            <v>tayni</v>
          </cell>
          <cell r="Q662" t="str">
            <v>tayni</v>
          </cell>
          <cell r="R662" t="b">
            <v>1</v>
          </cell>
          <cell r="S662" t="str">
            <v>422_1</v>
          </cell>
          <cell r="T662">
            <v>1</v>
          </cell>
          <cell r="U662">
            <v>6</v>
          </cell>
          <cell r="V662">
            <v>2</v>
          </cell>
          <cell r="W662">
            <v>0.33333333300000001</v>
          </cell>
          <cell r="X662">
            <v>50</v>
          </cell>
          <cell r="Y662">
            <v>21</v>
          </cell>
          <cell r="Z662">
            <v>0.42</v>
          </cell>
        </row>
        <row r="663">
          <cell r="B663" t="str">
            <v>F422_2B</v>
          </cell>
          <cell r="C663" t="str">
            <v>R1_F422_2B</v>
          </cell>
          <cell r="D663">
            <v>1</v>
          </cell>
          <cell r="E663">
            <v>0.35</v>
          </cell>
          <cell r="F663">
            <v>71</v>
          </cell>
          <cell r="G663">
            <v>1</v>
          </cell>
          <cell r="H663">
            <v>42</v>
          </cell>
          <cell r="I663">
            <v>6</v>
          </cell>
          <cell r="J663">
            <v>5</v>
          </cell>
          <cell r="K663">
            <v>1</v>
          </cell>
          <cell r="L663">
            <v>11.052312000000001</v>
          </cell>
          <cell r="M663">
            <v>-85.268088000000006</v>
          </cell>
          <cell r="N663" t="str">
            <v>Norte</v>
          </cell>
          <cell r="O663">
            <v>0</v>
          </cell>
          <cell r="P663" t="str">
            <v>nambi</v>
          </cell>
          <cell r="Q663" t="str">
            <v>nambi</v>
          </cell>
          <cell r="R663" t="b">
            <v>1</v>
          </cell>
          <cell r="S663" t="str">
            <v>422_2</v>
          </cell>
          <cell r="T663">
            <v>1</v>
          </cell>
          <cell r="U663">
            <v>6</v>
          </cell>
          <cell r="V663">
            <v>2</v>
          </cell>
          <cell r="W663">
            <v>0.33333333300000001</v>
          </cell>
          <cell r="X663">
            <v>50</v>
          </cell>
          <cell r="Y663">
            <v>21</v>
          </cell>
          <cell r="Z663">
            <v>0.42</v>
          </cell>
        </row>
        <row r="664">
          <cell r="B664" t="str">
            <v>F423_1B</v>
          </cell>
          <cell r="C664" t="str">
            <v>R1_F423_1B</v>
          </cell>
          <cell r="D664">
            <v>0</v>
          </cell>
          <cell r="E664">
            <v>1</v>
          </cell>
          <cell r="F664">
            <v>277</v>
          </cell>
          <cell r="G664">
            <v>1</v>
          </cell>
          <cell r="H664">
            <v>25</v>
          </cell>
          <cell r="I664">
            <v>11</v>
          </cell>
          <cell r="J664">
            <v>3</v>
          </cell>
          <cell r="K664">
            <v>1</v>
          </cell>
          <cell r="L664">
            <v>11.042650999999999</v>
          </cell>
          <cell r="M664">
            <v>-85.488607000000002</v>
          </cell>
          <cell r="N664" t="str">
            <v>Norte</v>
          </cell>
          <cell r="O664">
            <v>0</v>
          </cell>
          <cell r="P664" t="str">
            <v>uran</v>
          </cell>
          <cell r="Q664" t="str">
            <v>nambi</v>
          </cell>
          <cell r="R664" t="b">
            <v>0</v>
          </cell>
          <cell r="S664" t="str">
            <v>423_1</v>
          </cell>
          <cell r="T664">
            <v>0</v>
          </cell>
          <cell r="U664">
            <v>0</v>
          </cell>
          <cell r="V664">
            <v>0</v>
          </cell>
          <cell r="W664" t="str">
            <v>NA</v>
          </cell>
          <cell r="X664">
            <v>0</v>
          </cell>
          <cell r="Y664">
            <v>0</v>
          </cell>
          <cell r="Z664" t="str">
            <v>NA</v>
          </cell>
        </row>
        <row r="665">
          <cell r="B665" t="str">
            <v>F423_2B</v>
          </cell>
          <cell r="C665" t="str">
            <v>R1_F423_2B</v>
          </cell>
          <cell r="D665">
            <v>0</v>
          </cell>
          <cell r="E665">
            <v>5</v>
          </cell>
          <cell r="F665">
            <v>277</v>
          </cell>
          <cell r="G665">
            <v>1</v>
          </cell>
          <cell r="H665">
            <v>25</v>
          </cell>
          <cell r="I665">
            <v>11</v>
          </cell>
          <cell r="J665">
            <v>3</v>
          </cell>
          <cell r="K665">
            <v>1</v>
          </cell>
          <cell r="L665">
            <v>11.042650999999999</v>
          </cell>
          <cell r="M665">
            <v>-85.488607000000002</v>
          </cell>
          <cell r="N665" t="str">
            <v>Norte</v>
          </cell>
          <cell r="O665">
            <v>0</v>
          </cell>
          <cell r="P665" t="str">
            <v>nambi</v>
          </cell>
          <cell r="Q665" t="str">
            <v>cabecar</v>
          </cell>
          <cell r="R665" t="b">
            <v>0</v>
          </cell>
          <cell r="S665" t="str">
            <v>423_2</v>
          </cell>
          <cell r="T665">
            <v>0</v>
          </cell>
          <cell r="U665">
            <v>0</v>
          </cell>
          <cell r="V665">
            <v>0</v>
          </cell>
          <cell r="W665" t="str">
            <v>NA</v>
          </cell>
          <cell r="X665">
            <v>0</v>
          </cell>
          <cell r="Y665">
            <v>0</v>
          </cell>
          <cell r="Z665" t="str">
            <v>NA</v>
          </cell>
        </row>
        <row r="666">
          <cell r="B666" t="str">
            <v>F424_1B</v>
          </cell>
          <cell r="C666" t="str">
            <v>R1_F424_1B</v>
          </cell>
          <cell r="D666">
            <v>0</v>
          </cell>
          <cell r="E666">
            <v>0.35</v>
          </cell>
          <cell r="F666">
            <v>69</v>
          </cell>
          <cell r="G666">
            <v>1</v>
          </cell>
          <cell r="H666">
            <v>51</v>
          </cell>
          <cell r="I666">
            <v>6</v>
          </cell>
          <cell r="J666">
            <v>5</v>
          </cell>
          <cell r="K666">
            <v>0</v>
          </cell>
          <cell r="L666">
            <v>11.053186999999999</v>
          </cell>
          <cell r="M666">
            <v>-85.268079</v>
          </cell>
          <cell r="N666" t="str">
            <v>Norte</v>
          </cell>
          <cell r="O666">
            <v>0</v>
          </cell>
          <cell r="P666" t="str">
            <v>tequila</v>
          </cell>
          <cell r="Q666" t="str">
            <v>rojo</v>
          </cell>
          <cell r="R666" t="str">
            <v>Not applicable</v>
          </cell>
          <cell r="S666" t="str">
            <v>424_1</v>
          </cell>
          <cell r="T666">
            <v>0</v>
          </cell>
          <cell r="U666">
            <v>6</v>
          </cell>
          <cell r="V666">
            <v>4</v>
          </cell>
          <cell r="W666">
            <v>0.66666666699999999</v>
          </cell>
          <cell r="X666">
            <v>50</v>
          </cell>
          <cell r="Y666">
            <v>23</v>
          </cell>
          <cell r="Z666">
            <v>0.46</v>
          </cell>
        </row>
        <row r="667">
          <cell r="B667" t="str">
            <v>F424_2B</v>
          </cell>
          <cell r="C667" t="str">
            <v>R1_F424_2B</v>
          </cell>
          <cell r="D667">
            <v>0</v>
          </cell>
          <cell r="E667">
            <v>0.7</v>
          </cell>
          <cell r="F667">
            <v>69</v>
          </cell>
          <cell r="G667">
            <v>1</v>
          </cell>
          <cell r="H667">
            <v>51</v>
          </cell>
          <cell r="I667">
            <v>6</v>
          </cell>
          <cell r="J667">
            <v>5</v>
          </cell>
          <cell r="K667">
            <v>0</v>
          </cell>
          <cell r="L667">
            <v>11.053186999999999</v>
          </cell>
          <cell r="M667">
            <v>-85.268079</v>
          </cell>
          <cell r="N667" t="str">
            <v>Norte</v>
          </cell>
          <cell r="O667">
            <v>0</v>
          </cell>
          <cell r="P667" t="str">
            <v>victoria</v>
          </cell>
          <cell r="Q667" t="str">
            <v>rojo</v>
          </cell>
          <cell r="R667" t="str">
            <v>Not applicable</v>
          </cell>
          <cell r="S667" t="str">
            <v>424_2</v>
          </cell>
          <cell r="T667">
            <v>0</v>
          </cell>
          <cell r="U667">
            <v>6</v>
          </cell>
          <cell r="V667">
            <v>4</v>
          </cell>
          <cell r="W667">
            <v>0.66666666699999999</v>
          </cell>
          <cell r="X667">
            <v>50</v>
          </cell>
          <cell r="Y667">
            <v>23</v>
          </cell>
          <cell r="Z667">
            <v>0.46</v>
          </cell>
        </row>
        <row r="668">
          <cell r="B668" t="str">
            <v>F425_1B</v>
          </cell>
          <cell r="C668" t="str">
            <v>R1_F425_1B</v>
          </cell>
          <cell r="D668">
            <v>1</v>
          </cell>
          <cell r="E668">
            <v>1</v>
          </cell>
          <cell r="F668">
            <v>153</v>
          </cell>
          <cell r="G668">
            <v>1</v>
          </cell>
          <cell r="H668">
            <v>51</v>
          </cell>
          <cell r="I668">
            <v>6</v>
          </cell>
          <cell r="J668">
            <v>4</v>
          </cell>
          <cell r="K668">
            <v>1</v>
          </cell>
          <cell r="L668">
            <v>11.051360000000001</v>
          </cell>
          <cell r="M668">
            <v>-85.285534999999996</v>
          </cell>
          <cell r="N668" t="str">
            <v>Norte</v>
          </cell>
          <cell r="O668">
            <v>0</v>
          </cell>
          <cell r="P668" t="str">
            <v>cabecar</v>
          </cell>
          <cell r="Q668" t="str">
            <v>cabecar</v>
          </cell>
          <cell r="R668" t="b">
            <v>1</v>
          </cell>
          <cell r="S668" t="str">
            <v>425_1</v>
          </cell>
          <cell r="T668">
            <v>1</v>
          </cell>
          <cell r="U668">
            <v>0</v>
          </cell>
          <cell r="V668">
            <v>0</v>
          </cell>
          <cell r="W668" t="str">
            <v>NA</v>
          </cell>
          <cell r="X668">
            <v>39</v>
          </cell>
          <cell r="Y668">
            <v>18</v>
          </cell>
          <cell r="Z668">
            <v>0.46153846199999998</v>
          </cell>
        </row>
        <row r="669">
          <cell r="B669" t="str">
            <v>F426_1B</v>
          </cell>
          <cell r="C669" t="str">
            <v>R1_F426_1B</v>
          </cell>
          <cell r="D669">
            <v>1</v>
          </cell>
          <cell r="E669">
            <v>2</v>
          </cell>
          <cell r="F669">
            <v>98</v>
          </cell>
          <cell r="G669">
            <v>1</v>
          </cell>
          <cell r="H669">
            <v>58</v>
          </cell>
          <cell r="I669">
            <v>6</v>
          </cell>
          <cell r="J669">
            <v>4</v>
          </cell>
          <cell r="K669">
            <v>1</v>
          </cell>
          <cell r="L669">
            <v>11.056385000000001</v>
          </cell>
          <cell r="M669">
            <v>-85.278266000000002</v>
          </cell>
          <cell r="N669" t="str">
            <v>Norte</v>
          </cell>
          <cell r="O669">
            <v>0</v>
          </cell>
          <cell r="P669" t="str">
            <v>nambi</v>
          </cell>
          <cell r="Q669" t="str">
            <v>nambi</v>
          </cell>
          <cell r="R669" t="b">
            <v>1</v>
          </cell>
          <cell r="S669" t="str">
            <v>426_1</v>
          </cell>
          <cell r="T669">
            <v>1</v>
          </cell>
          <cell r="U669">
            <v>8</v>
          </cell>
          <cell r="V669">
            <v>6</v>
          </cell>
          <cell r="W669">
            <v>0.75</v>
          </cell>
          <cell r="X669">
            <v>39</v>
          </cell>
          <cell r="Y669">
            <v>17</v>
          </cell>
          <cell r="Z669">
            <v>0.43589743600000003</v>
          </cell>
        </row>
        <row r="670">
          <cell r="B670" t="str">
            <v>F426_2B</v>
          </cell>
          <cell r="C670" t="str">
            <v>R1_F426_2B</v>
          </cell>
          <cell r="D670">
            <v>1</v>
          </cell>
          <cell r="E670">
            <v>2</v>
          </cell>
          <cell r="F670">
            <v>98</v>
          </cell>
          <cell r="G670">
            <v>1</v>
          </cell>
          <cell r="H670">
            <v>58</v>
          </cell>
          <cell r="I670">
            <v>6</v>
          </cell>
          <cell r="J670">
            <v>4</v>
          </cell>
          <cell r="K670">
            <v>1</v>
          </cell>
          <cell r="L670">
            <v>11.056385000000001</v>
          </cell>
          <cell r="M670">
            <v>-85.278266000000002</v>
          </cell>
          <cell r="N670" t="str">
            <v>Norte</v>
          </cell>
          <cell r="O670">
            <v>0</v>
          </cell>
          <cell r="P670" t="str">
            <v>cabecar</v>
          </cell>
          <cell r="Q670" t="str">
            <v>cabecar</v>
          </cell>
          <cell r="R670" t="b">
            <v>1</v>
          </cell>
          <cell r="S670" t="str">
            <v>426_2</v>
          </cell>
          <cell r="T670">
            <v>1</v>
          </cell>
          <cell r="U670">
            <v>8</v>
          </cell>
          <cell r="V670">
            <v>6</v>
          </cell>
          <cell r="W670">
            <v>0.75</v>
          </cell>
          <cell r="X670">
            <v>39</v>
          </cell>
          <cell r="Y670">
            <v>17</v>
          </cell>
          <cell r="Z670">
            <v>0.43589743600000003</v>
          </cell>
        </row>
        <row r="671">
          <cell r="B671" t="str">
            <v>F428_1B</v>
          </cell>
          <cell r="C671" t="str">
            <v>R1_F428_1B</v>
          </cell>
          <cell r="D671">
            <v>1</v>
          </cell>
          <cell r="E671">
            <v>1.75</v>
          </cell>
          <cell r="F671">
            <v>82</v>
          </cell>
          <cell r="G671">
            <v>1</v>
          </cell>
          <cell r="H671">
            <v>62</v>
          </cell>
          <cell r="I671">
            <v>0</v>
          </cell>
          <cell r="J671">
            <v>6</v>
          </cell>
          <cell r="K671">
            <v>1</v>
          </cell>
          <cell r="L671">
            <v>11.053248</v>
          </cell>
          <cell r="M671">
            <v>-85.265978000000004</v>
          </cell>
          <cell r="N671" t="str">
            <v>Norte</v>
          </cell>
          <cell r="O671">
            <v>0</v>
          </cell>
          <cell r="P671" t="str">
            <v>nambi</v>
          </cell>
          <cell r="Q671" t="str">
            <v>nambi</v>
          </cell>
          <cell r="R671" t="b">
            <v>1</v>
          </cell>
          <cell r="S671" t="str">
            <v>428_1</v>
          </cell>
          <cell r="T671">
            <v>1</v>
          </cell>
          <cell r="U671">
            <v>7</v>
          </cell>
          <cell r="V671">
            <v>3</v>
          </cell>
          <cell r="W671">
            <v>0.428571429</v>
          </cell>
          <cell r="X671">
            <v>47</v>
          </cell>
          <cell r="Y671">
            <v>21</v>
          </cell>
          <cell r="Z671">
            <v>0.44680851100000002</v>
          </cell>
        </row>
        <row r="672">
          <cell r="B672" t="str">
            <v>F429_1B</v>
          </cell>
          <cell r="C672" t="str">
            <v>R1_F429_1B</v>
          </cell>
          <cell r="D672">
            <v>1</v>
          </cell>
          <cell r="E672">
            <v>1</v>
          </cell>
          <cell r="F672">
            <v>116</v>
          </cell>
          <cell r="G672">
            <v>0</v>
          </cell>
          <cell r="H672">
            <v>56</v>
          </cell>
          <cell r="I672">
            <v>6</v>
          </cell>
          <cell r="J672">
            <v>4</v>
          </cell>
          <cell r="K672">
            <v>1</v>
          </cell>
          <cell r="L672">
            <v>11.062752</v>
          </cell>
          <cell r="M672">
            <v>-85.282274999999998</v>
          </cell>
          <cell r="N672" t="str">
            <v>Norte</v>
          </cell>
          <cell r="O672">
            <v>0</v>
          </cell>
          <cell r="P672" t="str">
            <v>nambi</v>
          </cell>
          <cell r="Q672" t="str">
            <v>nambi</v>
          </cell>
          <cell r="R672" t="b">
            <v>1</v>
          </cell>
          <cell r="S672" t="str">
            <v>429_1</v>
          </cell>
          <cell r="T672">
            <v>1</v>
          </cell>
          <cell r="U672">
            <v>2</v>
          </cell>
          <cell r="V672">
            <v>2</v>
          </cell>
          <cell r="W672">
            <v>1</v>
          </cell>
          <cell r="X672">
            <v>26</v>
          </cell>
          <cell r="Y672">
            <v>18</v>
          </cell>
          <cell r="Z672">
            <v>0.69230769199999997</v>
          </cell>
        </row>
        <row r="673">
          <cell r="B673" t="str">
            <v>F430_1B</v>
          </cell>
          <cell r="C673" t="str">
            <v>R1_F430_1B</v>
          </cell>
          <cell r="D673">
            <v>1</v>
          </cell>
          <cell r="E673">
            <v>0.35</v>
          </cell>
          <cell r="F673">
            <v>103</v>
          </cell>
          <cell r="G673">
            <v>1</v>
          </cell>
          <cell r="H673">
            <v>50</v>
          </cell>
          <cell r="I673">
            <v>6</v>
          </cell>
          <cell r="J673">
            <v>5</v>
          </cell>
          <cell r="K673">
            <v>1</v>
          </cell>
          <cell r="L673">
            <v>11.061907</v>
          </cell>
          <cell r="M673">
            <v>-85.282475000000005</v>
          </cell>
          <cell r="N673" t="str">
            <v>Norte</v>
          </cell>
          <cell r="O673">
            <v>0</v>
          </cell>
          <cell r="P673" t="str">
            <v>guaymi</v>
          </cell>
          <cell r="Q673" t="str">
            <v>guaymi</v>
          </cell>
          <cell r="R673" t="b">
            <v>1</v>
          </cell>
          <cell r="S673" t="str">
            <v>430_1</v>
          </cell>
          <cell r="T673">
            <v>1</v>
          </cell>
          <cell r="U673">
            <v>4</v>
          </cell>
          <cell r="V673">
            <v>3</v>
          </cell>
          <cell r="W673">
            <v>0.75</v>
          </cell>
          <cell r="X673">
            <v>25</v>
          </cell>
          <cell r="Y673">
            <v>17</v>
          </cell>
          <cell r="Z673">
            <v>0.68</v>
          </cell>
        </row>
        <row r="674">
          <cell r="B674" t="str">
            <v>F430_2B</v>
          </cell>
          <cell r="C674" t="str">
            <v>R1_F430_2B</v>
          </cell>
          <cell r="D674">
            <v>1</v>
          </cell>
          <cell r="E674">
            <v>1.75</v>
          </cell>
          <cell r="F674">
            <v>103</v>
          </cell>
          <cell r="G674">
            <v>1</v>
          </cell>
          <cell r="H674">
            <v>50</v>
          </cell>
          <cell r="I674">
            <v>6</v>
          </cell>
          <cell r="J674">
            <v>5</v>
          </cell>
          <cell r="K674">
            <v>1</v>
          </cell>
          <cell r="L674">
            <v>11.061907</v>
          </cell>
          <cell r="M674">
            <v>-85.282475000000005</v>
          </cell>
          <cell r="N674" t="str">
            <v>Norte</v>
          </cell>
          <cell r="O674">
            <v>0</v>
          </cell>
          <cell r="P674" t="str">
            <v>nambi</v>
          </cell>
          <cell r="Q674" t="str">
            <v>nambi</v>
          </cell>
          <cell r="R674" t="b">
            <v>1</v>
          </cell>
          <cell r="S674" t="str">
            <v>430_2</v>
          </cell>
          <cell r="T674">
            <v>1</v>
          </cell>
          <cell r="U674">
            <v>4</v>
          </cell>
          <cell r="V674">
            <v>3</v>
          </cell>
          <cell r="W674">
            <v>0.75</v>
          </cell>
          <cell r="X674">
            <v>25</v>
          </cell>
          <cell r="Y674">
            <v>17</v>
          </cell>
          <cell r="Z674">
            <v>0.68</v>
          </cell>
        </row>
        <row r="675">
          <cell r="B675" t="str">
            <v>F431_1B</v>
          </cell>
          <cell r="C675" t="str">
            <v>R1_F431_1B</v>
          </cell>
          <cell r="D675">
            <v>0</v>
          </cell>
          <cell r="E675">
            <v>0.7</v>
          </cell>
          <cell r="F675">
            <v>198</v>
          </cell>
          <cell r="G675">
            <v>1</v>
          </cell>
          <cell r="H675">
            <v>50</v>
          </cell>
          <cell r="I675">
            <v>6</v>
          </cell>
          <cell r="J675">
            <v>4</v>
          </cell>
          <cell r="K675">
            <v>0</v>
          </cell>
          <cell r="L675">
            <v>11.036773</v>
          </cell>
          <cell r="M675">
            <v>-85.291106999999997</v>
          </cell>
          <cell r="N675" t="str">
            <v>Norte</v>
          </cell>
          <cell r="O675">
            <v>0</v>
          </cell>
          <cell r="P675" t="str">
            <v>generalito</v>
          </cell>
          <cell r="Q675" t="str">
            <v>rojo</v>
          </cell>
          <cell r="R675" t="str">
            <v>Not applicable</v>
          </cell>
          <cell r="S675" t="str">
            <v>431_1</v>
          </cell>
          <cell r="T675">
            <v>0</v>
          </cell>
          <cell r="U675">
            <v>1</v>
          </cell>
          <cell r="V675">
            <v>1</v>
          </cell>
          <cell r="W675">
            <v>1</v>
          </cell>
          <cell r="X675">
            <v>59</v>
          </cell>
          <cell r="Y675">
            <v>27</v>
          </cell>
          <cell r="Z675">
            <v>0.45762711900000003</v>
          </cell>
        </row>
        <row r="676">
          <cell r="B676" t="str">
            <v>F432_1B</v>
          </cell>
          <cell r="C676" t="str">
            <v>R1_F432_1B</v>
          </cell>
          <cell r="D676">
            <v>0</v>
          </cell>
          <cell r="E676">
            <v>0.7</v>
          </cell>
          <cell r="F676">
            <v>58</v>
          </cell>
          <cell r="G676">
            <v>1</v>
          </cell>
          <cell r="H676">
            <v>74</v>
          </cell>
          <cell r="I676">
            <v>3</v>
          </cell>
          <cell r="J676">
            <v>3</v>
          </cell>
          <cell r="K676">
            <v>1</v>
          </cell>
          <cell r="L676">
            <v>11.054207</v>
          </cell>
          <cell r="M676">
            <v>-85.269298000000006</v>
          </cell>
          <cell r="N676" t="str">
            <v>Norte</v>
          </cell>
          <cell r="O676">
            <v>0</v>
          </cell>
          <cell r="P676" t="str">
            <v>tayni</v>
          </cell>
          <cell r="Q676" t="str">
            <v>other</v>
          </cell>
          <cell r="R676" t="str">
            <v>Not applicable</v>
          </cell>
          <cell r="S676" t="str">
            <v>432_1</v>
          </cell>
          <cell r="T676">
            <v>0</v>
          </cell>
          <cell r="U676">
            <v>12</v>
          </cell>
          <cell r="V676">
            <v>8</v>
          </cell>
          <cell r="W676">
            <v>0.66666666699999999</v>
          </cell>
          <cell r="X676">
            <v>49</v>
          </cell>
          <cell r="Y676">
            <v>23</v>
          </cell>
          <cell r="Z676">
            <v>0.46938775500000002</v>
          </cell>
        </row>
        <row r="677">
          <cell r="B677" t="str">
            <v>F433_1B</v>
          </cell>
          <cell r="C677" t="str">
            <v>R1_F433_1B</v>
          </cell>
          <cell r="D677">
            <v>0</v>
          </cell>
          <cell r="E677">
            <v>0.7</v>
          </cell>
          <cell r="F677">
            <v>99</v>
          </cell>
          <cell r="G677">
            <v>1</v>
          </cell>
          <cell r="H677">
            <v>40</v>
          </cell>
          <cell r="I677">
            <v>9</v>
          </cell>
          <cell r="J677">
            <v>5</v>
          </cell>
          <cell r="K677">
            <v>0</v>
          </cell>
          <cell r="L677">
            <v>11.054482999999999</v>
          </cell>
          <cell r="M677">
            <v>-85.277703000000002</v>
          </cell>
          <cell r="N677" t="str">
            <v>Norte</v>
          </cell>
          <cell r="O677">
            <v>0</v>
          </cell>
          <cell r="P677" t="str">
            <v>talamanca</v>
          </cell>
          <cell r="Q677" t="str">
            <v>guaymi</v>
          </cell>
          <cell r="R677" t="b">
            <v>0</v>
          </cell>
          <cell r="S677" t="str">
            <v>433_1</v>
          </cell>
          <cell r="T677">
            <v>0</v>
          </cell>
          <cell r="U677">
            <v>6</v>
          </cell>
          <cell r="V677">
            <v>4</v>
          </cell>
          <cell r="W677">
            <v>0.66666666699999999</v>
          </cell>
          <cell r="X677">
            <v>51</v>
          </cell>
          <cell r="Y677">
            <v>22</v>
          </cell>
          <cell r="Z677">
            <v>0.43137254899999999</v>
          </cell>
        </row>
        <row r="678">
          <cell r="B678" t="str">
            <v>F433_2B</v>
          </cell>
          <cell r="C678" t="str">
            <v>R1_F433_2B</v>
          </cell>
          <cell r="D678">
            <v>1</v>
          </cell>
          <cell r="E678">
            <v>1.4</v>
          </cell>
          <cell r="F678">
            <v>99</v>
          </cell>
          <cell r="G678">
            <v>1</v>
          </cell>
          <cell r="H678">
            <v>40</v>
          </cell>
          <cell r="I678">
            <v>9</v>
          </cell>
          <cell r="J678">
            <v>5</v>
          </cell>
          <cell r="K678">
            <v>1</v>
          </cell>
          <cell r="L678">
            <v>11.054482999999999</v>
          </cell>
          <cell r="M678">
            <v>-85.277703000000002</v>
          </cell>
          <cell r="N678" t="str">
            <v>Norte</v>
          </cell>
          <cell r="O678">
            <v>0</v>
          </cell>
          <cell r="P678" t="str">
            <v>nambi</v>
          </cell>
          <cell r="Q678" t="str">
            <v>nambi</v>
          </cell>
          <cell r="R678" t="b">
            <v>1</v>
          </cell>
          <cell r="S678" t="str">
            <v>433_2</v>
          </cell>
          <cell r="T678">
            <v>1</v>
          </cell>
          <cell r="U678">
            <v>6</v>
          </cell>
          <cell r="V678">
            <v>4</v>
          </cell>
          <cell r="W678">
            <v>0.66666666699999999</v>
          </cell>
          <cell r="X678">
            <v>51</v>
          </cell>
          <cell r="Y678">
            <v>22</v>
          </cell>
          <cell r="Z678">
            <v>0.43137254899999999</v>
          </cell>
        </row>
        <row r="679">
          <cell r="B679" t="str">
            <v>F433_3B</v>
          </cell>
          <cell r="C679" t="str">
            <v>R1_F433_3B</v>
          </cell>
          <cell r="D679">
            <v>0</v>
          </cell>
          <cell r="E679">
            <v>0.7</v>
          </cell>
          <cell r="F679">
            <v>99</v>
          </cell>
          <cell r="G679">
            <v>1</v>
          </cell>
          <cell r="H679">
            <v>40</v>
          </cell>
          <cell r="I679">
            <v>9</v>
          </cell>
          <cell r="J679">
            <v>5</v>
          </cell>
          <cell r="K679">
            <v>1</v>
          </cell>
          <cell r="L679">
            <v>11.054482999999999</v>
          </cell>
          <cell r="M679">
            <v>-85.277703000000002</v>
          </cell>
          <cell r="N679" t="str">
            <v>Norte</v>
          </cell>
          <cell r="O679">
            <v>0</v>
          </cell>
          <cell r="P679" t="str">
            <v>nambi</v>
          </cell>
          <cell r="Q679" t="str">
            <v>tayni</v>
          </cell>
          <cell r="R679" t="b">
            <v>0</v>
          </cell>
          <cell r="S679" t="str">
            <v>433_3</v>
          </cell>
          <cell r="T679">
            <v>1</v>
          </cell>
          <cell r="U679">
            <v>6</v>
          </cell>
          <cell r="V679">
            <v>4</v>
          </cell>
          <cell r="W679">
            <v>0.66666666699999999</v>
          </cell>
          <cell r="X679">
            <v>51</v>
          </cell>
          <cell r="Y679">
            <v>22</v>
          </cell>
          <cell r="Z679">
            <v>0.43137254899999999</v>
          </cell>
        </row>
        <row r="680">
          <cell r="B680" t="str">
            <v>F434_1B</v>
          </cell>
          <cell r="C680" t="str">
            <v>R1_F434_1B</v>
          </cell>
          <cell r="D680">
            <v>1</v>
          </cell>
          <cell r="E680">
            <v>1</v>
          </cell>
          <cell r="F680">
            <v>215</v>
          </cell>
          <cell r="G680">
            <v>0</v>
          </cell>
          <cell r="H680">
            <v>59</v>
          </cell>
          <cell r="I680">
            <v>6</v>
          </cell>
          <cell r="J680">
            <v>4</v>
          </cell>
          <cell r="K680">
            <v>1</v>
          </cell>
          <cell r="L680">
            <v>11.040635</v>
          </cell>
          <cell r="M680">
            <v>-85.294854000000001</v>
          </cell>
          <cell r="N680" t="str">
            <v>Norte</v>
          </cell>
          <cell r="O680">
            <v>0</v>
          </cell>
          <cell r="P680" t="str">
            <v>guaymi</v>
          </cell>
          <cell r="Q680" t="str">
            <v>guaymi</v>
          </cell>
          <cell r="R680" t="b">
            <v>1</v>
          </cell>
          <cell r="S680" t="str">
            <v>434_1</v>
          </cell>
          <cell r="T680">
            <v>1</v>
          </cell>
          <cell r="U680">
            <v>2</v>
          </cell>
          <cell r="V680">
            <v>1</v>
          </cell>
          <cell r="W680">
            <v>0.5</v>
          </cell>
          <cell r="X680">
            <v>65</v>
          </cell>
          <cell r="Y680">
            <v>28</v>
          </cell>
          <cell r="Z680">
            <v>0.43076923099999997</v>
          </cell>
        </row>
        <row r="681">
          <cell r="B681" t="str">
            <v>F435_1B</v>
          </cell>
          <cell r="C681" t="str">
            <v>R1_F435_1B</v>
          </cell>
          <cell r="D681">
            <v>1</v>
          </cell>
          <cell r="E681">
            <v>2</v>
          </cell>
          <cell r="F681">
            <v>96</v>
          </cell>
          <cell r="G681">
            <v>1</v>
          </cell>
          <cell r="H681">
            <v>34</v>
          </cell>
          <cell r="I681">
            <v>6</v>
          </cell>
          <cell r="J681">
            <v>5</v>
          </cell>
          <cell r="K681">
            <v>1</v>
          </cell>
          <cell r="L681">
            <v>11.061956</v>
          </cell>
          <cell r="M681">
            <v>-85.275498999999996</v>
          </cell>
          <cell r="N681" t="str">
            <v>Norte</v>
          </cell>
          <cell r="O681">
            <v>0</v>
          </cell>
          <cell r="P681" t="str">
            <v>nambi</v>
          </cell>
          <cell r="Q681" t="str">
            <v>nambi</v>
          </cell>
          <cell r="R681" t="b">
            <v>1</v>
          </cell>
          <cell r="S681" t="str">
            <v>435_1</v>
          </cell>
          <cell r="T681">
            <v>1</v>
          </cell>
          <cell r="U681">
            <v>0</v>
          </cell>
          <cell r="V681">
            <v>0</v>
          </cell>
          <cell r="W681" t="str">
            <v>NA</v>
          </cell>
          <cell r="X681">
            <v>32</v>
          </cell>
          <cell r="Y681">
            <v>17</v>
          </cell>
          <cell r="Z681">
            <v>0.53125</v>
          </cell>
        </row>
        <row r="682">
          <cell r="B682" t="str">
            <v>F435_2B</v>
          </cell>
          <cell r="C682" t="str">
            <v>R1_F435_2B</v>
          </cell>
          <cell r="D682">
            <v>0</v>
          </cell>
          <cell r="E682">
            <v>1</v>
          </cell>
          <cell r="F682">
            <v>96</v>
          </cell>
          <cell r="G682">
            <v>1</v>
          </cell>
          <cell r="H682">
            <v>34</v>
          </cell>
          <cell r="I682">
            <v>6</v>
          </cell>
          <cell r="J682">
            <v>5</v>
          </cell>
          <cell r="K682">
            <v>1</v>
          </cell>
          <cell r="L682">
            <v>11.061956</v>
          </cell>
          <cell r="M682">
            <v>-85.275498999999996</v>
          </cell>
          <cell r="N682" t="str">
            <v>Norte</v>
          </cell>
          <cell r="O682">
            <v>0</v>
          </cell>
          <cell r="P682" t="str">
            <v>uran</v>
          </cell>
          <cell r="Q682" t="str">
            <v>cabecar</v>
          </cell>
          <cell r="R682" t="b">
            <v>0</v>
          </cell>
          <cell r="S682" t="str">
            <v>435_2</v>
          </cell>
          <cell r="T682">
            <v>0</v>
          </cell>
          <cell r="U682">
            <v>0</v>
          </cell>
          <cell r="V682">
            <v>0</v>
          </cell>
          <cell r="W682" t="str">
            <v>NA</v>
          </cell>
          <cell r="X682">
            <v>32</v>
          </cell>
          <cell r="Y682">
            <v>17</v>
          </cell>
          <cell r="Z682">
            <v>0.53125</v>
          </cell>
        </row>
        <row r="683">
          <cell r="B683" t="str">
            <v>F436_1B</v>
          </cell>
          <cell r="C683" t="str">
            <v>R1_F436_1B</v>
          </cell>
          <cell r="D683">
            <v>1</v>
          </cell>
          <cell r="E683">
            <v>2</v>
          </cell>
          <cell r="F683">
            <v>217</v>
          </cell>
          <cell r="G683">
            <v>1</v>
          </cell>
          <cell r="H683">
            <v>79</v>
          </cell>
          <cell r="I683">
            <v>0</v>
          </cell>
          <cell r="J683">
            <v>3</v>
          </cell>
          <cell r="K683">
            <v>1</v>
          </cell>
          <cell r="L683">
            <v>11.043583999999999</v>
          </cell>
          <cell r="M683">
            <v>-85.290964000000002</v>
          </cell>
          <cell r="N683" t="str">
            <v>Norte</v>
          </cell>
          <cell r="O683">
            <v>0</v>
          </cell>
          <cell r="P683" t="str">
            <v>nambi</v>
          </cell>
          <cell r="Q683" t="str">
            <v>nambi</v>
          </cell>
          <cell r="R683" t="b">
            <v>1</v>
          </cell>
          <cell r="S683" t="str">
            <v>436_1</v>
          </cell>
          <cell r="T683">
            <v>1</v>
          </cell>
          <cell r="U683">
            <v>1</v>
          </cell>
          <cell r="V683">
            <v>1</v>
          </cell>
          <cell r="W683">
            <v>1</v>
          </cell>
          <cell r="X683">
            <v>59</v>
          </cell>
          <cell r="Y683">
            <v>27</v>
          </cell>
          <cell r="Z683">
            <v>0.45762711900000003</v>
          </cell>
        </row>
        <row r="684">
          <cell r="B684" t="str">
            <v>F437_1B</v>
          </cell>
          <cell r="C684" t="str">
            <v>R1_F437_1B</v>
          </cell>
          <cell r="D684">
            <v>0</v>
          </cell>
          <cell r="E684">
            <v>1.4</v>
          </cell>
          <cell r="F684">
            <v>206</v>
          </cell>
          <cell r="G684">
            <v>1</v>
          </cell>
          <cell r="H684">
            <v>38</v>
          </cell>
          <cell r="I684">
            <v>5</v>
          </cell>
          <cell r="J684">
            <v>5</v>
          </cell>
          <cell r="K684">
            <v>1</v>
          </cell>
          <cell r="L684">
            <v>11.080029</v>
          </cell>
          <cell r="M684">
            <v>-85.305803999999995</v>
          </cell>
          <cell r="N684" t="str">
            <v>Norte</v>
          </cell>
          <cell r="O684">
            <v>0</v>
          </cell>
          <cell r="P684" t="str">
            <v>nambi</v>
          </cell>
          <cell r="Q684" t="str">
            <v>negro</v>
          </cell>
          <cell r="R684" t="str">
            <v>Not applicable</v>
          </cell>
          <cell r="S684" t="str">
            <v>437_1</v>
          </cell>
          <cell r="T684">
            <v>0</v>
          </cell>
          <cell r="U684">
            <v>16</v>
          </cell>
          <cell r="V684">
            <v>10</v>
          </cell>
          <cell r="W684">
            <v>0.625</v>
          </cell>
          <cell r="X684">
            <v>41</v>
          </cell>
          <cell r="Y684">
            <v>22</v>
          </cell>
          <cell r="Z684">
            <v>0.53658536599999995</v>
          </cell>
        </row>
        <row r="685">
          <cell r="B685" t="str">
            <v>F437_2B</v>
          </cell>
          <cell r="C685" t="str">
            <v>R1_F437_2B</v>
          </cell>
          <cell r="D685">
            <v>1</v>
          </cell>
          <cell r="E685">
            <v>1.4</v>
          </cell>
          <cell r="F685">
            <v>206</v>
          </cell>
          <cell r="G685">
            <v>1</v>
          </cell>
          <cell r="H685">
            <v>38</v>
          </cell>
          <cell r="I685">
            <v>5</v>
          </cell>
          <cell r="J685">
            <v>5</v>
          </cell>
          <cell r="K685">
            <v>1</v>
          </cell>
          <cell r="L685">
            <v>11.080029</v>
          </cell>
          <cell r="M685">
            <v>-85.305803999999995</v>
          </cell>
          <cell r="N685" t="str">
            <v>Norte</v>
          </cell>
          <cell r="O685">
            <v>0</v>
          </cell>
          <cell r="P685" t="str">
            <v>tayni</v>
          </cell>
          <cell r="Q685" t="str">
            <v>tayni</v>
          </cell>
          <cell r="R685" t="b">
            <v>1</v>
          </cell>
          <cell r="S685" t="str">
            <v>437_2</v>
          </cell>
          <cell r="T685">
            <v>1</v>
          </cell>
          <cell r="U685">
            <v>16</v>
          </cell>
          <cell r="V685">
            <v>10</v>
          </cell>
          <cell r="W685">
            <v>0.625</v>
          </cell>
          <cell r="X685">
            <v>41</v>
          </cell>
          <cell r="Y685">
            <v>22</v>
          </cell>
          <cell r="Z685">
            <v>0.53658536599999995</v>
          </cell>
        </row>
        <row r="686">
          <cell r="B686" t="str">
            <v>F438_1B</v>
          </cell>
          <cell r="C686" t="str">
            <v>R1_F438_1B</v>
          </cell>
          <cell r="D686">
            <v>1</v>
          </cell>
          <cell r="E686">
            <v>0.35</v>
          </cell>
          <cell r="F686">
            <v>290</v>
          </cell>
          <cell r="G686">
            <v>0</v>
          </cell>
          <cell r="H686">
            <v>68</v>
          </cell>
          <cell r="I686">
            <v>0</v>
          </cell>
          <cell r="J686">
            <v>6</v>
          </cell>
          <cell r="K686">
            <v>1</v>
          </cell>
          <cell r="L686">
            <v>11.066195</v>
          </cell>
          <cell r="M686">
            <v>-85.326036999999999</v>
          </cell>
          <cell r="N686" t="str">
            <v>Norte</v>
          </cell>
          <cell r="O686">
            <v>0</v>
          </cell>
          <cell r="P686" t="str">
            <v>guaymi</v>
          </cell>
          <cell r="Q686" t="str">
            <v>guaymi</v>
          </cell>
          <cell r="R686" t="b">
            <v>1</v>
          </cell>
          <cell r="S686" t="str">
            <v>438_1</v>
          </cell>
          <cell r="T686">
            <v>1</v>
          </cell>
          <cell r="U686">
            <v>4</v>
          </cell>
          <cell r="V686">
            <v>2</v>
          </cell>
          <cell r="W686">
            <v>0.5</v>
          </cell>
          <cell r="X686">
            <v>44</v>
          </cell>
          <cell r="Y686">
            <v>22</v>
          </cell>
          <cell r="Z686">
            <v>0.5</v>
          </cell>
        </row>
        <row r="687">
          <cell r="B687" t="str">
            <v>F438_2B</v>
          </cell>
          <cell r="C687" t="str">
            <v>R1_F438_2B</v>
          </cell>
          <cell r="D687">
            <v>0</v>
          </cell>
          <cell r="E687">
            <v>0.7</v>
          </cell>
          <cell r="F687">
            <v>290</v>
          </cell>
          <cell r="G687">
            <v>0</v>
          </cell>
          <cell r="H687">
            <v>68</v>
          </cell>
          <cell r="I687">
            <v>0</v>
          </cell>
          <cell r="J687">
            <v>6</v>
          </cell>
          <cell r="K687">
            <v>0</v>
          </cell>
          <cell r="L687">
            <v>11.066195</v>
          </cell>
          <cell r="M687">
            <v>-85.326036999999999</v>
          </cell>
          <cell r="N687" t="str">
            <v>Norte</v>
          </cell>
          <cell r="O687">
            <v>0</v>
          </cell>
          <cell r="P687" t="str">
            <v>RCB 593</v>
          </cell>
          <cell r="Q687" t="str">
            <v>cabecar</v>
          </cell>
          <cell r="R687" t="b">
            <v>0</v>
          </cell>
          <cell r="S687" t="str">
            <v>438_2</v>
          </cell>
          <cell r="T687">
            <v>0</v>
          </cell>
          <cell r="U687">
            <v>4</v>
          </cell>
          <cell r="V687">
            <v>2</v>
          </cell>
          <cell r="W687">
            <v>0.5</v>
          </cell>
          <cell r="X687">
            <v>44</v>
          </cell>
          <cell r="Y687">
            <v>22</v>
          </cell>
          <cell r="Z687">
            <v>0.5</v>
          </cell>
        </row>
        <row r="688">
          <cell r="B688" t="str">
            <v>F439_1B</v>
          </cell>
          <cell r="C688" t="str">
            <v>R1_F439_1B</v>
          </cell>
          <cell r="D688">
            <v>0</v>
          </cell>
          <cell r="E688">
            <v>0.35</v>
          </cell>
          <cell r="F688">
            <v>224</v>
          </cell>
          <cell r="G688">
            <v>0</v>
          </cell>
          <cell r="H688">
            <v>35</v>
          </cell>
          <cell r="I688">
            <v>6</v>
          </cell>
          <cell r="J688">
            <v>6</v>
          </cell>
          <cell r="K688">
            <v>0</v>
          </cell>
          <cell r="L688">
            <v>11.08151</v>
          </cell>
          <cell r="M688">
            <v>-85.306486000000007</v>
          </cell>
          <cell r="N688" t="str">
            <v>Norte</v>
          </cell>
          <cell r="O688">
            <v>0</v>
          </cell>
          <cell r="P688" t="str">
            <v>victoria</v>
          </cell>
          <cell r="Q688" t="str">
            <v>nambi</v>
          </cell>
          <cell r="R688" t="b">
            <v>0</v>
          </cell>
          <cell r="S688" t="str">
            <v>439_1</v>
          </cell>
          <cell r="T688">
            <v>0</v>
          </cell>
          <cell r="U688">
            <v>16</v>
          </cell>
          <cell r="V688">
            <v>11</v>
          </cell>
          <cell r="W688">
            <v>0.6875</v>
          </cell>
          <cell r="X688">
            <v>41</v>
          </cell>
          <cell r="Y688">
            <v>23</v>
          </cell>
          <cell r="Z688">
            <v>0.56097560999999996</v>
          </cell>
        </row>
        <row r="689">
          <cell r="B689" t="str">
            <v>F439_2B</v>
          </cell>
          <cell r="C689" t="str">
            <v>R1_F439_2B</v>
          </cell>
          <cell r="D689">
            <v>0</v>
          </cell>
          <cell r="E689">
            <v>1</v>
          </cell>
          <cell r="F689">
            <v>224</v>
          </cell>
          <cell r="G689">
            <v>0</v>
          </cell>
          <cell r="H689">
            <v>35</v>
          </cell>
          <cell r="I689">
            <v>6</v>
          </cell>
          <cell r="J689">
            <v>6</v>
          </cell>
          <cell r="K689">
            <v>1</v>
          </cell>
          <cell r="L689">
            <v>11.08151</v>
          </cell>
          <cell r="M689">
            <v>-85.306486000000007</v>
          </cell>
          <cell r="N689" t="str">
            <v>Norte</v>
          </cell>
          <cell r="O689">
            <v>0</v>
          </cell>
          <cell r="P689" t="str">
            <v>nambi</v>
          </cell>
          <cell r="Q689" t="str">
            <v>cabecar</v>
          </cell>
          <cell r="R689" t="b">
            <v>0</v>
          </cell>
          <cell r="S689" t="str">
            <v>439_2</v>
          </cell>
          <cell r="T689">
            <v>0</v>
          </cell>
          <cell r="U689">
            <v>16</v>
          </cell>
          <cell r="V689">
            <v>11</v>
          </cell>
          <cell r="W689">
            <v>0.6875</v>
          </cell>
          <cell r="X689">
            <v>41</v>
          </cell>
          <cell r="Y689">
            <v>23</v>
          </cell>
          <cell r="Z689">
            <v>0.56097560999999996</v>
          </cell>
        </row>
        <row r="690">
          <cell r="B690" t="str">
            <v>F440_1B</v>
          </cell>
          <cell r="C690" t="str">
            <v>R1_F440_1B</v>
          </cell>
          <cell r="D690">
            <v>0</v>
          </cell>
          <cell r="E690">
            <v>0.7</v>
          </cell>
          <cell r="F690">
            <v>222</v>
          </cell>
          <cell r="G690">
            <v>1</v>
          </cell>
          <cell r="H690">
            <v>42</v>
          </cell>
          <cell r="I690">
            <v>3</v>
          </cell>
          <cell r="J690">
            <v>4</v>
          </cell>
          <cell r="K690">
            <v>0</v>
          </cell>
          <cell r="L690">
            <v>11.081842</v>
          </cell>
          <cell r="M690">
            <v>-85.306762000000006</v>
          </cell>
          <cell r="N690" t="str">
            <v>Norte</v>
          </cell>
          <cell r="O690">
            <v>0</v>
          </cell>
          <cell r="P690" t="str">
            <v>generalito</v>
          </cell>
          <cell r="Q690" t="str">
            <v>rojo</v>
          </cell>
          <cell r="R690" t="str">
            <v>Not applicable</v>
          </cell>
          <cell r="S690" t="str">
            <v>440_1</v>
          </cell>
          <cell r="T690">
            <v>0</v>
          </cell>
          <cell r="U690">
            <v>16</v>
          </cell>
          <cell r="V690">
            <v>11</v>
          </cell>
          <cell r="W690">
            <v>0.6875</v>
          </cell>
          <cell r="X690">
            <v>41</v>
          </cell>
          <cell r="Y690">
            <v>23</v>
          </cell>
          <cell r="Z690">
            <v>0.56097560999999996</v>
          </cell>
        </row>
        <row r="691">
          <cell r="B691" t="str">
            <v>F440_2B</v>
          </cell>
          <cell r="C691" t="str">
            <v>R1_F440_2B</v>
          </cell>
          <cell r="D691">
            <v>0</v>
          </cell>
          <cell r="E691">
            <v>0.35</v>
          </cell>
          <cell r="F691">
            <v>222</v>
          </cell>
          <cell r="G691">
            <v>1</v>
          </cell>
          <cell r="H691">
            <v>42</v>
          </cell>
          <cell r="I691">
            <v>3</v>
          </cell>
          <cell r="J691">
            <v>4</v>
          </cell>
          <cell r="K691">
            <v>0</v>
          </cell>
          <cell r="L691">
            <v>11.081842</v>
          </cell>
          <cell r="M691">
            <v>-85.306762000000006</v>
          </cell>
          <cell r="N691" t="str">
            <v>Norte</v>
          </cell>
          <cell r="O691">
            <v>0</v>
          </cell>
          <cell r="P691" t="str">
            <v>victoria</v>
          </cell>
          <cell r="Q691" t="str">
            <v>nambi</v>
          </cell>
          <cell r="R691" t="b">
            <v>0</v>
          </cell>
          <cell r="S691" t="str">
            <v>440_2</v>
          </cell>
          <cell r="T691">
            <v>0</v>
          </cell>
          <cell r="U691">
            <v>16</v>
          </cell>
          <cell r="V691">
            <v>11</v>
          </cell>
          <cell r="W691">
            <v>0.6875</v>
          </cell>
          <cell r="X691">
            <v>41</v>
          </cell>
          <cell r="Y691">
            <v>23</v>
          </cell>
          <cell r="Z691">
            <v>0.56097560999999996</v>
          </cell>
        </row>
        <row r="692">
          <cell r="B692" t="str">
            <v>F441_1B</v>
          </cell>
          <cell r="C692" t="str">
            <v>R1_F441_1B</v>
          </cell>
          <cell r="D692">
            <v>1</v>
          </cell>
          <cell r="E692">
            <v>5</v>
          </cell>
          <cell r="F692">
            <v>179</v>
          </cell>
          <cell r="G692">
            <v>1</v>
          </cell>
          <cell r="H692">
            <v>38</v>
          </cell>
          <cell r="I692">
            <v>3</v>
          </cell>
          <cell r="J692">
            <v>5</v>
          </cell>
          <cell r="K692">
            <v>1</v>
          </cell>
          <cell r="L692">
            <v>11.078428000000001</v>
          </cell>
          <cell r="M692">
            <v>-85.304827000000003</v>
          </cell>
          <cell r="N692" t="str">
            <v>Norte</v>
          </cell>
          <cell r="O692">
            <v>0</v>
          </cell>
          <cell r="P692" t="str">
            <v>guaymi</v>
          </cell>
          <cell r="Q692" t="str">
            <v>guaymi</v>
          </cell>
          <cell r="R692" t="b">
            <v>1</v>
          </cell>
          <cell r="S692" t="str">
            <v>441_1</v>
          </cell>
          <cell r="T692">
            <v>1</v>
          </cell>
          <cell r="U692">
            <v>12</v>
          </cell>
          <cell r="V692">
            <v>5</v>
          </cell>
          <cell r="W692">
            <v>0.41666666699999999</v>
          </cell>
          <cell r="X692">
            <v>42</v>
          </cell>
          <cell r="Y692">
            <v>22</v>
          </cell>
          <cell r="Z692">
            <v>0.52380952400000003</v>
          </cell>
        </row>
        <row r="693">
          <cell r="B693" t="str">
            <v>F442_1B</v>
          </cell>
          <cell r="C693" t="str">
            <v>R1_F442_1B</v>
          </cell>
          <cell r="D693">
            <v>0</v>
          </cell>
          <cell r="E693">
            <v>1</v>
          </cell>
          <cell r="F693">
            <v>197</v>
          </cell>
          <cell r="G693">
            <v>0</v>
          </cell>
          <cell r="H693">
            <v>47</v>
          </cell>
          <cell r="I693">
            <v>3</v>
          </cell>
          <cell r="J693">
            <v>4</v>
          </cell>
          <cell r="K693">
            <v>1</v>
          </cell>
          <cell r="L693">
            <v>11.082241</v>
          </cell>
          <cell r="M693">
            <v>-85.307958999999997</v>
          </cell>
          <cell r="N693" t="str">
            <v>Norte</v>
          </cell>
          <cell r="O693">
            <v>0</v>
          </cell>
          <cell r="P693" t="str">
            <v>nambi</v>
          </cell>
          <cell r="Q693" t="str">
            <v>cabecar</v>
          </cell>
          <cell r="R693" t="b">
            <v>0</v>
          </cell>
          <cell r="S693" t="str">
            <v>442_1</v>
          </cell>
          <cell r="T693">
            <v>0</v>
          </cell>
          <cell r="U693">
            <v>17</v>
          </cell>
          <cell r="V693">
            <v>11</v>
          </cell>
          <cell r="W693">
            <v>0.64705882400000003</v>
          </cell>
          <cell r="X693">
            <v>47</v>
          </cell>
          <cell r="Y693">
            <v>25</v>
          </cell>
          <cell r="Z693">
            <v>0.53191489400000003</v>
          </cell>
        </row>
        <row r="694">
          <cell r="B694" t="str">
            <v>F443_1B</v>
          </cell>
          <cell r="C694" t="str">
            <v>R1_F443_1B</v>
          </cell>
          <cell r="D694">
            <v>0</v>
          </cell>
          <cell r="E694">
            <v>0.7</v>
          </cell>
          <cell r="F694">
            <v>222</v>
          </cell>
          <cell r="G694">
            <v>1</v>
          </cell>
          <cell r="H694">
            <v>47</v>
          </cell>
          <cell r="I694">
            <v>3</v>
          </cell>
          <cell r="J694">
            <v>4</v>
          </cell>
          <cell r="K694">
            <v>0</v>
          </cell>
          <cell r="L694">
            <v>11.081972</v>
          </cell>
          <cell r="M694">
            <v>-85.306588000000005</v>
          </cell>
          <cell r="N694" t="str">
            <v>Norte</v>
          </cell>
          <cell r="O694">
            <v>0</v>
          </cell>
          <cell r="P694" t="str">
            <v>generalito</v>
          </cell>
          <cell r="Q694" t="str">
            <v>cabecar</v>
          </cell>
          <cell r="R694" t="b">
            <v>0</v>
          </cell>
          <cell r="S694" t="str">
            <v>443_1</v>
          </cell>
          <cell r="T694">
            <v>0</v>
          </cell>
          <cell r="U694">
            <v>17</v>
          </cell>
          <cell r="V694">
            <v>11</v>
          </cell>
          <cell r="W694">
            <v>0.64705882400000003</v>
          </cell>
          <cell r="X694">
            <v>42</v>
          </cell>
          <cell r="Y694">
            <v>23</v>
          </cell>
          <cell r="Z694">
            <v>0.54761904800000005</v>
          </cell>
        </row>
        <row r="695">
          <cell r="B695" t="str">
            <v>F444_1B</v>
          </cell>
          <cell r="C695" t="str">
            <v>R1_F444_1B</v>
          </cell>
          <cell r="D695">
            <v>1</v>
          </cell>
          <cell r="E695">
            <v>2.8</v>
          </cell>
          <cell r="F695">
            <v>82</v>
          </cell>
          <cell r="G695">
            <v>1</v>
          </cell>
          <cell r="H695">
            <v>46</v>
          </cell>
          <cell r="I695">
            <v>3</v>
          </cell>
          <cell r="J695">
            <v>3</v>
          </cell>
          <cell r="K695">
            <v>1</v>
          </cell>
          <cell r="L695">
            <v>11.092414</v>
          </cell>
          <cell r="M695">
            <v>-85.299113000000006</v>
          </cell>
          <cell r="N695" t="str">
            <v>Norte</v>
          </cell>
          <cell r="O695">
            <v>0</v>
          </cell>
          <cell r="P695" t="str">
            <v>nambi</v>
          </cell>
          <cell r="Q695" t="str">
            <v>nambi</v>
          </cell>
          <cell r="R695" t="b">
            <v>1</v>
          </cell>
          <cell r="S695" t="str">
            <v>444_1</v>
          </cell>
          <cell r="T695">
            <v>1</v>
          </cell>
          <cell r="U695">
            <v>1</v>
          </cell>
          <cell r="V695">
            <v>0</v>
          </cell>
          <cell r="W695">
            <v>0</v>
          </cell>
          <cell r="X695">
            <v>31</v>
          </cell>
          <cell r="Y695">
            <v>17</v>
          </cell>
          <cell r="Z695">
            <v>0.54838709699999999</v>
          </cell>
        </row>
        <row r="696">
          <cell r="B696" t="str">
            <v>F444_2B</v>
          </cell>
          <cell r="C696" t="str">
            <v>R1_F444_2B</v>
          </cell>
          <cell r="D696">
            <v>0</v>
          </cell>
          <cell r="E696">
            <v>0.7</v>
          </cell>
          <cell r="F696">
            <v>82</v>
          </cell>
          <cell r="G696">
            <v>1</v>
          </cell>
          <cell r="H696">
            <v>46</v>
          </cell>
          <cell r="I696">
            <v>3</v>
          </cell>
          <cell r="J696">
            <v>3</v>
          </cell>
          <cell r="K696">
            <v>0</v>
          </cell>
          <cell r="L696">
            <v>11.092414</v>
          </cell>
          <cell r="M696">
            <v>-85.299113000000006</v>
          </cell>
          <cell r="N696" t="str">
            <v>Norte</v>
          </cell>
          <cell r="O696">
            <v>0</v>
          </cell>
          <cell r="P696" t="str">
            <v>generalito</v>
          </cell>
          <cell r="Q696" t="str">
            <v>cabecar</v>
          </cell>
          <cell r="R696" t="b">
            <v>0</v>
          </cell>
          <cell r="S696" t="str">
            <v>444_2</v>
          </cell>
          <cell r="T696">
            <v>0</v>
          </cell>
          <cell r="U696">
            <v>1</v>
          </cell>
          <cell r="V696">
            <v>0</v>
          </cell>
          <cell r="W696">
            <v>0</v>
          </cell>
          <cell r="X696">
            <v>31</v>
          </cell>
          <cell r="Y696">
            <v>17</v>
          </cell>
          <cell r="Z696">
            <v>0.54838709699999999</v>
          </cell>
        </row>
        <row r="697">
          <cell r="B697" t="str">
            <v>F445_1B</v>
          </cell>
          <cell r="C697" t="str">
            <v>R1_F445_1B</v>
          </cell>
          <cell r="D697">
            <v>1</v>
          </cell>
          <cell r="E697">
            <v>1.4</v>
          </cell>
          <cell r="F697">
            <v>222</v>
          </cell>
          <cell r="G697">
            <v>1</v>
          </cell>
          <cell r="H697">
            <v>36</v>
          </cell>
          <cell r="I697">
            <v>6</v>
          </cell>
          <cell r="J697">
            <v>4</v>
          </cell>
          <cell r="K697">
            <v>1</v>
          </cell>
          <cell r="L697">
            <v>11.082393</v>
          </cell>
          <cell r="M697">
            <v>-85.310940000000002</v>
          </cell>
          <cell r="N697" t="str">
            <v>Norte</v>
          </cell>
          <cell r="O697">
            <v>0</v>
          </cell>
          <cell r="P697" t="str">
            <v>nambi</v>
          </cell>
          <cell r="Q697" t="str">
            <v>nambi</v>
          </cell>
          <cell r="R697" t="b">
            <v>1</v>
          </cell>
          <cell r="S697" t="str">
            <v>445_1</v>
          </cell>
          <cell r="T697">
            <v>1</v>
          </cell>
          <cell r="U697">
            <v>20</v>
          </cell>
          <cell r="V697">
            <v>12</v>
          </cell>
          <cell r="W697">
            <v>0.6</v>
          </cell>
          <cell r="X697">
            <v>47</v>
          </cell>
          <cell r="Y697">
            <v>24</v>
          </cell>
          <cell r="Z697">
            <v>0.51063829800000005</v>
          </cell>
        </row>
        <row r="698">
          <cell r="B698" t="str">
            <v>F446_1B</v>
          </cell>
          <cell r="C698" t="str">
            <v>R1_F446_1B</v>
          </cell>
          <cell r="D698">
            <v>1</v>
          </cell>
          <cell r="E698">
            <v>0.52500000000000002</v>
          </cell>
          <cell r="F698">
            <v>268</v>
          </cell>
          <cell r="G698">
            <v>0</v>
          </cell>
          <cell r="H698">
            <v>34</v>
          </cell>
          <cell r="I698">
            <v>11</v>
          </cell>
          <cell r="J698">
            <v>5</v>
          </cell>
          <cell r="K698">
            <v>1</v>
          </cell>
          <cell r="L698">
            <v>11.077859999999999</v>
          </cell>
          <cell r="M698">
            <v>-85.333365000000001</v>
          </cell>
          <cell r="N698" t="str">
            <v>Norte</v>
          </cell>
          <cell r="O698">
            <v>0</v>
          </cell>
          <cell r="P698" t="str">
            <v>guaymi</v>
          </cell>
          <cell r="Q698" t="str">
            <v>guaymi</v>
          </cell>
          <cell r="R698" t="b">
            <v>1</v>
          </cell>
          <cell r="S698" t="str">
            <v>446_1</v>
          </cell>
          <cell r="T698">
            <v>1</v>
          </cell>
          <cell r="U698">
            <v>0</v>
          </cell>
          <cell r="V698">
            <v>0</v>
          </cell>
          <cell r="W698" t="str">
            <v>NA</v>
          </cell>
          <cell r="X698">
            <v>41</v>
          </cell>
          <cell r="Y698">
            <v>23</v>
          </cell>
          <cell r="Z698">
            <v>0.56097560999999996</v>
          </cell>
        </row>
        <row r="699">
          <cell r="B699" t="str">
            <v>F446_2B</v>
          </cell>
          <cell r="C699" t="str">
            <v>R1_F446_2B</v>
          </cell>
          <cell r="D699">
            <v>1</v>
          </cell>
          <cell r="E699">
            <v>0.52500000000000002</v>
          </cell>
          <cell r="F699">
            <v>268</v>
          </cell>
          <cell r="G699">
            <v>0</v>
          </cell>
          <cell r="H699">
            <v>34</v>
          </cell>
          <cell r="I699">
            <v>11</v>
          </cell>
          <cell r="J699">
            <v>5</v>
          </cell>
          <cell r="K699">
            <v>1</v>
          </cell>
          <cell r="L699">
            <v>11.077859999999999</v>
          </cell>
          <cell r="M699">
            <v>-85.333365000000001</v>
          </cell>
          <cell r="N699" t="str">
            <v>Norte</v>
          </cell>
          <cell r="O699">
            <v>0</v>
          </cell>
          <cell r="P699" t="str">
            <v>uran</v>
          </cell>
          <cell r="Q699" t="str">
            <v>uran</v>
          </cell>
          <cell r="R699" t="b">
            <v>1</v>
          </cell>
          <cell r="S699" t="str">
            <v>446_2</v>
          </cell>
          <cell r="T699">
            <v>0</v>
          </cell>
          <cell r="U699">
            <v>0</v>
          </cell>
          <cell r="V699">
            <v>0</v>
          </cell>
          <cell r="W699" t="str">
            <v>NA</v>
          </cell>
          <cell r="X699">
            <v>41</v>
          </cell>
          <cell r="Y699">
            <v>23</v>
          </cell>
          <cell r="Z699">
            <v>0.56097560999999996</v>
          </cell>
        </row>
        <row r="700">
          <cell r="B700" t="str">
            <v>F447_1B</v>
          </cell>
          <cell r="C700" t="str">
            <v>R1_F447_1B</v>
          </cell>
          <cell r="D700">
            <v>0</v>
          </cell>
          <cell r="E700">
            <v>3</v>
          </cell>
          <cell r="F700">
            <v>106</v>
          </cell>
          <cell r="G700">
            <v>0</v>
          </cell>
          <cell r="H700">
            <v>38</v>
          </cell>
          <cell r="I700">
            <v>4</v>
          </cell>
          <cell r="J700">
            <v>5</v>
          </cell>
          <cell r="K700">
            <v>0</v>
          </cell>
          <cell r="L700">
            <v>11.087846000000001</v>
          </cell>
          <cell r="M700">
            <v>-85.306601999999998</v>
          </cell>
          <cell r="N700" t="str">
            <v>Norte</v>
          </cell>
          <cell r="O700">
            <v>0</v>
          </cell>
          <cell r="P700" t="str">
            <v>victoria</v>
          </cell>
          <cell r="Q700" t="str">
            <v>cabecar</v>
          </cell>
          <cell r="R700" t="b">
            <v>0</v>
          </cell>
          <cell r="S700" t="str">
            <v>447_1</v>
          </cell>
          <cell r="T700">
            <v>1</v>
          </cell>
          <cell r="U700">
            <v>1</v>
          </cell>
          <cell r="V700">
            <v>0</v>
          </cell>
          <cell r="W700">
            <v>0</v>
          </cell>
          <cell r="X700">
            <v>42</v>
          </cell>
          <cell r="Y700">
            <v>22</v>
          </cell>
          <cell r="Z700">
            <v>0.52380952400000003</v>
          </cell>
        </row>
        <row r="701">
          <cell r="B701" t="str">
            <v>F448_1B</v>
          </cell>
          <cell r="C701" t="str">
            <v>R1_F448_1B</v>
          </cell>
          <cell r="D701">
            <v>1</v>
          </cell>
          <cell r="E701">
            <v>1</v>
          </cell>
          <cell r="F701">
            <v>184</v>
          </cell>
          <cell r="G701">
            <v>1</v>
          </cell>
          <cell r="H701">
            <v>28</v>
          </cell>
          <cell r="I701">
            <v>6</v>
          </cell>
          <cell r="J701">
            <v>4</v>
          </cell>
          <cell r="K701">
            <v>1</v>
          </cell>
          <cell r="L701">
            <v>11.081742</v>
          </cell>
          <cell r="M701">
            <v>-85.308103000000003</v>
          </cell>
          <cell r="N701" t="str">
            <v>Norte</v>
          </cell>
          <cell r="O701">
            <v>0</v>
          </cell>
          <cell r="P701" t="str">
            <v>nambi</v>
          </cell>
          <cell r="Q701" t="str">
            <v>nambi</v>
          </cell>
          <cell r="R701" t="b">
            <v>1</v>
          </cell>
          <cell r="S701" t="str">
            <v>448_1</v>
          </cell>
          <cell r="T701">
            <v>1</v>
          </cell>
          <cell r="U701">
            <v>17</v>
          </cell>
          <cell r="V701">
            <v>10</v>
          </cell>
          <cell r="W701">
            <v>0.58823529399999996</v>
          </cell>
          <cell r="X701">
            <v>47</v>
          </cell>
          <cell r="Y701">
            <v>24</v>
          </cell>
          <cell r="Z701">
            <v>0.51063829800000005</v>
          </cell>
        </row>
        <row r="702">
          <cell r="B702" t="str">
            <v>F449_1B</v>
          </cell>
          <cell r="C702" t="str">
            <v>R1_F449_1B</v>
          </cell>
          <cell r="D702">
            <v>1</v>
          </cell>
          <cell r="E702">
            <v>0.7</v>
          </cell>
          <cell r="F702">
            <v>222</v>
          </cell>
          <cell r="G702">
            <v>1</v>
          </cell>
          <cell r="H702">
            <v>30</v>
          </cell>
          <cell r="I702">
            <v>5</v>
          </cell>
          <cell r="J702">
            <v>5</v>
          </cell>
          <cell r="K702">
            <v>1</v>
          </cell>
          <cell r="L702">
            <v>11.082174999999999</v>
          </cell>
          <cell r="M702">
            <v>-85.311220000000006</v>
          </cell>
          <cell r="N702" t="str">
            <v>Norte</v>
          </cell>
          <cell r="O702">
            <v>0</v>
          </cell>
          <cell r="P702" t="str">
            <v>nambi</v>
          </cell>
          <cell r="Q702" t="str">
            <v>nambi</v>
          </cell>
          <cell r="R702" t="b">
            <v>1</v>
          </cell>
          <cell r="S702" t="str">
            <v>449_1</v>
          </cell>
          <cell r="T702">
            <v>1</v>
          </cell>
          <cell r="U702">
            <v>20</v>
          </cell>
          <cell r="V702">
            <v>12</v>
          </cell>
          <cell r="W702">
            <v>0.6</v>
          </cell>
          <cell r="X702">
            <v>47</v>
          </cell>
          <cell r="Y702">
            <v>24</v>
          </cell>
          <cell r="Z702">
            <v>0.51063829800000005</v>
          </cell>
        </row>
        <row r="703">
          <cell r="B703" t="str">
            <v>F450_1B</v>
          </cell>
          <cell r="C703" t="str">
            <v>R1_F450_1B</v>
          </cell>
          <cell r="D703">
            <v>1</v>
          </cell>
          <cell r="E703">
            <v>1</v>
          </cell>
          <cell r="F703">
            <v>311</v>
          </cell>
          <cell r="G703">
            <v>1</v>
          </cell>
          <cell r="H703">
            <v>61</v>
          </cell>
          <cell r="I703">
            <v>6</v>
          </cell>
          <cell r="J703">
            <v>5</v>
          </cell>
          <cell r="K703">
            <v>1</v>
          </cell>
          <cell r="L703">
            <v>11.0595125</v>
          </cell>
          <cell r="M703">
            <v>-85.349023799999998</v>
          </cell>
          <cell r="N703" t="str">
            <v>Norte</v>
          </cell>
          <cell r="O703">
            <v>0</v>
          </cell>
          <cell r="P703" t="str">
            <v>cabecar</v>
          </cell>
          <cell r="Q703" t="str">
            <v>cabecar</v>
          </cell>
          <cell r="R703" t="b">
            <v>1</v>
          </cell>
          <cell r="S703" t="str">
            <v>450_1</v>
          </cell>
          <cell r="T703">
            <v>1</v>
          </cell>
          <cell r="U703">
            <v>1</v>
          </cell>
          <cell r="V703">
            <v>0</v>
          </cell>
          <cell r="W703">
            <v>0</v>
          </cell>
          <cell r="X703">
            <v>30</v>
          </cell>
          <cell r="Y703">
            <v>9</v>
          </cell>
          <cell r="Z703">
            <v>0.3</v>
          </cell>
        </row>
        <row r="704">
          <cell r="B704" t="str">
            <v>F450_2B</v>
          </cell>
          <cell r="C704" t="str">
            <v>R1_F450_2B</v>
          </cell>
          <cell r="D704">
            <v>1</v>
          </cell>
          <cell r="E704">
            <v>1</v>
          </cell>
          <cell r="F704">
            <v>311</v>
          </cell>
          <cell r="G704">
            <v>1</v>
          </cell>
          <cell r="H704">
            <v>61</v>
          </cell>
          <cell r="I704">
            <v>6</v>
          </cell>
          <cell r="J704">
            <v>5</v>
          </cell>
          <cell r="K704">
            <v>1</v>
          </cell>
          <cell r="L704">
            <v>11.0595125</v>
          </cell>
          <cell r="M704">
            <v>-85.349023799999998</v>
          </cell>
          <cell r="N704" t="str">
            <v>Norte</v>
          </cell>
          <cell r="O704">
            <v>0</v>
          </cell>
          <cell r="P704" t="str">
            <v>nambi</v>
          </cell>
          <cell r="Q704" t="str">
            <v>nambi</v>
          </cell>
          <cell r="R704" t="b">
            <v>1</v>
          </cell>
          <cell r="S704" t="str">
            <v>450_2</v>
          </cell>
          <cell r="T704">
            <v>1</v>
          </cell>
          <cell r="U704">
            <v>1</v>
          </cell>
          <cell r="V704">
            <v>0</v>
          </cell>
          <cell r="W704">
            <v>0</v>
          </cell>
          <cell r="X704">
            <v>30</v>
          </cell>
          <cell r="Y704">
            <v>9</v>
          </cell>
          <cell r="Z704">
            <v>0.3</v>
          </cell>
        </row>
        <row r="705">
          <cell r="B705" t="str">
            <v>F451_1B</v>
          </cell>
          <cell r="C705" t="str">
            <v>R1_F451_1B</v>
          </cell>
          <cell r="D705">
            <v>0</v>
          </cell>
          <cell r="E705">
            <v>0.7</v>
          </cell>
          <cell r="F705">
            <v>88</v>
          </cell>
          <cell r="G705">
            <v>1</v>
          </cell>
          <cell r="H705">
            <v>53</v>
          </cell>
          <cell r="I705">
            <v>6</v>
          </cell>
          <cell r="J705">
            <v>1</v>
          </cell>
          <cell r="K705">
            <v>0</v>
          </cell>
          <cell r="L705">
            <v>11.084943000000001</v>
          </cell>
          <cell r="M705">
            <v>-85.292632999999995</v>
          </cell>
          <cell r="N705" t="str">
            <v>Norte</v>
          </cell>
          <cell r="O705">
            <v>0</v>
          </cell>
          <cell r="P705" t="str">
            <v>generalito</v>
          </cell>
          <cell r="Q705" t="str">
            <v>cabecar</v>
          </cell>
          <cell r="R705" t="b">
            <v>0</v>
          </cell>
          <cell r="S705" t="str">
            <v>451_1</v>
          </cell>
          <cell r="T705">
            <v>0</v>
          </cell>
          <cell r="U705">
            <v>3</v>
          </cell>
          <cell r="V705">
            <v>1</v>
          </cell>
          <cell r="W705">
            <v>0.33333333300000001</v>
          </cell>
          <cell r="X705">
            <v>34</v>
          </cell>
          <cell r="Y705">
            <v>19</v>
          </cell>
          <cell r="Z705">
            <v>0.55882352899999999</v>
          </cell>
        </row>
        <row r="706">
          <cell r="B706" t="str">
            <v>F452_1B</v>
          </cell>
          <cell r="C706" t="str">
            <v>R1_F452_1B</v>
          </cell>
          <cell r="D706">
            <v>1</v>
          </cell>
          <cell r="E706">
            <v>1.5</v>
          </cell>
          <cell r="F706">
            <v>83</v>
          </cell>
          <cell r="G706">
            <v>1</v>
          </cell>
          <cell r="H706">
            <v>54</v>
          </cell>
          <cell r="I706">
            <v>6</v>
          </cell>
          <cell r="J706">
            <v>3</v>
          </cell>
          <cell r="K706">
            <v>1</v>
          </cell>
          <cell r="L706">
            <v>11.092321999999999</v>
          </cell>
          <cell r="M706">
            <v>-85.297101999999995</v>
          </cell>
          <cell r="N706" t="str">
            <v>Norte</v>
          </cell>
          <cell r="O706">
            <v>0</v>
          </cell>
          <cell r="P706" t="str">
            <v>tayni</v>
          </cell>
          <cell r="Q706" t="str">
            <v>tayni</v>
          </cell>
          <cell r="R706" t="b">
            <v>1</v>
          </cell>
          <cell r="S706" t="str">
            <v>452_1</v>
          </cell>
          <cell r="T706">
            <v>1</v>
          </cell>
          <cell r="U706">
            <v>2</v>
          </cell>
          <cell r="V706">
            <v>0</v>
          </cell>
          <cell r="W706">
            <v>0</v>
          </cell>
          <cell r="X706">
            <v>32</v>
          </cell>
          <cell r="Y706">
            <v>17</v>
          </cell>
          <cell r="Z706">
            <v>0.53125</v>
          </cell>
        </row>
        <row r="707">
          <cell r="B707" t="str">
            <v>F454_1B</v>
          </cell>
          <cell r="C707" t="str">
            <v>R1_F454_1B</v>
          </cell>
          <cell r="D707">
            <v>1</v>
          </cell>
          <cell r="E707">
            <v>0.7</v>
          </cell>
          <cell r="F707">
            <v>234</v>
          </cell>
          <cell r="G707">
            <v>0</v>
          </cell>
          <cell r="H707">
            <v>44</v>
          </cell>
          <cell r="I707">
            <v>5</v>
          </cell>
          <cell r="J707">
            <v>4</v>
          </cell>
          <cell r="K707">
            <v>1</v>
          </cell>
          <cell r="L707">
            <v>11.081458</v>
          </cell>
          <cell r="M707">
            <v>-85.311612999999994</v>
          </cell>
          <cell r="N707" t="str">
            <v>Norte</v>
          </cell>
          <cell r="O707">
            <v>0</v>
          </cell>
          <cell r="P707" t="str">
            <v>nambi</v>
          </cell>
          <cell r="Q707" t="str">
            <v>nambi</v>
          </cell>
          <cell r="R707" t="b">
            <v>1</v>
          </cell>
          <cell r="S707" t="str">
            <v>454_1</v>
          </cell>
          <cell r="T707">
            <v>1</v>
          </cell>
          <cell r="U707">
            <v>20</v>
          </cell>
          <cell r="V707">
            <v>12</v>
          </cell>
          <cell r="W707">
            <v>0.6</v>
          </cell>
          <cell r="X707">
            <v>47</v>
          </cell>
          <cell r="Y707">
            <v>24</v>
          </cell>
          <cell r="Z707">
            <v>0.51063829800000005</v>
          </cell>
        </row>
        <row r="708">
          <cell r="B708" t="str">
            <v>F455_1B</v>
          </cell>
          <cell r="C708" t="str">
            <v>R1_F455_1B</v>
          </cell>
          <cell r="D708">
            <v>0</v>
          </cell>
          <cell r="E708">
            <v>1</v>
          </cell>
          <cell r="F708">
            <v>311</v>
          </cell>
          <cell r="G708">
            <v>1</v>
          </cell>
          <cell r="H708">
            <v>53</v>
          </cell>
          <cell r="I708">
            <v>5</v>
          </cell>
          <cell r="J708">
            <v>3</v>
          </cell>
          <cell r="K708">
            <v>1</v>
          </cell>
          <cell r="L708">
            <v>11.059574700000001</v>
          </cell>
          <cell r="M708">
            <v>-85.348820599999996</v>
          </cell>
          <cell r="N708" t="str">
            <v>Norte</v>
          </cell>
          <cell r="O708">
            <v>0</v>
          </cell>
          <cell r="P708" t="str">
            <v>uran</v>
          </cell>
          <cell r="Q708" t="str">
            <v>cabecar</v>
          </cell>
          <cell r="R708" t="b">
            <v>0</v>
          </cell>
          <cell r="S708" t="str">
            <v>455_1</v>
          </cell>
          <cell r="T708">
            <v>0</v>
          </cell>
          <cell r="U708">
            <v>2</v>
          </cell>
          <cell r="V708">
            <v>2</v>
          </cell>
          <cell r="W708">
            <v>1</v>
          </cell>
          <cell r="X708">
            <v>29</v>
          </cell>
          <cell r="Y708">
            <v>11</v>
          </cell>
          <cell r="Z708">
            <v>0.37931034499999999</v>
          </cell>
        </row>
        <row r="709">
          <cell r="B709" t="str">
            <v>F456_1B</v>
          </cell>
          <cell r="C709" t="str">
            <v>R1_F456_1B</v>
          </cell>
          <cell r="D709">
            <v>0</v>
          </cell>
          <cell r="E709">
            <v>0.5</v>
          </cell>
          <cell r="F709">
            <v>333</v>
          </cell>
          <cell r="G709">
            <v>0</v>
          </cell>
          <cell r="H709">
            <v>24</v>
          </cell>
          <cell r="I709">
            <v>11</v>
          </cell>
          <cell r="J709">
            <v>4</v>
          </cell>
          <cell r="K709">
            <v>1</v>
          </cell>
          <cell r="L709">
            <v>11.055402000000001</v>
          </cell>
          <cell r="M709">
            <v>-85.369071000000005</v>
          </cell>
          <cell r="N709" t="str">
            <v>Norte</v>
          </cell>
          <cell r="O709">
            <v>0</v>
          </cell>
          <cell r="P709" t="str">
            <v>guaymi</v>
          </cell>
          <cell r="Q709" t="str">
            <v>negro</v>
          </cell>
          <cell r="R709" t="str">
            <v>Not applicable</v>
          </cell>
          <cell r="S709" t="str">
            <v>456_1</v>
          </cell>
          <cell r="T709">
            <v>0</v>
          </cell>
          <cell r="U709">
            <v>1</v>
          </cell>
          <cell r="V709">
            <v>0</v>
          </cell>
          <cell r="W709">
            <v>0</v>
          </cell>
          <cell r="X709">
            <v>44</v>
          </cell>
          <cell r="Y709">
            <v>16</v>
          </cell>
          <cell r="Z709">
            <v>0.36363636399999999</v>
          </cell>
        </row>
        <row r="710">
          <cell r="B710" t="str">
            <v>F457_1B</v>
          </cell>
          <cell r="C710" t="str">
            <v>R1_F457_1B</v>
          </cell>
          <cell r="D710">
            <v>0</v>
          </cell>
          <cell r="E710">
            <v>0.52500000000000002</v>
          </cell>
          <cell r="F710">
            <v>235</v>
          </cell>
          <cell r="G710">
            <v>1</v>
          </cell>
          <cell r="H710">
            <v>59</v>
          </cell>
          <cell r="I710">
            <v>3</v>
          </cell>
          <cell r="J710">
            <v>3</v>
          </cell>
          <cell r="K710">
            <v>1</v>
          </cell>
          <cell r="L710">
            <v>11.075561</v>
          </cell>
          <cell r="M710">
            <v>-85.320328000000003</v>
          </cell>
          <cell r="N710" t="str">
            <v>Norte</v>
          </cell>
          <cell r="O710">
            <v>0</v>
          </cell>
          <cell r="P710" t="str">
            <v>uran</v>
          </cell>
          <cell r="Q710" t="str">
            <v>guaymi</v>
          </cell>
          <cell r="R710" t="b">
            <v>0</v>
          </cell>
          <cell r="S710" t="str">
            <v>457_1</v>
          </cell>
          <cell r="T710">
            <v>0</v>
          </cell>
          <cell r="U710">
            <v>2</v>
          </cell>
          <cell r="V710">
            <v>2</v>
          </cell>
          <cell r="W710">
            <v>1</v>
          </cell>
          <cell r="X710">
            <v>51</v>
          </cell>
          <cell r="Y710">
            <v>28</v>
          </cell>
          <cell r="Z710">
            <v>0.54901960800000005</v>
          </cell>
        </row>
        <row r="711">
          <cell r="B711" t="str">
            <v>F457_2B</v>
          </cell>
          <cell r="C711" t="str">
            <v>R1_F457_2B</v>
          </cell>
          <cell r="D711">
            <v>0</v>
          </cell>
          <cell r="E711">
            <v>1.05</v>
          </cell>
          <cell r="F711">
            <v>235</v>
          </cell>
          <cell r="G711">
            <v>1</v>
          </cell>
          <cell r="H711">
            <v>59</v>
          </cell>
          <cell r="I711">
            <v>3</v>
          </cell>
          <cell r="J711">
            <v>3</v>
          </cell>
          <cell r="K711">
            <v>1</v>
          </cell>
          <cell r="L711">
            <v>11.075561</v>
          </cell>
          <cell r="M711">
            <v>-85.320328000000003</v>
          </cell>
          <cell r="N711" t="str">
            <v>Norte</v>
          </cell>
          <cell r="O711">
            <v>0</v>
          </cell>
          <cell r="P711" t="str">
            <v>brunca</v>
          </cell>
          <cell r="Q711" t="str">
            <v>cabecar</v>
          </cell>
          <cell r="R711" t="b">
            <v>0</v>
          </cell>
          <cell r="S711" t="str">
            <v>457_2</v>
          </cell>
          <cell r="T711">
            <v>0</v>
          </cell>
          <cell r="U711">
            <v>2</v>
          </cell>
          <cell r="V711">
            <v>2</v>
          </cell>
          <cell r="W711">
            <v>1</v>
          </cell>
          <cell r="X711">
            <v>51</v>
          </cell>
          <cell r="Y711">
            <v>28</v>
          </cell>
          <cell r="Z711">
            <v>0.54901960800000005</v>
          </cell>
        </row>
        <row r="712">
          <cell r="B712" t="str">
            <v>F458_1B</v>
          </cell>
          <cell r="C712" t="str">
            <v>R1_F458_1B</v>
          </cell>
          <cell r="D712">
            <v>1</v>
          </cell>
          <cell r="E712">
            <v>2.1</v>
          </cell>
          <cell r="F712">
            <v>246</v>
          </cell>
          <cell r="G712">
            <v>1</v>
          </cell>
          <cell r="H712">
            <v>70</v>
          </cell>
          <cell r="I712">
            <v>0</v>
          </cell>
          <cell r="J712">
            <v>4</v>
          </cell>
          <cell r="K712">
            <v>1</v>
          </cell>
          <cell r="L712">
            <v>11.078753000000001</v>
          </cell>
          <cell r="M712">
            <v>-85.314650999999998</v>
          </cell>
          <cell r="N712" t="str">
            <v>Norte</v>
          </cell>
          <cell r="O712">
            <v>0</v>
          </cell>
          <cell r="P712" t="str">
            <v>nambi</v>
          </cell>
          <cell r="Q712" t="str">
            <v>nambi</v>
          </cell>
          <cell r="R712" t="b">
            <v>1</v>
          </cell>
          <cell r="S712" t="str">
            <v>458_1</v>
          </cell>
          <cell r="T712">
            <v>1</v>
          </cell>
          <cell r="U712">
            <v>12</v>
          </cell>
          <cell r="V712">
            <v>9</v>
          </cell>
          <cell r="W712">
            <v>0.75</v>
          </cell>
          <cell r="X712">
            <v>49</v>
          </cell>
          <cell r="Y712">
            <v>26</v>
          </cell>
          <cell r="Z712">
            <v>0.53061224500000004</v>
          </cell>
        </row>
        <row r="713">
          <cell r="B713" t="str">
            <v>F458_2A</v>
          </cell>
          <cell r="C713" t="str">
            <v>R1_F458_2A</v>
          </cell>
          <cell r="D713">
            <v>1</v>
          </cell>
          <cell r="E713">
            <v>0.7</v>
          </cell>
          <cell r="F713">
            <v>246</v>
          </cell>
          <cell r="G713">
            <v>1</v>
          </cell>
          <cell r="H713">
            <v>70</v>
          </cell>
          <cell r="I713">
            <v>0</v>
          </cell>
          <cell r="J713">
            <v>4</v>
          </cell>
          <cell r="K713">
            <v>1</v>
          </cell>
          <cell r="L713">
            <v>11.078753000000001</v>
          </cell>
          <cell r="M713">
            <v>-85.314650999999998</v>
          </cell>
          <cell r="N713" t="str">
            <v>Norte</v>
          </cell>
          <cell r="O713">
            <v>0</v>
          </cell>
          <cell r="P713" t="str">
            <v>cabecar</v>
          </cell>
          <cell r="Q713" t="str">
            <v>cabecar</v>
          </cell>
          <cell r="R713" t="b">
            <v>1</v>
          </cell>
          <cell r="S713" t="str">
            <v>458_2</v>
          </cell>
          <cell r="T713">
            <v>1</v>
          </cell>
          <cell r="U713">
            <v>12</v>
          </cell>
          <cell r="V713">
            <v>9</v>
          </cell>
          <cell r="W713">
            <v>0.75</v>
          </cell>
          <cell r="X713">
            <v>49</v>
          </cell>
          <cell r="Y713">
            <v>26</v>
          </cell>
          <cell r="Z713">
            <v>0.53061224500000004</v>
          </cell>
        </row>
        <row r="714">
          <cell r="B714" t="str">
            <v>F460_1B</v>
          </cell>
          <cell r="C714" t="str">
            <v>R1_F460_1B</v>
          </cell>
          <cell r="D714">
            <v>0</v>
          </cell>
          <cell r="E714">
            <v>1.4</v>
          </cell>
          <cell r="F714">
            <v>252</v>
          </cell>
          <cell r="G714">
            <v>1</v>
          </cell>
          <cell r="H714">
            <v>51</v>
          </cell>
          <cell r="I714">
            <v>6</v>
          </cell>
          <cell r="J714">
            <v>6</v>
          </cell>
          <cell r="K714">
            <v>1</v>
          </cell>
          <cell r="L714">
            <v>11.080195</v>
          </cell>
          <cell r="M714">
            <v>-85.315207999999998</v>
          </cell>
          <cell r="N714" t="str">
            <v>Norte</v>
          </cell>
          <cell r="O714">
            <v>0</v>
          </cell>
          <cell r="P714" t="str">
            <v>guaymi</v>
          </cell>
          <cell r="Q714" t="str">
            <v>nambi</v>
          </cell>
          <cell r="R714" t="b">
            <v>0</v>
          </cell>
          <cell r="S714" t="str">
            <v>460_1</v>
          </cell>
          <cell r="T714">
            <v>0</v>
          </cell>
          <cell r="U714">
            <v>7</v>
          </cell>
          <cell r="V714">
            <v>7</v>
          </cell>
          <cell r="W714">
            <v>1</v>
          </cell>
          <cell r="X714">
            <v>46</v>
          </cell>
          <cell r="Y714">
            <v>24</v>
          </cell>
          <cell r="Z714">
            <v>0.52173913000000005</v>
          </cell>
        </row>
        <row r="715">
          <cell r="B715" t="str">
            <v>F460_2B</v>
          </cell>
          <cell r="C715" t="str">
            <v>R1_F460_2B</v>
          </cell>
          <cell r="D715">
            <v>0</v>
          </cell>
          <cell r="E715">
            <v>0.7</v>
          </cell>
          <cell r="F715">
            <v>252</v>
          </cell>
          <cell r="G715">
            <v>1</v>
          </cell>
          <cell r="H715">
            <v>51</v>
          </cell>
          <cell r="I715">
            <v>6</v>
          </cell>
          <cell r="J715">
            <v>6</v>
          </cell>
          <cell r="K715">
            <v>0</v>
          </cell>
          <cell r="L715">
            <v>11.080195</v>
          </cell>
          <cell r="M715">
            <v>-85.315207999999998</v>
          </cell>
          <cell r="N715" t="str">
            <v>Norte</v>
          </cell>
          <cell r="O715">
            <v>0</v>
          </cell>
          <cell r="P715" t="str">
            <v>victoria</v>
          </cell>
          <cell r="Q715" t="str">
            <v>cabecar</v>
          </cell>
          <cell r="R715" t="b">
            <v>0</v>
          </cell>
          <cell r="S715" t="str">
            <v>460_2</v>
          </cell>
          <cell r="T715">
            <v>1</v>
          </cell>
          <cell r="U715">
            <v>7</v>
          </cell>
          <cell r="V715">
            <v>7</v>
          </cell>
          <cell r="W715">
            <v>1</v>
          </cell>
          <cell r="X715">
            <v>46</v>
          </cell>
          <cell r="Y715">
            <v>24</v>
          </cell>
          <cell r="Z715">
            <v>0.52173913000000005</v>
          </cell>
        </row>
        <row r="716">
          <cell r="B716" t="str">
            <v>F461_1B</v>
          </cell>
          <cell r="C716" t="str">
            <v>R1_F461_1B</v>
          </cell>
          <cell r="D716">
            <v>0</v>
          </cell>
          <cell r="E716">
            <v>0.35</v>
          </cell>
          <cell r="F716">
            <v>76</v>
          </cell>
          <cell r="G716">
            <v>1</v>
          </cell>
          <cell r="H716">
            <v>54</v>
          </cell>
          <cell r="I716">
            <v>6</v>
          </cell>
          <cell r="J716">
            <v>4</v>
          </cell>
          <cell r="K716">
            <v>1</v>
          </cell>
          <cell r="L716">
            <v>11.089435</v>
          </cell>
          <cell r="M716">
            <v>-85.297702000000001</v>
          </cell>
          <cell r="N716" t="str">
            <v>Norte</v>
          </cell>
          <cell r="O716">
            <v>0</v>
          </cell>
          <cell r="P716" t="str">
            <v>nambi</v>
          </cell>
          <cell r="Q716" t="str">
            <v>guaymi</v>
          </cell>
          <cell r="R716" t="b">
            <v>0</v>
          </cell>
          <cell r="S716" t="str">
            <v>461_1</v>
          </cell>
          <cell r="T716">
            <v>0</v>
          </cell>
          <cell r="U716">
            <v>4</v>
          </cell>
          <cell r="V716">
            <v>1</v>
          </cell>
          <cell r="W716">
            <v>0.25</v>
          </cell>
          <cell r="X716">
            <v>34</v>
          </cell>
          <cell r="Y716">
            <v>19</v>
          </cell>
          <cell r="Z716">
            <v>0.55882352899999999</v>
          </cell>
        </row>
        <row r="717">
          <cell r="B717" t="str">
            <v>F462_1B</v>
          </cell>
          <cell r="C717" t="str">
            <v>R1_F462_1B</v>
          </cell>
          <cell r="D717">
            <v>0</v>
          </cell>
          <cell r="E717">
            <v>1</v>
          </cell>
          <cell r="F717">
            <v>78</v>
          </cell>
          <cell r="G717">
            <v>1</v>
          </cell>
          <cell r="H717">
            <v>48</v>
          </cell>
          <cell r="I717">
            <v>6</v>
          </cell>
          <cell r="J717">
            <v>4</v>
          </cell>
          <cell r="K717">
            <v>0</v>
          </cell>
          <cell r="L717">
            <v>11.088767000000001</v>
          </cell>
          <cell r="M717">
            <v>-85.297820000000002</v>
          </cell>
          <cell r="N717" t="str">
            <v>Norte</v>
          </cell>
          <cell r="O717">
            <v>0</v>
          </cell>
          <cell r="P717" t="str">
            <v>generalito</v>
          </cell>
          <cell r="Q717" t="str">
            <v>cabecar</v>
          </cell>
          <cell r="R717" t="b">
            <v>0</v>
          </cell>
          <cell r="S717" t="str">
            <v>462_1</v>
          </cell>
          <cell r="T717">
            <v>0</v>
          </cell>
          <cell r="U717">
            <v>5</v>
          </cell>
          <cell r="V717">
            <v>2</v>
          </cell>
          <cell r="W717">
            <v>0.4</v>
          </cell>
          <cell r="X717">
            <v>34</v>
          </cell>
          <cell r="Y717">
            <v>19</v>
          </cell>
          <cell r="Z717">
            <v>0.55882352899999999</v>
          </cell>
        </row>
        <row r="718">
          <cell r="B718" t="str">
            <v>F463_1B</v>
          </cell>
          <cell r="C718" t="str">
            <v>R1_F463_1B</v>
          </cell>
          <cell r="D718">
            <v>0</v>
          </cell>
          <cell r="E718">
            <v>3</v>
          </cell>
          <cell r="F718">
            <v>87</v>
          </cell>
          <cell r="G718">
            <v>1</v>
          </cell>
          <cell r="H718">
            <v>44</v>
          </cell>
          <cell r="I718">
            <v>6</v>
          </cell>
          <cell r="J718">
            <v>1</v>
          </cell>
          <cell r="K718">
            <v>1</v>
          </cell>
          <cell r="L718">
            <v>11.091234999999999</v>
          </cell>
          <cell r="M718">
            <v>-85.300887000000003</v>
          </cell>
          <cell r="N718" t="str">
            <v>Norte</v>
          </cell>
          <cell r="O718">
            <v>0</v>
          </cell>
          <cell r="P718" t="str">
            <v>guaymi</v>
          </cell>
          <cell r="Q718" t="str">
            <v>nambi</v>
          </cell>
          <cell r="R718" t="b">
            <v>0</v>
          </cell>
          <cell r="S718" t="str">
            <v>463_1</v>
          </cell>
          <cell r="T718">
            <v>0</v>
          </cell>
          <cell r="U718">
            <v>5</v>
          </cell>
          <cell r="V718">
            <v>2</v>
          </cell>
          <cell r="W718">
            <v>0.4</v>
          </cell>
          <cell r="X718">
            <v>32</v>
          </cell>
          <cell r="Y718">
            <v>18</v>
          </cell>
          <cell r="Z718">
            <v>0.5625</v>
          </cell>
        </row>
        <row r="719">
          <cell r="B719" t="str">
            <v>F464_1B</v>
          </cell>
          <cell r="C719" t="str">
            <v>R1_F464_1B</v>
          </cell>
          <cell r="D719">
            <v>0</v>
          </cell>
          <cell r="E719">
            <v>1</v>
          </cell>
          <cell r="F719">
            <v>210</v>
          </cell>
          <cell r="G719">
            <v>1</v>
          </cell>
          <cell r="H719">
            <v>43</v>
          </cell>
          <cell r="I719">
            <v>6</v>
          </cell>
          <cell r="J719">
            <v>7</v>
          </cell>
          <cell r="K719">
            <v>1</v>
          </cell>
          <cell r="L719">
            <v>11.028518</v>
          </cell>
          <cell r="M719">
            <v>-85.278228999999996</v>
          </cell>
          <cell r="N719" t="str">
            <v>Norte</v>
          </cell>
          <cell r="O719">
            <v>0</v>
          </cell>
          <cell r="P719" t="str">
            <v>guaymi</v>
          </cell>
          <cell r="Q719" t="str">
            <v>nambi</v>
          </cell>
          <cell r="R719" t="b">
            <v>0</v>
          </cell>
          <cell r="S719" t="str">
            <v>464_1</v>
          </cell>
          <cell r="T719">
            <v>0</v>
          </cell>
          <cell r="U719">
            <v>0</v>
          </cell>
          <cell r="V719">
            <v>0</v>
          </cell>
          <cell r="W719" t="str">
            <v>NA</v>
          </cell>
          <cell r="X719">
            <v>32</v>
          </cell>
          <cell r="Y719">
            <v>10</v>
          </cell>
          <cell r="Z719">
            <v>0.3125</v>
          </cell>
        </row>
        <row r="720">
          <cell r="B720" t="str">
            <v>F464_2B</v>
          </cell>
          <cell r="C720" t="str">
            <v>R1_F464_2B</v>
          </cell>
          <cell r="D720">
            <v>1</v>
          </cell>
          <cell r="E720">
            <v>1</v>
          </cell>
          <cell r="F720">
            <v>210</v>
          </cell>
          <cell r="G720">
            <v>1</v>
          </cell>
          <cell r="H720">
            <v>43</v>
          </cell>
          <cell r="I720">
            <v>6</v>
          </cell>
          <cell r="J720">
            <v>7</v>
          </cell>
          <cell r="K720">
            <v>1</v>
          </cell>
          <cell r="L720">
            <v>11.028518</v>
          </cell>
          <cell r="M720">
            <v>-85.278228999999996</v>
          </cell>
          <cell r="N720" t="str">
            <v>Norte</v>
          </cell>
          <cell r="O720">
            <v>0</v>
          </cell>
          <cell r="P720" t="str">
            <v>cabecar</v>
          </cell>
          <cell r="Q720" t="str">
            <v>cabecar</v>
          </cell>
          <cell r="R720" t="b">
            <v>1</v>
          </cell>
          <cell r="S720" t="str">
            <v>464_2</v>
          </cell>
          <cell r="T720">
            <v>1</v>
          </cell>
          <cell r="U720">
            <v>0</v>
          </cell>
          <cell r="V720">
            <v>0</v>
          </cell>
          <cell r="W720" t="str">
            <v>NA</v>
          </cell>
          <cell r="X720">
            <v>32</v>
          </cell>
          <cell r="Y720">
            <v>10</v>
          </cell>
          <cell r="Z720">
            <v>0.3125</v>
          </cell>
        </row>
        <row r="721">
          <cell r="B721" t="str">
            <v>F465_1B</v>
          </cell>
          <cell r="C721" t="str">
            <v>R1_F465_1B</v>
          </cell>
          <cell r="D721">
            <v>0</v>
          </cell>
          <cell r="E721">
            <v>1</v>
          </cell>
          <cell r="F721">
            <v>204</v>
          </cell>
          <cell r="G721">
            <v>0</v>
          </cell>
          <cell r="H721">
            <v>49</v>
          </cell>
          <cell r="I721">
            <v>2</v>
          </cell>
          <cell r="J721">
            <v>4</v>
          </cell>
          <cell r="K721">
            <v>1</v>
          </cell>
          <cell r="L721">
            <v>11.033709</v>
          </cell>
          <cell r="M721">
            <v>-85.283496999999997</v>
          </cell>
          <cell r="N721" t="str">
            <v>Norte</v>
          </cell>
          <cell r="O721">
            <v>0</v>
          </cell>
          <cell r="P721" t="str">
            <v>tayni</v>
          </cell>
          <cell r="Q721" t="str">
            <v>nambi</v>
          </cell>
          <cell r="R721" t="b">
            <v>0</v>
          </cell>
          <cell r="S721" t="str">
            <v>465_1</v>
          </cell>
          <cell r="T721">
            <v>0</v>
          </cell>
          <cell r="U721">
            <v>2</v>
          </cell>
          <cell r="V721">
            <v>0</v>
          </cell>
          <cell r="W721">
            <v>0</v>
          </cell>
          <cell r="X721">
            <v>43</v>
          </cell>
          <cell r="Y721">
            <v>17</v>
          </cell>
          <cell r="Z721">
            <v>0.39534883700000001</v>
          </cell>
        </row>
        <row r="722">
          <cell r="B722" t="str">
            <v>F465_2B</v>
          </cell>
          <cell r="C722" t="str">
            <v>R1_F465_2B</v>
          </cell>
          <cell r="D722">
            <v>0</v>
          </cell>
          <cell r="E722">
            <v>1</v>
          </cell>
          <cell r="F722">
            <v>204</v>
          </cell>
          <cell r="G722">
            <v>0</v>
          </cell>
          <cell r="H722">
            <v>49</v>
          </cell>
          <cell r="I722">
            <v>2</v>
          </cell>
          <cell r="J722">
            <v>4</v>
          </cell>
          <cell r="K722">
            <v>1</v>
          </cell>
          <cell r="L722">
            <v>11.033709</v>
          </cell>
          <cell r="M722">
            <v>-85.283496999999997</v>
          </cell>
          <cell r="N722" t="str">
            <v>Norte</v>
          </cell>
          <cell r="O722">
            <v>0</v>
          </cell>
          <cell r="P722" t="str">
            <v>nambi</v>
          </cell>
          <cell r="Q722" t="str">
            <v>tayni</v>
          </cell>
          <cell r="R722" t="b">
            <v>0</v>
          </cell>
          <cell r="S722" t="str">
            <v>465_2</v>
          </cell>
          <cell r="T722">
            <v>0</v>
          </cell>
          <cell r="U722">
            <v>2</v>
          </cell>
          <cell r="V722">
            <v>0</v>
          </cell>
          <cell r="W722">
            <v>0</v>
          </cell>
          <cell r="X722">
            <v>43</v>
          </cell>
          <cell r="Y722">
            <v>17</v>
          </cell>
          <cell r="Z722">
            <v>0.39534883700000001</v>
          </cell>
        </row>
        <row r="723">
          <cell r="B723" t="str">
            <v>F466_1B</v>
          </cell>
          <cell r="C723" t="str">
            <v>R1_F466_1B</v>
          </cell>
          <cell r="D723">
            <v>0</v>
          </cell>
          <cell r="E723">
            <v>3</v>
          </cell>
          <cell r="F723">
            <v>204</v>
          </cell>
          <cell r="G723">
            <v>1</v>
          </cell>
          <cell r="H723">
            <v>54</v>
          </cell>
          <cell r="I723">
            <v>6</v>
          </cell>
          <cell r="J723">
            <v>4</v>
          </cell>
          <cell r="K723">
            <v>1</v>
          </cell>
          <cell r="L723">
            <v>11.034458000000001</v>
          </cell>
          <cell r="M723">
            <v>-85.273256000000003</v>
          </cell>
          <cell r="N723" t="str">
            <v>Norte</v>
          </cell>
          <cell r="O723">
            <v>0</v>
          </cell>
          <cell r="P723" t="str">
            <v>tayni</v>
          </cell>
          <cell r="Q723" t="str">
            <v>other</v>
          </cell>
          <cell r="R723" t="str">
            <v>Not applicable</v>
          </cell>
          <cell r="S723" t="str">
            <v>466_1</v>
          </cell>
          <cell r="T723">
            <v>0</v>
          </cell>
          <cell r="U723">
            <v>14</v>
          </cell>
          <cell r="V723">
            <v>3</v>
          </cell>
          <cell r="W723">
            <v>0.21428571399999999</v>
          </cell>
          <cell r="X723">
            <v>52</v>
          </cell>
          <cell r="Y723">
            <v>21</v>
          </cell>
          <cell r="Z723">
            <v>0.40384615400000001</v>
          </cell>
        </row>
        <row r="724">
          <cell r="B724" t="str">
            <v>F467_1B</v>
          </cell>
          <cell r="C724" t="str">
            <v>R1_F467_1B</v>
          </cell>
          <cell r="D724">
            <v>0</v>
          </cell>
          <cell r="E724">
            <v>2</v>
          </cell>
          <cell r="F724">
            <v>184</v>
          </cell>
          <cell r="G724">
            <v>1</v>
          </cell>
          <cell r="H724">
            <v>46</v>
          </cell>
          <cell r="I724">
            <v>5</v>
          </cell>
          <cell r="J724">
            <v>6</v>
          </cell>
          <cell r="K724">
            <v>1</v>
          </cell>
          <cell r="L724">
            <v>11.030744</v>
          </cell>
          <cell r="M724">
            <v>-85.267989999999998</v>
          </cell>
          <cell r="N724" t="str">
            <v>Norte</v>
          </cell>
          <cell r="O724">
            <v>0</v>
          </cell>
          <cell r="P724" t="str">
            <v>nambi</v>
          </cell>
          <cell r="Q724" t="str">
            <v>cabecar</v>
          </cell>
          <cell r="R724" t="b">
            <v>0</v>
          </cell>
          <cell r="S724" t="str">
            <v>467_1</v>
          </cell>
          <cell r="T724">
            <v>0</v>
          </cell>
          <cell r="U724">
            <v>12</v>
          </cell>
          <cell r="V724">
            <v>4</v>
          </cell>
          <cell r="W724">
            <v>0.33333333300000001</v>
          </cell>
          <cell r="X724">
            <v>46</v>
          </cell>
          <cell r="Y724">
            <v>18</v>
          </cell>
          <cell r="Z724">
            <v>0.39130434800000002</v>
          </cell>
        </row>
        <row r="725">
          <cell r="B725" t="str">
            <v>F467_2B</v>
          </cell>
          <cell r="C725" t="str">
            <v>R1_F467_2B</v>
          </cell>
          <cell r="D725">
            <v>0</v>
          </cell>
          <cell r="E725">
            <v>2</v>
          </cell>
          <cell r="F725">
            <v>184</v>
          </cell>
          <cell r="G725">
            <v>1</v>
          </cell>
          <cell r="H725">
            <v>46</v>
          </cell>
          <cell r="I725">
            <v>5</v>
          </cell>
          <cell r="J725">
            <v>6</v>
          </cell>
          <cell r="K725">
            <v>0</v>
          </cell>
          <cell r="L725">
            <v>11.030744</v>
          </cell>
          <cell r="M725">
            <v>-85.267989999999998</v>
          </cell>
          <cell r="N725" t="str">
            <v>Norte</v>
          </cell>
          <cell r="O725">
            <v>0</v>
          </cell>
          <cell r="P725" t="str">
            <v>victoria</v>
          </cell>
          <cell r="Q725" t="str">
            <v>nambi</v>
          </cell>
          <cell r="R725" t="b">
            <v>0</v>
          </cell>
          <cell r="S725" t="str">
            <v>467_2</v>
          </cell>
          <cell r="T725">
            <v>0</v>
          </cell>
          <cell r="U725">
            <v>12</v>
          </cell>
          <cell r="V725">
            <v>4</v>
          </cell>
          <cell r="W725">
            <v>0.33333333300000001</v>
          </cell>
          <cell r="X725">
            <v>46</v>
          </cell>
          <cell r="Y725">
            <v>18</v>
          </cell>
          <cell r="Z725">
            <v>0.39130434800000002</v>
          </cell>
        </row>
        <row r="726">
          <cell r="B726" t="str">
            <v>F468_1B</v>
          </cell>
          <cell r="C726" t="str">
            <v>R1_F468_1B</v>
          </cell>
          <cell r="D726">
            <v>0</v>
          </cell>
          <cell r="E726">
            <v>0.35</v>
          </cell>
          <cell r="F726">
            <v>200</v>
          </cell>
          <cell r="G726">
            <v>1</v>
          </cell>
          <cell r="H726">
            <v>33</v>
          </cell>
          <cell r="I726">
            <v>12</v>
          </cell>
          <cell r="J726">
            <v>4</v>
          </cell>
          <cell r="K726">
            <v>0</v>
          </cell>
          <cell r="L726">
            <v>11.036033</v>
          </cell>
          <cell r="M726">
            <v>-85.268674000000004</v>
          </cell>
          <cell r="N726" t="str">
            <v>Norte</v>
          </cell>
          <cell r="O726">
            <v>0</v>
          </cell>
          <cell r="P726" t="str">
            <v>gibre</v>
          </cell>
          <cell r="Q726" t="str">
            <v>nambi</v>
          </cell>
          <cell r="R726" t="b">
            <v>0</v>
          </cell>
          <cell r="S726" t="str">
            <v>468_1</v>
          </cell>
          <cell r="T726">
            <v>0</v>
          </cell>
          <cell r="U726">
            <v>12</v>
          </cell>
          <cell r="V726">
            <v>2</v>
          </cell>
          <cell r="W726">
            <v>0.16666666699999999</v>
          </cell>
          <cell r="X726">
            <v>47</v>
          </cell>
          <cell r="Y726">
            <v>19</v>
          </cell>
          <cell r="Z726">
            <v>0.404255319</v>
          </cell>
        </row>
        <row r="727">
          <cell r="B727" t="str">
            <v>F468_2B</v>
          </cell>
          <cell r="C727" t="str">
            <v>R1_F468_2B</v>
          </cell>
          <cell r="D727">
            <v>1</v>
          </cell>
          <cell r="E727">
            <v>1.05</v>
          </cell>
          <cell r="F727">
            <v>200</v>
          </cell>
          <cell r="G727">
            <v>1</v>
          </cell>
          <cell r="H727">
            <v>33</v>
          </cell>
          <cell r="I727">
            <v>12</v>
          </cell>
          <cell r="J727">
            <v>4</v>
          </cell>
          <cell r="K727">
            <v>1</v>
          </cell>
          <cell r="L727">
            <v>11.036033</v>
          </cell>
          <cell r="M727">
            <v>-85.268674000000004</v>
          </cell>
          <cell r="N727" t="str">
            <v>Norte</v>
          </cell>
          <cell r="O727">
            <v>0</v>
          </cell>
          <cell r="P727" t="str">
            <v>guaymi</v>
          </cell>
          <cell r="Q727" t="str">
            <v>guaymi</v>
          </cell>
          <cell r="R727" t="b">
            <v>1</v>
          </cell>
          <cell r="S727" t="str">
            <v>468_2</v>
          </cell>
          <cell r="T727">
            <v>1</v>
          </cell>
          <cell r="U727">
            <v>12</v>
          </cell>
          <cell r="V727">
            <v>2</v>
          </cell>
          <cell r="W727">
            <v>0.16666666699999999</v>
          </cell>
          <cell r="X727">
            <v>47</v>
          </cell>
          <cell r="Y727">
            <v>19</v>
          </cell>
          <cell r="Z727">
            <v>0.404255319</v>
          </cell>
        </row>
        <row r="728">
          <cell r="B728" t="str">
            <v>F468_3B</v>
          </cell>
          <cell r="C728" t="str">
            <v>R1_F468_3B</v>
          </cell>
          <cell r="D728">
            <v>0</v>
          </cell>
          <cell r="E728">
            <v>0.35</v>
          </cell>
          <cell r="F728">
            <v>200</v>
          </cell>
          <cell r="G728">
            <v>1</v>
          </cell>
          <cell r="H728">
            <v>33</v>
          </cell>
          <cell r="I728">
            <v>12</v>
          </cell>
          <cell r="J728">
            <v>4</v>
          </cell>
          <cell r="K728">
            <v>1</v>
          </cell>
          <cell r="L728">
            <v>11.036033</v>
          </cell>
          <cell r="M728">
            <v>-85.268674000000004</v>
          </cell>
          <cell r="N728" t="str">
            <v>Norte</v>
          </cell>
          <cell r="O728">
            <v>0</v>
          </cell>
          <cell r="P728" t="str">
            <v>tayni</v>
          </cell>
          <cell r="Q728" t="str">
            <v>rojo</v>
          </cell>
          <cell r="R728" t="str">
            <v>Not applicable</v>
          </cell>
          <cell r="S728" t="str">
            <v>468_3</v>
          </cell>
          <cell r="T728">
            <v>0</v>
          </cell>
          <cell r="U728">
            <v>12</v>
          </cell>
          <cell r="V728">
            <v>2</v>
          </cell>
          <cell r="W728">
            <v>0.16666666699999999</v>
          </cell>
          <cell r="X728">
            <v>47</v>
          </cell>
          <cell r="Y728">
            <v>19</v>
          </cell>
          <cell r="Z728">
            <v>0.404255319</v>
          </cell>
        </row>
        <row r="729">
          <cell r="B729" t="str">
            <v>F469_1B</v>
          </cell>
          <cell r="C729" t="str">
            <v>R1_F469_1B</v>
          </cell>
          <cell r="D729">
            <v>0</v>
          </cell>
          <cell r="E729">
            <v>0.5</v>
          </cell>
          <cell r="F729">
            <v>196</v>
          </cell>
          <cell r="G729">
            <v>1</v>
          </cell>
          <cell r="H729">
            <v>38</v>
          </cell>
          <cell r="I729">
            <v>2</v>
          </cell>
          <cell r="J729">
            <v>6</v>
          </cell>
          <cell r="K729">
            <v>1</v>
          </cell>
          <cell r="L729">
            <v>11.034126000000001</v>
          </cell>
          <cell r="M729">
            <v>-85.275284999999997</v>
          </cell>
          <cell r="N729" t="str">
            <v>Norte</v>
          </cell>
          <cell r="O729">
            <v>0</v>
          </cell>
          <cell r="P729" t="str">
            <v>guaymi</v>
          </cell>
          <cell r="Q729" t="str">
            <v>nambi</v>
          </cell>
          <cell r="R729" t="b">
            <v>0</v>
          </cell>
          <cell r="S729" t="str">
            <v>469_1</v>
          </cell>
          <cell r="T729">
            <v>0</v>
          </cell>
          <cell r="U729">
            <v>11</v>
          </cell>
          <cell r="V729">
            <v>1</v>
          </cell>
          <cell r="W729">
            <v>9.0909090999999997E-2</v>
          </cell>
          <cell r="X729">
            <v>52</v>
          </cell>
          <cell r="Y729">
            <v>20</v>
          </cell>
          <cell r="Z729">
            <v>0.38461538499999998</v>
          </cell>
        </row>
        <row r="730">
          <cell r="B730" t="str">
            <v>F470_1B</v>
          </cell>
          <cell r="C730" t="str">
            <v>R1_F470_1B</v>
          </cell>
          <cell r="D730">
            <v>0</v>
          </cell>
          <cell r="E730">
            <v>1</v>
          </cell>
          <cell r="F730">
            <v>201</v>
          </cell>
          <cell r="G730">
            <v>0</v>
          </cell>
          <cell r="H730">
            <v>37</v>
          </cell>
          <cell r="I730">
            <v>6</v>
          </cell>
          <cell r="J730">
            <v>6</v>
          </cell>
          <cell r="K730">
            <v>1</v>
          </cell>
          <cell r="L730">
            <v>11.034878000000001</v>
          </cell>
          <cell r="M730">
            <v>-85.272794000000005</v>
          </cell>
          <cell r="N730" t="str">
            <v>Norte</v>
          </cell>
          <cell r="O730">
            <v>0</v>
          </cell>
          <cell r="P730" t="str">
            <v>tayni</v>
          </cell>
          <cell r="Q730" t="str">
            <v>nambi</v>
          </cell>
          <cell r="R730" t="b">
            <v>0</v>
          </cell>
          <cell r="S730" t="str">
            <v>470_1</v>
          </cell>
          <cell r="T730">
            <v>0</v>
          </cell>
          <cell r="U730">
            <v>16</v>
          </cell>
          <cell r="V730">
            <v>5</v>
          </cell>
          <cell r="W730">
            <v>0.3125</v>
          </cell>
          <cell r="X730">
            <v>51</v>
          </cell>
          <cell r="Y730">
            <v>21</v>
          </cell>
          <cell r="Z730">
            <v>0.41176470599999998</v>
          </cell>
        </row>
        <row r="731">
          <cell r="B731" t="str">
            <v>F470_2B</v>
          </cell>
          <cell r="C731" t="str">
            <v>R1_F470_2B</v>
          </cell>
          <cell r="D731">
            <v>0</v>
          </cell>
          <cell r="E731">
            <v>0.7</v>
          </cell>
          <cell r="F731">
            <v>201</v>
          </cell>
          <cell r="G731">
            <v>0</v>
          </cell>
          <cell r="H731">
            <v>37</v>
          </cell>
          <cell r="I731">
            <v>6</v>
          </cell>
          <cell r="J731">
            <v>6</v>
          </cell>
          <cell r="K731">
            <v>1</v>
          </cell>
          <cell r="L731">
            <v>11.034878000000001</v>
          </cell>
          <cell r="M731">
            <v>-85.272794000000005</v>
          </cell>
          <cell r="N731" t="str">
            <v>Norte</v>
          </cell>
          <cell r="O731">
            <v>0</v>
          </cell>
          <cell r="P731" t="str">
            <v>nambi</v>
          </cell>
          <cell r="Q731" t="str">
            <v>tayni</v>
          </cell>
          <cell r="R731" t="b">
            <v>0</v>
          </cell>
          <cell r="S731" t="str">
            <v>470_2</v>
          </cell>
          <cell r="T731">
            <v>0</v>
          </cell>
          <cell r="U731">
            <v>16</v>
          </cell>
          <cell r="V731">
            <v>5</v>
          </cell>
          <cell r="W731">
            <v>0.3125</v>
          </cell>
          <cell r="X731">
            <v>51</v>
          </cell>
          <cell r="Y731">
            <v>21</v>
          </cell>
          <cell r="Z731">
            <v>0.41176470599999998</v>
          </cell>
        </row>
        <row r="732">
          <cell r="B732" t="str">
            <v>F471_1B</v>
          </cell>
          <cell r="C732" t="str">
            <v>R1_F471_1B</v>
          </cell>
          <cell r="D732">
            <v>0</v>
          </cell>
          <cell r="E732">
            <v>0.5</v>
          </cell>
          <cell r="F732">
            <v>163</v>
          </cell>
          <cell r="G732">
            <v>1</v>
          </cell>
          <cell r="H732">
            <v>58</v>
          </cell>
          <cell r="I732">
            <v>6</v>
          </cell>
          <cell r="J732">
            <v>5</v>
          </cell>
          <cell r="K732">
            <v>0</v>
          </cell>
          <cell r="L732">
            <v>11.016825000000001</v>
          </cell>
          <cell r="M732">
            <v>-85.266600999999994</v>
          </cell>
          <cell r="N732" t="str">
            <v>Norte</v>
          </cell>
          <cell r="O732">
            <v>0</v>
          </cell>
          <cell r="P732" t="str">
            <v>sacapobres</v>
          </cell>
          <cell r="Q732" t="str">
            <v>other</v>
          </cell>
          <cell r="R732" t="str">
            <v>Not applicable</v>
          </cell>
          <cell r="S732" t="str">
            <v>471_1</v>
          </cell>
          <cell r="T732">
            <v>0</v>
          </cell>
          <cell r="U732">
            <v>0</v>
          </cell>
          <cell r="V732">
            <v>0</v>
          </cell>
          <cell r="W732" t="str">
            <v>NA</v>
          </cell>
          <cell r="X732">
            <v>26</v>
          </cell>
          <cell r="Y732">
            <v>7</v>
          </cell>
          <cell r="Z732">
            <v>0.26923076899999998</v>
          </cell>
        </row>
        <row r="733">
          <cell r="B733" t="str">
            <v>F471_2B</v>
          </cell>
          <cell r="C733" t="str">
            <v>R1_F471_2B</v>
          </cell>
          <cell r="D733">
            <v>1</v>
          </cell>
          <cell r="E733">
            <v>0.5</v>
          </cell>
          <cell r="F733">
            <v>163</v>
          </cell>
          <cell r="G733">
            <v>1</v>
          </cell>
          <cell r="H733">
            <v>58</v>
          </cell>
          <cell r="I733">
            <v>6</v>
          </cell>
          <cell r="J733">
            <v>5</v>
          </cell>
          <cell r="K733">
            <v>1</v>
          </cell>
          <cell r="L733">
            <v>11.016825000000001</v>
          </cell>
          <cell r="M733">
            <v>-85.266600999999994</v>
          </cell>
          <cell r="N733" t="str">
            <v>Norte</v>
          </cell>
          <cell r="O733">
            <v>0</v>
          </cell>
          <cell r="P733" t="str">
            <v>nambi</v>
          </cell>
          <cell r="Q733" t="str">
            <v>nambi</v>
          </cell>
          <cell r="R733" t="b">
            <v>1</v>
          </cell>
          <cell r="S733" t="str">
            <v>471_2</v>
          </cell>
          <cell r="T733">
            <v>1</v>
          </cell>
          <cell r="U733">
            <v>0</v>
          </cell>
          <cell r="V733">
            <v>0</v>
          </cell>
          <cell r="W733" t="str">
            <v>NA</v>
          </cell>
          <cell r="X733">
            <v>26</v>
          </cell>
          <cell r="Y733">
            <v>7</v>
          </cell>
          <cell r="Z733">
            <v>0.26923076899999998</v>
          </cell>
        </row>
        <row r="734">
          <cell r="B734" t="str">
            <v>F472_1B</v>
          </cell>
          <cell r="C734" t="str">
            <v>R1_F472_1B</v>
          </cell>
          <cell r="D734">
            <v>0</v>
          </cell>
          <cell r="E734">
            <v>0.5</v>
          </cell>
          <cell r="F734">
            <v>200</v>
          </cell>
          <cell r="G734">
            <v>0</v>
          </cell>
          <cell r="H734">
            <v>40</v>
          </cell>
          <cell r="I734">
            <v>11</v>
          </cell>
          <cell r="J734">
            <v>4</v>
          </cell>
          <cell r="K734">
            <v>1</v>
          </cell>
          <cell r="L734">
            <v>11.036597</v>
          </cell>
          <cell r="M734">
            <v>-85.270501999999993</v>
          </cell>
          <cell r="N734" t="str">
            <v>Norte</v>
          </cell>
          <cell r="O734">
            <v>0</v>
          </cell>
          <cell r="P734" t="str">
            <v>guaymi</v>
          </cell>
          <cell r="Q734" t="str">
            <v>nambi</v>
          </cell>
          <cell r="R734" t="b">
            <v>0</v>
          </cell>
          <cell r="S734" t="str">
            <v>472_1</v>
          </cell>
          <cell r="T734">
            <v>0</v>
          </cell>
          <cell r="U734">
            <v>14</v>
          </cell>
          <cell r="V734">
            <v>4</v>
          </cell>
          <cell r="W734">
            <v>0.28571428599999998</v>
          </cell>
          <cell r="X734">
            <v>50</v>
          </cell>
          <cell r="Y734">
            <v>21</v>
          </cell>
          <cell r="Z734">
            <v>0.42</v>
          </cell>
        </row>
        <row r="735">
          <cell r="B735" t="str">
            <v>F472_2B</v>
          </cell>
          <cell r="C735" t="str">
            <v>R1_F472_2B</v>
          </cell>
          <cell r="D735">
            <v>0</v>
          </cell>
          <cell r="E735">
            <v>0.5</v>
          </cell>
          <cell r="F735">
            <v>200</v>
          </cell>
          <cell r="G735">
            <v>0</v>
          </cell>
          <cell r="H735">
            <v>40</v>
          </cell>
          <cell r="I735">
            <v>11</v>
          </cell>
          <cell r="J735">
            <v>4</v>
          </cell>
          <cell r="K735">
            <v>1</v>
          </cell>
          <cell r="L735">
            <v>11.036597</v>
          </cell>
          <cell r="M735">
            <v>-85.270501999999993</v>
          </cell>
          <cell r="N735" t="str">
            <v>Norte</v>
          </cell>
          <cell r="O735">
            <v>0</v>
          </cell>
          <cell r="P735" t="str">
            <v>guaymi</v>
          </cell>
          <cell r="Q735" t="str">
            <v>cabecar</v>
          </cell>
          <cell r="R735" t="b">
            <v>0</v>
          </cell>
          <cell r="S735" t="str">
            <v>472_2</v>
          </cell>
          <cell r="T735">
            <v>0</v>
          </cell>
          <cell r="U735">
            <v>14</v>
          </cell>
          <cell r="V735">
            <v>4</v>
          </cell>
          <cell r="W735">
            <v>0.28571428599999998</v>
          </cell>
          <cell r="X735">
            <v>50</v>
          </cell>
          <cell r="Y735">
            <v>21</v>
          </cell>
          <cell r="Z735">
            <v>0.42</v>
          </cell>
        </row>
        <row r="736">
          <cell r="B736" t="str">
            <v>F473_1B</v>
          </cell>
          <cell r="C736" t="str">
            <v>R1_F473_1B</v>
          </cell>
          <cell r="D736">
            <v>0</v>
          </cell>
          <cell r="E736">
            <v>1</v>
          </cell>
          <cell r="F736">
            <v>203</v>
          </cell>
          <cell r="G736">
            <v>0</v>
          </cell>
          <cell r="H736">
            <v>71</v>
          </cell>
          <cell r="I736">
            <v>1</v>
          </cell>
          <cell r="J736">
            <v>8</v>
          </cell>
          <cell r="K736">
            <v>0</v>
          </cell>
          <cell r="L736">
            <v>11.041917</v>
          </cell>
          <cell r="M736">
            <v>-85.275429000000003</v>
          </cell>
          <cell r="N736" t="str">
            <v>Norte</v>
          </cell>
          <cell r="O736">
            <v>0</v>
          </cell>
          <cell r="P736" t="str">
            <v>generalito</v>
          </cell>
          <cell r="Q736" t="str">
            <v>other</v>
          </cell>
          <cell r="R736" t="str">
            <v>Not applicable</v>
          </cell>
          <cell r="S736" t="str">
            <v>473_1</v>
          </cell>
          <cell r="T736">
            <v>0</v>
          </cell>
          <cell r="U736">
            <v>2</v>
          </cell>
          <cell r="V736">
            <v>0</v>
          </cell>
          <cell r="W736">
            <v>0</v>
          </cell>
          <cell r="X736">
            <v>38</v>
          </cell>
          <cell r="Y736">
            <v>12</v>
          </cell>
          <cell r="Z736">
            <v>0.31578947400000001</v>
          </cell>
        </row>
        <row r="737">
          <cell r="B737" t="str">
            <v>F473_2B</v>
          </cell>
          <cell r="C737" t="str">
            <v>R1_F473_2B</v>
          </cell>
          <cell r="D737">
            <v>1</v>
          </cell>
          <cell r="E737">
            <v>0.5</v>
          </cell>
          <cell r="F737">
            <v>203</v>
          </cell>
          <cell r="G737">
            <v>0</v>
          </cell>
          <cell r="H737">
            <v>71</v>
          </cell>
          <cell r="I737">
            <v>1</v>
          </cell>
          <cell r="J737">
            <v>8</v>
          </cell>
          <cell r="K737">
            <v>1</v>
          </cell>
          <cell r="L737">
            <v>11.041917</v>
          </cell>
          <cell r="M737">
            <v>-85.275429000000003</v>
          </cell>
          <cell r="N737" t="str">
            <v>Norte</v>
          </cell>
          <cell r="O737">
            <v>0</v>
          </cell>
          <cell r="P737" t="str">
            <v>nambi</v>
          </cell>
          <cell r="Q737" t="str">
            <v>nambi</v>
          </cell>
          <cell r="R737" t="b">
            <v>1</v>
          </cell>
          <cell r="S737" t="str">
            <v>473_2</v>
          </cell>
          <cell r="T737">
            <v>1</v>
          </cell>
          <cell r="U737">
            <v>2</v>
          </cell>
          <cell r="V737">
            <v>0</v>
          </cell>
          <cell r="W737">
            <v>0</v>
          </cell>
          <cell r="X737">
            <v>38</v>
          </cell>
          <cell r="Y737">
            <v>12</v>
          </cell>
          <cell r="Z737">
            <v>0.31578947400000001</v>
          </cell>
        </row>
        <row r="738">
          <cell r="B738" t="str">
            <v>F474_1B</v>
          </cell>
          <cell r="C738" t="str">
            <v>R1_F474_1B</v>
          </cell>
          <cell r="D738">
            <v>0</v>
          </cell>
          <cell r="E738">
            <v>1.4</v>
          </cell>
          <cell r="F738">
            <v>96</v>
          </cell>
          <cell r="G738">
            <v>1</v>
          </cell>
          <cell r="H738">
            <v>72</v>
          </cell>
          <cell r="I738">
            <v>6</v>
          </cell>
          <cell r="J738">
            <v>4</v>
          </cell>
          <cell r="K738">
            <v>1</v>
          </cell>
          <cell r="L738">
            <v>11.054904000000001</v>
          </cell>
          <cell r="M738">
            <v>-85.278696999999994</v>
          </cell>
          <cell r="N738" t="str">
            <v>Norte</v>
          </cell>
          <cell r="O738">
            <v>0</v>
          </cell>
          <cell r="P738" t="str">
            <v>tayni</v>
          </cell>
          <cell r="Q738" t="str">
            <v>cabecar</v>
          </cell>
          <cell r="R738" t="b">
            <v>0</v>
          </cell>
          <cell r="S738" t="str">
            <v>474_1</v>
          </cell>
          <cell r="T738">
            <v>0</v>
          </cell>
          <cell r="U738">
            <v>9</v>
          </cell>
          <cell r="V738">
            <v>8</v>
          </cell>
          <cell r="W738">
            <v>0.88888888899999996</v>
          </cell>
          <cell r="X738">
            <v>53</v>
          </cell>
          <cell r="Y738">
            <v>24</v>
          </cell>
          <cell r="Z738">
            <v>0.45283018899999999</v>
          </cell>
        </row>
        <row r="739">
          <cell r="B739" t="str">
            <v>F476_1B</v>
          </cell>
          <cell r="C739" t="str">
            <v>R1_F476_1B</v>
          </cell>
          <cell r="D739">
            <v>0</v>
          </cell>
          <cell r="E739">
            <v>1.4</v>
          </cell>
          <cell r="F739">
            <v>189</v>
          </cell>
          <cell r="G739">
            <v>1</v>
          </cell>
          <cell r="H739">
            <v>58</v>
          </cell>
          <cell r="I739">
            <v>3</v>
          </cell>
          <cell r="J739">
            <v>3</v>
          </cell>
          <cell r="K739">
            <v>1</v>
          </cell>
          <cell r="L739">
            <v>11.035479</v>
          </cell>
          <cell r="M739">
            <v>-85.281496000000004</v>
          </cell>
          <cell r="N739" t="str">
            <v>Norte</v>
          </cell>
          <cell r="O739">
            <v>0</v>
          </cell>
          <cell r="P739" t="str">
            <v>cabecar</v>
          </cell>
          <cell r="Q739" t="str">
            <v>negro</v>
          </cell>
          <cell r="R739" t="str">
            <v>Not applicable</v>
          </cell>
          <cell r="S739" t="str">
            <v>476_1</v>
          </cell>
          <cell r="T739">
            <v>0</v>
          </cell>
          <cell r="U739">
            <v>4</v>
          </cell>
          <cell r="V739">
            <v>0</v>
          </cell>
          <cell r="W739">
            <v>0</v>
          </cell>
          <cell r="X739">
            <v>49</v>
          </cell>
          <cell r="Y739">
            <v>19</v>
          </cell>
          <cell r="Z739">
            <v>0.38775510200000002</v>
          </cell>
        </row>
        <row r="740">
          <cell r="B740" t="str">
            <v>F476_2B</v>
          </cell>
          <cell r="C740" t="str">
            <v>R1_F476_2B</v>
          </cell>
          <cell r="D740">
            <v>0</v>
          </cell>
          <cell r="E740">
            <v>0.7</v>
          </cell>
          <cell r="F740">
            <v>189</v>
          </cell>
          <cell r="G740">
            <v>1</v>
          </cell>
          <cell r="H740">
            <v>58</v>
          </cell>
          <cell r="I740">
            <v>3</v>
          </cell>
          <cell r="J740">
            <v>3</v>
          </cell>
          <cell r="K740">
            <v>1</v>
          </cell>
          <cell r="L740">
            <v>11.035479</v>
          </cell>
          <cell r="M740">
            <v>-85.281496000000004</v>
          </cell>
          <cell r="N740" t="str">
            <v>Norte</v>
          </cell>
          <cell r="O740">
            <v>0</v>
          </cell>
          <cell r="P740" t="str">
            <v>nambi</v>
          </cell>
          <cell r="Q740" t="str">
            <v>rojo</v>
          </cell>
          <cell r="R740" t="str">
            <v>Not applicable</v>
          </cell>
          <cell r="S740" t="str">
            <v>476_2</v>
          </cell>
          <cell r="T740">
            <v>0</v>
          </cell>
          <cell r="U740">
            <v>4</v>
          </cell>
          <cell r="V740">
            <v>0</v>
          </cell>
          <cell r="W740">
            <v>0</v>
          </cell>
          <cell r="X740">
            <v>49</v>
          </cell>
          <cell r="Y740">
            <v>19</v>
          </cell>
          <cell r="Z740">
            <v>0.38775510200000002</v>
          </cell>
        </row>
        <row r="741">
          <cell r="B741" t="str">
            <v>F477_1B</v>
          </cell>
          <cell r="C741" t="str">
            <v>R1_F477_1B</v>
          </cell>
          <cell r="D741">
            <v>1</v>
          </cell>
          <cell r="E741">
            <v>2</v>
          </cell>
          <cell r="F741">
            <v>196</v>
          </cell>
          <cell r="G741">
            <v>1</v>
          </cell>
          <cell r="H741">
            <v>40</v>
          </cell>
          <cell r="I741">
            <v>3</v>
          </cell>
          <cell r="J741">
            <v>6</v>
          </cell>
          <cell r="K741">
            <v>1</v>
          </cell>
          <cell r="L741">
            <v>11.082386</v>
          </cell>
          <cell r="M741">
            <v>-85.308355000000006</v>
          </cell>
          <cell r="N741" t="str">
            <v>Norte</v>
          </cell>
          <cell r="O741">
            <v>0</v>
          </cell>
          <cell r="P741" t="str">
            <v>nambi</v>
          </cell>
          <cell r="Q741" t="str">
            <v>nambi</v>
          </cell>
          <cell r="R741" t="b">
            <v>1</v>
          </cell>
          <cell r="S741" t="str">
            <v>477_1</v>
          </cell>
          <cell r="T741">
            <v>1</v>
          </cell>
          <cell r="U741">
            <v>19</v>
          </cell>
          <cell r="V741">
            <v>12</v>
          </cell>
          <cell r="W741">
            <v>0.63157894699999995</v>
          </cell>
          <cell r="X741">
            <v>47</v>
          </cell>
          <cell r="Y741">
            <v>24</v>
          </cell>
          <cell r="Z741">
            <v>0.51063829800000005</v>
          </cell>
        </row>
        <row r="742">
          <cell r="B742" t="str">
            <v>F478_1B</v>
          </cell>
          <cell r="C742" t="str">
            <v>R1_F478_1B</v>
          </cell>
          <cell r="D742">
            <v>1</v>
          </cell>
          <cell r="E742">
            <v>0.7</v>
          </cell>
          <cell r="F742">
            <v>196</v>
          </cell>
          <cell r="G742">
            <v>1</v>
          </cell>
          <cell r="H742">
            <v>45</v>
          </cell>
          <cell r="I742">
            <v>3</v>
          </cell>
          <cell r="J742">
            <v>5</v>
          </cell>
          <cell r="K742">
            <v>1</v>
          </cell>
          <cell r="L742">
            <v>11.082476</v>
          </cell>
          <cell r="M742">
            <v>-85.308792999999994</v>
          </cell>
          <cell r="N742" t="str">
            <v>Norte</v>
          </cell>
          <cell r="O742">
            <v>0</v>
          </cell>
          <cell r="P742" t="str">
            <v>cabecar</v>
          </cell>
          <cell r="Q742" t="str">
            <v>cabecar</v>
          </cell>
          <cell r="R742" t="b">
            <v>1</v>
          </cell>
          <cell r="S742" t="str">
            <v>478_1</v>
          </cell>
          <cell r="T742">
            <v>1</v>
          </cell>
          <cell r="U742">
            <v>18</v>
          </cell>
          <cell r="V742">
            <v>11</v>
          </cell>
          <cell r="W742">
            <v>0.61111111100000004</v>
          </cell>
          <cell r="X742">
            <v>46</v>
          </cell>
          <cell r="Y742">
            <v>23</v>
          </cell>
          <cell r="Z742">
            <v>0.5</v>
          </cell>
        </row>
        <row r="743">
          <cell r="B743" t="str">
            <v>F478_2B</v>
          </cell>
          <cell r="C743" t="str">
            <v>R1_F478_2B</v>
          </cell>
          <cell r="D743">
            <v>1</v>
          </cell>
          <cell r="E743">
            <v>0.7</v>
          </cell>
          <cell r="F743">
            <v>196</v>
          </cell>
          <cell r="G743">
            <v>1</v>
          </cell>
          <cell r="H743">
            <v>45</v>
          </cell>
          <cell r="I743">
            <v>3</v>
          </cell>
          <cell r="J743">
            <v>5</v>
          </cell>
          <cell r="K743">
            <v>1</v>
          </cell>
          <cell r="L743">
            <v>11.082476</v>
          </cell>
          <cell r="M743">
            <v>-85.308792999999994</v>
          </cell>
          <cell r="N743" t="str">
            <v>Norte</v>
          </cell>
          <cell r="O743">
            <v>0</v>
          </cell>
          <cell r="P743" t="str">
            <v>nambi</v>
          </cell>
          <cell r="Q743" t="str">
            <v>nambi</v>
          </cell>
          <cell r="R743" t="b">
            <v>1</v>
          </cell>
          <cell r="S743" t="str">
            <v>478_2</v>
          </cell>
          <cell r="T743">
            <v>1</v>
          </cell>
          <cell r="U743">
            <v>18</v>
          </cell>
          <cell r="V743">
            <v>11</v>
          </cell>
          <cell r="W743">
            <v>0.61111111100000004</v>
          </cell>
          <cell r="X743">
            <v>46</v>
          </cell>
          <cell r="Y743">
            <v>23</v>
          </cell>
          <cell r="Z743">
            <v>0.5</v>
          </cell>
        </row>
        <row r="744">
          <cell r="B744" t="str">
            <v>F479_1B</v>
          </cell>
          <cell r="C744" t="str">
            <v>R1_F479_1B</v>
          </cell>
          <cell r="D744">
            <v>1</v>
          </cell>
          <cell r="E744">
            <v>0.7</v>
          </cell>
          <cell r="F744">
            <v>230</v>
          </cell>
          <cell r="G744">
            <v>1</v>
          </cell>
          <cell r="H744">
            <v>36</v>
          </cell>
          <cell r="I744">
            <v>6</v>
          </cell>
          <cell r="J744">
            <v>5</v>
          </cell>
          <cell r="K744">
            <v>1</v>
          </cell>
          <cell r="L744">
            <v>11.081728</v>
          </cell>
          <cell r="M744">
            <v>-85.311531000000002</v>
          </cell>
          <cell r="N744" t="str">
            <v>Norte</v>
          </cell>
          <cell r="O744">
            <v>0</v>
          </cell>
          <cell r="P744" t="str">
            <v>nambi</v>
          </cell>
          <cell r="Q744" t="str">
            <v>nambi</v>
          </cell>
          <cell r="R744" t="b">
            <v>1</v>
          </cell>
          <cell r="S744" t="str">
            <v>479_1</v>
          </cell>
          <cell r="T744">
            <v>1</v>
          </cell>
          <cell r="U744">
            <v>20</v>
          </cell>
          <cell r="V744">
            <v>12</v>
          </cell>
          <cell r="W744">
            <v>0.6</v>
          </cell>
          <cell r="X744">
            <v>47</v>
          </cell>
          <cell r="Y744">
            <v>24</v>
          </cell>
          <cell r="Z744">
            <v>0.51063829800000005</v>
          </cell>
        </row>
        <row r="745">
          <cell r="B745" t="str">
            <v>F480_1B</v>
          </cell>
          <cell r="C745" t="str">
            <v>R1_F480_1B</v>
          </cell>
          <cell r="D745">
            <v>1</v>
          </cell>
          <cell r="E745">
            <v>2.1</v>
          </cell>
          <cell r="F745">
            <v>86</v>
          </cell>
          <cell r="G745">
            <v>1</v>
          </cell>
          <cell r="H745">
            <v>56</v>
          </cell>
          <cell r="I745">
            <v>3</v>
          </cell>
          <cell r="J745">
            <v>6</v>
          </cell>
          <cell r="K745">
            <v>1</v>
          </cell>
          <cell r="L745">
            <v>11.084761</v>
          </cell>
          <cell r="M745">
            <v>-85.290305000000004</v>
          </cell>
          <cell r="N745" t="str">
            <v>Norte</v>
          </cell>
          <cell r="O745">
            <v>0</v>
          </cell>
          <cell r="P745" t="str">
            <v>nambi</v>
          </cell>
          <cell r="Q745" t="str">
            <v>nambi</v>
          </cell>
          <cell r="R745" t="b">
            <v>1</v>
          </cell>
          <cell r="S745" t="str">
            <v>480_1</v>
          </cell>
          <cell r="T745">
            <v>1</v>
          </cell>
          <cell r="U745">
            <v>2</v>
          </cell>
          <cell r="V745">
            <v>0</v>
          </cell>
          <cell r="W745">
            <v>0</v>
          </cell>
          <cell r="X745">
            <v>40</v>
          </cell>
          <cell r="Y745">
            <v>22</v>
          </cell>
          <cell r="Z745">
            <v>0.55000000000000004</v>
          </cell>
        </row>
        <row r="746">
          <cell r="B746" t="str">
            <v>F481_1B</v>
          </cell>
          <cell r="C746" t="str">
            <v>R1_F481_1B</v>
          </cell>
          <cell r="D746">
            <v>1</v>
          </cell>
          <cell r="E746">
            <v>1.575</v>
          </cell>
          <cell r="F746">
            <v>234</v>
          </cell>
          <cell r="G746">
            <v>1</v>
          </cell>
          <cell r="H746">
            <v>61</v>
          </cell>
          <cell r="I746">
            <v>0</v>
          </cell>
          <cell r="J746">
            <v>4</v>
          </cell>
          <cell r="K746">
            <v>1</v>
          </cell>
          <cell r="L746">
            <v>11.081415</v>
          </cell>
          <cell r="M746">
            <v>-85.311638000000002</v>
          </cell>
          <cell r="N746" t="str">
            <v>Norte</v>
          </cell>
          <cell r="O746">
            <v>0</v>
          </cell>
          <cell r="P746" t="str">
            <v>nambi</v>
          </cell>
          <cell r="Q746" t="str">
            <v>nambi</v>
          </cell>
          <cell r="R746" t="b">
            <v>1</v>
          </cell>
          <cell r="S746" t="str">
            <v>481_1</v>
          </cell>
          <cell r="T746">
            <v>1</v>
          </cell>
          <cell r="U746">
            <v>20</v>
          </cell>
          <cell r="V746">
            <v>12</v>
          </cell>
          <cell r="W746">
            <v>0.6</v>
          </cell>
          <cell r="X746">
            <v>47</v>
          </cell>
          <cell r="Y746">
            <v>24</v>
          </cell>
          <cell r="Z746">
            <v>0.51063829800000005</v>
          </cell>
        </row>
        <row r="747">
          <cell r="B747" t="str">
            <v>F482_1B</v>
          </cell>
          <cell r="C747" t="str">
            <v>R1_F482_1B</v>
          </cell>
          <cell r="D747">
            <v>0</v>
          </cell>
          <cell r="E747">
            <v>1.25</v>
          </cell>
          <cell r="F747">
            <v>184</v>
          </cell>
          <cell r="G747">
            <v>1</v>
          </cell>
          <cell r="H747">
            <v>45</v>
          </cell>
          <cell r="I747">
            <v>0</v>
          </cell>
          <cell r="J747">
            <v>10</v>
          </cell>
          <cell r="K747">
            <v>1</v>
          </cell>
          <cell r="L747">
            <v>11.030744</v>
          </cell>
          <cell r="M747">
            <v>-85.267989999999998</v>
          </cell>
          <cell r="N747" t="str">
            <v>Norte</v>
          </cell>
          <cell r="O747">
            <v>0</v>
          </cell>
          <cell r="P747" t="str">
            <v>guaymi</v>
          </cell>
          <cell r="Q747" t="str">
            <v>talamanca</v>
          </cell>
          <cell r="R747" t="b">
            <v>0</v>
          </cell>
          <cell r="S747" t="str">
            <v>482_1</v>
          </cell>
          <cell r="T747">
            <v>0</v>
          </cell>
          <cell r="U747">
            <v>11</v>
          </cell>
          <cell r="V747">
            <v>2</v>
          </cell>
          <cell r="W747">
            <v>0.18181818199999999</v>
          </cell>
          <cell r="X747">
            <v>45</v>
          </cell>
          <cell r="Y747">
            <v>16</v>
          </cell>
          <cell r="Z747">
            <v>0.35555555599999999</v>
          </cell>
        </row>
        <row r="748">
          <cell r="B748" t="str">
            <v>F482_2B</v>
          </cell>
          <cell r="C748" t="str">
            <v>R1_F482_2B</v>
          </cell>
          <cell r="D748">
            <v>1</v>
          </cell>
          <cell r="E748">
            <v>1.25</v>
          </cell>
          <cell r="F748">
            <v>184</v>
          </cell>
          <cell r="G748">
            <v>1</v>
          </cell>
          <cell r="H748">
            <v>45</v>
          </cell>
          <cell r="I748">
            <v>0</v>
          </cell>
          <cell r="J748">
            <v>10</v>
          </cell>
          <cell r="K748">
            <v>1</v>
          </cell>
          <cell r="L748">
            <v>11.030744</v>
          </cell>
          <cell r="M748">
            <v>-85.267989999999998</v>
          </cell>
          <cell r="N748" t="str">
            <v>Norte</v>
          </cell>
          <cell r="O748">
            <v>0</v>
          </cell>
          <cell r="P748" t="str">
            <v>nambi</v>
          </cell>
          <cell r="Q748" t="str">
            <v>nambi</v>
          </cell>
          <cell r="R748" t="b">
            <v>1</v>
          </cell>
          <cell r="S748" t="str">
            <v>482_2</v>
          </cell>
          <cell r="T748">
            <v>1</v>
          </cell>
          <cell r="U748">
            <v>11</v>
          </cell>
          <cell r="V748">
            <v>2</v>
          </cell>
          <cell r="W748">
            <v>0.18181818199999999</v>
          </cell>
          <cell r="X748">
            <v>45</v>
          </cell>
          <cell r="Y748">
            <v>16</v>
          </cell>
          <cell r="Z748">
            <v>0.35555555599999999</v>
          </cell>
        </row>
        <row r="749">
          <cell r="B749" t="str">
            <v>F482_3B</v>
          </cell>
          <cell r="C749" t="str">
            <v>R1_F482_3B</v>
          </cell>
          <cell r="D749">
            <v>1</v>
          </cell>
          <cell r="E749">
            <v>1.25</v>
          </cell>
          <cell r="F749">
            <v>184</v>
          </cell>
          <cell r="G749">
            <v>1</v>
          </cell>
          <cell r="H749">
            <v>45</v>
          </cell>
          <cell r="I749">
            <v>0</v>
          </cell>
          <cell r="J749">
            <v>10</v>
          </cell>
          <cell r="K749">
            <v>1</v>
          </cell>
          <cell r="L749">
            <v>11.030744</v>
          </cell>
          <cell r="M749">
            <v>-85.267989999999998</v>
          </cell>
          <cell r="N749" t="str">
            <v>Norte</v>
          </cell>
          <cell r="O749">
            <v>0</v>
          </cell>
          <cell r="P749" t="str">
            <v>cabecar</v>
          </cell>
          <cell r="Q749" t="str">
            <v>cabecar</v>
          </cell>
          <cell r="R749" t="b">
            <v>1</v>
          </cell>
          <cell r="S749" t="str">
            <v>482_3</v>
          </cell>
          <cell r="T749">
            <v>1</v>
          </cell>
          <cell r="U749">
            <v>11</v>
          </cell>
          <cell r="V749">
            <v>2</v>
          </cell>
          <cell r="W749">
            <v>0.18181818199999999</v>
          </cell>
          <cell r="X749">
            <v>45</v>
          </cell>
          <cell r="Y749">
            <v>16</v>
          </cell>
          <cell r="Z749">
            <v>0.35555555599999999</v>
          </cell>
        </row>
        <row r="750">
          <cell r="B750" t="str">
            <v>F483_1B</v>
          </cell>
          <cell r="C750" t="str">
            <v>R1_F483_1B</v>
          </cell>
          <cell r="D750">
            <v>0</v>
          </cell>
          <cell r="E750">
            <v>0.52500000000000002</v>
          </cell>
          <cell r="F750">
            <v>185</v>
          </cell>
          <cell r="G750">
            <v>1</v>
          </cell>
          <cell r="H750">
            <v>25</v>
          </cell>
          <cell r="I750">
            <v>9</v>
          </cell>
          <cell r="J750">
            <v>4</v>
          </cell>
          <cell r="K750">
            <v>1</v>
          </cell>
          <cell r="L750">
            <v>11.031090000000001</v>
          </cell>
          <cell r="M750">
            <v>-85.267477999999997</v>
          </cell>
          <cell r="N750" t="str">
            <v>Norte</v>
          </cell>
          <cell r="O750">
            <v>0</v>
          </cell>
          <cell r="P750" t="str">
            <v>brunca</v>
          </cell>
          <cell r="Q750" t="str">
            <v>cabecar</v>
          </cell>
          <cell r="R750" t="b">
            <v>0</v>
          </cell>
          <cell r="S750" t="str">
            <v>483_1</v>
          </cell>
          <cell r="T750">
            <v>1</v>
          </cell>
          <cell r="U750">
            <v>9</v>
          </cell>
          <cell r="V750">
            <v>2</v>
          </cell>
          <cell r="W750">
            <v>0.222222222</v>
          </cell>
          <cell r="X750">
            <v>47</v>
          </cell>
          <cell r="Y750">
            <v>17</v>
          </cell>
          <cell r="Z750">
            <v>0.36170212800000001</v>
          </cell>
        </row>
        <row r="751">
          <cell r="B751" t="str">
            <v>F484_1B</v>
          </cell>
          <cell r="C751" t="str">
            <v>R1_F484_1B</v>
          </cell>
          <cell r="D751">
            <v>0</v>
          </cell>
          <cell r="E751">
            <v>0.25</v>
          </cell>
          <cell r="F751">
            <v>196</v>
          </cell>
          <cell r="G751">
            <v>1</v>
          </cell>
          <cell r="H751">
            <v>38</v>
          </cell>
          <cell r="I751">
            <v>2</v>
          </cell>
          <cell r="J751">
            <v>6</v>
          </cell>
          <cell r="K751">
            <v>1</v>
          </cell>
          <cell r="L751">
            <v>11.034126000000001</v>
          </cell>
          <cell r="M751">
            <v>-85.275284999999997</v>
          </cell>
          <cell r="N751" t="str">
            <v>Norte</v>
          </cell>
          <cell r="O751">
            <v>0</v>
          </cell>
          <cell r="P751" t="str">
            <v>guaymi</v>
          </cell>
          <cell r="Q751" t="str">
            <v>nambi</v>
          </cell>
          <cell r="R751" t="b">
            <v>0</v>
          </cell>
          <cell r="S751" t="str">
            <v>484_1</v>
          </cell>
          <cell r="T751">
            <v>0</v>
          </cell>
          <cell r="U751">
            <v>11</v>
          </cell>
          <cell r="V751">
            <v>1</v>
          </cell>
          <cell r="W751">
            <v>9.0909090999999997E-2</v>
          </cell>
          <cell r="X751">
            <v>52</v>
          </cell>
          <cell r="Y751">
            <v>20</v>
          </cell>
          <cell r="Z751">
            <v>0.38461538499999998</v>
          </cell>
        </row>
        <row r="752">
          <cell r="B752" t="str">
            <v>F486_1B</v>
          </cell>
          <cell r="C752" t="str">
            <v>R1_F486_1B</v>
          </cell>
          <cell r="D752">
            <v>0</v>
          </cell>
          <cell r="E752">
            <v>0.56000000000000005</v>
          </cell>
          <cell r="F752">
            <v>50</v>
          </cell>
          <cell r="G752">
            <v>1</v>
          </cell>
          <cell r="H752">
            <v>75</v>
          </cell>
          <cell r="I752">
            <v>2</v>
          </cell>
          <cell r="J752">
            <v>4</v>
          </cell>
          <cell r="K752">
            <v>1</v>
          </cell>
          <cell r="L752">
            <v>10.901021</v>
          </cell>
          <cell r="M752">
            <v>-85.014467999999994</v>
          </cell>
          <cell r="N752" t="str">
            <v>Norte</v>
          </cell>
          <cell r="O752">
            <v>0</v>
          </cell>
          <cell r="P752" t="str">
            <v>nambi</v>
          </cell>
          <cell r="Q752" t="str">
            <v>matambu</v>
          </cell>
          <cell r="R752" t="b">
            <v>0</v>
          </cell>
          <cell r="S752" t="str">
            <v>486_1</v>
          </cell>
          <cell r="T752">
            <v>0</v>
          </cell>
          <cell r="U752">
            <v>5</v>
          </cell>
          <cell r="V752">
            <v>1</v>
          </cell>
          <cell r="W752">
            <v>0.2</v>
          </cell>
          <cell r="X752">
            <v>5</v>
          </cell>
          <cell r="Y752">
            <v>1</v>
          </cell>
          <cell r="Z752">
            <v>0.2</v>
          </cell>
        </row>
        <row r="753">
          <cell r="B753" t="str">
            <v>F487_1B</v>
          </cell>
          <cell r="C753" t="str">
            <v>R1_F487_1B</v>
          </cell>
          <cell r="D753">
            <v>0</v>
          </cell>
          <cell r="E753">
            <v>0.7</v>
          </cell>
          <cell r="F753">
            <v>50</v>
          </cell>
          <cell r="G753">
            <v>1</v>
          </cell>
          <cell r="H753">
            <v>55</v>
          </cell>
          <cell r="I753">
            <v>6</v>
          </cell>
          <cell r="J753">
            <v>5</v>
          </cell>
          <cell r="K753">
            <v>1</v>
          </cell>
          <cell r="L753">
            <v>10.901043</v>
          </cell>
          <cell r="M753">
            <v>-85.014495999999994</v>
          </cell>
          <cell r="N753" t="str">
            <v>Norte</v>
          </cell>
          <cell r="O753">
            <v>0</v>
          </cell>
          <cell r="P753" t="str">
            <v>guaymi</v>
          </cell>
          <cell r="Q753" t="str">
            <v>cabecar</v>
          </cell>
          <cell r="R753" t="b">
            <v>0</v>
          </cell>
          <cell r="S753" t="str">
            <v>487_1</v>
          </cell>
          <cell r="T753">
            <v>0</v>
          </cell>
          <cell r="U753">
            <v>5</v>
          </cell>
          <cell r="V753">
            <v>1</v>
          </cell>
          <cell r="W753">
            <v>0.2</v>
          </cell>
          <cell r="X753">
            <v>5</v>
          </cell>
          <cell r="Y753">
            <v>1</v>
          </cell>
          <cell r="Z753">
            <v>0.2</v>
          </cell>
        </row>
        <row r="754">
          <cell r="B754" t="str">
            <v>F488_1B</v>
          </cell>
          <cell r="C754" t="str">
            <v>R1_F488_1B</v>
          </cell>
          <cell r="D754">
            <v>0</v>
          </cell>
          <cell r="E754">
            <v>1.4</v>
          </cell>
          <cell r="F754">
            <v>57</v>
          </cell>
          <cell r="G754">
            <v>1</v>
          </cell>
          <cell r="H754">
            <v>55</v>
          </cell>
          <cell r="I754">
            <v>6</v>
          </cell>
          <cell r="J754">
            <v>5</v>
          </cell>
          <cell r="K754">
            <v>1</v>
          </cell>
          <cell r="L754">
            <v>10.90978</v>
          </cell>
          <cell r="M754">
            <v>-85.162060999999994</v>
          </cell>
          <cell r="N754" t="str">
            <v>Norte</v>
          </cell>
          <cell r="O754">
            <v>0</v>
          </cell>
          <cell r="P754" t="str">
            <v>guaymi</v>
          </cell>
          <cell r="Q754" t="str">
            <v>matambu</v>
          </cell>
          <cell r="R754" t="b">
            <v>0</v>
          </cell>
          <cell r="S754" t="str">
            <v>488_1</v>
          </cell>
          <cell r="T754">
            <v>0</v>
          </cell>
          <cell r="U754">
            <v>2</v>
          </cell>
          <cell r="V754">
            <v>0</v>
          </cell>
          <cell r="W754">
            <v>0</v>
          </cell>
          <cell r="X754">
            <v>10</v>
          </cell>
          <cell r="Y754">
            <v>4</v>
          </cell>
          <cell r="Z754">
            <v>0.4</v>
          </cell>
        </row>
        <row r="755">
          <cell r="B755" t="str">
            <v>F489_1B</v>
          </cell>
          <cell r="C755" t="str">
            <v>R1_F489_1B</v>
          </cell>
          <cell r="D755">
            <v>0</v>
          </cell>
          <cell r="E755">
            <v>0.7</v>
          </cell>
          <cell r="F755">
            <v>60</v>
          </cell>
          <cell r="G755">
            <v>1</v>
          </cell>
          <cell r="H755">
            <v>25</v>
          </cell>
          <cell r="I755">
            <v>11</v>
          </cell>
          <cell r="J755">
            <v>3</v>
          </cell>
          <cell r="K755">
            <v>0</v>
          </cell>
          <cell r="L755">
            <v>10.918547</v>
          </cell>
          <cell r="M755">
            <v>-85.154152999999994</v>
          </cell>
          <cell r="N755" t="str">
            <v>Norte</v>
          </cell>
          <cell r="O755">
            <v>0</v>
          </cell>
          <cell r="P755" t="str">
            <v>victoria</v>
          </cell>
          <cell r="Q755" t="str">
            <v>cabecar</v>
          </cell>
          <cell r="R755" t="b">
            <v>0</v>
          </cell>
          <cell r="S755" t="str">
            <v>489_1</v>
          </cell>
          <cell r="T755">
            <v>1</v>
          </cell>
          <cell r="U755">
            <v>3</v>
          </cell>
          <cell r="V755">
            <v>0</v>
          </cell>
          <cell r="W755">
            <v>0</v>
          </cell>
          <cell r="X755">
            <v>13</v>
          </cell>
          <cell r="Y755">
            <v>3</v>
          </cell>
          <cell r="Z755">
            <v>0.23076923099999999</v>
          </cell>
        </row>
        <row r="756">
          <cell r="B756" t="str">
            <v>F492_1B</v>
          </cell>
          <cell r="C756" t="str">
            <v>R1_F492_1B</v>
          </cell>
          <cell r="D756">
            <v>1</v>
          </cell>
          <cell r="E756">
            <v>2.5</v>
          </cell>
          <cell r="F756">
            <v>59</v>
          </cell>
          <cell r="G756">
            <v>0</v>
          </cell>
          <cell r="H756">
            <v>26</v>
          </cell>
          <cell r="I756">
            <v>9</v>
          </cell>
          <cell r="J756">
            <v>4</v>
          </cell>
          <cell r="K756">
            <v>1</v>
          </cell>
          <cell r="L756">
            <v>10.909445</v>
          </cell>
          <cell r="M756">
            <v>-85.204724999999996</v>
          </cell>
          <cell r="N756" t="str">
            <v>Norte</v>
          </cell>
          <cell r="O756">
            <v>0</v>
          </cell>
          <cell r="P756" t="str">
            <v>guaymi</v>
          </cell>
          <cell r="Q756" t="str">
            <v>guaymi</v>
          </cell>
          <cell r="R756" t="b">
            <v>1</v>
          </cell>
          <cell r="S756" t="str">
            <v>492_1</v>
          </cell>
          <cell r="T756">
            <v>1</v>
          </cell>
          <cell r="U756">
            <v>0</v>
          </cell>
          <cell r="V756">
            <v>0</v>
          </cell>
          <cell r="W756" t="str">
            <v>NA</v>
          </cell>
          <cell r="X756">
            <v>1</v>
          </cell>
          <cell r="Y756">
            <v>1</v>
          </cell>
          <cell r="Z756">
            <v>1</v>
          </cell>
        </row>
        <row r="757">
          <cell r="B757" t="str">
            <v>F494_1B</v>
          </cell>
          <cell r="C757" t="str">
            <v>R1_F494_1B</v>
          </cell>
          <cell r="D757">
            <v>0</v>
          </cell>
          <cell r="E757">
            <v>1</v>
          </cell>
          <cell r="F757">
            <v>82</v>
          </cell>
          <cell r="G757">
            <v>0</v>
          </cell>
          <cell r="H757">
            <v>42</v>
          </cell>
          <cell r="I757">
            <v>6</v>
          </cell>
          <cell r="J757">
            <v>4</v>
          </cell>
          <cell r="K757">
            <v>1</v>
          </cell>
          <cell r="L757">
            <v>10.93384</v>
          </cell>
          <cell r="M757">
            <v>-85.229453000000007</v>
          </cell>
          <cell r="N757" t="str">
            <v>Norte</v>
          </cell>
          <cell r="O757">
            <v>0</v>
          </cell>
          <cell r="P757" t="str">
            <v>cabecar</v>
          </cell>
          <cell r="Q757" t="str">
            <v>other</v>
          </cell>
          <cell r="R757" t="str">
            <v>Not applicable</v>
          </cell>
          <cell r="S757" t="str">
            <v>494_1</v>
          </cell>
          <cell r="T757">
            <v>0</v>
          </cell>
          <cell r="U757">
            <v>2</v>
          </cell>
          <cell r="V757">
            <v>1</v>
          </cell>
          <cell r="W757">
            <v>0.5</v>
          </cell>
          <cell r="X757">
            <v>4</v>
          </cell>
          <cell r="Y757">
            <v>2</v>
          </cell>
          <cell r="Z757">
            <v>0.5</v>
          </cell>
        </row>
        <row r="758">
          <cell r="B758" t="str">
            <v>F496_1B</v>
          </cell>
          <cell r="C758" t="str">
            <v>R1_F496_1B</v>
          </cell>
          <cell r="D758">
            <v>1</v>
          </cell>
          <cell r="E758">
            <v>1</v>
          </cell>
          <cell r="F758">
            <v>85</v>
          </cell>
          <cell r="G758">
            <v>1</v>
          </cell>
          <cell r="H758">
            <v>53</v>
          </cell>
          <cell r="I758">
            <v>6</v>
          </cell>
          <cell r="J758">
            <v>7</v>
          </cell>
          <cell r="K758">
            <v>1</v>
          </cell>
          <cell r="L758">
            <v>10.930287999999999</v>
          </cell>
          <cell r="M758">
            <v>-85.227174000000005</v>
          </cell>
          <cell r="N758" t="str">
            <v>Norte</v>
          </cell>
          <cell r="O758">
            <v>0</v>
          </cell>
          <cell r="P758" t="str">
            <v>guaymi</v>
          </cell>
          <cell r="Q758" t="str">
            <v>guaymi</v>
          </cell>
          <cell r="R758" t="b">
            <v>1</v>
          </cell>
          <cell r="S758" t="str">
            <v>496_1</v>
          </cell>
          <cell r="T758">
            <v>1</v>
          </cell>
          <cell r="U758">
            <v>2</v>
          </cell>
          <cell r="V758">
            <v>0</v>
          </cell>
          <cell r="W758">
            <v>0</v>
          </cell>
          <cell r="X758">
            <v>4</v>
          </cell>
          <cell r="Y758">
            <v>1</v>
          </cell>
          <cell r="Z758">
            <v>0.25</v>
          </cell>
        </row>
        <row r="759">
          <cell r="B759" t="str">
            <v>F499_1B</v>
          </cell>
          <cell r="C759" t="str">
            <v>R1_F499_1B</v>
          </cell>
          <cell r="D759">
            <v>0</v>
          </cell>
          <cell r="E759">
            <v>1</v>
          </cell>
          <cell r="F759">
            <v>72</v>
          </cell>
          <cell r="G759">
            <v>0</v>
          </cell>
          <cell r="H759">
            <v>53</v>
          </cell>
          <cell r="I759">
            <v>6</v>
          </cell>
          <cell r="J759">
            <v>5</v>
          </cell>
          <cell r="K759">
            <v>1</v>
          </cell>
          <cell r="L759">
            <v>10.924103000000001</v>
          </cell>
          <cell r="M759">
            <v>-85.218281000000005</v>
          </cell>
          <cell r="N759" t="str">
            <v>Norte</v>
          </cell>
          <cell r="O759">
            <v>0</v>
          </cell>
          <cell r="P759" t="str">
            <v>guaymi</v>
          </cell>
          <cell r="Q759" t="str">
            <v>cabecar</v>
          </cell>
          <cell r="R759" t="b">
            <v>0</v>
          </cell>
          <cell r="S759" t="str">
            <v>499_1</v>
          </cell>
          <cell r="T759">
            <v>1</v>
          </cell>
          <cell r="U759">
            <v>0</v>
          </cell>
          <cell r="V759">
            <v>0</v>
          </cell>
          <cell r="W759" t="str">
            <v>NA</v>
          </cell>
          <cell r="X759">
            <v>5</v>
          </cell>
          <cell r="Y759">
            <v>2</v>
          </cell>
          <cell r="Z759">
            <v>0.4</v>
          </cell>
        </row>
        <row r="760">
          <cell r="B760" t="str">
            <v>F500_1B</v>
          </cell>
          <cell r="C760" t="str">
            <v>R1_F500_1B</v>
          </cell>
          <cell r="D760">
            <v>0</v>
          </cell>
          <cell r="E760">
            <v>1.05</v>
          </cell>
          <cell r="F760">
            <v>52</v>
          </cell>
          <cell r="G760">
            <v>1</v>
          </cell>
          <cell r="H760">
            <v>60</v>
          </cell>
          <cell r="I760">
            <v>6</v>
          </cell>
          <cell r="J760">
            <v>3</v>
          </cell>
          <cell r="K760">
            <v>1</v>
          </cell>
          <cell r="L760">
            <v>10.900914999999999</v>
          </cell>
          <cell r="M760">
            <v>-85.014376999999996</v>
          </cell>
          <cell r="N760" t="str">
            <v>Norte</v>
          </cell>
          <cell r="O760">
            <v>0</v>
          </cell>
          <cell r="P760" t="str">
            <v>nambi</v>
          </cell>
          <cell r="Q760" t="str">
            <v>matambu</v>
          </cell>
          <cell r="R760" t="b">
            <v>0</v>
          </cell>
          <cell r="S760" t="str">
            <v>500_1</v>
          </cell>
          <cell r="T760">
            <v>0</v>
          </cell>
          <cell r="U760">
            <v>5</v>
          </cell>
          <cell r="V760">
            <v>1</v>
          </cell>
          <cell r="W760">
            <v>0.2</v>
          </cell>
          <cell r="X760">
            <v>5</v>
          </cell>
          <cell r="Y760">
            <v>1</v>
          </cell>
          <cell r="Z760">
            <v>0.2</v>
          </cell>
        </row>
        <row r="761">
          <cell r="B761" t="str">
            <v>F501_1B</v>
          </cell>
          <cell r="C761" t="str">
            <v>R1_F501_1B</v>
          </cell>
          <cell r="D761">
            <v>0</v>
          </cell>
          <cell r="E761">
            <v>0.7</v>
          </cell>
          <cell r="F761">
            <v>83</v>
          </cell>
          <cell r="G761">
            <v>1</v>
          </cell>
          <cell r="H761">
            <v>30</v>
          </cell>
          <cell r="I761">
            <v>10</v>
          </cell>
          <cell r="J761">
            <v>4</v>
          </cell>
          <cell r="K761">
            <v>0</v>
          </cell>
          <cell r="L761">
            <v>10.930129000000001</v>
          </cell>
          <cell r="M761">
            <v>-85.228268999999997</v>
          </cell>
          <cell r="N761" t="str">
            <v>Norte</v>
          </cell>
          <cell r="O761">
            <v>0</v>
          </cell>
          <cell r="P761" t="str">
            <v>victoria</v>
          </cell>
          <cell r="Q761" t="str">
            <v>other</v>
          </cell>
          <cell r="R761" t="str">
            <v>Not applicable</v>
          </cell>
          <cell r="S761" t="str">
            <v>501_1</v>
          </cell>
          <cell r="T761">
            <v>0</v>
          </cell>
          <cell r="U761">
            <v>2</v>
          </cell>
          <cell r="V761">
            <v>1</v>
          </cell>
          <cell r="W761">
            <v>0.5</v>
          </cell>
          <cell r="X761">
            <v>4</v>
          </cell>
          <cell r="Y761">
            <v>2</v>
          </cell>
          <cell r="Z761">
            <v>0.5</v>
          </cell>
        </row>
        <row r="762">
          <cell r="B762" t="str">
            <v>F503_1B</v>
          </cell>
          <cell r="C762" t="str">
            <v>R1_F503_1B</v>
          </cell>
          <cell r="D762">
            <v>0</v>
          </cell>
          <cell r="E762">
            <v>1.5</v>
          </cell>
          <cell r="F762">
            <v>70</v>
          </cell>
          <cell r="G762">
            <v>1</v>
          </cell>
          <cell r="H762">
            <v>41</v>
          </cell>
          <cell r="I762">
            <v>9</v>
          </cell>
          <cell r="J762">
            <v>4</v>
          </cell>
          <cell r="K762">
            <v>1</v>
          </cell>
          <cell r="L762">
            <v>10.940625000000001</v>
          </cell>
          <cell r="M762">
            <v>-85.237611999999999</v>
          </cell>
          <cell r="N762" t="str">
            <v>Norte</v>
          </cell>
          <cell r="O762">
            <v>0</v>
          </cell>
          <cell r="P762" t="str">
            <v>cabecar</v>
          </cell>
          <cell r="Q762" t="str">
            <v>nambi</v>
          </cell>
          <cell r="R762" t="b">
            <v>0</v>
          </cell>
          <cell r="S762" t="str">
            <v>503_1</v>
          </cell>
          <cell r="T762">
            <v>0</v>
          </cell>
          <cell r="U762">
            <v>0</v>
          </cell>
          <cell r="V762">
            <v>0</v>
          </cell>
          <cell r="W762" t="str">
            <v>NA</v>
          </cell>
          <cell r="X762">
            <v>6</v>
          </cell>
          <cell r="Y762">
            <v>2</v>
          </cell>
          <cell r="Z762">
            <v>0.33333333300000001</v>
          </cell>
        </row>
        <row r="763">
          <cell r="B763" t="str">
            <v>F504_1B</v>
          </cell>
          <cell r="C763" t="str">
            <v>R1_F504_1B</v>
          </cell>
          <cell r="D763">
            <v>0</v>
          </cell>
          <cell r="E763">
            <v>1</v>
          </cell>
          <cell r="F763">
            <v>50</v>
          </cell>
          <cell r="G763">
            <v>1</v>
          </cell>
          <cell r="H763">
            <v>24</v>
          </cell>
          <cell r="I763">
            <v>11</v>
          </cell>
          <cell r="J763">
            <v>3</v>
          </cell>
          <cell r="K763">
            <v>1</v>
          </cell>
          <cell r="L763">
            <v>10.901082000000001</v>
          </cell>
          <cell r="M763">
            <v>-85.014443</v>
          </cell>
          <cell r="N763" t="str">
            <v>Norte</v>
          </cell>
          <cell r="O763">
            <v>0</v>
          </cell>
          <cell r="P763" t="str">
            <v>nambi</v>
          </cell>
          <cell r="Q763" t="str">
            <v>matambu</v>
          </cell>
          <cell r="R763" t="b">
            <v>0</v>
          </cell>
          <cell r="S763" t="str">
            <v>504_1</v>
          </cell>
          <cell r="T763">
            <v>0</v>
          </cell>
          <cell r="U763">
            <v>5</v>
          </cell>
          <cell r="V763">
            <v>1</v>
          </cell>
          <cell r="W763">
            <v>0.2</v>
          </cell>
          <cell r="X763">
            <v>5</v>
          </cell>
          <cell r="Y763">
            <v>1</v>
          </cell>
          <cell r="Z763">
            <v>0.2</v>
          </cell>
        </row>
        <row r="764">
          <cell r="B764" t="str">
            <v>F505_1B</v>
          </cell>
          <cell r="C764" t="str">
            <v>R1_F505_1B</v>
          </cell>
          <cell r="D764">
            <v>0</v>
          </cell>
          <cell r="E764">
            <v>1</v>
          </cell>
          <cell r="F764">
            <v>59</v>
          </cell>
          <cell r="G764">
            <v>1</v>
          </cell>
          <cell r="H764">
            <v>64</v>
          </cell>
          <cell r="I764">
            <v>6</v>
          </cell>
          <cell r="J764">
            <v>3</v>
          </cell>
          <cell r="K764">
            <v>1</v>
          </cell>
          <cell r="L764">
            <v>10.914925</v>
          </cell>
          <cell r="M764">
            <v>-85.058363999999997</v>
          </cell>
          <cell r="N764" t="str">
            <v>Norte</v>
          </cell>
          <cell r="O764">
            <v>0</v>
          </cell>
          <cell r="P764" t="str">
            <v>guaymi</v>
          </cell>
          <cell r="Q764" t="str">
            <v>cabecar</v>
          </cell>
          <cell r="R764" t="b">
            <v>0</v>
          </cell>
          <cell r="S764" t="str">
            <v>505_1</v>
          </cell>
          <cell r="T764">
            <v>0</v>
          </cell>
          <cell r="U764">
            <v>0</v>
          </cell>
          <cell r="V764">
            <v>0</v>
          </cell>
          <cell r="W764" t="str">
            <v>NA</v>
          </cell>
          <cell r="X764">
            <v>2</v>
          </cell>
          <cell r="Y764">
            <v>1</v>
          </cell>
          <cell r="Z764">
            <v>0.5</v>
          </cell>
        </row>
        <row r="765">
          <cell r="B765" t="str">
            <v>F505_2B</v>
          </cell>
          <cell r="C765" t="str">
            <v>R1_F505_2B</v>
          </cell>
          <cell r="D765">
            <v>1</v>
          </cell>
          <cell r="E765">
            <v>1</v>
          </cell>
          <cell r="F765">
            <v>59</v>
          </cell>
          <cell r="G765">
            <v>1</v>
          </cell>
          <cell r="H765">
            <v>64</v>
          </cell>
          <cell r="I765">
            <v>6</v>
          </cell>
          <cell r="J765">
            <v>3</v>
          </cell>
          <cell r="K765">
            <v>1</v>
          </cell>
          <cell r="L765">
            <v>10.914925</v>
          </cell>
          <cell r="M765">
            <v>-85.058363999999997</v>
          </cell>
          <cell r="N765" t="str">
            <v>Norte</v>
          </cell>
          <cell r="O765">
            <v>0</v>
          </cell>
          <cell r="P765" t="str">
            <v>guaymi</v>
          </cell>
          <cell r="Q765" t="str">
            <v>guaymi</v>
          </cell>
          <cell r="R765" t="b">
            <v>1</v>
          </cell>
          <cell r="S765" t="str">
            <v>505_2</v>
          </cell>
          <cell r="T765">
            <v>1</v>
          </cell>
          <cell r="U765">
            <v>0</v>
          </cell>
          <cell r="V765">
            <v>0</v>
          </cell>
          <cell r="W765" t="str">
            <v>NA</v>
          </cell>
          <cell r="X765">
            <v>2</v>
          </cell>
          <cell r="Y765">
            <v>1</v>
          </cell>
          <cell r="Z765">
            <v>0.5</v>
          </cell>
        </row>
        <row r="766">
          <cell r="B766" t="str">
            <v>F509_1B</v>
          </cell>
          <cell r="C766" t="str">
            <v>R1_F509_1B</v>
          </cell>
          <cell r="D766">
            <v>0</v>
          </cell>
          <cell r="E766">
            <v>0.7</v>
          </cell>
          <cell r="F766">
            <v>51</v>
          </cell>
          <cell r="G766">
            <v>0</v>
          </cell>
          <cell r="H766">
            <v>59</v>
          </cell>
          <cell r="I766">
            <v>8</v>
          </cell>
          <cell r="J766">
            <v>3</v>
          </cell>
          <cell r="K766">
            <v>0</v>
          </cell>
          <cell r="L766">
            <v>10.920643</v>
          </cell>
          <cell r="M766">
            <v>-85.057311999999996</v>
          </cell>
          <cell r="N766" t="str">
            <v>Norte</v>
          </cell>
          <cell r="O766">
            <v>0</v>
          </cell>
          <cell r="P766" t="str">
            <v>victoria</v>
          </cell>
          <cell r="Q766" t="str">
            <v>cabecar</v>
          </cell>
          <cell r="R766" t="b">
            <v>0</v>
          </cell>
          <cell r="S766" t="str">
            <v>509_1</v>
          </cell>
          <cell r="T766">
            <v>1</v>
          </cell>
          <cell r="U766">
            <v>0</v>
          </cell>
          <cell r="V766">
            <v>0</v>
          </cell>
          <cell r="W766" t="str">
            <v>NA</v>
          </cell>
          <cell r="X766">
            <v>10</v>
          </cell>
          <cell r="Y766">
            <v>6</v>
          </cell>
          <cell r="Z766">
            <v>0.6</v>
          </cell>
        </row>
        <row r="767">
          <cell r="B767" t="str">
            <v>F510_1B</v>
          </cell>
          <cell r="C767" t="str">
            <v>R1_F510_1B</v>
          </cell>
          <cell r="D767">
            <v>1</v>
          </cell>
          <cell r="E767">
            <v>1.5</v>
          </cell>
          <cell r="F767">
            <v>56</v>
          </cell>
          <cell r="G767">
            <v>1</v>
          </cell>
          <cell r="H767">
            <v>36</v>
          </cell>
          <cell r="I767">
            <v>6</v>
          </cell>
          <cell r="J767">
            <v>4</v>
          </cell>
          <cell r="K767">
            <v>1</v>
          </cell>
          <cell r="L767">
            <v>10.921802</v>
          </cell>
          <cell r="M767">
            <v>-85.170097999999996</v>
          </cell>
          <cell r="N767" t="str">
            <v>Norte</v>
          </cell>
          <cell r="O767">
            <v>0</v>
          </cell>
          <cell r="P767" t="str">
            <v>cabecar</v>
          </cell>
          <cell r="Q767" t="str">
            <v>cabecar</v>
          </cell>
          <cell r="R767" t="b">
            <v>1</v>
          </cell>
          <cell r="S767" t="str">
            <v>510_1</v>
          </cell>
          <cell r="T767">
            <v>1</v>
          </cell>
          <cell r="U767">
            <v>0</v>
          </cell>
          <cell r="V767">
            <v>0</v>
          </cell>
          <cell r="W767" t="str">
            <v>NA</v>
          </cell>
          <cell r="X767">
            <v>7</v>
          </cell>
          <cell r="Y767">
            <v>1</v>
          </cell>
          <cell r="Z767">
            <v>0.14285714299999999</v>
          </cell>
        </row>
        <row r="768">
          <cell r="B768" t="str">
            <v>F511_1B</v>
          </cell>
          <cell r="C768" t="str">
            <v>R1_F511_1B</v>
          </cell>
          <cell r="D768">
            <v>0</v>
          </cell>
          <cell r="E768">
            <v>0.7</v>
          </cell>
          <cell r="F768">
            <v>62</v>
          </cell>
          <cell r="G768">
            <v>1</v>
          </cell>
          <cell r="H768">
            <v>56</v>
          </cell>
          <cell r="I768">
            <v>6</v>
          </cell>
          <cell r="J768">
            <v>3</v>
          </cell>
          <cell r="K768">
            <v>1</v>
          </cell>
          <cell r="L768">
            <v>10.937177999999999</v>
          </cell>
          <cell r="M768">
            <v>-85.173326000000003</v>
          </cell>
          <cell r="N768" t="str">
            <v>Norte</v>
          </cell>
          <cell r="O768">
            <v>0</v>
          </cell>
          <cell r="P768" t="str">
            <v>nambi</v>
          </cell>
          <cell r="Q768" t="str">
            <v>matambu</v>
          </cell>
          <cell r="R768" t="b">
            <v>0</v>
          </cell>
          <cell r="S768" t="str">
            <v>511_1</v>
          </cell>
          <cell r="T768">
            <v>0</v>
          </cell>
          <cell r="U768">
            <v>0</v>
          </cell>
          <cell r="V768">
            <v>0</v>
          </cell>
          <cell r="W768" t="str">
            <v>NA</v>
          </cell>
          <cell r="X768">
            <v>7</v>
          </cell>
          <cell r="Y768">
            <v>2</v>
          </cell>
          <cell r="Z768">
            <v>0.28571428599999998</v>
          </cell>
        </row>
        <row r="769">
          <cell r="B769" t="str">
            <v>F514_1B</v>
          </cell>
          <cell r="C769" t="str">
            <v>R1_F514_1B</v>
          </cell>
          <cell r="D769">
            <v>1</v>
          </cell>
          <cell r="E769">
            <v>3</v>
          </cell>
          <cell r="F769">
            <v>50</v>
          </cell>
          <cell r="G769">
            <v>1</v>
          </cell>
          <cell r="H769">
            <v>51</v>
          </cell>
          <cell r="I769">
            <v>5</v>
          </cell>
          <cell r="J769">
            <v>9</v>
          </cell>
          <cell r="K769">
            <v>1</v>
          </cell>
          <cell r="L769">
            <v>10.927887</v>
          </cell>
          <cell r="M769">
            <v>-85.096918000000002</v>
          </cell>
          <cell r="N769" t="str">
            <v>Norte</v>
          </cell>
          <cell r="O769">
            <v>0</v>
          </cell>
          <cell r="P769" t="str">
            <v>guaymi</v>
          </cell>
          <cell r="Q769" t="str">
            <v>guaymi</v>
          </cell>
          <cell r="R769" t="b">
            <v>1</v>
          </cell>
          <cell r="S769" t="str">
            <v>514_1</v>
          </cell>
          <cell r="T769">
            <v>1</v>
          </cell>
          <cell r="U769">
            <v>2</v>
          </cell>
          <cell r="V769">
            <v>1</v>
          </cell>
          <cell r="W769">
            <v>0.5</v>
          </cell>
          <cell r="X769">
            <v>15</v>
          </cell>
          <cell r="Y769">
            <v>5</v>
          </cell>
          <cell r="Z769">
            <v>0.33333333300000001</v>
          </cell>
        </row>
        <row r="770">
          <cell r="B770" t="str">
            <v>F514_2B</v>
          </cell>
          <cell r="C770" t="str">
            <v>R1_F514_2B</v>
          </cell>
          <cell r="D770">
            <v>1</v>
          </cell>
          <cell r="E770">
            <v>3.5</v>
          </cell>
          <cell r="F770">
            <v>50</v>
          </cell>
          <cell r="G770">
            <v>1</v>
          </cell>
          <cell r="H770">
            <v>51</v>
          </cell>
          <cell r="I770">
            <v>5</v>
          </cell>
          <cell r="J770">
            <v>9</v>
          </cell>
          <cell r="K770">
            <v>1</v>
          </cell>
          <cell r="L770">
            <v>10.927887</v>
          </cell>
          <cell r="M770">
            <v>-85.096918000000002</v>
          </cell>
          <cell r="N770" t="str">
            <v>Norte</v>
          </cell>
          <cell r="O770">
            <v>0</v>
          </cell>
          <cell r="P770" t="str">
            <v>cabecar</v>
          </cell>
          <cell r="Q770" t="str">
            <v>cabecar</v>
          </cell>
          <cell r="R770" t="b">
            <v>1</v>
          </cell>
          <cell r="S770" t="str">
            <v>514_2</v>
          </cell>
          <cell r="T770">
            <v>1</v>
          </cell>
          <cell r="U770">
            <v>2</v>
          </cell>
          <cell r="V770">
            <v>1</v>
          </cell>
          <cell r="W770">
            <v>0.5</v>
          </cell>
          <cell r="X770">
            <v>15</v>
          </cell>
          <cell r="Y770">
            <v>5</v>
          </cell>
          <cell r="Z770">
            <v>0.33333333300000001</v>
          </cell>
        </row>
        <row r="771">
          <cell r="B771" t="str">
            <v>F514_3B</v>
          </cell>
          <cell r="C771" t="str">
            <v>R1_F514_3B</v>
          </cell>
          <cell r="D771">
            <v>0</v>
          </cell>
          <cell r="E771">
            <v>1</v>
          </cell>
          <cell r="F771">
            <v>50</v>
          </cell>
          <cell r="G771">
            <v>1</v>
          </cell>
          <cell r="H771">
            <v>51</v>
          </cell>
          <cell r="I771">
            <v>5</v>
          </cell>
          <cell r="J771">
            <v>9</v>
          </cell>
          <cell r="K771">
            <v>0</v>
          </cell>
          <cell r="L771">
            <v>10.927887</v>
          </cell>
          <cell r="M771">
            <v>-85.096918000000002</v>
          </cell>
          <cell r="N771" t="str">
            <v>Norte</v>
          </cell>
          <cell r="O771">
            <v>0</v>
          </cell>
          <cell r="P771" t="str">
            <v>generalito</v>
          </cell>
          <cell r="Q771" t="str">
            <v>cuarenteno</v>
          </cell>
          <cell r="R771" t="b">
            <v>0</v>
          </cell>
          <cell r="S771" t="str">
            <v>514_3</v>
          </cell>
          <cell r="T771">
            <v>0</v>
          </cell>
          <cell r="U771">
            <v>2</v>
          </cell>
          <cell r="V771">
            <v>1</v>
          </cell>
          <cell r="W771">
            <v>0.5</v>
          </cell>
          <cell r="X771">
            <v>15</v>
          </cell>
          <cell r="Y771">
            <v>5</v>
          </cell>
          <cell r="Z771">
            <v>0.33333333300000001</v>
          </cell>
        </row>
        <row r="772">
          <cell r="B772" t="str">
            <v>F515_1B</v>
          </cell>
          <cell r="C772" t="str">
            <v>R1_F515_1B</v>
          </cell>
          <cell r="D772">
            <v>0</v>
          </cell>
          <cell r="E772">
            <v>0.105</v>
          </cell>
          <cell r="F772">
            <v>58</v>
          </cell>
          <cell r="G772">
            <v>1</v>
          </cell>
          <cell r="H772">
            <v>76</v>
          </cell>
          <cell r="I772">
            <v>6</v>
          </cell>
          <cell r="J772">
            <v>3</v>
          </cell>
          <cell r="K772">
            <v>0</v>
          </cell>
          <cell r="L772">
            <v>10.922739999999999</v>
          </cell>
          <cell r="M772">
            <v>-85.094992000000005</v>
          </cell>
          <cell r="N772" t="str">
            <v>Norte</v>
          </cell>
          <cell r="O772">
            <v>0</v>
          </cell>
          <cell r="P772" t="str">
            <v>gibre</v>
          </cell>
          <cell r="Q772" t="str">
            <v>guaymi</v>
          </cell>
          <cell r="R772" t="b">
            <v>0</v>
          </cell>
          <cell r="S772" t="str">
            <v>515_1</v>
          </cell>
          <cell r="T772">
            <v>0</v>
          </cell>
          <cell r="U772">
            <v>3</v>
          </cell>
          <cell r="V772">
            <v>2</v>
          </cell>
          <cell r="W772">
            <v>0.66666666699999999</v>
          </cell>
          <cell r="X772">
            <v>14</v>
          </cell>
          <cell r="Y772">
            <v>6</v>
          </cell>
          <cell r="Z772">
            <v>0.428571429</v>
          </cell>
        </row>
        <row r="773">
          <cell r="B773" t="str">
            <v>F515_2B</v>
          </cell>
          <cell r="C773" t="str">
            <v>R1_F515_2B</v>
          </cell>
          <cell r="D773">
            <v>1</v>
          </cell>
          <cell r="E773">
            <v>0.105</v>
          </cell>
          <cell r="F773">
            <v>58</v>
          </cell>
          <cell r="G773">
            <v>1</v>
          </cell>
          <cell r="H773">
            <v>76</v>
          </cell>
          <cell r="I773">
            <v>6</v>
          </cell>
          <cell r="J773">
            <v>3</v>
          </cell>
          <cell r="K773">
            <v>1</v>
          </cell>
          <cell r="L773">
            <v>10.922739999999999</v>
          </cell>
          <cell r="M773">
            <v>-85.094992000000005</v>
          </cell>
          <cell r="N773" t="str">
            <v>Norte</v>
          </cell>
          <cell r="O773">
            <v>0</v>
          </cell>
          <cell r="P773" t="str">
            <v>guaymi</v>
          </cell>
          <cell r="Q773" t="str">
            <v>guaymi</v>
          </cell>
          <cell r="R773" t="b">
            <v>1</v>
          </cell>
          <cell r="S773" t="str">
            <v>515_2</v>
          </cell>
          <cell r="T773">
            <v>1</v>
          </cell>
          <cell r="U773">
            <v>3</v>
          </cell>
          <cell r="V773">
            <v>2</v>
          </cell>
          <cell r="W773">
            <v>0.66666666699999999</v>
          </cell>
          <cell r="X773">
            <v>14</v>
          </cell>
          <cell r="Y773">
            <v>6</v>
          </cell>
          <cell r="Z773">
            <v>0.428571429</v>
          </cell>
        </row>
        <row r="774">
          <cell r="B774" t="str">
            <v>F516_1B</v>
          </cell>
          <cell r="C774" t="str">
            <v>R1_F516_1B</v>
          </cell>
          <cell r="D774">
            <v>0</v>
          </cell>
          <cell r="E774">
            <v>0.35</v>
          </cell>
          <cell r="F774">
            <v>49</v>
          </cell>
          <cell r="G774">
            <v>1</v>
          </cell>
          <cell r="H774">
            <v>51</v>
          </cell>
          <cell r="I774">
            <v>6</v>
          </cell>
          <cell r="J774">
            <v>3</v>
          </cell>
          <cell r="K774">
            <v>1</v>
          </cell>
          <cell r="L774">
            <v>10.929425999999999</v>
          </cell>
          <cell r="M774">
            <v>-85.085346999999999</v>
          </cell>
          <cell r="N774" t="str">
            <v>Norte</v>
          </cell>
          <cell r="O774">
            <v>0</v>
          </cell>
          <cell r="P774" t="str">
            <v>guaymi</v>
          </cell>
          <cell r="Q774" t="str">
            <v>nambi</v>
          </cell>
          <cell r="R774" t="b">
            <v>0</v>
          </cell>
          <cell r="S774" t="str">
            <v>516_1</v>
          </cell>
          <cell r="T774">
            <v>0</v>
          </cell>
          <cell r="U774">
            <v>0</v>
          </cell>
          <cell r="V774">
            <v>0</v>
          </cell>
          <cell r="W774" t="str">
            <v>NA</v>
          </cell>
          <cell r="X774">
            <v>17</v>
          </cell>
          <cell r="Y774">
            <v>8</v>
          </cell>
          <cell r="Z774">
            <v>0.47058823500000002</v>
          </cell>
        </row>
        <row r="775">
          <cell r="B775" t="str">
            <v>F518_1B</v>
          </cell>
          <cell r="C775" t="str">
            <v>R1_F518_1B</v>
          </cell>
          <cell r="D775">
            <v>0</v>
          </cell>
          <cell r="E775">
            <v>0.7</v>
          </cell>
          <cell r="F775">
            <v>59</v>
          </cell>
          <cell r="G775">
            <v>1</v>
          </cell>
          <cell r="H775">
            <v>42</v>
          </cell>
          <cell r="I775">
            <v>6</v>
          </cell>
          <cell r="J775">
            <v>4</v>
          </cell>
          <cell r="K775">
            <v>0</v>
          </cell>
          <cell r="L775">
            <v>10.928348</v>
          </cell>
          <cell r="M775">
            <v>-85.127521000000002</v>
          </cell>
          <cell r="N775" t="str">
            <v>Norte</v>
          </cell>
          <cell r="O775">
            <v>0</v>
          </cell>
          <cell r="P775" t="str">
            <v>generalito</v>
          </cell>
          <cell r="Q775" t="str">
            <v>matambu</v>
          </cell>
          <cell r="R775" t="b">
            <v>0</v>
          </cell>
          <cell r="S775" t="str">
            <v>518_1</v>
          </cell>
          <cell r="T775">
            <v>0</v>
          </cell>
          <cell r="U775">
            <v>1</v>
          </cell>
          <cell r="V775">
            <v>0</v>
          </cell>
          <cell r="W775">
            <v>0</v>
          </cell>
          <cell r="X775">
            <v>11</v>
          </cell>
          <cell r="Y775">
            <v>2</v>
          </cell>
          <cell r="Z775">
            <v>0.18181818199999999</v>
          </cell>
        </row>
        <row r="776">
          <cell r="B776" t="str">
            <v>F519_1B</v>
          </cell>
          <cell r="C776" t="str">
            <v>R1_F519_1B</v>
          </cell>
          <cell r="D776">
            <v>0</v>
          </cell>
          <cell r="E776">
            <v>1.4</v>
          </cell>
          <cell r="F776">
            <v>54</v>
          </cell>
          <cell r="G776">
            <v>1</v>
          </cell>
          <cell r="H776">
            <v>57</v>
          </cell>
          <cell r="I776">
            <v>6</v>
          </cell>
          <cell r="J776">
            <v>1</v>
          </cell>
          <cell r="K776">
            <v>0</v>
          </cell>
          <cell r="L776">
            <v>10.935708999999999</v>
          </cell>
          <cell r="M776">
            <v>-85.107951</v>
          </cell>
          <cell r="N776" t="str">
            <v>Norte</v>
          </cell>
          <cell r="O776">
            <v>0</v>
          </cell>
          <cell r="P776" t="str">
            <v>victoria</v>
          </cell>
          <cell r="Q776" t="str">
            <v>matambu</v>
          </cell>
          <cell r="R776" t="b">
            <v>0</v>
          </cell>
          <cell r="S776" t="str">
            <v>519_1</v>
          </cell>
          <cell r="T776">
            <v>0</v>
          </cell>
          <cell r="U776">
            <v>1</v>
          </cell>
          <cell r="V776">
            <v>0</v>
          </cell>
          <cell r="W776">
            <v>0</v>
          </cell>
          <cell r="X776">
            <v>19</v>
          </cell>
          <cell r="Y776">
            <v>7</v>
          </cell>
          <cell r="Z776">
            <v>0.368421053</v>
          </cell>
        </row>
        <row r="777">
          <cell r="B777" t="str">
            <v>F520_1B</v>
          </cell>
          <cell r="C777" t="str">
            <v>R1_F520_1B</v>
          </cell>
          <cell r="D777">
            <v>0</v>
          </cell>
          <cell r="E777">
            <v>0.7</v>
          </cell>
          <cell r="F777">
            <v>63</v>
          </cell>
          <cell r="G777">
            <v>1</v>
          </cell>
          <cell r="H777">
            <v>49</v>
          </cell>
          <cell r="I777">
            <v>6</v>
          </cell>
          <cell r="J777">
            <v>4</v>
          </cell>
          <cell r="K777">
            <v>1</v>
          </cell>
          <cell r="L777">
            <v>10.933234000000001</v>
          </cell>
          <cell r="M777">
            <v>-85.109249000000005</v>
          </cell>
          <cell r="N777" t="str">
            <v>Norte</v>
          </cell>
          <cell r="O777">
            <v>0</v>
          </cell>
          <cell r="P777" t="str">
            <v>cabecar</v>
          </cell>
          <cell r="Q777" t="str">
            <v>matambu</v>
          </cell>
          <cell r="R777" t="b">
            <v>0</v>
          </cell>
          <cell r="S777" t="str">
            <v>520_1</v>
          </cell>
          <cell r="T777">
            <v>0</v>
          </cell>
          <cell r="U777">
            <v>2</v>
          </cell>
          <cell r="V777">
            <v>0</v>
          </cell>
          <cell r="W777">
            <v>0</v>
          </cell>
          <cell r="X777">
            <v>20</v>
          </cell>
          <cell r="Y777">
            <v>7</v>
          </cell>
          <cell r="Z777">
            <v>0.35</v>
          </cell>
        </row>
        <row r="778">
          <cell r="B778" t="str">
            <v>F521_1B</v>
          </cell>
          <cell r="C778" t="str">
            <v>R1_F521_1B</v>
          </cell>
          <cell r="D778">
            <v>0</v>
          </cell>
          <cell r="E778">
            <v>1</v>
          </cell>
          <cell r="F778">
            <v>61</v>
          </cell>
          <cell r="G778">
            <v>1</v>
          </cell>
          <cell r="H778">
            <v>73</v>
          </cell>
          <cell r="I778">
            <v>11</v>
          </cell>
          <cell r="J778">
            <v>1</v>
          </cell>
          <cell r="K778">
            <v>1</v>
          </cell>
          <cell r="L778">
            <v>10.927804</v>
          </cell>
          <cell r="M778">
            <v>-85.128735000000006</v>
          </cell>
          <cell r="N778" t="str">
            <v>Norte</v>
          </cell>
          <cell r="O778">
            <v>0</v>
          </cell>
          <cell r="P778" t="str">
            <v>guaymi</v>
          </cell>
          <cell r="Q778" t="str">
            <v>other</v>
          </cell>
          <cell r="R778" t="str">
            <v>Not applicable</v>
          </cell>
          <cell r="S778" t="str">
            <v>521_1</v>
          </cell>
          <cell r="T778">
            <v>0</v>
          </cell>
          <cell r="U778">
            <v>1</v>
          </cell>
          <cell r="V778">
            <v>0</v>
          </cell>
          <cell r="W778">
            <v>0</v>
          </cell>
          <cell r="X778">
            <v>14</v>
          </cell>
          <cell r="Y778">
            <v>4</v>
          </cell>
          <cell r="Z778">
            <v>0.28571428599999998</v>
          </cell>
        </row>
        <row r="779">
          <cell r="B779" t="str">
            <v>F523_1B</v>
          </cell>
          <cell r="C779" t="str">
            <v>R1_F523_1B</v>
          </cell>
          <cell r="D779">
            <v>0</v>
          </cell>
          <cell r="E779">
            <v>0.7</v>
          </cell>
          <cell r="F779">
            <v>73</v>
          </cell>
          <cell r="G779">
            <v>1</v>
          </cell>
          <cell r="H779">
            <v>54</v>
          </cell>
          <cell r="I779">
            <v>7</v>
          </cell>
          <cell r="J779">
            <v>3</v>
          </cell>
          <cell r="K779">
            <v>1</v>
          </cell>
          <cell r="L779">
            <v>10.928812000000001</v>
          </cell>
          <cell r="M779">
            <v>-85.115874000000005</v>
          </cell>
          <cell r="N779" t="str">
            <v>Norte</v>
          </cell>
          <cell r="O779">
            <v>0</v>
          </cell>
          <cell r="P779" t="str">
            <v>guaymi</v>
          </cell>
          <cell r="Q779" t="str">
            <v>cabecar</v>
          </cell>
          <cell r="R779" t="b">
            <v>0</v>
          </cell>
          <cell r="S779" t="str">
            <v>523_1</v>
          </cell>
          <cell r="T779">
            <v>0</v>
          </cell>
          <cell r="U779">
            <v>1</v>
          </cell>
          <cell r="V779">
            <v>0</v>
          </cell>
          <cell r="W779">
            <v>0</v>
          </cell>
          <cell r="X779">
            <v>16</v>
          </cell>
          <cell r="Y779">
            <v>4</v>
          </cell>
          <cell r="Z779">
            <v>0.25</v>
          </cell>
        </row>
        <row r="780">
          <cell r="B780" t="str">
            <v>F524_1B</v>
          </cell>
          <cell r="C780" t="str">
            <v>R1_F524_1B</v>
          </cell>
          <cell r="D780">
            <v>0</v>
          </cell>
          <cell r="E780">
            <v>0.7</v>
          </cell>
          <cell r="F780">
            <v>64</v>
          </cell>
          <cell r="G780">
            <v>0</v>
          </cell>
          <cell r="H780">
            <v>61</v>
          </cell>
          <cell r="I780">
            <v>0</v>
          </cell>
          <cell r="J780">
            <v>3</v>
          </cell>
          <cell r="K780">
            <v>0</v>
          </cell>
          <cell r="L780">
            <v>11.045171</v>
          </cell>
          <cell r="M780">
            <v>-85.248926999999995</v>
          </cell>
          <cell r="N780" t="str">
            <v>Norte</v>
          </cell>
          <cell r="O780">
            <v>0</v>
          </cell>
          <cell r="P780" t="str">
            <v>generalito</v>
          </cell>
          <cell r="Q780" t="str">
            <v>other</v>
          </cell>
          <cell r="R780" t="str">
            <v>Not applicable</v>
          </cell>
          <cell r="S780" t="str">
            <v>524_1</v>
          </cell>
          <cell r="T780">
            <v>0</v>
          </cell>
          <cell r="U780">
            <v>4</v>
          </cell>
          <cell r="V780">
            <v>1</v>
          </cell>
          <cell r="W780">
            <v>0.25</v>
          </cell>
          <cell r="X780">
            <v>48</v>
          </cell>
          <cell r="Y780">
            <v>18</v>
          </cell>
          <cell r="Z780">
            <v>0.375</v>
          </cell>
        </row>
        <row r="781">
          <cell r="B781" t="str">
            <v>F525_1B</v>
          </cell>
          <cell r="C781" t="str">
            <v>R1_F525_1B</v>
          </cell>
          <cell r="D781">
            <v>0</v>
          </cell>
          <cell r="E781">
            <v>0.5</v>
          </cell>
          <cell r="F781">
            <v>69</v>
          </cell>
          <cell r="G781">
            <v>1</v>
          </cell>
          <cell r="H781">
            <v>53</v>
          </cell>
          <cell r="I781">
            <v>6</v>
          </cell>
          <cell r="J781">
            <v>4</v>
          </cell>
          <cell r="K781">
            <v>0</v>
          </cell>
          <cell r="L781">
            <v>11.04813</v>
          </cell>
          <cell r="M781">
            <v>-85.250201000000004</v>
          </cell>
          <cell r="N781" t="str">
            <v>Norte</v>
          </cell>
          <cell r="O781">
            <v>0</v>
          </cell>
          <cell r="P781" t="str">
            <v>generalito</v>
          </cell>
          <cell r="Q781" t="str">
            <v>rojo</v>
          </cell>
          <cell r="R781" t="str">
            <v>Not applicable</v>
          </cell>
          <cell r="S781" t="str">
            <v>525_1</v>
          </cell>
          <cell r="T781">
            <v>0</v>
          </cell>
          <cell r="U781">
            <v>2</v>
          </cell>
          <cell r="V781">
            <v>1</v>
          </cell>
          <cell r="W781">
            <v>0.5</v>
          </cell>
          <cell r="X781">
            <v>47</v>
          </cell>
          <cell r="Y781">
            <v>18</v>
          </cell>
          <cell r="Z781">
            <v>0.38297872300000002</v>
          </cell>
        </row>
        <row r="782">
          <cell r="B782" t="str">
            <v>F525_2B</v>
          </cell>
          <cell r="C782" t="str">
            <v>R1_F525_2B</v>
          </cell>
          <cell r="D782">
            <v>0</v>
          </cell>
          <cell r="E782">
            <v>2.5</v>
          </cell>
          <cell r="F782">
            <v>69</v>
          </cell>
          <cell r="G782">
            <v>1</v>
          </cell>
          <cell r="H782">
            <v>53</v>
          </cell>
          <cell r="I782">
            <v>6</v>
          </cell>
          <cell r="J782">
            <v>4</v>
          </cell>
          <cell r="K782">
            <v>0</v>
          </cell>
          <cell r="L782">
            <v>11.04813</v>
          </cell>
          <cell r="M782">
            <v>-85.250201000000004</v>
          </cell>
          <cell r="N782" t="str">
            <v>Norte</v>
          </cell>
          <cell r="O782">
            <v>0</v>
          </cell>
          <cell r="P782" t="str">
            <v>mantequilla</v>
          </cell>
          <cell r="Q782" t="str">
            <v>guaymi</v>
          </cell>
          <cell r="R782" t="b">
            <v>0</v>
          </cell>
          <cell r="S782" t="str">
            <v>525_2</v>
          </cell>
          <cell r="T782">
            <v>0</v>
          </cell>
          <cell r="U782">
            <v>2</v>
          </cell>
          <cell r="V782">
            <v>1</v>
          </cell>
          <cell r="W782">
            <v>0.5</v>
          </cell>
          <cell r="X782">
            <v>47</v>
          </cell>
          <cell r="Y782">
            <v>18</v>
          </cell>
          <cell r="Z782">
            <v>0.38297872300000002</v>
          </cell>
        </row>
        <row r="783">
          <cell r="B783" t="str">
            <v>F527_1B</v>
          </cell>
          <cell r="C783" t="str">
            <v>R1_F527_1B</v>
          </cell>
          <cell r="D783">
            <v>0</v>
          </cell>
          <cell r="E783">
            <v>2</v>
          </cell>
          <cell r="F783">
            <v>72</v>
          </cell>
          <cell r="G783">
            <v>1</v>
          </cell>
          <cell r="H783">
            <v>52</v>
          </cell>
          <cell r="I783">
            <v>6</v>
          </cell>
          <cell r="J783">
            <v>3</v>
          </cell>
          <cell r="K783">
            <v>1</v>
          </cell>
          <cell r="L783">
            <v>11.047836999999999</v>
          </cell>
          <cell r="M783">
            <v>-85.249011999999993</v>
          </cell>
          <cell r="N783" t="str">
            <v>Norte</v>
          </cell>
          <cell r="O783">
            <v>0</v>
          </cell>
          <cell r="P783" t="str">
            <v>brunca</v>
          </cell>
          <cell r="Q783" t="str">
            <v>other</v>
          </cell>
          <cell r="R783" t="str">
            <v>Not applicable</v>
          </cell>
          <cell r="S783" t="str">
            <v>527_1</v>
          </cell>
          <cell r="T783">
            <v>0</v>
          </cell>
          <cell r="U783">
            <v>2</v>
          </cell>
          <cell r="V783">
            <v>1</v>
          </cell>
          <cell r="W783">
            <v>0.5</v>
          </cell>
          <cell r="X783">
            <v>33</v>
          </cell>
          <cell r="Y783">
            <v>11</v>
          </cell>
          <cell r="Z783">
            <v>0.33333333300000001</v>
          </cell>
        </row>
        <row r="784">
          <cell r="B784" t="str">
            <v>F533_1B</v>
          </cell>
          <cell r="C784" t="str">
            <v>R1_F533_1B</v>
          </cell>
          <cell r="D784">
            <v>1</v>
          </cell>
          <cell r="E784">
            <v>1.5</v>
          </cell>
          <cell r="F784">
            <v>72</v>
          </cell>
          <cell r="G784">
            <v>0</v>
          </cell>
          <cell r="H784">
            <v>55</v>
          </cell>
          <cell r="I784">
            <v>0</v>
          </cell>
          <cell r="J784">
            <v>9</v>
          </cell>
          <cell r="K784">
            <v>1</v>
          </cell>
          <cell r="L784">
            <v>11.045306</v>
          </cell>
          <cell r="M784">
            <v>-85.246823000000006</v>
          </cell>
          <cell r="N784" t="str">
            <v>Norte</v>
          </cell>
          <cell r="O784">
            <v>0</v>
          </cell>
          <cell r="P784" t="str">
            <v>nambi</v>
          </cell>
          <cell r="Q784" t="str">
            <v>nambi</v>
          </cell>
          <cell r="R784" t="b">
            <v>1</v>
          </cell>
          <cell r="S784" t="str">
            <v>533_1</v>
          </cell>
          <cell r="T784">
            <v>1</v>
          </cell>
          <cell r="U784">
            <v>4</v>
          </cell>
          <cell r="V784">
            <v>0</v>
          </cell>
          <cell r="W784">
            <v>0</v>
          </cell>
          <cell r="X784">
            <v>44</v>
          </cell>
          <cell r="Y784">
            <v>16</v>
          </cell>
          <cell r="Z784">
            <v>0.36363636399999999</v>
          </cell>
        </row>
        <row r="785">
          <cell r="B785" t="str">
            <v>F535_1B</v>
          </cell>
          <cell r="C785" t="str">
            <v>R1_F535_1B</v>
          </cell>
          <cell r="D785">
            <v>0</v>
          </cell>
          <cell r="E785">
            <v>1</v>
          </cell>
          <cell r="F785">
            <v>54</v>
          </cell>
          <cell r="G785">
            <v>1</v>
          </cell>
          <cell r="H785">
            <v>57</v>
          </cell>
          <cell r="I785">
            <v>9</v>
          </cell>
          <cell r="J785">
            <v>8</v>
          </cell>
          <cell r="K785">
            <v>1</v>
          </cell>
          <cell r="L785">
            <v>10.951865</v>
          </cell>
          <cell r="M785">
            <v>-85.126322999999999</v>
          </cell>
          <cell r="N785" t="str">
            <v>Norte</v>
          </cell>
          <cell r="O785">
            <v>0</v>
          </cell>
          <cell r="P785" t="str">
            <v>nambi</v>
          </cell>
          <cell r="Q785" t="str">
            <v>other</v>
          </cell>
          <cell r="R785" t="str">
            <v>Not applicable</v>
          </cell>
          <cell r="S785" t="str">
            <v>535_1</v>
          </cell>
          <cell r="T785">
            <v>0</v>
          </cell>
          <cell r="U785">
            <v>0</v>
          </cell>
          <cell r="V785">
            <v>0</v>
          </cell>
          <cell r="W785" t="str">
            <v>NA</v>
          </cell>
          <cell r="X785">
            <v>43</v>
          </cell>
          <cell r="Y785">
            <v>15</v>
          </cell>
          <cell r="Z785">
            <v>0.34883720899999998</v>
          </cell>
        </row>
        <row r="786">
          <cell r="B786" t="str">
            <v>F536_1B</v>
          </cell>
          <cell r="C786" t="str">
            <v>R1_F536_1B</v>
          </cell>
          <cell r="D786">
            <v>0</v>
          </cell>
          <cell r="E786">
            <v>1</v>
          </cell>
          <cell r="F786">
            <v>58</v>
          </cell>
          <cell r="G786">
            <v>1</v>
          </cell>
          <cell r="H786">
            <v>52</v>
          </cell>
          <cell r="I786">
            <v>16</v>
          </cell>
          <cell r="J786">
            <v>3</v>
          </cell>
          <cell r="K786">
            <v>0</v>
          </cell>
          <cell r="L786">
            <v>10.931944</v>
          </cell>
          <cell r="M786">
            <v>-85.140799000000001</v>
          </cell>
          <cell r="N786" t="str">
            <v>Norte</v>
          </cell>
          <cell r="O786">
            <v>0</v>
          </cell>
          <cell r="P786" t="str">
            <v>victoria</v>
          </cell>
          <cell r="Q786" t="str">
            <v>nambi</v>
          </cell>
          <cell r="R786" t="b">
            <v>0</v>
          </cell>
          <cell r="S786" t="str">
            <v>536_1</v>
          </cell>
          <cell r="T786">
            <v>0</v>
          </cell>
          <cell r="U786">
            <v>0</v>
          </cell>
          <cell r="V786">
            <v>0</v>
          </cell>
          <cell r="W786" t="str">
            <v>NA</v>
          </cell>
          <cell r="X786">
            <v>14</v>
          </cell>
          <cell r="Y786">
            <v>3</v>
          </cell>
          <cell r="Z786">
            <v>0.21428571399999999</v>
          </cell>
        </row>
        <row r="787">
          <cell r="B787" t="str">
            <v>F537_1B</v>
          </cell>
          <cell r="C787" t="str">
            <v>R1_F537_1B</v>
          </cell>
          <cell r="D787">
            <v>1</v>
          </cell>
          <cell r="E787">
            <v>2.5</v>
          </cell>
          <cell r="F787">
            <v>48</v>
          </cell>
          <cell r="G787">
            <v>1</v>
          </cell>
          <cell r="H787">
            <v>62</v>
          </cell>
          <cell r="I787">
            <v>17</v>
          </cell>
          <cell r="J787">
            <v>4</v>
          </cell>
          <cell r="K787">
            <v>1</v>
          </cell>
          <cell r="L787">
            <v>10.952341000000001</v>
          </cell>
          <cell r="M787">
            <v>-85.133774000000003</v>
          </cell>
          <cell r="N787" t="str">
            <v>Norte</v>
          </cell>
          <cell r="O787">
            <v>0</v>
          </cell>
          <cell r="P787" t="str">
            <v>nambi</v>
          </cell>
          <cell r="Q787" t="str">
            <v>nambi</v>
          </cell>
          <cell r="R787" t="b">
            <v>1</v>
          </cell>
          <cell r="S787" t="str">
            <v>537_1</v>
          </cell>
          <cell r="T787">
            <v>1</v>
          </cell>
          <cell r="U787">
            <v>1</v>
          </cell>
          <cell r="V787">
            <v>0</v>
          </cell>
          <cell r="W787">
            <v>0</v>
          </cell>
          <cell r="X787">
            <v>39</v>
          </cell>
          <cell r="Y787">
            <v>12</v>
          </cell>
          <cell r="Z787">
            <v>0.30769230800000003</v>
          </cell>
        </row>
        <row r="788">
          <cell r="B788" t="str">
            <v>F538_1B</v>
          </cell>
          <cell r="C788" t="str">
            <v>R1_F538_1B</v>
          </cell>
          <cell r="D788">
            <v>0</v>
          </cell>
          <cell r="E788">
            <v>1</v>
          </cell>
          <cell r="F788">
            <v>47</v>
          </cell>
          <cell r="G788">
            <v>1</v>
          </cell>
          <cell r="H788">
            <v>60</v>
          </cell>
          <cell r="I788">
            <v>12</v>
          </cell>
          <cell r="J788">
            <v>6</v>
          </cell>
          <cell r="K788">
            <v>1</v>
          </cell>
          <cell r="L788">
            <v>10.968897</v>
          </cell>
          <cell r="M788">
            <v>-85.113364000000004</v>
          </cell>
          <cell r="N788" t="str">
            <v>Norte</v>
          </cell>
          <cell r="O788">
            <v>0</v>
          </cell>
          <cell r="P788" t="str">
            <v>uran</v>
          </cell>
          <cell r="Q788" t="str">
            <v>nambi</v>
          </cell>
          <cell r="R788" t="b">
            <v>0</v>
          </cell>
          <cell r="S788" t="str">
            <v>538_1</v>
          </cell>
          <cell r="T788">
            <v>0</v>
          </cell>
          <cell r="U788">
            <v>2</v>
          </cell>
          <cell r="V788">
            <v>1</v>
          </cell>
          <cell r="W788">
            <v>0.5</v>
          </cell>
          <cell r="X788">
            <v>53</v>
          </cell>
          <cell r="Y788">
            <v>24</v>
          </cell>
          <cell r="Z788">
            <v>0.45283018899999999</v>
          </cell>
        </row>
        <row r="789">
          <cell r="B789" t="str">
            <v>F538_2B</v>
          </cell>
          <cell r="C789" t="str">
            <v>R1_F538_2B</v>
          </cell>
          <cell r="D789">
            <v>0</v>
          </cell>
          <cell r="E789">
            <v>0.5</v>
          </cell>
          <cell r="F789">
            <v>47</v>
          </cell>
          <cell r="G789">
            <v>1</v>
          </cell>
          <cell r="H789">
            <v>60</v>
          </cell>
          <cell r="I789">
            <v>12</v>
          </cell>
          <cell r="J789">
            <v>6</v>
          </cell>
          <cell r="K789">
            <v>1</v>
          </cell>
          <cell r="L789">
            <v>10.968897</v>
          </cell>
          <cell r="M789">
            <v>-85.113364000000004</v>
          </cell>
          <cell r="N789" t="str">
            <v>Norte</v>
          </cell>
          <cell r="O789">
            <v>0</v>
          </cell>
          <cell r="P789" t="str">
            <v>nambi</v>
          </cell>
          <cell r="Q789" t="str">
            <v>uran</v>
          </cell>
          <cell r="R789" t="b">
            <v>0</v>
          </cell>
          <cell r="S789" t="str">
            <v>538_2</v>
          </cell>
          <cell r="T789">
            <v>0</v>
          </cell>
          <cell r="U789">
            <v>2</v>
          </cell>
          <cell r="V789">
            <v>1</v>
          </cell>
          <cell r="W789">
            <v>0.5</v>
          </cell>
          <cell r="X789">
            <v>53</v>
          </cell>
          <cell r="Y789">
            <v>24</v>
          </cell>
          <cell r="Z789">
            <v>0.45283018899999999</v>
          </cell>
        </row>
        <row r="790">
          <cell r="B790" t="str">
            <v>F540_1B</v>
          </cell>
          <cell r="C790" t="str">
            <v>R1_F540_1B</v>
          </cell>
          <cell r="D790">
            <v>0</v>
          </cell>
          <cell r="E790">
            <v>1</v>
          </cell>
          <cell r="F790">
            <v>52</v>
          </cell>
          <cell r="G790">
            <v>1</v>
          </cell>
          <cell r="H790">
            <v>66</v>
          </cell>
          <cell r="I790">
            <v>12</v>
          </cell>
          <cell r="J790">
            <v>1</v>
          </cell>
          <cell r="K790">
            <v>1</v>
          </cell>
          <cell r="L790">
            <v>10.960582</v>
          </cell>
          <cell r="M790">
            <v>-85.118767000000005</v>
          </cell>
          <cell r="N790" t="str">
            <v>Norte</v>
          </cell>
          <cell r="O790">
            <v>0</v>
          </cell>
          <cell r="P790" t="str">
            <v>matambu</v>
          </cell>
          <cell r="Q790" t="str">
            <v>nambi</v>
          </cell>
          <cell r="R790" t="b">
            <v>0</v>
          </cell>
          <cell r="S790" t="str">
            <v>540_1</v>
          </cell>
          <cell r="T790">
            <v>0</v>
          </cell>
          <cell r="U790">
            <v>4</v>
          </cell>
          <cell r="V790">
            <v>2</v>
          </cell>
          <cell r="W790">
            <v>0.5</v>
          </cell>
          <cell r="X790">
            <v>32</v>
          </cell>
          <cell r="Y790">
            <v>12</v>
          </cell>
          <cell r="Z790">
            <v>0.375</v>
          </cell>
        </row>
        <row r="791">
          <cell r="B791" t="str">
            <v>F542_1B</v>
          </cell>
          <cell r="C791" t="str">
            <v>R1_F542_1B</v>
          </cell>
          <cell r="D791">
            <v>0</v>
          </cell>
          <cell r="E791">
            <v>1.4</v>
          </cell>
          <cell r="F791">
            <v>43</v>
          </cell>
          <cell r="G791">
            <v>1</v>
          </cell>
          <cell r="H791">
            <v>54</v>
          </cell>
          <cell r="I791">
            <v>0</v>
          </cell>
          <cell r="J791">
            <v>7</v>
          </cell>
          <cell r="K791">
            <v>0</v>
          </cell>
          <cell r="L791">
            <v>10.982398</v>
          </cell>
          <cell r="M791">
            <v>-85.060096000000001</v>
          </cell>
          <cell r="N791" t="str">
            <v>Norte</v>
          </cell>
          <cell r="O791">
            <v>0</v>
          </cell>
          <cell r="P791" t="str">
            <v>victoria</v>
          </cell>
          <cell r="Q791" t="str">
            <v>cabecar</v>
          </cell>
          <cell r="R791" t="b">
            <v>0</v>
          </cell>
          <cell r="S791" t="str">
            <v>542_1</v>
          </cell>
          <cell r="T791">
            <v>0</v>
          </cell>
          <cell r="U791">
            <v>1</v>
          </cell>
          <cell r="V791">
            <v>0</v>
          </cell>
          <cell r="W791">
            <v>0</v>
          </cell>
          <cell r="X791">
            <v>22</v>
          </cell>
          <cell r="Y791">
            <v>4</v>
          </cell>
          <cell r="Z791">
            <v>0.18181818199999999</v>
          </cell>
        </row>
        <row r="792">
          <cell r="B792" t="str">
            <v>F543_1B</v>
          </cell>
          <cell r="C792" t="str">
            <v>R1_F543_1B</v>
          </cell>
          <cell r="D792">
            <v>0</v>
          </cell>
          <cell r="E792">
            <v>0.3</v>
          </cell>
          <cell r="F792">
            <v>38</v>
          </cell>
          <cell r="G792">
            <v>1</v>
          </cell>
          <cell r="H792">
            <v>36</v>
          </cell>
          <cell r="I792">
            <v>6</v>
          </cell>
          <cell r="J792">
            <v>3</v>
          </cell>
          <cell r="K792">
            <v>1</v>
          </cell>
          <cell r="L792">
            <v>10.971012999999999</v>
          </cell>
          <cell r="M792">
            <v>-85.052631000000005</v>
          </cell>
          <cell r="N792" t="str">
            <v>Norte</v>
          </cell>
          <cell r="O792">
            <v>0</v>
          </cell>
          <cell r="P792" t="str">
            <v>nambi</v>
          </cell>
          <cell r="Q792" t="str">
            <v>dontknow</v>
          </cell>
          <cell r="R792" t="str">
            <v>Not applicable</v>
          </cell>
          <cell r="S792" t="str">
            <v>543_1</v>
          </cell>
          <cell r="T792">
            <v>0</v>
          </cell>
          <cell r="U792">
            <v>0</v>
          </cell>
          <cell r="V792">
            <v>0</v>
          </cell>
          <cell r="W792" t="str">
            <v>NA</v>
          </cell>
          <cell r="X792">
            <v>13</v>
          </cell>
          <cell r="Y792">
            <v>1</v>
          </cell>
          <cell r="Z792">
            <v>7.6923077000000006E-2</v>
          </cell>
        </row>
        <row r="793">
          <cell r="B793" t="str">
            <v>F543_2B</v>
          </cell>
          <cell r="C793" t="str">
            <v>R1_F543_2B</v>
          </cell>
          <cell r="D793">
            <v>0</v>
          </cell>
          <cell r="E793">
            <v>2</v>
          </cell>
          <cell r="F793">
            <v>38</v>
          </cell>
          <cell r="G793">
            <v>1</v>
          </cell>
          <cell r="H793">
            <v>36</v>
          </cell>
          <cell r="I793">
            <v>6</v>
          </cell>
          <cell r="J793">
            <v>3</v>
          </cell>
          <cell r="K793">
            <v>1</v>
          </cell>
          <cell r="L793">
            <v>10.971012999999999</v>
          </cell>
          <cell r="M793">
            <v>-85.052631000000005</v>
          </cell>
          <cell r="N793" t="str">
            <v>Norte</v>
          </cell>
          <cell r="O793">
            <v>0</v>
          </cell>
          <cell r="P793" t="str">
            <v>uran</v>
          </cell>
          <cell r="Q793" t="str">
            <v>nambi</v>
          </cell>
          <cell r="R793" t="b">
            <v>0</v>
          </cell>
          <cell r="S793" t="str">
            <v>543_2</v>
          </cell>
          <cell r="T793">
            <v>0</v>
          </cell>
          <cell r="U793">
            <v>0</v>
          </cell>
          <cell r="V793">
            <v>0</v>
          </cell>
          <cell r="W793" t="str">
            <v>NA</v>
          </cell>
          <cell r="X793">
            <v>13</v>
          </cell>
          <cell r="Y793">
            <v>1</v>
          </cell>
          <cell r="Z793">
            <v>7.6923077000000006E-2</v>
          </cell>
        </row>
        <row r="794">
          <cell r="B794" t="str">
            <v>F544_1B</v>
          </cell>
          <cell r="C794" t="str">
            <v>R1_F544_1B</v>
          </cell>
          <cell r="D794">
            <v>0</v>
          </cell>
          <cell r="E794">
            <v>0.7</v>
          </cell>
          <cell r="F794">
            <v>48</v>
          </cell>
          <cell r="G794">
            <v>1</v>
          </cell>
          <cell r="H794">
            <v>50</v>
          </cell>
          <cell r="I794">
            <v>11</v>
          </cell>
          <cell r="J794">
            <v>3</v>
          </cell>
          <cell r="K794">
            <v>1</v>
          </cell>
          <cell r="L794">
            <v>10.94097</v>
          </cell>
          <cell r="M794">
            <v>-85.091883999999993</v>
          </cell>
          <cell r="N794" t="str">
            <v>Norte</v>
          </cell>
          <cell r="O794">
            <v>0</v>
          </cell>
          <cell r="P794" t="str">
            <v>cabecar</v>
          </cell>
          <cell r="Q794" t="str">
            <v>guaymi</v>
          </cell>
          <cell r="R794" t="b">
            <v>0</v>
          </cell>
          <cell r="S794" t="str">
            <v>544_1</v>
          </cell>
          <cell r="T794">
            <v>0</v>
          </cell>
          <cell r="U794">
            <v>2</v>
          </cell>
          <cell r="V794">
            <v>1</v>
          </cell>
          <cell r="W794">
            <v>0.5</v>
          </cell>
          <cell r="X794">
            <v>13</v>
          </cell>
          <cell r="Y794">
            <v>6</v>
          </cell>
          <cell r="Z794">
            <v>0.46153846199999998</v>
          </cell>
        </row>
        <row r="795">
          <cell r="B795" t="str">
            <v>F544_2B</v>
          </cell>
          <cell r="C795" t="str">
            <v>R1_F544_2B</v>
          </cell>
          <cell r="D795">
            <v>0</v>
          </cell>
          <cell r="E795">
            <v>0.35</v>
          </cell>
          <cell r="F795">
            <v>48</v>
          </cell>
          <cell r="G795">
            <v>1</v>
          </cell>
          <cell r="H795">
            <v>50</v>
          </cell>
          <cell r="I795">
            <v>11</v>
          </cell>
          <cell r="J795">
            <v>3</v>
          </cell>
          <cell r="K795">
            <v>1</v>
          </cell>
          <cell r="L795">
            <v>10.94097</v>
          </cell>
          <cell r="M795">
            <v>-85.091883999999993</v>
          </cell>
          <cell r="N795" t="str">
            <v>Norte</v>
          </cell>
          <cell r="O795">
            <v>0</v>
          </cell>
          <cell r="P795" t="str">
            <v>matambu</v>
          </cell>
          <cell r="Q795" t="str">
            <v>cabecar</v>
          </cell>
          <cell r="R795" t="b">
            <v>0</v>
          </cell>
          <cell r="S795" t="str">
            <v>544_2</v>
          </cell>
          <cell r="T795">
            <v>0</v>
          </cell>
          <cell r="U795">
            <v>2</v>
          </cell>
          <cell r="V795">
            <v>1</v>
          </cell>
          <cell r="W795">
            <v>0.5</v>
          </cell>
          <cell r="X795">
            <v>13</v>
          </cell>
          <cell r="Y795">
            <v>6</v>
          </cell>
          <cell r="Z795">
            <v>0.46153846199999998</v>
          </cell>
        </row>
        <row r="796">
          <cell r="B796" t="str">
            <v>F545_1B</v>
          </cell>
          <cell r="C796" t="str">
            <v>R1_F545_1B</v>
          </cell>
          <cell r="D796">
            <v>1</v>
          </cell>
          <cell r="E796">
            <v>0.5</v>
          </cell>
          <cell r="F796">
            <v>48</v>
          </cell>
          <cell r="G796">
            <v>1</v>
          </cell>
          <cell r="H796">
            <v>82</v>
          </cell>
          <cell r="I796">
            <v>6</v>
          </cell>
          <cell r="J796">
            <v>4</v>
          </cell>
          <cell r="K796">
            <v>1</v>
          </cell>
          <cell r="L796">
            <v>10.940619999999999</v>
          </cell>
          <cell r="M796">
            <v>-85.091859999999997</v>
          </cell>
          <cell r="N796" t="str">
            <v>Norte</v>
          </cell>
          <cell r="O796">
            <v>0</v>
          </cell>
          <cell r="P796" t="str">
            <v>cabecar</v>
          </cell>
          <cell r="Q796" t="str">
            <v>cabecar</v>
          </cell>
          <cell r="R796" t="b">
            <v>1</v>
          </cell>
          <cell r="S796" t="str">
            <v>545_1</v>
          </cell>
          <cell r="T796">
            <v>1</v>
          </cell>
          <cell r="U796">
            <v>2</v>
          </cell>
          <cell r="V796">
            <v>0</v>
          </cell>
          <cell r="W796">
            <v>0</v>
          </cell>
          <cell r="X796">
            <v>13</v>
          </cell>
          <cell r="Y796">
            <v>5</v>
          </cell>
          <cell r="Z796">
            <v>0.38461538499999998</v>
          </cell>
        </row>
        <row r="797">
          <cell r="B797" t="str">
            <v>F545_2B</v>
          </cell>
          <cell r="C797" t="str">
            <v>R1_F545_2B</v>
          </cell>
          <cell r="D797">
            <v>0</v>
          </cell>
          <cell r="E797">
            <v>0.5</v>
          </cell>
          <cell r="F797">
            <v>48</v>
          </cell>
          <cell r="G797">
            <v>1</v>
          </cell>
          <cell r="H797">
            <v>82</v>
          </cell>
          <cell r="I797">
            <v>6</v>
          </cell>
          <cell r="J797">
            <v>4</v>
          </cell>
          <cell r="K797">
            <v>1</v>
          </cell>
          <cell r="L797">
            <v>10.940619999999999</v>
          </cell>
          <cell r="M797">
            <v>-85.091859999999997</v>
          </cell>
          <cell r="N797" t="str">
            <v>Norte</v>
          </cell>
          <cell r="O797">
            <v>0</v>
          </cell>
          <cell r="P797" t="str">
            <v>cabecar</v>
          </cell>
          <cell r="Q797" t="str">
            <v>guaymi</v>
          </cell>
          <cell r="R797" t="b">
            <v>0</v>
          </cell>
          <cell r="S797" t="str">
            <v>545_2</v>
          </cell>
          <cell r="T797">
            <v>0</v>
          </cell>
          <cell r="U797">
            <v>2</v>
          </cell>
          <cell r="V797">
            <v>0</v>
          </cell>
          <cell r="W797">
            <v>0</v>
          </cell>
          <cell r="X797">
            <v>13</v>
          </cell>
          <cell r="Y797">
            <v>5</v>
          </cell>
          <cell r="Z797">
            <v>0.38461538499999998</v>
          </cell>
        </row>
        <row r="798">
          <cell r="B798" t="str">
            <v>F546_1B</v>
          </cell>
          <cell r="C798" t="str">
            <v>R1_F546_1B</v>
          </cell>
          <cell r="D798">
            <v>0</v>
          </cell>
          <cell r="E798">
            <v>1</v>
          </cell>
          <cell r="F798">
            <v>48</v>
          </cell>
          <cell r="G798">
            <v>1</v>
          </cell>
          <cell r="H798">
            <v>65</v>
          </cell>
          <cell r="I798">
            <v>8</v>
          </cell>
          <cell r="J798">
            <v>1</v>
          </cell>
          <cell r="K798">
            <v>1</v>
          </cell>
          <cell r="L798">
            <v>10.952316</v>
          </cell>
          <cell r="M798">
            <v>-85.133837</v>
          </cell>
          <cell r="N798" t="str">
            <v>Norte</v>
          </cell>
          <cell r="O798">
            <v>0</v>
          </cell>
          <cell r="P798" t="str">
            <v>guaymi</v>
          </cell>
          <cell r="Q798" t="str">
            <v>mexico_80</v>
          </cell>
          <cell r="R798" t="b">
            <v>0</v>
          </cell>
          <cell r="S798" t="str">
            <v>546_1</v>
          </cell>
          <cell r="T798">
            <v>0</v>
          </cell>
          <cell r="U798">
            <v>1</v>
          </cell>
          <cell r="V798">
            <v>1</v>
          </cell>
          <cell r="W798">
            <v>1</v>
          </cell>
          <cell r="X798">
            <v>39</v>
          </cell>
          <cell r="Y798">
            <v>13</v>
          </cell>
          <cell r="Z798">
            <v>0.33333333300000001</v>
          </cell>
        </row>
        <row r="799">
          <cell r="B799" t="str">
            <v>F547_1B</v>
          </cell>
          <cell r="C799" t="str">
            <v>R1_F547_1B</v>
          </cell>
          <cell r="D799">
            <v>0</v>
          </cell>
          <cell r="E799">
            <v>2.1</v>
          </cell>
          <cell r="F799">
            <v>50</v>
          </cell>
          <cell r="G799">
            <v>1</v>
          </cell>
          <cell r="H799">
            <v>39</v>
          </cell>
          <cell r="I799">
            <v>11</v>
          </cell>
          <cell r="J799">
            <v>5</v>
          </cell>
          <cell r="K799">
            <v>0</v>
          </cell>
          <cell r="L799">
            <v>10.901011</v>
          </cell>
          <cell r="M799">
            <v>-85.014458000000005</v>
          </cell>
          <cell r="N799" t="str">
            <v>Norte</v>
          </cell>
          <cell r="O799">
            <v>0</v>
          </cell>
          <cell r="P799" t="str">
            <v>victoria</v>
          </cell>
          <cell r="Q799" t="str">
            <v>cabecar</v>
          </cell>
          <cell r="R799" t="b">
            <v>0</v>
          </cell>
          <cell r="S799" t="str">
            <v>547_1</v>
          </cell>
          <cell r="T799">
            <v>1</v>
          </cell>
          <cell r="U799">
            <v>5</v>
          </cell>
          <cell r="V799">
            <v>0</v>
          </cell>
          <cell r="W799">
            <v>0</v>
          </cell>
          <cell r="X799">
            <v>5</v>
          </cell>
          <cell r="Y799">
            <v>0</v>
          </cell>
          <cell r="Z799">
            <v>0</v>
          </cell>
        </row>
        <row r="800">
          <cell r="B800" t="str">
            <v>F548_1B</v>
          </cell>
          <cell r="C800" t="str">
            <v>R1_F548_1B</v>
          </cell>
          <cell r="D800">
            <v>0</v>
          </cell>
          <cell r="E800">
            <v>1.05</v>
          </cell>
          <cell r="F800">
            <v>38</v>
          </cell>
          <cell r="G800">
            <v>1</v>
          </cell>
          <cell r="H800">
            <v>58</v>
          </cell>
          <cell r="I800">
            <v>6</v>
          </cell>
          <cell r="J800">
            <v>3</v>
          </cell>
          <cell r="K800">
            <v>1</v>
          </cell>
          <cell r="L800">
            <v>10.967029999999999</v>
          </cell>
          <cell r="M800">
            <v>-85.028402999999997</v>
          </cell>
          <cell r="N800" t="str">
            <v>Norte</v>
          </cell>
          <cell r="O800">
            <v>0</v>
          </cell>
          <cell r="P800" t="str">
            <v>nambi</v>
          </cell>
          <cell r="Q800" t="str">
            <v>matambu</v>
          </cell>
          <cell r="R800" t="b">
            <v>0</v>
          </cell>
          <cell r="S800" t="str">
            <v>548_1</v>
          </cell>
          <cell r="T800">
            <v>0</v>
          </cell>
          <cell r="U800">
            <v>3</v>
          </cell>
          <cell r="V800">
            <v>2</v>
          </cell>
          <cell r="W800">
            <v>0.66666666699999999</v>
          </cell>
          <cell r="X800">
            <v>35</v>
          </cell>
          <cell r="Y800">
            <v>12</v>
          </cell>
          <cell r="Z800">
            <v>0.34285714299999998</v>
          </cell>
        </row>
        <row r="801">
          <cell r="B801" t="str">
            <v>F549_1B</v>
          </cell>
          <cell r="C801" t="str">
            <v>R1_F549_1B</v>
          </cell>
          <cell r="D801">
            <v>0</v>
          </cell>
          <cell r="E801">
            <v>0.7</v>
          </cell>
          <cell r="F801">
            <v>50</v>
          </cell>
          <cell r="G801">
            <v>1</v>
          </cell>
          <cell r="H801">
            <v>31</v>
          </cell>
          <cell r="I801">
            <v>9</v>
          </cell>
          <cell r="J801">
            <v>3</v>
          </cell>
          <cell r="K801">
            <v>1</v>
          </cell>
          <cell r="L801">
            <v>10.901082000000001</v>
          </cell>
          <cell r="M801">
            <v>-85.014443</v>
          </cell>
          <cell r="N801" t="str">
            <v>Norte</v>
          </cell>
          <cell r="O801">
            <v>0</v>
          </cell>
          <cell r="P801" t="str">
            <v>guaymi</v>
          </cell>
          <cell r="Q801" t="str">
            <v>matambu</v>
          </cell>
          <cell r="R801" t="b">
            <v>0</v>
          </cell>
          <cell r="S801" t="str">
            <v>549_1</v>
          </cell>
          <cell r="T801">
            <v>0</v>
          </cell>
          <cell r="U801">
            <v>5</v>
          </cell>
          <cell r="V801">
            <v>1</v>
          </cell>
          <cell r="W801">
            <v>0.2</v>
          </cell>
          <cell r="X801">
            <v>5</v>
          </cell>
          <cell r="Y801">
            <v>1</v>
          </cell>
          <cell r="Z801">
            <v>0.2</v>
          </cell>
        </row>
        <row r="802">
          <cell r="B802" t="str">
            <v>F550_1B</v>
          </cell>
          <cell r="C802" t="str">
            <v>R1_F550_1B</v>
          </cell>
          <cell r="D802">
            <v>0</v>
          </cell>
          <cell r="E802">
            <v>2</v>
          </cell>
          <cell r="F802">
            <v>42</v>
          </cell>
          <cell r="G802">
            <v>1</v>
          </cell>
          <cell r="H802">
            <v>63</v>
          </cell>
          <cell r="I802">
            <v>4</v>
          </cell>
          <cell r="J802">
            <v>4</v>
          </cell>
          <cell r="K802">
            <v>1</v>
          </cell>
          <cell r="L802">
            <v>10.965676999999999</v>
          </cell>
          <cell r="M802">
            <v>-85.053938000000002</v>
          </cell>
          <cell r="N802" t="str">
            <v>Norte</v>
          </cell>
          <cell r="O802">
            <v>0</v>
          </cell>
          <cell r="P802" t="str">
            <v>nambi</v>
          </cell>
          <cell r="Q802" t="str">
            <v>guaymi</v>
          </cell>
          <cell r="R802" t="b">
            <v>0</v>
          </cell>
          <cell r="S802" t="str">
            <v>550_1</v>
          </cell>
          <cell r="T802">
            <v>0</v>
          </cell>
          <cell r="U802">
            <v>1</v>
          </cell>
          <cell r="V802">
            <v>1</v>
          </cell>
          <cell r="W802">
            <v>1</v>
          </cell>
          <cell r="X802">
            <v>17</v>
          </cell>
          <cell r="Y802">
            <v>5</v>
          </cell>
          <cell r="Z802">
            <v>0.29411764699999998</v>
          </cell>
        </row>
        <row r="803">
          <cell r="B803" t="str">
            <v>F551_1B</v>
          </cell>
          <cell r="C803" t="str">
            <v>R1_F551_1B</v>
          </cell>
          <cell r="D803">
            <v>0</v>
          </cell>
          <cell r="E803">
            <v>0.7</v>
          </cell>
          <cell r="F803">
            <v>44</v>
          </cell>
          <cell r="G803">
            <v>1</v>
          </cell>
          <cell r="H803">
            <v>60</v>
          </cell>
          <cell r="I803">
            <v>0</v>
          </cell>
          <cell r="J803">
            <v>4</v>
          </cell>
          <cell r="K803">
            <v>1</v>
          </cell>
          <cell r="L803">
            <v>10.956472</v>
          </cell>
          <cell r="M803">
            <v>-85.031682000000004</v>
          </cell>
          <cell r="N803" t="str">
            <v>Norte</v>
          </cell>
          <cell r="O803">
            <v>0</v>
          </cell>
          <cell r="P803" t="str">
            <v>nambi</v>
          </cell>
          <cell r="Q803" t="str">
            <v>brunca</v>
          </cell>
          <cell r="R803" t="b">
            <v>0</v>
          </cell>
          <cell r="S803" t="str">
            <v>551_1</v>
          </cell>
          <cell r="T803">
            <v>0</v>
          </cell>
          <cell r="U803">
            <v>3</v>
          </cell>
          <cell r="V803">
            <v>2</v>
          </cell>
          <cell r="W803">
            <v>0.66666666699999999</v>
          </cell>
          <cell r="X803">
            <v>43</v>
          </cell>
          <cell r="Y803">
            <v>15</v>
          </cell>
          <cell r="Z803">
            <v>0.34883720899999998</v>
          </cell>
        </row>
        <row r="804">
          <cell r="B804" t="str">
            <v>F553_1B</v>
          </cell>
          <cell r="C804" t="str">
            <v>R1_F553_1B</v>
          </cell>
          <cell r="D804">
            <v>0</v>
          </cell>
          <cell r="E804">
            <v>0.35</v>
          </cell>
          <cell r="F804">
            <v>41</v>
          </cell>
          <cell r="G804">
            <v>1</v>
          </cell>
          <cell r="H804">
            <v>32</v>
          </cell>
          <cell r="I804">
            <v>11</v>
          </cell>
          <cell r="J804">
            <v>5</v>
          </cell>
          <cell r="K804">
            <v>1</v>
          </cell>
          <cell r="L804">
            <v>10.975320999999999</v>
          </cell>
          <cell r="M804">
            <v>-85.045890999999997</v>
          </cell>
          <cell r="N804" t="str">
            <v>Norte</v>
          </cell>
          <cell r="O804">
            <v>0</v>
          </cell>
          <cell r="P804" t="str">
            <v>brunca</v>
          </cell>
          <cell r="Q804" t="str">
            <v>dontknow</v>
          </cell>
          <cell r="R804" t="str">
            <v>Not applicable</v>
          </cell>
          <cell r="S804" t="str">
            <v>553_1</v>
          </cell>
          <cell r="T804">
            <v>0</v>
          </cell>
          <cell r="U804">
            <v>15</v>
          </cell>
          <cell r="V804">
            <v>4</v>
          </cell>
          <cell r="W804">
            <v>0.26666666700000002</v>
          </cell>
          <cell r="X804">
            <v>35</v>
          </cell>
          <cell r="Y804">
            <v>12</v>
          </cell>
          <cell r="Z804">
            <v>0.34285714299999998</v>
          </cell>
        </row>
        <row r="805">
          <cell r="B805" t="str">
            <v>F556_1B</v>
          </cell>
          <cell r="C805" t="str">
            <v>R1_F556_1B</v>
          </cell>
          <cell r="D805">
            <v>1</v>
          </cell>
          <cell r="E805">
            <v>1</v>
          </cell>
          <cell r="F805">
            <v>43</v>
          </cell>
          <cell r="G805">
            <v>1</v>
          </cell>
          <cell r="H805">
            <v>26</v>
          </cell>
          <cell r="I805">
            <v>9</v>
          </cell>
          <cell r="J805">
            <v>4</v>
          </cell>
          <cell r="K805">
            <v>1</v>
          </cell>
          <cell r="L805">
            <v>10.965491</v>
          </cell>
          <cell r="M805">
            <v>-85.054760999999999</v>
          </cell>
          <cell r="N805" t="str">
            <v>Norte</v>
          </cell>
          <cell r="O805">
            <v>0</v>
          </cell>
          <cell r="P805" t="str">
            <v>guaymi</v>
          </cell>
          <cell r="Q805" t="str">
            <v>guaymi</v>
          </cell>
          <cell r="R805" t="b">
            <v>1</v>
          </cell>
          <cell r="S805" t="str">
            <v>556_1</v>
          </cell>
          <cell r="T805">
            <v>1</v>
          </cell>
          <cell r="U805">
            <v>1</v>
          </cell>
          <cell r="V805">
            <v>0</v>
          </cell>
          <cell r="W805">
            <v>0</v>
          </cell>
          <cell r="X805">
            <v>17</v>
          </cell>
          <cell r="Y805">
            <v>4</v>
          </cell>
          <cell r="Z805">
            <v>0.235294118</v>
          </cell>
        </row>
        <row r="806">
          <cell r="B806" t="str">
            <v>F557_1B</v>
          </cell>
          <cell r="C806" t="str">
            <v>R1_F557_1B</v>
          </cell>
          <cell r="D806">
            <v>0</v>
          </cell>
          <cell r="E806">
            <v>0.28000000000000003</v>
          </cell>
          <cell r="F806">
            <v>43</v>
          </cell>
          <cell r="G806">
            <v>1</v>
          </cell>
          <cell r="H806">
            <v>54</v>
          </cell>
          <cell r="I806">
            <v>4</v>
          </cell>
          <cell r="J806">
            <v>5</v>
          </cell>
          <cell r="K806">
            <v>0</v>
          </cell>
          <cell r="L806">
            <v>10.990342999999999</v>
          </cell>
          <cell r="M806">
            <v>-85.105817999999999</v>
          </cell>
          <cell r="N806" t="str">
            <v>Norte</v>
          </cell>
          <cell r="O806">
            <v>0</v>
          </cell>
          <cell r="P806" t="str">
            <v>sacapobres</v>
          </cell>
          <cell r="Q806" t="str">
            <v>cuarenteno</v>
          </cell>
          <cell r="R806" t="b">
            <v>0</v>
          </cell>
          <cell r="S806" t="str">
            <v>557_1</v>
          </cell>
          <cell r="T806">
            <v>1</v>
          </cell>
          <cell r="U806">
            <v>0</v>
          </cell>
          <cell r="V806">
            <v>0</v>
          </cell>
          <cell r="W806" t="str">
            <v>NA</v>
          </cell>
          <cell r="X806">
            <v>38</v>
          </cell>
          <cell r="Y806">
            <v>17</v>
          </cell>
          <cell r="Z806">
            <v>0.44736842100000002</v>
          </cell>
        </row>
        <row r="807">
          <cell r="B807" t="str">
            <v>F557_2B</v>
          </cell>
          <cell r="C807" t="str">
            <v>R1_F557_2B</v>
          </cell>
          <cell r="D807">
            <v>1</v>
          </cell>
          <cell r="E807">
            <v>0.7</v>
          </cell>
          <cell r="F807">
            <v>43</v>
          </cell>
          <cell r="G807">
            <v>1</v>
          </cell>
          <cell r="H807">
            <v>54</v>
          </cell>
          <cell r="I807">
            <v>4</v>
          </cell>
          <cell r="J807">
            <v>5</v>
          </cell>
          <cell r="K807">
            <v>1</v>
          </cell>
          <cell r="L807">
            <v>10.990342999999999</v>
          </cell>
          <cell r="M807">
            <v>-85.105817999999999</v>
          </cell>
          <cell r="N807" t="str">
            <v>Norte</v>
          </cell>
          <cell r="O807">
            <v>0</v>
          </cell>
          <cell r="P807" t="str">
            <v>brunca</v>
          </cell>
          <cell r="Q807" t="str">
            <v>brunca</v>
          </cell>
          <cell r="R807" t="b">
            <v>1</v>
          </cell>
          <cell r="S807" t="str">
            <v>557_2</v>
          </cell>
          <cell r="T807">
            <v>1</v>
          </cell>
          <cell r="U807">
            <v>0</v>
          </cell>
          <cell r="V807">
            <v>0</v>
          </cell>
          <cell r="W807" t="str">
            <v>NA</v>
          </cell>
          <cell r="X807">
            <v>38</v>
          </cell>
          <cell r="Y807">
            <v>17</v>
          </cell>
          <cell r="Z807">
            <v>0.44736842100000002</v>
          </cell>
        </row>
        <row r="808">
          <cell r="B808" t="str">
            <v>F557_3B</v>
          </cell>
          <cell r="C808" t="str">
            <v>R1_F557_3B</v>
          </cell>
          <cell r="D808">
            <v>0</v>
          </cell>
          <cell r="E808">
            <v>0.21</v>
          </cell>
          <cell r="F808">
            <v>43</v>
          </cell>
          <cell r="G808">
            <v>1</v>
          </cell>
          <cell r="H808">
            <v>54</v>
          </cell>
          <cell r="I808">
            <v>4</v>
          </cell>
          <cell r="J808">
            <v>5</v>
          </cell>
          <cell r="K808">
            <v>1</v>
          </cell>
          <cell r="L808">
            <v>10.990342999999999</v>
          </cell>
          <cell r="M808">
            <v>-85.105817999999999</v>
          </cell>
          <cell r="N808" t="str">
            <v>Norte</v>
          </cell>
          <cell r="O808">
            <v>0</v>
          </cell>
          <cell r="P808" t="str">
            <v>nambi</v>
          </cell>
          <cell r="Q808" t="str">
            <v>matambu</v>
          </cell>
          <cell r="R808" t="b">
            <v>0</v>
          </cell>
          <cell r="S808" t="str">
            <v>557_3</v>
          </cell>
          <cell r="T808">
            <v>0</v>
          </cell>
          <cell r="U808">
            <v>0</v>
          </cell>
          <cell r="V808">
            <v>0</v>
          </cell>
          <cell r="W808" t="str">
            <v>NA</v>
          </cell>
          <cell r="X808">
            <v>38</v>
          </cell>
          <cell r="Y808">
            <v>17</v>
          </cell>
          <cell r="Z808">
            <v>0.44736842100000002</v>
          </cell>
        </row>
        <row r="809">
          <cell r="B809" t="str">
            <v>F557_4B</v>
          </cell>
          <cell r="C809" t="str">
            <v>R1_F557_4B</v>
          </cell>
          <cell r="D809">
            <v>1</v>
          </cell>
          <cell r="E809">
            <v>0.28000000000000003</v>
          </cell>
          <cell r="F809">
            <v>43</v>
          </cell>
          <cell r="G809">
            <v>1</v>
          </cell>
          <cell r="H809">
            <v>54</v>
          </cell>
          <cell r="I809">
            <v>4</v>
          </cell>
          <cell r="J809">
            <v>5</v>
          </cell>
          <cell r="K809">
            <v>1</v>
          </cell>
          <cell r="L809">
            <v>10.990342999999999</v>
          </cell>
          <cell r="M809">
            <v>-85.105817999999999</v>
          </cell>
          <cell r="N809" t="str">
            <v>Norte</v>
          </cell>
          <cell r="O809">
            <v>0</v>
          </cell>
          <cell r="P809" t="str">
            <v>tayni</v>
          </cell>
          <cell r="Q809" t="str">
            <v>tayni</v>
          </cell>
          <cell r="R809" t="b">
            <v>1</v>
          </cell>
          <cell r="S809" t="str">
            <v>557_4</v>
          </cell>
          <cell r="T809">
            <v>1</v>
          </cell>
          <cell r="U809">
            <v>0</v>
          </cell>
          <cell r="V809">
            <v>0</v>
          </cell>
          <cell r="W809" t="str">
            <v>NA</v>
          </cell>
          <cell r="X809">
            <v>38</v>
          </cell>
          <cell r="Y809">
            <v>17</v>
          </cell>
          <cell r="Z809">
            <v>0.44736842100000002</v>
          </cell>
        </row>
        <row r="810">
          <cell r="B810" t="str">
            <v>F558_1B</v>
          </cell>
          <cell r="C810" t="str">
            <v>R1_F558_1B</v>
          </cell>
          <cell r="D810">
            <v>1</v>
          </cell>
          <cell r="E810">
            <v>1</v>
          </cell>
          <cell r="F810">
            <v>40</v>
          </cell>
          <cell r="G810">
            <v>1</v>
          </cell>
          <cell r="H810">
            <v>35</v>
          </cell>
          <cell r="I810">
            <v>11</v>
          </cell>
          <cell r="J810">
            <v>4</v>
          </cell>
          <cell r="K810">
            <v>1</v>
          </cell>
          <cell r="L810">
            <v>11.044558</v>
          </cell>
          <cell r="M810">
            <v>-85.228707999999997</v>
          </cell>
          <cell r="N810" t="str">
            <v>Norte</v>
          </cell>
          <cell r="O810">
            <v>0</v>
          </cell>
          <cell r="P810" t="str">
            <v>nambi</v>
          </cell>
          <cell r="Q810" t="str">
            <v>nambi</v>
          </cell>
          <cell r="R810" t="b">
            <v>1</v>
          </cell>
          <cell r="S810" t="str">
            <v>558_1</v>
          </cell>
          <cell r="T810">
            <v>1</v>
          </cell>
          <cell r="U810">
            <v>2</v>
          </cell>
          <cell r="V810">
            <v>0</v>
          </cell>
          <cell r="W810">
            <v>0</v>
          </cell>
          <cell r="X810">
            <v>9</v>
          </cell>
          <cell r="Y810">
            <v>1</v>
          </cell>
          <cell r="Z810">
            <v>0.111111111</v>
          </cell>
        </row>
        <row r="811">
          <cell r="B811" t="str">
            <v>F560_1B</v>
          </cell>
          <cell r="C811" t="str">
            <v>R1_F560_1B</v>
          </cell>
          <cell r="D811">
            <v>0</v>
          </cell>
          <cell r="E811">
            <v>1</v>
          </cell>
          <cell r="F811">
            <v>50</v>
          </cell>
          <cell r="G811">
            <v>0</v>
          </cell>
          <cell r="H811">
            <v>44</v>
          </cell>
          <cell r="I811">
            <v>6</v>
          </cell>
          <cell r="J811">
            <v>4</v>
          </cell>
          <cell r="K811">
            <v>1</v>
          </cell>
          <cell r="L811">
            <v>11.047139</v>
          </cell>
          <cell r="M811">
            <v>-85.234286999999995</v>
          </cell>
          <cell r="N811" t="str">
            <v>Norte</v>
          </cell>
          <cell r="O811">
            <v>0</v>
          </cell>
          <cell r="P811" t="str">
            <v>brunca</v>
          </cell>
          <cell r="Q811" t="str">
            <v>nambi</v>
          </cell>
          <cell r="R811" t="b">
            <v>0</v>
          </cell>
          <cell r="S811" t="str">
            <v>560_1</v>
          </cell>
          <cell r="T811">
            <v>0</v>
          </cell>
          <cell r="U811">
            <v>2</v>
          </cell>
          <cell r="V811">
            <v>1</v>
          </cell>
          <cell r="W811">
            <v>0.5</v>
          </cell>
          <cell r="X811">
            <v>14</v>
          </cell>
          <cell r="Y811">
            <v>6</v>
          </cell>
          <cell r="Z811">
            <v>0.428571429</v>
          </cell>
        </row>
        <row r="812">
          <cell r="B812" t="str">
            <v>F560_2B</v>
          </cell>
          <cell r="C812" t="str">
            <v>R1_F560_2B</v>
          </cell>
          <cell r="D812">
            <v>0</v>
          </cell>
          <cell r="E812">
            <v>1.4</v>
          </cell>
          <cell r="F812">
            <v>50</v>
          </cell>
          <cell r="G812">
            <v>0</v>
          </cell>
          <cell r="H812">
            <v>44</v>
          </cell>
          <cell r="I812">
            <v>6</v>
          </cell>
          <cell r="J812">
            <v>4</v>
          </cell>
          <cell r="K812">
            <v>1</v>
          </cell>
          <cell r="L812">
            <v>11.047139</v>
          </cell>
          <cell r="M812">
            <v>-85.234286999999995</v>
          </cell>
          <cell r="N812" t="str">
            <v>Norte</v>
          </cell>
          <cell r="O812">
            <v>0</v>
          </cell>
          <cell r="P812" t="str">
            <v>nambi</v>
          </cell>
          <cell r="Q812" t="str">
            <v>cabecar</v>
          </cell>
          <cell r="R812" t="b">
            <v>0</v>
          </cell>
          <cell r="S812" t="str">
            <v>560_2</v>
          </cell>
          <cell r="T812">
            <v>0</v>
          </cell>
          <cell r="U812">
            <v>2</v>
          </cell>
          <cell r="V812">
            <v>1</v>
          </cell>
          <cell r="W812">
            <v>0.5</v>
          </cell>
          <cell r="X812">
            <v>14</v>
          </cell>
          <cell r="Y812">
            <v>6</v>
          </cell>
          <cell r="Z812">
            <v>0.428571429</v>
          </cell>
        </row>
        <row r="813">
          <cell r="B813" t="str">
            <v>F561_1B</v>
          </cell>
          <cell r="C813" t="str">
            <v>R1_F561_1B</v>
          </cell>
          <cell r="D813">
            <v>0</v>
          </cell>
          <cell r="E813">
            <v>1</v>
          </cell>
          <cell r="F813">
            <v>145</v>
          </cell>
          <cell r="G813">
            <v>1</v>
          </cell>
          <cell r="H813">
            <v>23</v>
          </cell>
          <cell r="I813">
            <v>6</v>
          </cell>
          <cell r="J813">
            <v>3</v>
          </cell>
          <cell r="K813">
            <v>1</v>
          </cell>
          <cell r="L813">
            <v>10.952797</v>
          </cell>
          <cell r="M813">
            <v>-85.231393999999995</v>
          </cell>
          <cell r="N813" t="str">
            <v>Norte</v>
          </cell>
          <cell r="O813">
            <v>0</v>
          </cell>
          <cell r="P813" t="str">
            <v>nambi</v>
          </cell>
          <cell r="Q813" t="str">
            <v>matambu</v>
          </cell>
          <cell r="R813" t="b">
            <v>0</v>
          </cell>
          <cell r="S813" t="str">
            <v>561_1</v>
          </cell>
          <cell r="T813">
            <v>0</v>
          </cell>
          <cell r="U813">
            <v>0</v>
          </cell>
          <cell r="V813">
            <v>0</v>
          </cell>
          <cell r="W813" t="str">
            <v>NA</v>
          </cell>
          <cell r="X813">
            <v>1</v>
          </cell>
          <cell r="Y813">
            <v>0</v>
          </cell>
          <cell r="Z813">
            <v>0</v>
          </cell>
        </row>
        <row r="814">
          <cell r="B814" t="str">
            <v>F561_2B</v>
          </cell>
          <cell r="C814" t="str">
            <v>R1_F561_2B</v>
          </cell>
          <cell r="D814">
            <v>0</v>
          </cell>
          <cell r="E814">
            <v>0.35</v>
          </cell>
          <cell r="F814">
            <v>145</v>
          </cell>
          <cell r="G814">
            <v>1</v>
          </cell>
          <cell r="H814">
            <v>23</v>
          </cell>
          <cell r="I814">
            <v>6</v>
          </cell>
          <cell r="J814">
            <v>3</v>
          </cell>
          <cell r="K814">
            <v>1</v>
          </cell>
          <cell r="L814">
            <v>10.952797</v>
          </cell>
          <cell r="M814">
            <v>-85.231393999999995</v>
          </cell>
          <cell r="N814" t="str">
            <v>Norte</v>
          </cell>
          <cell r="O814">
            <v>0</v>
          </cell>
          <cell r="P814" t="str">
            <v>uran</v>
          </cell>
          <cell r="Q814" t="str">
            <v>other</v>
          </cell>
          <cell r="R814" t="str">
            <v>Not applicable</v>
          </cell>
          <cell r="S814" t="str">
            <v>561_2</v>
          </cell>
          <cell r="T814">
            <v>0</v>
          </cell>
          <cell r="U814">
            <v>0</v>
          </cell>
          <cell r="V814">
            <v>0</v>
          </cell>
          <cell r="W814" t="str">
            <v>NA</v>
          </cell>
          <cell r="X814">
            <v>1</v>
          </cell>
          <cell r="Y814">
            <v>0</v>
          </cell>
          <cell r="Z814">
            <v>0</v>
          </cell>
        </row>
        <row r="815">
          <cell r="B815" t="str">
            <v>F562_1B</v>
          </cell>
          <cell r="C815" t="str">
            <v>R1_F562_1B</v>
          </cell>
          <cell r="D815">
            <v>1</v>
          </cell>
          <cell r="E815">
            <v>2.1</v>
          </cell>
          <cell r="F815">
            <v>149</v>
          </cell>
          <cell r="G815">
            <v>1</v>
          </cell>
          <cell r="H815">
            <v>43</v>
          </cell>
          <cell r="I815">
            <v>6</v>
          </cell>
          <cell r="J815">
            <v>5</v>
          </cell>
          <cell r="K815">
            <v>1</v>
          </cell>
          <cell r="L815">
            <v>10.985948</v>
          </cell>
          <cell r="M815">
            <v>-85.229754999999997</v>
          </cell>
          <cell r="N815" t="str">
            <v>Norte</v>
          </cell>
          <cell r="O815">
            <v>0</v>
          </cell>
          <cell r="P815" t="str">
            <v>nambi</v>
          </cell>
          <cell r="Q815" t="str">
            <v>nambi</v>
          </cell>
          <cell r="R815" t="b">
            <v>1</v>
          </cell>
          <cell r="S815" t="str">
            <v>562_1</v>
          </cell>
          <cell r="T815">
            <v>1</v>
          </cell>
          <cell r="U815">
            <v>6</v>
          </cell>
          <cell r="V815">
            <v>3</v>
          </cell>
          <cell r="W815">
            <v>0.5</v>
          </cell>
          <cell r="X815">
            <v>13</v>
          </cell>
          <cell r="Y815">
            <v>5</v>
          </cell>
          <cell r="Z815">
            <v>0.38461538499999998</v>
          </cell>
        </row>
        <row r="816">
          <cell r="B816" t="str">
            <v>F563_1B</v>
          </cell>
          <cell r="C816" t="str">
            <v>R1_F563_1B</v>
          </cell>
          <cell r="D816">
            <v>0</v>
          </cell>
          <cell r="E816">
            <v>1</v>
          </cell>
          <cell r="F816">
            <v>158</v>
          </cell>
          <cell r="G816">
            <v>1</v>
          </cell>
          <cell r="H816">
            <v>52</v>
          </cell>
          <cell r="I816">
            <v>6</v>
          </cell>
          <cell r="J816">
            <v>7</v>
          </cell>
          <cell r="K816">
            <v>0</v>
          </cell>
          <cell r="L816">
            <v>10.993181</v>
          </cell>
          <cell r="M816">
            <v>-85.240364999999997</v>
          </cell>
          <cell r="N816" t="str">
            <v>Norte</v>
          </cell>
          <cell r="O816">
            <v>0</v>
          </cell>
          <cell r="P816" t="str">
            <v>talamanca</v>
          </cell>
          <cell r="Q816" t="str">
            <v>nambi</v>
          </cell>
          <cell r="R816" t="b">
            <v>0</v>
          </cell>
          <cell r="S816" t="str">
            <v>563_1</v>
          </cell>
          <cell r="T816">
            <v>0</v>
          </cell>
          <cell r="U816">
            <v>0</v>
          </cell>
          <cell r="V816">
            <v>0</v>
          </cell>
          <cell r="W816" t="str">
            <v>NA</v>
          </cell>
          <cell r="X816">
            <v>12</v>
          </cell>
          <cell r="Y816">
            <v>9</v>
          </cell>
          <cell r="Z816">
            <v>0.75</v>
          </cell>
        </row>
        <row r="817">
          <cell r="B817" t="str">
            <v>F563_2B</v>
          </cell>
          <cell r="C817" t="str">
            <v>R1_F563_2B</v>
          </cell>
          <cell r="D817">
            <v>1</v>
          </cell>
          <cell r="E817">
            <v>1</v>
          </cell>
          <cell r="F817">
            <v>158</v>
          </cell>
          <cell r="G817">
            <v>1</v>
          </cell>
          <cell r="H817">
            <v>52</v>
          </cell>
          <cell r="I817">
            <v>6</v>
          </cell>
          <cell r="J817">
            <v>7</v>
          </cell>
          <cell r="K817">
            <v>1</v>
          </cell>
          <cell r="L817">
            <v>10.993181</v>
          </cell>
          <cell r="M817">
            <v>-85.240364999999997</v>
          </cell>
          <cell r="N817" t="str">
            <v>Norte</v>
          </cell>
          <cell r="O817">
            <v>0</v>
          </cell>
          <cell r="P817" t="str">
            <v>matambu</v>
          </cell>
          <cell r="Q817" t="str">
            <v>matambu</v>
          </cell>
          <cell r="R817" t="b">
            <v>1</v>
          </cell>
          <cell r="S817" t="str">
            <v>563_2</v>
          </cell>
          <cell r="T817">
            <v>1</v>
          </cell>
          <cell r="U817">
            <v>0</v>
          </cell>
          <cell r="V817">
            <v>0</v>
          </cell>
          <cell r="W817" t="str">
            <v>NA</v>
          </cell>
          <cell r="X817">
            <v>12</v>
          </cell>
          <cell r="Y817">
            <v>9</v>
          </cell>
          <cell r="Z817">
            <v>0.75</v>
          </cell>
        </row>
        <row r="818">
          <cell r="B818" t="str">
            <v>F563_3B</v>
          </cell>
          <cell r="C818" t="str">
            <v>R1_F563_3B</v>
          </cell>
          <cell r="D818">
            <v>0</v>
          </cell>
          <cell r="E818">
            <v>0.14000000000000001</v>
          </cell>
          <cell r="F818">
            <v>158</v>
          </cell>
          <cell r="G818">
            <v>1</v>
          </cell>
          <cell r="H818">
            <v>52</v>
          </cell>
          <cell r="I818">
            <v>6</v>
          </cell>
          <cell r="J818">
            <v>7</v>
          </cell>
          <cell r="K818">
            <v>1</v>
          </cell>
          <cell r="L818">
            <v>10.993181</v>
          </cell>
          <cell r="M818">
            <v>-85.240364999999997</v>
          </cell>
          <cell r="N818" t="str">
            <v>Norte</v>
          </cell>
          <cell r="O818">
            <v>0</v>
          </cell>
          <cell r="P818" t="str">
            <v>tayni</v>
          </cell>
          <cell r="Q818" t="str">
            <v>dontknow</v>
          </cell>
          <cell r="R818" t="str">
            <v>Not applicable</v>
          </cell>
          <cell r="S818" t="str">
            <v>563_3</v>
          </cell>
          <cell r="T818">
            <v>0</v>
          </cell>
          <cell r="U818">
            <v>0</v>
          </cell>
          <cell r="V818">
            <v>0</v>
          </cell>
          <cell r="W818" t="str">
            <v>NA</v>
          </cell>
          <cell r="X818">
            <v>12</v>
          </cell>
          <cell r="Y818">
            <v>9</v>
          </cell>
          <cell r="Z818">
            <v>0.75</v>
          </cell>
        </row>
        <row r="819">
          <cell r="B819" t="str">
            <v>F564_1B</v>
          </cell>
          <cell r="C819" t="str">
            <v>R1_F564_1B</v>
          </cell>
          <cell r="D819">
            <v>0</v>
          </cell>
          <cell r="E819">
            <v>1.05</v>
          </cell>
          <cell r="F819">
            <v>161</v>
          </cell>
          <cell r="G819">
            <v>1</v>
          </cell>
          <cell r="H819">
            <v>51</v>
          </cell>
          <cell r="I819">
            <v>6</v>
          </cell>
          <cell r="J819">
            <v>6</v>
          </cell>
          <cell r="K819">
            <v>1</v>
          </cell>
          <cell r="L819">
            <v>10.988614999999999</v>
          </cell>
          <cell r="M819">
            <v>-85.233923000000004</v>
          </cell>
          <cell r="N819" t="str">
            <v>Norte</v>
          </cell>
          <cell r="O819">
            <v>0</v>
          </cell>
          <cell r="P819" t="str">
            <v>guaymi</v>
          </cell>
          <cell r="Q819" t="str">
            <v>cabecar</v>
          </cell>
          <cell r="R819" t="b">
            <v>0</v>
          </cell>
          <cell r="S819" t="str">
            <v>564_1</v>
          </cell>
          <cell r="T819">
            <v>0</v>
          </cell>
          <cell r="U819">
            <v>6</v>
          </cell>
          <cell r="V819">
            <v>4</v>
          </cell>
          <cell r="W819">
            <v>0.66666666699999999</v>
          </cell>
          <cell r="X819">
            <v>11</v>
          </cell>
          <cell r="Y819">
            <v>6</v>
          </cell>
          <cell r="Z819">
            <v>0.54545454500000001</v>
          </cell>
        </row>
        <row r="820">
          <cell r="B820" t="str">
            <v>F565_1B</v>
          </cell>
          <cell r="C820" t="str">
            <v>R1_F565_1B</v>
          </cell>
          <cell r="D820">
            <v>0</v>
          </cell>
          <cell r="E820">
            <v>0.14000000000000001</v>
          </cell>
          <cell r="F820">
            <v>54</v>
          </cell>
          <cell r="G820">
            <v>0</v>
          </cell>
          <cell r="H820">
            <v>46</v>
          </cell>
          <cell r="I820">
            <v>11</v>
          </cell>
          <cell r="J820">
            <v>7</v>
          </cell>
          <cell r="K820">
            <v>1</v>
          </cell>
          <cell r="L820">
            <v>10.993563999999999</v>
          </cell>
          <cell r="M820">
            <v>-85.183683000000002</v>
          </cell>
          <cell r="N820" t="str">
            <v>Norte</v>
          </cell>
          <cell r="O820">
            <v>0</v>
          </cell>
          <cell r="P820" t="str">
            <v>brunca</v>
          </cell>
          <cell r="Q820" t="str">
            <v>guaymi</v>
          </cell>
          <cell r="R820" t="b">
            <v>0</v>
          </cell>
          <cell r="S820" t="str">
            <v>565_1</v>
          </cell>
          <cell r="T820">
            <v>0</v>
          </cell>
          <cell r="U820">
            <v>1</v>
          </cell>
          <cell r="V820">
            <v>0</v>
          </cell>
          <cell r="W820">
            <v>0</v>
          </cell>
          <cell r="X820">
            <v>15</v>
          </cell>
          <cell r="Y820">
            <v>3</v>
          </cell>
          <cell r="Z820">
            <v>0.2</v>
          </cell>
        </row>
        <row r="821">
          <cell r="B821" t="str">
            <v>F565_2B</v>
          </cell>
          <cell r="C821" t="str">
            <v>R1_F565_2B</v>
          </cell>
          <cell r="D821">
            <v>0</v>
          </cell>
          <cell r="E821">
            <v>0.14000000000000001</v>
          </cell>
          <cell r="F821">
            <v>54</v>
          </cell>
          <cell r="G821">
            <v>0</v>
          </cell>
          <cell r="H821">
            <v>46</v>
          </cell>
          <cell r="I821">
            <v>11</v>
          </cell>
          <cell r="J821">
            <v>7</v>
          </cell>
          <cell r="K821">
            <v>0</v>
          </cell>
          <cell r="L821">
            <v>10.993563999999999</v>
          </cell>
          <cell r="M821">
            <v>-85.183683000000002</v>
          </cell>
          <cell r="N821" t="str">
            <v>Norte</v>
          </cell>
          <cell r="O821">
            <v>0</v>
          </cell>
          <cell r="P821" t="str">
            <v>victoria</v>
          </cell>
          <cell r="Q821" t="str">
            <v>cabecar</v>
          </cell>
          <cell r="R821" t="b">
            <v>0</v>
          </cell>
          <cell r="S821" t="str">
            <v>565_2</v>
          </cell>
          <cell r="T821">
            <v>0</v>
          </cell>
          <cell r="U821">
            <v>1</v>
          </cell>
          <cell r="V821">
            <v>0</v>
          </cell>
          <cell r="W821">
            <v>0</v>
          </cell>
          <cell r="X821">
            <v>15</v>
          </cell>
          <cell r="Y821">
            <v>3</v>
          </cell>
          <cell r="Z821">
            <v>0.2</v>
          </cell>
        </row>
        <row r="822">
          <cell r="B822" t="str">
            <v>F565_3B</v>
          </cell>
          <cell r="C822" t="str">
            <v>R1_F565_3B</v>
          </cell>
          <cell r="D822">
            <v>0</v>
          </cell>
          <cell r="E822">
            <v>0.21</v>
          </cell>
          <cell r="F822">
            <v>54</v>
          </cell>
          <cell r="G822">
            <v>0</v>
          </cell>
          <cell r="H822">
            <v>46</v>
          </cell>
          <cell r="I822">
            <v>11</v>
          </cell>
          <cell r="J822">
            <v>7</v>
          </cell>
          <cell r="K822">
            <v>1</v>
          </cell>
          <cell r="L822">
            <v>10.993563999999999</v>
          </cell>
          <cell r="M822">
            <v>-85.183683000000002</v>
          </cell>
          <cell r="N822" t="str">
            <v>Norte</v>
          </cell>
          <cell r="O822">
            <v>0</v>
          </cell>
          <cell r="P822" t="str">
            <v>brunca</v>
          </cell>
          <cell r="Q822" t="str">
            <v>other</v>
          </cell>
          <cell r="R822" t="str">
            <v>Not applicable</v>
          </cell>
          <cell r="S822" t="str">
            <v>565_3</v>
          </cell>
          <cell r="T822">
            <v>0</v>
          </cell>
          <cell r="U822">
            <v>1</v>
          </cell>
          <cell r="V822">
            <v>0</v>
          </cell>
          <cell r="W822">
            <v>0</v>
          </cell>
          <cell r="X822">
            <v>15</v>
          </cell>
          <cell r="Y822">
            <v>3</v>
          </cell>
          <cell r="Z822">
            <v>0.2</v>
          </cell>
        </row>
        <row r="823">
          <cell r="B823" t="str">
            <v>F566_1B</v>
          </cell>
          <cell r="C823" t="str">
            <v>R1_F566_1B</v>
          </cell>
          <cell r="D823">
            <v>0</v>
          </cell>
          <cell r="E823">
            <v>1.5</v>
          </cell>
          <cell r="F823">
            <v>52</v>
          </cell>
          <cell r="G823">
            <v>1</v>
          </cell>
          <cell r="H823">
            <v>44</v>
          </cell>
          <cell r="I823">
            <v>6</v>
          </cell>
          <cell r="J823">
            <v>7</v>
          </cell>
          <cell r="K823">
            <v>0</v>
          </cell>
          <cell r="L823">
            <v>10.99169</v>
          </cell>
          <cell r="M823">
            <v>-85.182890999999998</v>
          </cell>
          <cell r="N823" t="str">
            <v>Norte</v>
          </cell>
          <cell r="O823">
            <v>0</v>
          </cell>
          <cell r="P823" t="str">
            <v>tequila</v>
          </cell>
          <cell r="Q823" t="str">
            <v>guaymi</v>
          </cell>
          <cell r="R823" t="b">
            <v>0</v>
          </cell>
          <cell r="S823" t="str">
            <v>566_1</v>
          </cell>
          <cell r="T823">
            <v>0</v>
          </cell>
          <cell r="U823">
            <v>3</v>
          </cell>
          <cell r="V823">
            <v>0</v>
          </cell>
          <cell r="W823">
            <v>0</v>
          </cell>
          <cell r="X823">
            <v>17</v>
          </cell>
          <cell r="Y823">
            <v>3</v>
          </cell>
          <cell r="Z823">
            <v>0.17647058800000001</v>
          </cell>
        </row>
        <row r="824">
          <cell r="B824" t="str">
            <v>F567_1B</v>
          </cell>
          <cell r="C824" t="str">
            <v>R1_F567_1B</v>
          </cell>
          <cell r="D824">
            <v>0</v>
          </cell>
          <cell r="E824">
            <v>0</v>
          </cell>
          <cell r="F824">
            <v>67</v>
          </cell>
          <cell r="G824">
            <v>1</v>
          </cell>
          <cell r="H824">
            <v>53</v>
          </cell>
          <cell r="I824">
            <v>6</v>
          </cell>
          <cell r="J824">
            <v>5</v>
          </cell>
          <cell r="K824">
            <v>0</v>
          </cell>
          <cell r="L824">
            <v>10.975834000000001</v>
          </cell>
          <cell r="M824">
            <v>-85.194141000000002</v>
          </cell>
          <cell r="N824" t="str">
            <v>Norte</v>
          </cell>
          <cell r="O824">
            <v>0</v>
          </cell>
          <cell r="P824" t="str">
            <v>generalito</v>
          </cell>
          <cell r="Q824" t="str">
            <v>other</v>
          </cell>
          <cell r="R824" t="str">
            <v>Not applicable</v>
          </cell>
          <cell r="S824" t="str">
            <v>567_1</v>
          </cell>
          <cell r="T824">
            <v>0</v>
          </cell>
          <cell r="U824">
            <v>4</v>
          </cell>
          <cell r="V824">
            <v>1</v>
          </cell>
          <cell r="W824">
            <v>0.25</v>
          </cell>
          <cell r="X824">
            <v>22</v>
          </cell>
          <cell r="Y824">
            <v>4</v>
          </cell>
          <cell r="Z824">
            <v>0.18181818199999999</v>
          </cell>
        </row>
        <row r="825">
          <cell r="B825" t="str">
            <v>F568_1B</v>
          </cell>
          <cell r="C825" t="str">
            <v>R1_F568_1B</v>
          </cell>
          <cell r="D825">
            <v>0</v>
          </cell>
          <cell r="E825">
            <v>0.49</v>
          </cell>
          <cell r="F825">
            <v>60</v>
          </cell>
          <cell r="G825">
            <v>1</v>
          </cell>
          <cell r="H825">
            <v>47</v>
          </cell>
          <cell r="I825">
            <v>6</v>
          </cell>
          <cell r="J825">
            <v>3</v>
          </cell>
          <cell r="K825">
            <v>1</v>
          </cell>
          <cell r="L825">
            <v>10.982873</v>
          </cell>
          <cell r="M825">
            <v>-85.187875000000005</v>
          </cell>
          <cell r="N825" t="str">
            <v>Norte</v>
          </cell>
          <cell r="O825">
            <v>0</v>
          </cell>
          <cell r="P825" t="str">
            <v>brunca</v>
          </cell>
          <cell r="Q825" t="str">
            <v>guaymi</v>
          </cell>
          <cell r="R825" t="b">
            <v>0</v>
          </cell>
          <cell r="S825" t="str">
            <v>568_1</v>
          </cell>
          <cell r="T825">
            <v>0</v>
          </cell>
          <cell r="U825">
            <v>0</v>
          </cell>
          <cell r="V825">
            <v>0</v>
          </cell>
          <cell r="W825" t="str">
            <v>NA</v>
          </cell>
          <cell r="X825">
            <v>17</v>
          </cell>
          <cell r="Y825">
            <v>3</v>
          </cell>
          <cell r="Z825">
            <v>0.17647058800000001</v>
          </cell>
        </row>
        <row r="826">
          <cell r="B826" t="str">
            <v>F568_2B</v>
          </cell>
          <cell r="C826" t="str">
            <v>R1_F568_2B</v>
          </cell>
          <cell r="D826">
            <v>0</v>
          </cell>
          <cell r="E826">
            <v>0.28000000000000003</v>
          </cell>
          <cell r="F826">
            <v>60</v>
          </cell>
          <cell r="G826">
            <v>1</v>
          </cell>
          <cell r="H826">
            <v>47</v>
          </cell>
          <cell r="I826">
            <v>6</v>
          </cell>
          <cell r="J826">
            <v>3</v>
          </cell>
          <cell r="K826">
            <v>1</v>
          </cell>
          <cell r="L826">
            <v>10.982873</v>
          </cell>
          <cell r="M826">
            <v>-85.187875000000005</v>
          </cell>
          <cell r="N826" t="str">
            <v>Norte</v>
          </cell>
          <cell r="O826">
            <v>0</v>
          </cell>
          <cell r="P826" t="str">
            <v>brunca</v>
          </cell>
          <cell r="Q826" t="str">
            <v>other</v>
          </cell>
          <cell r="R826" t="str">
            <v>Not applicable</v>
          </cell>
          <cell r="S826" t="str">
            <v>568_2</v>
          </cell>
          <cell r="T826">
            <v>0</v>
          </cell>
          <cell r="U826">
            <v>0</v>
          </cell>
          <cell r="V826">
            <v>0</v>
          </cell>
          <cell r="W826" t="str">
            <v>NA</v>
          </cell>
          <cell r="X826">
            <v>17</v>
          </cell>
          <cell r="Y826">
            <v>3</v>
          </cell>
          <cell r="Z826">
            <v>0.17647058800000001</v>
          </cell>
        </row>
        <row r="827">
          <cell r="B827" t="str">
            <v>F568_3B</v>
          </cell>
          <cell r="C827" t="str">
            <v>R1_F568_3B</v>
          </cell>
          <cell r="D827">
            <v>1</v>
          </cell>
          <cell r="E827">
            <v>0</v>
          </cell>
          <cell r="F827">
            <v>60</v>
          </cell>
          <cell r="G827">
            <v>1</v>
          </cell>
          <cell r="H827">
            <v>47</v>
          </cell>
          <cell r="I827">
            <v>6</v>
          </cell>
          <cell r="J827">
            <v>3</v>
          </cell>
          <cell r="K827">
            <v>0</v>
          </cell>
          <cell r="L827">
            <v>10.982873</v>
          </cell>
          <cell r="M827">
            <v>-85.187875000000005</v>
          </cell>
          <cell r="N827" t="str">
            <v>Norte</v>
          </cell>
          <cell r="O827">
            <v>0</v>
          </cell>
          <cell r="P827" t="str">
            <v>mantequilla</v>
          </cell>
          <cell r="Q827" t="str">
            <v>mantequilla</v>
          </cell>
          <cell r="R827" t="b">
            <v>1</v>
          </cell>
          <cell r="S827" t="str">
            <v>568_3</v>
          </cell>
          <cell r="T827">
            <v>1</v>
          </cell>
          <cell r="U827">
            <v>0</v>
          </cell>
          <cell r="V827">
            <v>0</v>
          </cell>
          <cell r="W827" t="str">
            <v>NA</v>
          </cell>
          <cell r="X827">
            <v>17</v>
          </cell>
          <cell r="Y827">
            <v>3</v>
          </cell>
          <cell r="Z827">
            <v>0.17647058800000001</v>
          </cell>
        </row>
        <row r="828">
          <cell r="B828" t="str">
            <v>F568_4B</v>
          </cell>
          <cell r="C828" t="str">
            <v>R1_F568_4B</v>
          </cell>
          <cell r="D828">
            <v>0</v>
          </cell>
          <cell r="E828">
            <v>0</v>
          </cell>
          <cell r="F828">
            <v>60</v>
          </cell>
          <cell r="G828">
            <v>1</v>
          </cell>
          <cell r="H828">
            <v>47</v>
          </cell>
          <cell r="I828">
            <v>6</v>
          </cell>
          <cell r="J828">
            <v>3</v>
          </cell>
          <cell r="K828">
            <v>1</v>
          </cell>
          <cell r="L828">
            <v>10.982873</v>
          </cell>
          <cell r="M828">
            <v>-85.187875000000005</v>
          </cell>
          <cell r="N828" t="str">
            <v>Norte</v>
          </cell>
          <cell r="O828">
            <v>0</v>
          </cell>
          <cell r="P828" t="str">
            <v>guaymi</v>
          </cell>
          <cell r="Q828" t="str">
            <v>dontknow</v>
          </cell>
          <cell r="R828" t="str">
            <v>Not applicable</v>
          </cell>
          <cell r="S828" t="str">
            <v>568_4</v>
          </cell>
          <cell r="T828">
            <v>0</v>
          </cell>
          <cell r="U828">
            <v>0</v>
          </cell>
          <cell r="V828">
            <v>0</v>
          </cell>
          <cell r="W828" t="str">
            <v>NA</v>
          </cell>
          <cell r="X828">
            <v>17</v>
          </cell>
          <cell r="Y828">
            <v>3</v>
          </cell>
          <cell r="Z828">
            <v>0.17647058800000001</v>
          </cell>
        </row>
        <row r="829">
          <cell r="B829" t="str">
            <v>F568_5B</v>
          </cell>
          <cell r="C829" t="str">
            <v>R1_F568_5B</v>
          </cell>
          <cell r="D829">
            <v>0</v>
          </cell>
          <cell r="E829">
            <v>7.0000000000000007E-2</v>
          </cell>
          <cell r="F829">
            <v>60</v>
          </cell>
          <cell r="G829">
            <v>1</v>
          </cell>
          <cell r="H829">
            <v>47</v>
          </cell>
          <cell r="I829">
            <v>6</v>
          </cell>
          <cell r="J829">
            <v>3</v>
          </cell>
          <cell r="K829">
            <v>1</v>
          </cell>
          <cell r="L829">
            <v>10.982873</v>
          </cell>
          <cell r="M829">
            <v>-85.187875000000005</v>
          </cell>
          <cell r="N829" t="str">
            <v>Norte</v>
          </cell>
          <cell r="O829">
            <v>0</v>
          </cell>
          <cell r="P829" t="str">
            <v>uran</v>
          </cell>
          <cell r="Q829" t="str">
            <v>assay</v>
          </cell>
          <cell r="R829" t="str">
            <v>Not applicable</v>
          </cell>
          <cell r="S829" t="str">
            <v>568_5</v>
          </cell>
          <cell r="T829">
            <v>0</v>
          </cell>
          <cell r="U829">
            <v>0</v>
          </cell>
          <cell r="V829">
            <v>0</v>
          </cell>
          <cell r="W829" t="str">
            <v>NA</v>
          </cell>
          <cell r="X829">
            <v>17</v>
          </cell>
          <cell r="Y829">
            <v>3</v>
          </cell>
          <cell r="Z829">
            <v>0.17647058800000001</v>
          </cell>
        </row>
        <row r="830">
          <cell r="B830" t="str">
            <v>F568_6B</v>
          </cell>
          <cell r="C830" t="str">
            <v>R1_F568_6B</v>
          </cell>
          <cell r="D830">
            <v>0</v>
          </cell>
          <cell r="E830">
            <v>0.28000000000000003</v>
          </cell>
          <cell r="F830">
            <v>60</v>
          </cell>
          <cell r="G830">
            <v>1</v>
          </cell>
          <cell r="H830">
            <v>47</v>
          </cell>
          <cell r="I830">
            <v>6</v>
          </cell>
          <cell r="J830">
            <v>3</v>
          </cell>
          <cell r="K830">
            <v>0</v>
          </cell>
          <cell r="L830">
            <v>10.982873</v>
          </cell>
          <cell r="M830">
            <v>-85.187875000000005</v>
          </cell>
          <cell r="N830" t="str">
            <v>Norte</v>
          </cell>
          <cell r="O830">
            <v>0</v>
          </cell>
          <cell r="P830" t="str">
            <v>victoria</v>
          </cell>
          <cell r="Q830" t="str">
            <v>assay</v>
          </cell>
          <cell r="R830" t="str">
            <v>Not applicable</v>
          </cell>
          <cell r="S830" t="str">
            <v>568_6</v>
          </cell>
          <cell r="T830">
            <v>0</v>
          </cell>
          <cell r="U830">
            <v>0</v>
          </cell>
          <cell r="V830">
            <v>0</v>
          </cell>
          <cell r="W830" t="str">
            <v>NA</v>
          </cell>
          <cell r="X830">
            <v>17</v>
          </cell>
          <cell r="Y830">
            <v>3</v>
          </cell>
          <cell r="Z830">
            <v>0.17647058800000001</v>
          </cell>
        </row>
        <row r="831">
          <cell r="B831" t="str">
            <v>F569_1B</v>
          </cell>
          <cell r="C831" t="str">
            <v>R1_F569_1B</v>
          </cell>
          <cell r="D831">
            <v>0</v>
          </cell>
          <cell r="E831">
            <v>0.49</v>
          </cell>
          <cell r="F831">
            <v>66</v>
          </cell>
          <cell r="G831">
            <v>1</v>
          </cell>
          <cell r="H831">
            <v>50</v>
          </cell>
          <cell r="I831">
            <v>4</v>
          </cell>
          <cell r="J831">
            <v>1</v>
          </cell>
          <cell r="K831">
            <v>1</v>
          </cell>
          <cell r="L831">
            <v>10.976820999999999</v>
          </cell>
          <cell r="M831">
            <v>-85.191946999999999</v>
          </cell>
          <cell r="N831" t="str">
            <v>Norte</v>
          </cell>
          <cell r="O831">
            <v>0</v>
          </cell>
          <cell r="P831" t="str">
            <v>brunca</v>
          </cell>
          <cell r="Q831" t="str">
            <v>guaymi</v>
          </cell>
          <cell r="R831" t="b">
            <v>0</v>
          </cell>
          <cell r="S831" t="str">
            <v>569_1</v>
          </cell>
          <cell r="T831">
            <v>0</v>
          </cell>
          <cell r="U831">
            <v>5</v>
          </cell>
          <cell r="V831">
            <v>2</v>
          </cell>
          <cell r="W831">
            <v>0.4</v>
          </cell>
          <cell r="X831">
            <v>21</v>
          </cell>
          <cell r="Y831">
            <v>4</v>
          </cell>
          <cell r="Z831">
            <v>0.19047618999999999</v>
          </cell>
        </row>
        <row r="832">
          <cell r="B832" t="str">
            <v>F570_1B</v>
          </cell>
          <cell r="C832" t="str">
            <v>R1_F570_1B</v>
          </cell>
          <cell r="D832">
            <v>1</v>
          </cell>
          <cell r="E832">
            <v>1</v>
          </cell>
          <cell r="F832">
            <v>65</v>
          </cell>
          <cell r="G832">
            <v>1</v>
          </cell>
          <cell r="H832">
            <v>56</v>
          </cell>
          <cell r="I832">
            <v>6</v>
          </cell>
          <cell r="J832">
            <v>4</v>
          </cell>
          <cell r="K832">
            <v>1</v>
          </cell>
          <cell r="L832">
            <v>10.974318999999999</v>
          </cell>
          <cell r="M832">
            <v>-85.187118999999996</v>
          </cell>
          <cell r="N832" t="str">
            <v>Norte</v>
          </cell>
          <cell r="O832">
            <v>0</v>
          </cell>
          <cell r="P832" t="str">
            <v>nambi</v>
          </cell>
          <cell r="Q832" t="str">
            <v>nambi</v>
          </cell>
          <cell r="R832" t="b">
            <v>1</v>
          </cell>
          <cell r="S832" t="str">
            <v>570_1</v>
          </cell>
          <cell r="T832">
            <v>1</v>
          </cell>
          <cell r="U832">
            <v>4</v>
          </cell>
          <cell r="V832">
            <v>1</v>
          </cell>
          <cell r="W832">
            <v>0.25</v>
          </cell>
          <cell r="X832">
            <v>21</v>
          </cell>
          <cell r="Y832">
            <v>3</v>
          </cell>
          <cell r="Z832">
            <v>0.14285714299999999</v>
          </cell>
        </row>
        <row r="833">
          <cell r="B833" t="str">
            <v>F571_1B</v>
          </cell>
          <cell r="C833" t="str">
            <v>R1_F571_1B</v>
          </cell>
          <cell r="D833">
            <v>0</v>
          </cell>
          <cell r="E833">
            <v>1.5</v>
          </cell>
          <cell r="F833">
            <v>46</v>
          </cell>
          <cell r="G833">
            <v>1</v>
          </cell>
          <cell r="H833">
            <v>52</v>
          </cell>
          <cell r="I833">
            <v>6</v>
          </cell>
          <cell r="J833">
            <v>5</v>
          </cell>
          <cell r="K833">
            <v>1</v>
          </cell>
          <cell r="L833">
            <v>11.003112</v>
          </cell>
          <cell r="M833">
            <v>-85.145892000000003</v>
          </cell>
          <cell r="N833" t="str">
            <v>Norte</v>
          </cell>
          <cell r="O833">
            <v>0</v>
          </cell>
          <cell r="P833" t="str">
            <v>nambi</v>
          </cell>
          <cell r="Q833" t="str">
            <v>dontknow</v>
          </cell>
          <cell r="R833" t="str">
            <v>Not applicable</v>
          </cell>
          <cell r="S833" t="str">
            <v>571_1</v>
          </cell>
          <cell r="T833">
            <v>0</v>
          </cell>
          <cell r="U833">
            <v>2</v>
          </cell>
          <cell r="V833">
            <v>1</v>
          </cell>
          <cell r="W833">
            <v>0.5</v>
          </cell>
          <cell r="X833">
            <v>83</v>
          </cell>
          <cell r="Y833">
            <v>38</v>
          </cell>
          <cell r="Z833">
            <v>0.45783132500000001</v>
          </cell>
        </row>
        <row r="834">
          <cell r="B834" t="str">
            <v>F572_1B</v>
          </cell>
          <cell r="C834" t="str">
            <v>R1_F572_1B</v>
          </cell>
          <cell r="D834">
            <v>0</v>
          </cell>
          <cell r="E834">
            <v>0.7</v>
          </cell>
          <cell r="F834">
            <v>42</v>
          </cell>
          <cell r="G834">
            <v>1</v>
          </cell>
          <cell r="H834">
            <v>53</v>
          </cell>
          <cell r="I834">
            <v>3</v>
          </cell>
          <cell r="J834">
            <v>6</v>
          </cell>
          <cell r="K834">
            <v>0</v>
          </cell>
          <cell r="L834">
            <v>10.986599999999999</v>
          </cell>
          <cell r="M834">
            <v>-85.071730000000002</v>
          </cell>
          <cell r="N834" t="str">
            <v>Norte</v>
          </cell>
          <cell r="O834">
            <v>0</v>
          </cell>
          <cell r="P834" t="str">
            <v>tequila</v>
          </cell>
          <cell r="Q834" t="str">
            <v>other</v>
          </cell>
          <cell r="R834" t="str">
            <v>Not applicable</v>
          </cell>
          <cell r="S834" t="str">
            <v>572_1</v>
          </cell>
          <cell r="T834">
            <v>0</v>
          </cell>
          <cell r="U834">
            <v>4</v>
          </cell>
          <cell r="V834">
            <v>0</v>
          </cell>
          <cell r="W834">
            <v>0</v>
          </cell>
          <cell r="X834">
            <v>22</v>
          </cell>
          <cell r="Y834">
            <v>5</v>
          </cell>
          <cell r="Z834">
            <v>0.22727272700000001</v>
          </cell>
        </row>
        <row r="835">
          <cell r="B835" t="str">
            <v>F573_1B</v>
          </cell>
          <cell r="C835" t="str">
            <v>R1_F573_1B</v>
          </cell>
          <cell r="D835">
            <v>1</v>
          </cell>
          <cell r="E835">
            <v>0.7</v>
          </cell>
          <cell r="F835">
            <v>43</v>
          </cell>
          <cell r="G835">
            <v>1</v>
          </cell>
          <cell r="H835">
            <v>50</v>
          </cell>
          <cell r="I835">
            <v>5</v>
          </cell>
          <cell r="J835">
            <v>4</v>
          </cell>
          <cell r="K835">
            <v>1</v>
          </cell>
          <cell r="L835">
            <v>11.013495000000001</v>
          </cell>
          <cell r="M835">
            <v>-85.148019000000005</v>
          </cell>
          <cell r="N835" t="str">
            <v>Norte</v>
          </cell>
          <cell r="O835">
            <v>0</v>
          </cell>
          <cell r="P835" t="str">
            <v>guaymi</v>
          </cell>
          <cell r="Q835" t="str">
            <v>guaymi</v>
          </cell>
          <cell r="R835" t="b">
            <v>1</v>
          </cell>
          <cell r="S835" t="str">
            <v>573_1</v>
          </cell>
          <cell r="T835">
            <v>1</v>
          </cell>
          <cell r="U835">
            <v>6</v>
          </cell>
          <cell r="V835">
            <v>6</v>
          </cell>
          <cell r="W835">
            <v>1</v>
          </cell>
          <cell r="X835">
            <v>61</v>
          </cell>
          <cell r="Y835">
            <v>31</v>
          </cell>
          <cell r="Z835">
            <v>0.50819672100000002</v>
          </cell>
        </row>
        <row r="836">
          <cell r="B836" t="str">
            <v>F575_1B</v>
          </cell>
          <cell r="C836" t="str">
            <v>R1_F575_1B</v>
          </cell>
          <cell r="D836">
            <v>0</v>
          </cell>
          <cell r="E836">
            <v>0.49</v>
          </cell>
          <cell r="F836">
            <v>47</v>
          </cell>
          <cell r="G836">
            <v>1</v>
          </cell>
          <cell r="H836">
            <v>44</v>
          </cell>
          <cell r="I836">
            <v>16</v>
          </cell>
          <cell r="J836">
            <v>4</v>
          </cell>
          <cell r="K836">
            <v>1</v>
          </cell>
          <cell r="L836">
            <v>10.985557</v>
          </cell>
          <cell r="M836">
            <v>-85.071123999999998</v>
          </cell>
          <cell r="N836" t="str">
            <v>Norte</v>
          </cell>
          <cell r="O836">
            <v>0</v>
          </cell>
          <cell r="P836" t="str">
            <v>guaymi</v>
          </cell>
          <cell r="Q836" t="str">
            <v>other</v>
          </cell>
          <cell r="R836" t="str">
            <v>Not applicable</v>
          </cell>
          <cell r="S836" t="str">
            <v>575_1</v>
          </cell>
          <cell r="T836">
            <v>0</v>
          </cell>
          <cell r="U836">
            <v>4</v>
          </cell>
          <cell r="V836">
            <v>0</v>
          </cell>
          <cell r="W836">
            <v>0</v>
          </cell>
          <cell r="X836">
            <v>20</v>
          </cell>
          <cell r="Y836">
            <v>5</v>
          </cell>
          <cell r="Z836">
            <v>0.25</v>
          </cell>
        </row>
        <row r="837">
          <cell r="B837" t="str">
            <v>F576_1B</v>
          </cell>
          <cell r="C837" t="str">
            <v>R1_F576_1B</v>
          </cell>
          <cell r="D837">
            <v>0</v>
          </cell>
          <cell r="E837">
            <v>1</v>
          </cell>
          <cell r="F837">
            <v>47</v>
          </cell>
          <cell r="G837">
            <v>1</v>
          </cell>
          <cell r="H837">
            <v>57</v>
          </cell>
          <cell r="I837">
            <v>6</v>
          </cell>
          <cell r="J837">
            <v>3</v>
          </cell>
          <cell r="K837">
            <v>1</v>
          </cell>
          <cell r="L837">
            <v>10.984944</v>
          </cell>
          <cell r="M837">
            <v>-85.073250000000002</v>
          </cell>
          <cell r="N837" t="str">
            <v>Norte</v>
          </cell>
          <cell r="O837">
            <v>0</v>
          </cell>
          <cell r="P837" t="str">
            <v>nambi</v>
          </cell>
          <cell r="Q837" t="str">
            <v>matambu</v>
          </cell>
          <cell r="R837" t="b">
            <v>0</v>
          </cell>
          <cell r="S837" t="str">
            <v>576_1</v>
          </cell>
          <cell r="T837">
            <v>0</v>
          </cell>
          <cell r="U837">
            <v>4</v>
          </cell>
          <cell r="V837">
            <v>0</v>
          </cell>
          <cell r="W837">
            <v>0</v>
          </cell>
          <cell r="X837">
            <v>20</v>
          </cell>
          <cell r="Y837">
            <v>5</v>
          </cell>
          <cell r="Z837">
            <v>0.25</v>
          </cell>
        </row>
        <row r="838">
          <cell r="B838" t="str">
            <v>F577_1B</v>
          </cell>
          <cell r="C838" t="str">
            <v>R1_F577_1B</v>
          </cell>
          <cell r="D838">
            <v>0</v>
          </cell>
          <cell r="E838">
            <v>2</v>
          </cell>
          <cell r="F838">
            <v>42</v>
          </cell>
          <cell r="G838">
            <v>1</v>
          </cell>
          <cell r="H838">
            <v>58</v>
          </cell>
          <cell r="I838">
            <v>9</v>
          </cell>
          <cell r="J838">
            <v>6</v>
          </cell>
          <cell r="K838">
            <v>1</v>
          </cell>
          <cell r="L838">
            <v>10.993671000000001</v>
          </cell>
          <cell r="M838">
            <v>-85.077543000000006</v>
          </cell>
          <cell r="N838" t="str">
            <v>Norte</v>
          </cell>
          <cell r="O838">
            <v>0</v>
          </cell>
          <cell r="P838" t="str">
            <v>nambi</v>
          </cell>
          <cell r="Q838" t="str">
            <v>cabecar</v>
          </cell>
          <cell r="R838" t="b">
            <v>0</v>
          </cell>
          <cell r="S838" t="str">
            <v>577_1</v>
          </cell>
          <cell r="T838">
            <v>0</v>
          </cell>
          <cell r="U838">
            <v>1</v>
          </cell>
          <cell r="V838">
            <v>0</v>
          </cell>
          <cell r="W838">
            <v>0</v>
          </cell>
          <cell r="X838">
            <v>31</v>
          </cell>
          <cell r="Y838">
            <v>12</v>
          </cell>
          <cell r="Z838">
            <v>0.38709677399999998</v>
          </cell>
        </row>
        <row r="839">
          <cell r="B839" t="str">
            <v>F577_2B</v>
          </cell>
          <cell r="C839" t="str">
            <v>R1_F577_2B</v>
          </cell>
          <cell r="D839">
            <v>0</v>
          </cell>
          <cell r="E839">
            <v>3</v>
          </cell>
          <cell r="F839">
            <v>42</v>
          </cell>
          <cell r="G839">
            <v>1</v>
          </cell>
          <cell r="H839">
            <v>58</v>
          </cell>
          <cell r="I839">
            <v>9</v>
          </cell>
          <cell r="J839">
            <v>6</v>
          </cell>
          <cell r="K839">
            <v>0</v>
          </cell>
          <cell r="L839">
            <v>10.993671000000001</v>
          </cell>
          <cell r="M839">
            <v>-85.077543000000006</v>
          </cell>
          <cell r="N839" t="str">
            <v>Norte</v>
          </cell>
          <cell r="O839">
            <v>0</v>
          </cell>
          <cell r="P839" t="str">
            <v>victoria</v>
          </cell>
          <cell r="Q839" t="str">
            <v>matambu</v>
          </cell>
          <cell r="R839" t="b">
            <v>0</v>
          </cell>
          <cell r="S839" t="str">
            <v>577_2</v>
          </cell>
          <cell r="T839">
            <v>0</v>
          </cell>
          <cell r="U839">
            <v>1</v>
          </cell>
          <cell r="V839">
            <v>0</v>
          </cell>
          <cell r="W839">
            <v>0</v>
          </cell>
          <cell r="X839">
            <v>31</v>
          </cell>
          <cell r="Y839">
            <v>12</v>
          </cell>
          <cell r="Z839">
            <v>0.38709677399999998</v>
          </cell>
        </row>
        <row r="840">
          <cell r="B840" t="str">
            <v>F578_1B</v>
          </cell>
          <cell r="C840" t="str">
            <v>R1_F578_1B</v>
          </cell>
          <cell r="D840">
            <v>0</v>
          </cell>
          <cell r="E840">
            <v>7.0000000000000007E-2</v>
          </cell>
          <cell r="F840">
            <v>86</v>
          </cell>
          <cell r="G840">
            <v>1</v>
          </cell>
          <cell r="H840">
            <v>52</v>
          </cell>
          <cell r="I840">
            <v>6</v>
          </cell>
          <cell r="J840">
            <v>4</v>
          </cell>
          <cell r="K840">
            <v>0</v>
          </cell>
          <cell r="L840">
            <v>11.00493</v>
          </cell>
          <cell r="M840">
            <v>-85.219875000000002</v>
          </cell>
          <cell r="N840" t="str">
            <v>Norte</v>
          </cell>
          <cell r="O840">
            <v>0</v>
          </cell>
          <cell r="P840" t="str">
            <v>victoria</v>
          </cell>
          <cell r="Q840" t="str">
            <v>nambi</v>
          </cell>
          <cell r="R840" t="b">
            <v>0</v>
          </cell>
          <cell r="S840" t="str">
            <v>578_1</v>
          </cell>
          <cell r="T840">
            <v>0</v>
          </cell>
          <cell r="U840">
            <v>1</v>
          </cell>
          <cell r="V840">
            <v>0</v>
          </cell>
          <cell r="W840">
            <v>0</v>
          </cell>
          <cell r="X840">
            <v>4</v>
          </cell>
          <cell r="Y840">
            <v>0</v>
          </cell>
          <cell r="Z840">
            <v>0</v>
          </cell>
        </row>
        <row r="841">
          <cell r="B841" t="str">
            <v>F578_2B</v>
          </cell>
          <cell r="C841" t="str">
            <v>R1_F578_2B</v>
          </cell>
          <cell r="D841">
            <v>0</v>
          </cell>
          <cell r="E841">
            <v>7.0000000000000007E-2</v>
          </cell>
          <cell r="F841">
            <v>86</v>
          </cell>
          <cell r="G841">
            <v>1</v>
          </cell>
          <cell r="H841">
            <v>52</v>
          </cell>
          <cell r="I841">
            <v>6</v>
          </cell>
          <cell r="J841">
            <v>4</v>
          </cell>
          <cell r="K841">
            <v>0</v>
          </cell>
          <cell r="L841">
            <v>11.00493</v>
          </cell>
          <cell r="M841">
            <v>-85.219875000000002</v>
          </cell>
          <cell r="N841" t="str">
            <v>Norte</v>
          </cell>
          <cell r="O841">
            <v>0</v>
          </cell>
          <cell r="P841" t="str">
            <v>talamanca</v>
          </cell>
          <cell r="Q841" t="str">
            <v>dontknow</v>
          </cell>
          <cell r="R841" t="str">
            <v>Not applicable</v>
          </cell>
          <cell r="S841" t="str">
            <v>578_2</v>
          </cell>
          <cell r="T841">
            <v>0</v>
          </cell>
          <cell r="U841">
            <v>1</v>
          </cell>
          <cell r="V841">
            <v>0</v>
          </cell>
          <cell r="W841">
            <v>0</v>
          </cell>
          <cell r="X841">
            <v>4</v>
          </cell>
          <cell r="Y841">
            <v>0</v>
          </cell>
          <cell r="Z841">
            <v>0</v>
          </cell>
        </row>
        <row r="842">
          <cell r="B842" t="str">
            <v>F579_2B</v>
          </cell>
          <cell r="C842" t="str">
            <v>R1_F579_2B</v>
          </cell>
          <cell r="D842">
            <v>0</v>
          </cell>
          <cell r="E842">
            <v>0.7</v>
          </cell>
          <cell r="F842">
            <v>127</v>
          </cell>
          <cell r="G842">
            <v>1</v>
          </cell>
          <cell r="H842">
            <v>44</v>
          </cell>
          <cell r="I842">
            <v>2</v>
          </cell>
          <cell r="J842">
            <v>7</v>
          </cell>
          <cell r="K842">
            <v>0</v>
          </cell>
          <cell r="L842">
            <v>11.004068</v>
          </cell>
          <cell r="M842">
            <v>-85.222942000000003</v>
          </cell>
          <cell r="N842" t="str">
            <v>Norte</v>
          </cell>
          <cell r="O842">
            <v>0</v>
          </cell>
          <cell r="P842" t="str">
            <v>victoria</v>
          </cell>
          <cell r="Q842" t="str">
            <v>matambu</v>
          </cell>
          <cell r="R842" t="b">
            <v>0</v>
          </cell>
          <cell r="S842" t="str">
            <v>579_2</v>
          </cell>
          <cell r="T842">
            <v>0</v>
          </cell>
          <cell r="U842">
            <v>2</v>
          </cell>
          <cell r="V842">
            <v>0</v>
          </cell>
          <cell r="W842">
            <v>0</v>
          </cell>
          <cell r="X842">
            <v>5</v>
          </cell>
          <cell r="Y842">
            <v>0</v>
          </cell>
          <cell r="Z842">
            <v>0</v>
          </cell>
        </row>
        <row r="843">
          <cell r="B843" t="str">
            <v>F580_1B</v>
          </cell>
          <cell r="C843" t="str">
            <v>R1_F580_1B</v>
          </cell>
          <cell r="D843">
            <v>0</v>
          </cell>
          <cell r="E843">
            <v>0.5</v>
          </cell>
          <cell r="F843">
            <v>44</v>
          </cell>
          <cell r="G843">
            <v>1</v>
          </cell>
          <cell r="H843">
            <v>55</v>
          </cell>
          <cell r="I843">
            <v>6</v>
          </cell>
          <cell r="J843">
            <v>8</v>
          </cell>
          <cell r="K843">
            <v>1</v>
          </cell>
          <cell r="L843">
            <v>11.00408</v>
          </cell>
          <cell r="M843">
            <v>-85.147070999999997</v>
          </cell>
          <cell r="N843" t="str">
            <v>Norte</v>
          </cell>
          <cell r="O843">
            <v>0</v>
          </cell>
          <cell r="P843" t="str">
            <v>nambi</v>
          </cell>
          <cell r="Q843" t="str">
            <v>matambu</v>
          </cell>
          <cell r="R843" t="b">
            <v>0</v>
          </cell>
          <cell r="S843" t="str">
            <v>580_1</v>
          </cell>
          <cell r="T843">
            <v>0</v>
          </cell>
          <cell r="U843">
            <v>3</v>
          </cell>
          <cell r="V843">
            <v>2</v>
          </cell>
          <cell r="W843">
            <v>0.66666666699999999</v>
          </cell>
          <cell r="X843">
            <v>83</v>
          </cell>
          <cell r="Y843">
            <v>38</v>
          </cell>
          <cell r="Z843">
            <v>0.45783132500000001</v>
          </cell>
        </row>
        <row r="844">
          <cell r="B844" t="str">
            <v>F581_1B</v>
          </cell>
          <cell r="C844" t="str">
            <v>R1_F581_1B</v>
          </cell>
          <cell r="D844">
            <v>1</v>
          </cell>
          <cell r="E844">
            <v>0.7</v>
          </cell>
          <cell r="F844">
            <v>63</v>
          </cell>
          <cell r="G844">
            <v>1</v>
          </cell>
          <cell r="H844">
            <v>51</v>
          </cell>
          <cell r="I844">
            <v>11</v>
          </cell>
          <cell r="J844">
            <v>3</v>
          </cell>
          <cell r="K844">
            <v>1</v>
          </cell>
          <cell r="L844">
            <v>10.975906999999999</v>
          </cell>
          <cell r="M844">
            <v>-85.189706999999999</v>
          </cell>
          <cell r="N844" t="str">
            <v>Norte</v>
          </cell>
          <cell r="O844">
            <v>0</v>
          </cell>
          <cell r="P844" t="str">
            <v>nambi</v>
          </cell>
          <cell r="Q844" t="str">
            <v>nambi</v>
          </cell>
          <cell r="R844" t="b">
            <v>1</v>
          </cell>
          <cell r="S844" t="str">
            <v>581_1</v>
          </cell>
          <cell r="T844">
            <v>1</v>
          </cell>
          <cell r="U844">
            <v>3</v>
          </cell>
          <cell r="V844">
            <v>1</v>
          </cell>
          <cell r="W844">
            <v>0.33333333300000001</v>
          </cell>
          <cell r="X844">
            <v>19</v>
          </cell>
          <cell r="Y844">
            <v>3</v>
          </cell>
          <cell r="Z844">
            <v>0.15789473700000001</v>
          </cell>
        </row>
        <row r="845">
          <cell r="B845" t="str">
            <v>F581_2B</v>
          </cell>
          <cell r="C845" t="str">
            <v>R1_F581_2B</v>
          </cell>
          <cell r="D845">
            <v>0</v>
          </cell>
          <cell r="E845">
            <v>0.7</v>
          </cell>
          <cell r="F845">
            <v>63</v>
          </cell>
          <cell r="G845">
            <v>1</v>
          </cell>
          <cell r="H845">
            <v>51</v>
          </cell>
          <cell r="I845">
            <v>11</v>
          </cell>
          <cell r="J845">
            <v>3</v>
          </cell>
          <cell r="K845">
            <v>1</v>
          </cell>
          <cell r="L845">
            <v>10.975906999999999</v>
          </cell>
          <cell r="M845">
            <v>-85.189706999999999</v>
          </cell>
          <cell r="N845" t="str">
            <v>Norte</v>
          </cell>
          <cell r="O845">
            <v>0</v>
          </cell>
          <cell r="P845" t="str">
            <v>tayni</v>
          </cell>
          <cell r="Q845" t="str">
            <v>cabecar</v>
          </cell>
          <cell r="R845" t="b">
            <v>0</v>
          </cell>
          <cell r="S845" t="str">
            <v>581_2</v>
          </cell>
          <cell r="T845">
            <v>0</v>
          </cell>
          <cell r="U845">
            <v>3</v>
          </cell>
          <cell r="V845">
            <v>1</v>
          </cell>
          <cell r="W845">
            <v>0.33333333300000001</v>
          </cell>
          <cell r="X845">
            <v>19</v>
          </cell>
          <cell r="Y845">
            <v>3</v>
          </cell>
          <cell r="Z845">
            <v>0.15789473700000001</v>
          </cell>
        </row>
        <row r="846">
          <cell r="B846" t="str">
            <v>F581_3B</v>
          </cell>
          <cell r="C846" t="str">
            <v>R1_F581_3B</v>
          </cell>
          <cell r="D846">
            <v>0</v>
          </cell>
          <cell r="E846">
            <v>0.21</v>
          </cell>
          <cell r="F846">
            <v>63</v>
          </cell>
          <cell r="G846">
            <v>1</v>
          </cell>
          <cell r="H846">
            <v>51</v>
          </cell>
          <cell r="I846">
            <v>11</v>
          </cell>
          <cell r="J846">
            <v>3</v>
          </cell>
          <cell r="K846">
            <v>1</v>
          </cell>
          <cell r="L846">
            <v>10.975906999999999</v>
          </cell>
          <cell r="M846">
            <v>-85.189706999999999</v>
          </cell>
          <cell r="N846" t="str">
            <v>Norte</v>
          </cell>
          <cell r="O846">
            <v>0</v>
          </cell>
          <cell r="P846" t="str">
            <v>brunca</v>
          </cell>
          <cell r="Q846" t="str">
            <v>guaymi</v>
          </cell>
          <cell r="R846" t="b">
            <v>0</v>
          </cell>
          <cell r="S846" t="str">
            <v>581_3</v>
          </cell>
          <cell r="T846">
            <v>0</v>
          </cell>
          <cell r="U846">
            <v>3</v>
          </cell>
          <cell r="V846">
            <v>1</v>
          </cell>
          <cell r="W846">
            <v>0.33333333300000001</v>
          </cell>
          <cell r="X846">
            <v>19</v>
          </cell>
          <cell r="Y846">
            <v>3</v>
          </cell>
          <cell r="Z846">
            <v>0.15789473700000001</v>
          </cell>
        </row>
        <row r="847">
          <cell r="B847" t="str">
            <v>F582_1B</v>
          </cell>
          <cell r="C847" t="str">
            <v>R1_F582_1B</v>
          </cell>
          <cell r="D847">
            <v>0</v>
          </cell>
          <cell r="E847">
            <v>0.35</v>
          </cell>
          <cell r="F847">
            <v>47</v>
          </cell>
          <cell r="G847">
            <v>1</v>
          </cell>
          <cell r="H847">
            <v>61</v>
          </cell>
          <cell r="I847">
            <v>3</v>
          </cell>
          <cell r="J847">
            <v>3</v>
          </cell>
          <cell r="K847">
            <v>1</v>
          </cell>
          <cell r="L847">
            <v>10.980482</v>
          </cell>
          <cell r="M847">
            <v>-85.142151999999996</v>
          </cell>
          <cell r="N847" t="str">
            <v>Norte</v>
          </cell>
          <cell r="O847">
            <v>0</v>
          </cell>
          <cell r="P847" t="str">
            <v>brunca</v>
          </cell>
          <cell r="Q847" t="str">
            <v>other</v>
          </cell>
          <cell r="R847" t="str">
            <v>Not applicable</v>
          </cell>
          <cell r="S847" t="str">
            <v>582_1</v>
          </cell>
          <cell r="T847">
            <v>0</v>
          </cell>
          <cell r="U847">
            <v>6</v>
          </cell>
          <cell r="V847">
            <v>3</v>
          </cell>
          <cell r="W847">
            <v>0.5</v>
          </cell>
          <cell r="X847">
            <v>66</v>
          </cell>
          <cell r="Y847">
            <v>32</v>
          </cell>
          <cell r="Z847">
            <v>0.484848485</v>
          </cell>
        </row>
        <row r="848">
          <cell r="B848" t="str">
            <v>F582_2B</v>
          </cell>
          <cell r="C848" t="str">
            <v>R1_F582_2B</v>
          </cell>
          <cell r="D848">
            <v>0</v>
          </cell>
          <cell r="E848">
            <v>0.21</v>
          </cell>
          <cell r="F848">
            <v>47</v>
          </cell>
          <cell r="G848">
            <v>1</v>
          </cell>
          <cell r="H848">
            <v>61</v>
          </cell>
          <cell r="I848">
            <v>3</v>
          </cell>
          <cell r="J848">
            <v>3</v>
          </cell>
          <cell r="K848">
            <v>0</v>
          </cell>
          <cell r="L848">
            <v>10.980482</v>
          </cell>
          <cell r="M848">
            <v>-85.142151999999996</v>
          </cell>
          <cell r="N848" t="str">
            <v>Norte</v>
          </cell>
          <cell r="O848">
            <v>0</v>
          </cell>
          <cell r="P848" t="str">
            <v>victoria</v>
          </cell>
          <cell r="Q848" t="str">
            <v>other</v>
          </cell>
          <cell r="R848" t="str">
            <v>Not applicable</v>
          </cell>
          <cell r="S848" t="str">
            <v>582_2</v>
          </cell>
          <cell r="T848">
            <v>0</v>
          </cell>
          <cell r="U848">
            <v>6</v>
          </cell>
          <cell r="V848">
            <v>3</v>
          </cell>
          <cell r="W848">
            <v>0.5</v>
          </cell>
          <cell r="X848">
            <v>66</v>
          </cell>
          <cell r="Y848">
            <v>32</v>
          </cell>
          <cell r="Z848">
            <v>0.484848485</v>
          </cell>
        </row>
        <row r="849">
          <cell r="B849" t="str">
            <v>F583_1B</v>
          </cell>
          <cell r="C849" t="str">
            <v>R1_F583_1B</v>
          </cell>
          <cell r="D849">
            <v>1</v>
          </cell>
          <cell r="E849">
            <v>2.5</v>
          </cell>
          <cell r="F849">
            <v>192</v>
          </cell>
          <cell r="G849">
            <v>1</v>
          </cell>
          <cell r="H849">
            <v>70</v>
          </cell>
          <cell r="I849">
            <v>0</v>
          </cell>
          <cell r="J849">
            <v>6</v>
          </cell>
          <cell r="K849">
            <v>1</v>
          </cell>
          <cell r="L849">
            <v>11.018119</v>
          </cell>
          <cell r="M849">
            <v>-85.23263</v>
          </cell>
          <cell r="N849" t="str">
            <v>Norte</v>
          </cell>
          <cell r="O849">
            <v>0</v>
          </cell>
          <cell r="P849" t="str">
            <v>nambi</v>
          </cell>
          <cell r="Q849" t="str">
            <v>nambi</v>
          </cell>
          <cell r="R849" t="b">
            <v>1</v>
          </cell>
          <cell r="S849" t="str">
            <v>583_1</v>
          </cell>
          <cell r="T849">
            <v>1</v>
          </cell>
          <cell r="U849">
            <v>2</v>
          </cell>
          <cell r="V849">
            <v>2</v>
          </cell>
          <cell r="W849">
            <v>1</v>
          </cell>
          <cell r="X849">
            <v>7</v>
          </cell>
          <cell r="Y849">
            <v>7</v>
          </cell>
          <cell r="Z849">
            <v>1</v>
          </cell>
        </row>
        <row r="850">
          <cell r="B850" t="str">
            <v>F584_1B</v>
          </cell>
          <cell r="C850" t="str">
            <v>R1_F584_1B</v>
          </cell>
          <cell r="D850">
            <v>1</v>
          </cell>
          <cell r="E850">
            <v>2.1</v>
          </cell>
          <cell r="F850">
            <v>166</v>
          </cell>
          <cell r="G850">
            <v>0</v>
          </cell>
          <cell r="H850">
            <v>37</v>
          </cell>
          <cell r="I850">
            <v>6</v>
          </cell>
          <cell r="J850">
            <v>5</v>
          </cell>
          <cell r="K850">
            <v>1</v>
          </cell>
          <cell r="L850">
            <v>10.98765</v>
          </cell>
          <cell r="M850">
            <v>-85.234452000000005</v>
          </cell>
          <cell r="N850" t="str">
            <v>Norte</v>
          </cell>
          <cell r="O850">
            <v>0</v>
          </cell>
          <cell r="P850" t="str">
            <v>nambi</v>
          </cell>
          <cell r="Q850" t="str">
            <v>nambi</v>
          </cell>
          <cell r="R850" t="b">
            <v>1</v>
          </cell>
          <cell r="S850" t="str">
            <v>584_1</v>
          </cell>
          <cell r="T850">
            <v>1</v>
          </cell>
          <cell r="U850">
            <v>6</v>
          </cell>
          <cell r="V850">
            <v>3</v>
          </cell>
          <cell r="W850">
            <v>0.5</v>
          </cell>
          <cell r="X850">
            <v>11</v>
          </cell>
          <cell r="Y850">
            <v>5</v>
          </cell>
          <cell r="Z850">
            <v>0.45454545499999999</v>
          </cell>
        </row>
        <row r="851">
          <cell r="B851" t="str">
            <v>F585_1B</v>
          </cell>
          <cell r="C851" t="str">
            <v>R1_F585_1B</v>
          </cell>
          <cell r="D851">
            <v>1</v>
          </cell>
          <cell r="E851">
            <v>2</v>
          </cell>
          <cell r="F851">
            <v>166</v>
          </cell>
          <cell r="G851">
            <v>1</v>
          </cell>
          <cell r="H851">
            <v>66</v>
          </cell>
          <cell r="I851">
            <v>1</v>
          </cell>
          <cell r="J851">
            <v>4</v>
          </cell>
          <cell r="K851">
            <v>1</v>
          </cell>
          <cell r="L851">
            <v>11.018022</v>
          </cell>
          <cell r="M851">
            <v>-85.251125000000002</v>
          </cell>
          <cell r="N851" t="str">
            <v>Norte</v>
          </cell>
          <cell r="O851">
            <v>0</v>
          </cell>
          <cell r="P851" t="str">
            <v>nambi</v>
          </cell>
          <cell r="Q851" t="str">
            <v>nambi</v>
          </cell>
          <cell r="R851" t="b">
            <v>1</v>
          </cell>
          <cell r="S851" t="str">
            <v>585_1</v>
          </cell>
          <cell r="T851">
            <v>1</v>
          </cell>
          <cell r="U851">
            <v>4</v>
          </cell>
          <cell r="V851">
            <v>4</v>
          </cell>
          <cell r="W851">
            <v>1</v>
          </cell>
          <cell r="X851">
            <v>10</v>
          </cell>
          <cell r="Y851">
            <v>8</v>
          </cell>
          <cell r="Z851">
            <v>0.8</v>
          </cell>
        </row>
        <row r="852">
          <cell r="B852" t="str">
            <v>F586_1B</v>
          </cell>
          <cell r="C852" t="str">
            <v>R1_F586_1B</v>
          </cell>
          <cell r="D852">
            <v>1</v>
          </cell>
          <cell r="E852">
            <v>1.5</v>
          </cell>
          <cell r="F852">
            <v>192</v>
          </cell>
          <cell r="G852">
            <v>1</v>
          </cell>
          <cell r="H852">
            <v>34</v>
          </cell>
          <cell r="I852">
            <v>6</v>
          </cell>
          <cell r="J852">
            <v>5</v>
          </cell>
          <cell r="K852">
            <v>1</v>
          </cell>
          <cell r="L852">
            <v>11.018117</v>
          </cell>
          <cell r="M852">
            <v>-85.23263</v>
          </cell>
          <cell r="N852" t="str">
            <v>Norte</v>
          </cell>
          <cell r="O852">
            <v>0</v>
          </cell>
          <cell r="P852" t="str">
            <v>nambi</v>
          </cell>
          <cell r="Q852" t="str">
            <v>nambi</v>
          </cell>
          <cell r="R852" t="b">
            <v>1</v>
          </cell>
          <cell r="S852" t="str">
            <v>586_1</v>
          </cell>
          <cell r="T852">
            <v>1</v>
          </cell>
          <cell r="U852">
            <v>2</v>
          </cell>
          <cell r="V852">
            <v>2</v>
          </cell>
          <cell r="W852">
            <v>1</v>
          </cell>
          <cell r="X852">
            <v>7</v>
          </cell>
          <cell r="Y852">
            <v>7</v>
          </cell>
          <cell r="Z852">
            <v>1</v>
          </cell>
        </row>
        <row r="853">
          <cell r="B853" t="str">
            <v>F588_1B</v>
          </cell>
          <cell r="C853" t="str">
            <v>R1_F588_1B</v>
          </cell>
          <cell r="D853">
            <v>1</v>
          </cell>
          <cell r="E853">
            <v>1</v>
          </cell>
          <cell r="F853">
            <v>154</v>
          </cell>
          <cell r="G853">
            <v>1</v>
          </cell>
          <cell r="H853">
            <v>32</v>
          </cell>
          <cell r="I853">
            <v>6</v>
          </cell>
          <cell r="J853">
            <v>5</v>
          </cell>
          <cell r="K853">
            <v>1</v>
          </cell>
          <cell r="L853">
            <v>11.018117</v>
          </cell>
          <cell r="M853">
            <v>-85.248452999999998</v>
          </cell>
          <cell r="N853" t="str">
            <v>Norte</v>
          </cell>
          <cell r="O853">
            <v>0</v>
          </cell>
          <cell r="P853" t="str">
            <v>nambi</v>
          </cell>
          <cell r="Q853" t="str">
            <v>nambi</v>
          </cell>
          <cell r="R853" t="b">
            <v>1</v>
          </cell>
          <cell r="S853" t="str">
            <v>588_1</v>
          </cell>
          <cell r="T853">
            <v>1</v>
          </cell>
          <cell r="U853">
            <v>4</v>
          </cell>
          <cell r="V853">
            <v>4</v>
          </cell>
          <cell r="W853">
            <v>1</v>
          </cell>
          <cell r="X853">
            <v>10</v>
          </cell>
          <cell r="Y853">
            <v>8</v>
          </cell>
          <cell r="Z853">
            <v>0.8</v>
          </cell>
        </row>
        <row r="854">
          <cell r="B854" t="str">
            <v>F589_1B</v>
          </cell>
          <cell r="C854" t="str">
            <v>R1_F589_1B</v>
          </cell>
          <cell r="D854">
            <v>1</v>
          </cell>
          <cell r="E854">
            <v>0.7</v>
          </cell>
          <cell r="F854">
            <v>173</v>
          </cell>
          <cell r="G854">
            <v>1</v>
          </cell>
          <cell r="H854">
            <v>74</v>
          </cell>
          <cell r="I854">
            <v>2</v>
          </cell>
          <cell r="J854">
            <v>5</v>
          </cell>
          <cell r="K854">
            <v>1</v>
          </cell>
          <cell r="L854">
            <v>11.017685999999999</v>
          </cell>
          <cell r="M854">
            <v>-85.25188</v>
          </cell>
          <cell r="N854" t="str">
            <v>Norte</v>
          </cell>
          <cell r="O854">
            <v>0</v>
          </cell>
          <cell r="P854" t="str">
            <v>nambi</v>
          </cell>
          <cell r="Q854" t="str">
            <v>nambi</v>
          </cell>
          <cell r="R854" t="b">
            <v>1</v>
          </cell>
          <cell r="S854" t="str">
            <v>589_1</v>
          </cell>
          <cell r="T854">
            <v>1</v>
          </cell>
          <cell r="U854">
            <v>4</v>
          </cell>
          <cell r="V854">
            <v>4</v>
          </cell>
          <cell r="W854">
            <v>1</v>
          </cell>
          <cell r="X854">
            <v>10</v>
          </cell>
          <cell r="Y854">
            <v>8</v>
          </cell>
          <cell r="Z854">
            <v>0.8</v>
          </cell>
        </row>
        <row r="855">
          <cell r="B855" t="str">
            <v>F590_1B</v>
          </cell>
          <cell r="C855" t="str">
            <v>R1_F590_1B</v>
          </cell>
          <cell r="D855">
            <v>1</v>
          </cell>
          <cell r="E855">
            <v>1.5</v>
          </cell>
          <cell r="F855">
            <v>154</v>
          </cell>
          <cell r="G855">
            <v>1</v>
          </cell>
          <cell r="H855">
            <v>48</v>
          </cell>
          <cell r="I855">
            <v>4</v>
          </cell>
          <cell r="J855">
            <v>5</v>
          </cell>
          <cell r="K855">
            <v>1</v>
          </cell>
          <cell r="L855">
            <v>11.018102000000001</v>
          </cell>
          <cell r="M855">
            <v>-85.247403000000006</v>
          </cell>
          <cell r="N855" t="str">
            <v>Norte</v>
          </cell>
          <cell r="O855">
            <v>0</v>
          </cell>
          <cell r="P855" t="str">
            <v>nambi</v>
          </cell>
          <cell r="Q855" t="str">
            <v>nambi</v>
          </cell>
          <cell r="R855" t="b">
            <v>1</v>
          </cell>
          <cell r="S855" t="str">
            <v>590_1</v>
          </cell>
          <cell r="T855">
            <v>1</v>
          </cell>
          <cell r="U855">
            <v>4</v>
          </cell>
          <cell r="V855">
            <v>4</v>
          </cell>
          <cell r="W855">
            <v>1</v>
          </cell>
          <cell r="X855">
            <v>10</v>
          </cell>
          <cell r="Y855">
            <v>8</v>
          </cell>
          <cell r="Z855">
            <v>0.8</v>
          </cell>
        </row>
        <row r="856">
          <cell r="B856" t="str">
            <v>F591_1B</v>
          </cell>
          <cell r="C856" t="str">
            <v>R1_F591_1B</v>
          </cell>
          <cell r="D856">
            <v>1</v>
          </cell>
          <cell r="E856">
            <v>1</v>
          </cell>
          <cell r="F856">
            <v>178</v>
          </cell>
          <cell r="G856">
            <v>1</v>
          </cell>
          <cell r="H856">
            <v>37</v>
          </cell>
          <cell r="I856">
            <v>6</v>
          </cell>
          <cell r="J856">
            <v>6</v>
          </cell>
          <cell r="K856">
            <v>1</v>
          </cell>
          <cell r="L856">
            <v>11.015734999999999</v>
          </cell>
          <cell r="M856">
            <v>-85.250512999999998</v>
          </cell>
          <cell r="N856" t="str">
            <v>Norte</v>
          </cell>
          <cell r="O856">
            <v>0</v>
          </cell>
          <cell r="P856" t="str">
            <v>nambi</v>
          </cell>
          <cell r="Q856" t="str">
            <v>nambi</v>
          </cell>
          <cell r="R856" t="b">
            <v>1</v>
          </cell>
          <cell r="S856" t="str">
            <v>591_1</v>
          </cell>
          <cell r="T856">
            <v>1</v>
          </cell>
          <cell r="U856">
            <v>4</v>
          </cell>
          <cell r="V856">
            <v>4</v>
          </cell>
          <cell r="W856">
            <v>1</v>
          </cell>
          <cell r="X856">
            <v>11</v>
          </cell>
          <cell r="Y856">
            <v>9</v>
          </cell>
          <cell r="Z856">
            <v>0.81818181800000001</v>
          </cell>
        </row>
        <row r="857">
          <cell r="B857" t="str">
            <v>F592_1B</v>
          </cell>
          <cell r="C857" t="str">
            <v>R1_F592_1B</v>
          </cell>
          <cell r="D857">
            <v>0</v>
          </cell>
          <cell r="E857">
            <v>0.105</v>
          </cell>
          <cell r="F857">
            <v>139</v>
          </cell>
          <cell r="G857">
            <v>0</v>
          </cell>
          <cell r="H857">
            <v>63</v>
          </cell>
          <cell r="I857">
            <v>6</v>
          </cell>
          <cell r="J857">
            <v>5</v>
          </cell>
          <cell r="K857">
            <v>0</v>
          </cell>
          <cell r="L857">
            <v>10.965318</v>
          </cell>
          <cell r="M857">
            <v>-85.205061000000001</v>
          </cell>
          <cell r="N857" t="str">
            <v>Norte</v>
          </cell>
          <cell r="O857">
            <v>0</v>
          </cell>
          <cell r="P857" t="str">
            <v>victoria</v>
          </cell>
          <cell r="Q857" t="str">
            <v>guaria</v>
          </cell>
          <cell r="R857" t="b">
            <v>0</v>
          </cell>
          <cell r="S857" t="str">
            <v>592_1</v>
          </cell>
          <cell r="T857">
            <v>0</v>
          </cell>
          <cell r="U857">
            <v>1</v>
          </cell>
          <cell r="V857">
            <v>1</v>
          </cell>
          <cell r="W857">
            <v>1</v>
          </cell>
          <cell r="X857">
            <v>22</v>
          </cell>
          <cell r="Y857">
            <v>8</v>
          </cell>
          <cell r="Z857">
            <v>0.36363636399999999</v>
          </cell>
        </row>
        <row r="858">
          <cell r="B858" t="str">
            <v>F593_1B</v>
          </cell>
          <cell r="C858" t="str">
            <v>R1_F593_1B</v>
          </cell>
          <cell r="D858">
            <v>0</v>
          </cell>
          <cell r="E858">
            <v>1</v>
          </cell>
          <cell r="F858">
            <v>69</v>
          </cell>
          <cell r="G858">
            <v>1</v>
          </cell>
          <cell r="H858">
            <v>51</v>
          </cell>
          <cell r="I858">
            <v>6</v>
          </cell>
          <cell r="J858">
            <v>4</v>
          </cell>
          <cell r="K858">
            <v>1</v>
          </cell>
          <cell r="L858">
            <v>10.957718</v>
          </cell>
          <cell r="M858">
            <v>-85.210307</v>
          </cell>
          <cell r="N858" t="str">
            <v>Norte</v>
          </cell>
          <cell r="O858">
            <v>0</v>
          </cell>
          <cell r="P858" t="str">
            <v>guaymi</v>
          </cell>
          <cell r="Q858" t="str">
            <v>dontknow</v>
          </cell>
          <cell r="R858" t="str">
            <v>Not applicable</v>
          </cell>
          <cell r="S858" t="str">
            <v>593_1</v>
          </cell>
          <cell r="T858">
            <v>0</v>
          </cell>
          <cell r="U858">
            <v>1</v>
          </cell>
          <cell r="V858">
            <v>1</v>
          </cell>
          <cell r="W858">
            <v>1</v>
          </cell>
          <cell r="X858">
            <v>17</v>
          </cell>
          <cell r="Y858">
            <v>5</v>
          </cell>
          <cell r="Z858">
            <v>0.29411764699999998</v>
          </cell>
        </row>
        <row r="859">
          <cell r="B859" t="str">
            <v>F593_2B</v>
          </cell>
          <cell r="C859" t="str">
            <v>R1_F593_2B</v>
          </cell>
          <cell r="D859">
            <v>0</v>
          </cell>
          <cell r="E859">
            <v>1</v>
          </cell>
          <cell r="F859">
            <v>69</v>
          </cell>
          <cell r="G859">
            <v>1</v>
          </cell>
          <cell r="H859">
            <v>51</v>
          </cell>
          <cell r="I859">
            <v>6</v>
          </cell>
          <cell r="J859">
            <v>4</v>
          </cell>
          <cell r="K859">
            <v>0</v>
          </cell>
          <cell r="L859">
            <v>10.957718</v>
          </cell>
          <cell r="M859">
            <v>-85.210307</v>
          </cell>
          <cell r="N859" t="str">
            <v>Norte</v>
          </cell>
          <cell r="O859">
            <v>0</v>
          </cell>
          <cell r="P859" t="str">
            <v>victoria</v>
          </cell>
          <cell r="Q859" t="str">
            <v>dontknow</v>
          </cell>
          <cell r="R859" t="str">
            <v>Not applicable</v>
          </cell>
          <cell r="S859" t="str">
            <v>593_2</v>
          </cell>
          <cell r="T859">
            <v>0</v>
          </cell>
          <cell r="U859">
            <v>1</v>
          </cell>
          <cell r="V859">
            <v>1</v>
          </cell>
          <cell r="W859">
            <v>1</v>
          </cell>
          <cell r="X859">
            <v>17</v>
          </cell>
          <cell r="Y859">
            <v>5</v>
          </cell>
          <cell r="Z859">
            <v>0.29411764699999998</v>
          </cell>
        </row>
        <row r="860">
          <cell r="B860" t="str">
            <v>F594_1B</v>
          </cell>
          <cell r="C860" t="str">
            <v>R1_F594_1B</v>
          </cell>
          <cell r="D860">
            <v>1</v>
          </cell>
          <cell r="E860">
            <v>0.5</v>
          </cell>
          <cell r="F860">
            <v>84</v>
          </cell>
          <cell r="G860">
            <v>0</v>
          </cell>
          <cell r="H860">
            <v>42</v>
          </cell>
          <cell r="I860">
            <v>5</v>
          </cell>
          <cell r="J860">
            <v>5</v>
          </cell>
          <cell r="K860">
            <v>1</v>
          </cell>
          <cell r="L860">
            <v>10.964361999999999</v>
          </cell>
          <cell r="M860">
            <v>-85.209785999999994</v>
          </cell>
          <cell r="N860" t="str">
            <v>Norte</v>
          </cell>
          <cell r="O860">
            <v>0</v>
          </cell>
          <cell r="P860" t="str">
            <v>nambi</v>
          </cell>
          <cell r="Q860" t="str">
            <v>nambi</v>
          </cell>
          <cell r="R860" t="b">
            <v>1</v>
          </cell>
          <cell r="S860" t="str">
            <v>594_1</v>
          </cell>
          <cell r="T860">
            <v>1</v>
          </cell>
          <cell r="U860">
            <v>3</v>
          </cell>
          <cell r="V860">
            <v>0</v>
          </cell>
          <cell r="W860">
            <v>0</v>
          </cell>
          <cell r="X860">
            <v>21</v>
          </cell>
          <cell r="Y860">
            <v>6</v>
          </cell>
          <cell r="Z860">
            <v>0.28571428599999998</v>
          </cell>
        </row>
        <row r="861">
          <cell r="B861" t="str">
            <v>F596_1B</v>
          </cell>
          <cell r="C861" t="str">
            <v>R1_F596_1B</v>
          </cell>
          <cell r="D861">
            <v>0</v>
          </cell>
          <cell r="E861">
            <v>0.98</v>
          </cell>
          <cell r="F861">
            <v>56</v>
          </cell>
          <cell r="G861">
            <v>1</v>
          </cell>
          <cell r="H861">
            <v>64</v>
          </cell>
          <cell r="I861">
            <v>8</v>
          </cell>
          <cell r="J861">
            <v>1</v>
          </cell>
          <cell r="K861">
            <v>1</v>
          </cell>
          <cell r="L861">
            <v>11.000337999999999</v>
          </cell>
          <cell r="M861">
            <v>-85.202433999999997</v>
          </cell>
          <cell r="N861" t="str">
            <v>Norte</v>
          </cell>
          <cell r="O861">
            <v>0</v>
          </cell>
          <cell r="P861" t="str">
            <v>brunca</v>
          </cell>
          <cell r="Q861" t="str">
            <v>guaymi</v>
          </cell>
          <cell r="R861" t="b">
            <v>0</v>
          </cell>
          <cell r="S861" t="str">
            <v>596_1</v>
          </cell>
          <cell r="T861">
            <v>0</v>
          </cell>
          <cell r="U861">
            <v>0</v>
          </cell>
          <cell r="V861">
            <v>0</v>
          </cell>
          <cell r="W861" t="str">
            <v>NA</v>
          </cell>
          <cell r="X861">
            <v>20</v>
          </cell>
          <cell r="Y861">
            <v>3</v>
          </cell>
          <cell r="Z861">
            <v>0.15</v>
          </cell>
        </row>
        <row r="862">
          <cell r="B862" t="str">
            <v>F596_2B</v>
          </cell>
          <cell r="C862" t="str">
            <v>R1_F596_2B</v>
          </cell>
          <cell r="D862">
            <v>0</v>
          </cell>
          <cell r="E862">
            <v>0</v>
          </cell>
          <cell r="F862">
            <v>56</v>
          </cell>
          <cell r="G862">
            <v>1</v>
          </cell>
          <cell r="H862">
            <v>64</v>
          </cell>
          <cell r="I862">
            <v>8</v>
          </cell>
          <cell r="J862">
            <v>1</v>
          </cell>
          <cell r="K862">
            <v>1</v>
          </cell>
          <cell r="L862">
            <v>11.000337999999999</v>
          </cell>
          <cell r="M862">
            <v>-85.202433999999997</v>
          </cell>
          <cell r="N862" t="str">
            <v>Norte</v>
          </cell>
          <cell r="O862">
            <v>0</v>
          </cell>
          <cell r="P862" t="str">
            <v>nambi</v>
          </cell>
          <cell r="Q862" t="str">
            <v>matambu</v>
          </cell>
          <cell r="R862" t="b">
            <v>0</v>
          </cell>
          <cell r="S862" t="str">
            <v>596_2</v>
          </cell>
          <cell r="T862">
            <v>0</v>
          </cell>
          <cell r="U862">
            <v>0</v>
          </cell>
          <cell r="V862">
            <v>0</v>
          </cell>
          <cell r="W862" t="str">
            <v>NA</v>
          </cell>
          <cell r="X862">
            <v>20</v>
          </cell>
          <cell r="Y862">
            <v>3</v>
          </cell>
          <cell r="Z862">
            <v>0.15</v>
          </cell>
        </row>
        <row r="863">
          <cell r="B863" t="str">
            <v>F597_1B</v>
          </cell>
          <cell r="C863" t="str">
            <v>R1_F597_1B</v>
          </cell>
          <cell r="D863">
            <v>0</v>
          </cell>
          <cell r="E863">
            <v>1</v>
          </cell>
          <cell r="F863">
            <v>121</v>
          </cell>
          <cell r="G863">
            <v>0</v>
          </cell>
          <cell r="H863">
            <v>44</v>
          </cell>
          <cell r="I863">
            <v>5</v>
          </cell>
          <cell r="J863">
            <v>5</v>
          </cell>
          <cell r="K863">
            <v>1</v>
          </cell>
          <cell r="L863">
            <v>11.044127</v>
          </cell>
          <cell r="M863">
            <v>-85.238039000000001</v>
          </cell>
          <cell r="N863" t="str">
            <v>Norte</v>
          </cell>
          <cell r="O863">
            <v>0</v>
          </cell>
          <cell r="P863" t="str">
            <v>nambi</v>
          </cell>
          <cell r="Q863" t="str">
            <v>other</v>
          </cell>
          <cell r="R863" t="str">
            <v>Not applicable</v>
          </cell>
          <cell r="S863" t="str">
            <v>597_1</v>
          </cell>
          <cell r="T863">
            <v>0</v>
          </cell>
          <cell r="U863">
            <v>2</v>
          </cell>
          <cell r="V863">
            <v>0</v>
          </cell>
          <cell r="W863">
            <v>0</v>
          </cell>
          <cell r="X863">
            <v>8</v>
          </cell>
          <cell r="Y863">
            <v>2</v>
          </cell>
          <cell r="Z863">
            <v>0.25</v>
          </cell>
        </row>
        <row r="864">
          <cell r="B864" t="str">
            <v>F598_1B</v>
          </cell>
          <cell r="C864" t="str">
            <v>R1_F598_1B</v>
          </cell>
          <cell r="D864">
            <v>1</v>
          </cell>
          <cell r="E864">
            <v>3</v>
          </cell>
          <cell r="F864">
            <v>192</v>
          </cell>
          <cell r="G864">
            <v>1</v>
          </cell>
          <cell r="H864">
            <v>44</v>
          </cell>
          <cell r="I864">
            <v>6</v>
          </cell>
          <cell r="J864">
            <v>5</v>
          </cell>
          <cell r="K864">
            <v>1</v>
          </cell>
          <cell r="L864">
            <v>11.01812</v>
          </cell>
          <cell r="M864">
            <v>-85.232630999999998</v>
          </cell>
          <cell r="N864" t="str">
            <v>Norte</v>
          </cell>
          <cell r="O864">
            <v>0</v>
          </cell>
          <cell r="P864" t="str">
            <v>nambi</v>
          </cell>
          <cell r="Q864" t="str">
            <v>nambi</v>
          </cell>
          <cell r="R864" t="b">
            <v>1</v>
          </cell>
          <cell r="S864" t="str">
            <v>598_1</v>
          </cell>
          <cell r="T864">
            <v>1</v>
          </cell>
          <cell r="U864">
            <v>2</v>
          </cell>
          <cell r="V864">
            <v>2</v>
          </cell>
          <cell r="W864">
            <v>1</v>
          </cell>
          <cell r="X864">
            <v>7</v>
          </cell>
          <cell r="Y864">
            <v>7</v>
          </cell>
          <cell r="Z864">
            <v>1</v>
          </cell>
        </row>
        <row r="865">
          <cell r="B865" t="str">
            <v>F599_1B</v>
          </cell>
          <cell r="C865" t="str">
            <v>R1_F599_1B</v>
          </cell>
          <cell r="D865">
            <v>0</v>
          </cell>
          <cell r="E865">
            <v>7.0000000000000007E-2</v>
          </cell>
          <cell r="F865">
            <v>52</v>
          </cell>
          <cell r="G865">
            <v>1</v>
          </cell>
          <cell r="H865">
            <v>74</v>
          </cell>
          <cell r="I865">
            <v>9</v>
          </cell>
          <cell r="J865">
            <v>7</v>
          </cell>
          <cell r="K865">
            <v>1</v>
          </cell>
          <cell r="L865">
            <v>11.013355000000001</v>
          </cell>
          <cell r="M865">
            <v>-85.205421999999999</v>
          </cell>
          <cell r="N865" t="str">
            <v>Norte</v>
          </cell>
          <cell r="O865">
            <v>0</v>
          </cell>
          <cell r="P865" t="str">
            <v>tayni</v>
          </cell>
          <cell r="Q865" t="str">
            <v>cabecar</v>
          </cell>
          <cell r="R865" t="b">
            <v>0</v>
          </cell>
          <cell r="S865" t="str">
            <v>599_1</v>
          </cell>
          <cell r="T865">
            <v>0</v>
          </cell>
          <cell r="U865">
            <v>0</v>
          </cell>
          <cell r="V865">
            <v>0</v>
          </cell>
          <cell r="W865" t="str">
            <v>NA</v>
          </cell>
          <cell r="X865">
            <v>12</v>
          </cell>
          <cell r="Y865">
            <v>2</v>
          </cell>
          <cell r="Z865">
            <v>0.16666666699999999</v>
          </cell>
        </row>
        <row r="866">
          <cell r="B866" t="str">
            <v>F600_1B</v>
          </cell>
          <cell r="C866" t="str">
            <v>R1_F600_1B</v>
          </cell>
          <cell r="D866">
            <v>1</v>
          </cell>
          <cell r="E866">
            <v>1</v>
          </cell>
          <cell r="F866">
            <v>45</v>
          </cell>
          <cell r="G866">
            <v>1</v>
          </cell>
          <cell r="H866">
            <v>58</v>
          </cell>
          <cell r="I866">
            <v>1</v>
          </cell>
          <cell r="J866">
            <v>5</v>
          </cell>
          <cell r="K866">
            <v>1</v>
          </cell>
          <cell r="L866">
            <v>10.974823000000001</v>
          </cell>
          <cell r="M866">
            <v>-85.110265999999996</v>
          </cell>
          <cell r="N866" t="str">
            <v>Norte</v>
          </cell>
          <cell r="O866">
            <v>0</v>
          </cell>
          <cell r="P866" t="str">
            <v>nambi</v>
          </cell>
          <cell r="Q866" t="str">
            <v>nambi</v>
          </cell>
          <cell r="R866" t="b">
            <v>1</v>
          </cell>
          <cell r="S866" t="str">
            <v>600_1</v>
          </cell>
          <cell r="T866">
            <v>1</v>
          </cell>
          <cell r="U866">
            <v>3</v>
          </cell>
          <cell r="V866">
            <v>2</v>
          </cell>
          <cell r="W866">
            <v>0.66666666699999999</v>
          </cell>
          <cell r="X866">
            <v>33</v>
          </cell>
          <cell r="Y866">
            <v>13</v>
          </cell>
          <cell r="Z866">
            <v>0.393939394</v>
          </cell>
        </row>
        <row r="867">
          <cell r="B867" t="str">
            <v>F601_1B</v>
          </cell>
          <cell r="C867" t="str">
            <v>R1_F601_1B</v>
          </cell>
          <cell r="D867">
            <v>0</v>
          </cell>
          <cell r="E867">
            <v>0.7</v>
          </cell>
          <cell r="F867">
            <v>45</v>
          </cell>
          <cell r="G867">
            <v>1</v>
          </cell>
          <cell r="H867">
            <v>45</v>
          </cell>
          <cell r="I867">
            <v>2</v>
          </cell>
          <cell r="J867">
            <v>5</v>
          </cell>
          <cell r="K867">
            <v>1</v>
          </cell>
          <cell r="L867">
            <v>10.973063</v>
          </cell>
          <cell r="M867">
            <v>-85.115523999999994</v>
          </cell>
          <cell r="N867" t="str">
            <v>Norte</v>
          </cell>
          <cell r="O867">
            <v>0</v>
          </cell>
          <cell r="P867" t="str">
            <v>tayni</v>
          </cell>
          <cell r="Q867" t="str">
            <v>dontknow</v>
          </cell>
          <cell r="R867" t="str">
            <v>Not applicable</v>
          </cell>
          <cell r="S867" t="str">
            <v>601_1</v>
          </cell>
          <cell r="T867">
            <v>0</v>
          </cell>
          <cell r="U867">
            <v>4</v>
          </cell>
          <cell r="V867">
            <v>2</v>
          </cell>
          <cell r="W867">
            <v>0.5</v>
          </cell>
          <cell r="X867">
            <v>64</v>
          </cell>
          <cell r="Y867">
            <v>26</v>
          </cell>
          <cell r="Z867">
            <v>0.40625</v>
          </cell>
        </row>
        <row r="868">
          <cell r="B868" t="str">
            <v>F601_2B</v>
          </cell>
          <cell r="C868" t="str">
            <v>R1_F601_2B</v>
          </cell>
          <cell r="D868">
            <v>1</v>
          </cell>
          <cell r="E868">
            <v>0.28000000000000003</v>
          </cell>
          <cell r="F868">
            <v>45</v>
          </cell>
          <cell r="G868">
            <v>1</v>
          </cell>
          <cell r="H868">
            <v>45</v>
          </cell>
          <cell r="I868">
            <v>2</v>
          </cell>
          <cell r="J868">
            <v>5</v>
          </cell>
          <cell r="K868">
            <v>1</v>
          </cell>
          <cell r="L868">
            <v>10.973063</v>
          </cell>
          <cell r="M868">
            <v>-85.115523999999994</v>
          </cell>
          <cell r="N868" t="str">
            <v>Norte</v>
          </cell>
          <cell r="O868">
            <v>0</v>
          </cell>
          <cell r="P868" t="str">
            <v>brunca</v>
          </cell>
          <cell r="Q868" t="str">
            <v>brunca</v>
          </cell>
          <cell r="R868" t="b">
            <v>1</v>
          </cell>
          <cell r="S868" t="str">
            <v>601_2</v>
          </cell>
          <cell r="T868">
            <v>1</v>
          </cell>
          <cell r="U868">
            <v>4</v>
          </cell>
          <cell r="V868">
            <v>2</v>
          </cell>
          <cell r="W868">
            <v>0.5</v>
          </cell>
          <cell r="X868">
            <v>64</v>
          </cell>
          <cell r="Y868">
            <v>26</v>
          </cell>
          <cell r="Z868">
            <v>0.40625</v>
          </cell>
        </row>
        <row r="869">
          <cell r="B869" t="str">
            <v>F602_1B</v>
          </cell>
          <cell r="C869" t="str">
            <v>R1_F602_1B</v>
          </cell>
          <cell r="D869">
            <v>1</v>
          </cell>
          <cell r="E869">
            <v>0.7</v>
          </cell>
          <cell r="F869">
            <v>47</v>
          </cell>
          <cell r="G869">
            <v>1</v>
          </cell>
          <cell r="H869">
            <v>67</v>
          </cell>
          <cell r="I869">
            <v>6</v>
          </cell>
          <cell r="J869">
            <v>4</v>
          </cell>
          <cell r="K869">
            <v>1</v>
          </cell>
          <cell r="L869">
            <v>10.961748999999999</v>
          </cell>
          <cell r="M869">
            <v>-85.114214000000004</v>
          </cell>
          <cell r="N869" t="str">
            <v>Norte</v>
          </cell>
          <cell r="O869">
            <v>0</v>
          </cell>
          <cell r="P869" t="str">
            <v>guaymi</v>
          </cell>
          <cell r="Q869" t="str">
            <v>guaymi</v>
          </cell>
          <cell r="R869" t="b">
            <v>1</v>
          </cell>
          <cell r="S869" t="str">
            <v>602_1</v>
          </cell>
          <cell r="T869">
            <v>1</v>
          </cell>
          <cell r="U869">
            <v>1</v>
          </cell>
          <cell r="V869">
            <v>0</v>
          </cell>
          <cell r="W869">
            <v>0</v>
          </cell>
          <cell r="X869">
            <v>23</v>
          </cell>
          <cell r="Y869">
            <v>7</v>
          </cell>
          <cell r="Z869">
            <v>0.30434782599999999</v>
          </cell>
        </row>
        <row r="870">
          <cell r="B870" t="str">
            <v>F602_2B</v>
          </cell>
          <cell r="C870" t="str">
            <v>R1_F602_2B</v>
          </cell>
          <cell r="D870">
            <v>0</v>
          </cell>
          <cell r="E870">
            <v>0.21</v>
          </cell>
          <cell r="F870">
            <v>47</v>
          </cell>
          <cell r="G870">
            <v>1</v>
          </cell>
          <cell r="H870">
            <v>67</v>
          </cell>
          <cell r="I870">
            <v>6</v>
          </cell>
          <cell r="J870">
            <v>4</v>
          </cell>
          <cell r="K870">
            <v>1</v>
          </cell>
          <cell r="L870">
            <v>10.961748999999999</v>
          </cell>
          <cell r="M870">
            <v>-85.114214000000004</v>
          </cell>
          <cell r="N870" t="str">
            <v>Norte</v>
          </cell>
          <cell r="O870">
            <v>0</v>
          </cell>
          <cell r="P870" t="str">
            <v>guaymi</v>
          </cell>
          <cell r="Q870" t="str">
            <v>nambi</v>
          </cell>
          <cell r="R870" t="b">
            <v>0</v>
          </cell>
          <cell r="S870" t="str">
            <v>602_2</v>
          </cell>
          <cell r="T870">
            <v>0</v>
          </cell>
          <cell r="U870">
            <v>1</v>
          </cell>
          <cell r="V870">
            <v>0</v>
          </cell>
          <cell r="W870">
            <v>0</v>
          </cell>
          <cell r="X870">
            <v>23</v>
          </cell>
          <cell r="Y870">
            <v>7</v>
          </cell>
          <cell r="Z870">
            <v>0.30434782599999999</v>
          </cell>
        </row>
        <row r="871">
          <cell r="B871" t="str">
            <v>F602_3B</v>
          </cell>
          <cell r="C871" t="str">
            <v>R1_F602_3B</v>
          </cell>
          <cell r="D871">
            <v>1</v>
          </cell>
          <cell r="E871">
            <v>0.21</v>
          </cell>
          <cell r="F871">
            <v>47</v>
          </cell>
          <cell r="G871">
            <v>1</v>
          </cell>
          <cell r="H871">
            <v>67</v>
          </cell>
          <cell r="I871">
            <v>6</v>
          </cell>
          <cell r="J871">
            <v>4</v>
          </cell>
          <cell r="K871">
            <v>0</v>
          </cell>
          <cell r="L871">
            <v>10.961748999999999</v>
          </cell>
          <cell r="M871">
            <v>-85.114214000000004</v>
          </cell>
          <cell r="N871" t="str">
            <v>Norte</v>
          </cell>
          <cell r="O871">
            <v>0</v>
          </cell>
          <cell r="P871" t="str">
            <v>mantequilla</v>
          </cell>
          <cell r="Q871" t="str">
            <v>mantequilla</v>
          </cell>
          <cell r="R871" t="b">
            <v>1</v>
          </cell>
          <cell r="S871" t="str">
            <v>602_3</v>
          </cell>
          <cell r="T871">
            <v>1</v>
          </cell>
          <cell r="U871">
            <v>1</v>
          </cell>
          <cell r="V871">
            <v>0</v>
          </cell>
          <cell r="W871">
            <v>0</v>
          </cell>
          <cell r="X871">
            <v>23</v>
          </cell>
          <cell r="Y871">
            <v>7</v>
          </cell>
          <cell r="Z871">
            <v>0.30434782599999999</v>
          </cell>
        </row>
        <row r="872">
          <cell r="B872" t="str">
            <v>F602_4B</v>
          </cell>
          <cell r="C872" t="str">
            <v>R1_F602_4B</v>
          </cell>
          <cell r="D872">
            <v>0</v>
          </cell>
          <cell r="E872">
            <v>0.21</v>
          </cell>
          <cell r="F872">
            <v>47</v>
          </cell>
          <cell r="G872">
            <v>1</v>
          </cell>
          <cell r="H872">
            <v>67</v>
          </cell>
          <cell r="I872">
            <v>6</v>
          </cell>
          <cell r="J872">
            <v>4</v>
          </cell>
          <cell r="K872">
            <v>0</v>
          </cell>
          <cell r="L872">
            <v>10.961748999999999</v>
          </cell>
          <cell r="M872">
            <v>-85.114214000000004</v>
          </cell>
          <cell r="N872" t="str">
            <v>Norte</v>
          </cell>
          <cell r="O872">
            <v>0</v>
          </cell>
          <cell r="P872" t="str">
            <v>sacapobres</v>
          </cell>
          <cell r="Q872" t="str">
            <v>dontknow</v>
          </cell>
          <cell r="R872" t="str">
            <v>Not applicable</v>
          </cell>
          <cell r="S872" t="str">
            <v>602_4</v>
          </cell>
          <cell r="T872">
            <v>0</v>
          </cell>
          <cell r="U872">
            <v>1</v>
          </cell>
          <cell r="V872">
            <v>0</v>
          </cell>
          <cell r="W872">
            <v>0</v>
          </cell>
          <cell r="X872">
            <v>23</v>
          </cell>
          <cell r="Y872">
            <v>7</v>
          </cell>
          <cell r="Z872">
            <v>0.30434782599999999</v>
          </cell>
        </row>
        <row r="873">
          <cell r="B873" t="str">
            <v>F603_1B</v>
          </cell>
          <cell r="C873" t="str">
            <v>R1_F603_1B</v>
          </cell>
          <cell r="D873">
            <v>1</v>
          </cell>
          <cell r="E873">
            <v>4.5</v>
          </cell>
          <cell r="F873">
            <v>44</v>
          </cell>
          <cell r="G873">
            <v>1</v>
          </cell>
          <cell r="H873">
            <v>41</v>
          </cell>
          <cell r="I873">
            <v>6</v>
          </cell>
          <cell r="J873">
            <v>3</v>
          </cell>
          <cell r="K873">
            <v>1</v>
          </cell>
          <cell r="L873">
            <v>10.979896999999999</v>
          </cell>
          <cell r="M873">
            <v>-85.114842999999993</v>
          </cell>
          <cell r="N873" t="str">
            <v>Norte</v>
          </cell>
          <cell r="O873">
            <v>0</v>
          </cell>
          <cell r="P873" t="str">
            <v>brunca</v>
          </cell>
          <cell r="Q873" t="str">
            <v>brunca</v>
          </cell>
          <cell r="R873" t="b">
            <v>1</v>
          </cell>
          <cell r="S873" t="str">
            <v>603_1</v>
          </cell>
          <cell r="T873">
            <v>1</v>
          </cell>
          <cell r="U873">
            <v>3</v>
          </cell>
          <cell r="V873">
            <v>2</v>
          </cell>
          <cell r="W873">
            <v>0.66666666699999999</v>
          </cell>
          <cell r="X873">
            <v>34</v>
          </cell>
          <cell r="Y873">
            <v>13</v>
          </cell>
          <cell r="Z873">
            <v>0.382352941</v>
          </cell>
        </row>
        <row r="874">
          <cell r="B874" t="str">
            <v>F604_1B</v>
          </cell>
          <cell r="C874" t="str">
            <v>R1_F604_1B</v>
          </cell>
          <cell r="D874">
            <v>0</v>
          </cell>
          <cell r="E874">
            <v>0.7</v>
          </cell>
          <cell r="F874">
            <v>48</v>
          </cell>
          <cell r="G874">
            <v>0</v>
          </cell>
          <cell r="H874">
            <v>46</v>
          </cell>
          <cell r="I874">
            <v>5</v>
          </cell>
          <cell r="J874">
            <v>6</v>
          </cell>
          <cell r="K874">
            <v>1</v>
          </cell>
          <cell r="L874">
            <v>10.985668</v>
          </cell>
          <cell r="M874">
            <v>-85.129070999999996</v>
          </cell>
          <cell r="N874" t="str">
            <v>Norte</v>
          </cell>
          <cell r="O874">
            <v>0</v>
          </cell>
          <cell r="P874" t="str">
            <v>guaymi</v>
          </cell>
          <cell r="Q874" t="str">
            <v>matambu</v>
          </cell>
          <cell r="R874" t="b">
            <v>0</v>
          </cell>
          <cell r="S874" t="str">
            <v>604_1</v>
          </cell>
          <cell r="T874">
            <v>0</v>
          </cell>
          <cell r="U874">
            <v>7</v>
          </cell>
          <cell r="V874">
            <v>4</v>
          </cell>
          <cell r="W874">
            <v>0.571428571</v>
          </cell>
          <cell r="X874">
            <v>79</v>
          </cell>
          <cell r="Y874">
            <v>37</v>
          </cell>
          <cell r="Z874">
            <v>0.46835442999999999</v>
          </cell>
        </row>
        <row r="875">
          <cell r="B875" t="str">
            <v>F604_2B</v>
          </cell>
          <cell r="C875" t="str">
            <v>R1_F604_2B</v>
          </cell>
          <cell r="D875">
            <v>1</v>
          </cell>
          <cell r="E875">
            <v>0.28000000000000003</v>
          </cell>
          <cell r="F875">
            <v>48</v>
          </cell>
          <cell r="G875">
            <v>0</v>
          </cell>
          <cell r="H875">
            <v>46</v>
          </cell>
          <cell r="I875">
            <v>5</v>
          </cell>
          <cell r="J875">
            <v>6</v>
          </cell>
          <cell r="K875">
            <v>1</v>
          </cell>
          <cell r="L875">
            <v>10.985668</v>
          </cell>
          <cell r="M875">
            <v>-85.129070999999996</v>
          </cell>
          <cell r="N875" t="str">
            <v>Norte</v>
          </cell>
          <cell r="O875">
            <v>0</v>
          </cell>
          <cell r="P875" t="str">
            <v>uran</v>
          </cell>
          <cell r="Q875" t="str">
            <v>uran</v>
          </cell>
          <cell r="R875" t="b">
            <v>1</v>
          </cell>
          <cell r="S875" t="str">
            <v>604_2</v>
          </cell>
          <cell r="T875">
            <v>0</v>
          </cell>
          <cell r="U875">
            <v>7</v>
          </cell>
          <cell r="V875">
            <v>4</v>
          </cell>
          <cell r="W875">
            <v>0.571428571</v>
          </cell>
          <cell r="X875">
            <v>79</v>
          </cell>
          <cell r="Y875">
            <v>37</v>
          </cell>
          <cell r="Z875">
            <v>0.46835442999999999</v>
          </cell>
        </row>
        <row r="876">
          <cell r="B876" t="str">
            <v>F604_3B</v>
          </cell>
          <cell r="C876" t="str">
            <v>R1_F604_3B</v>
          </cell>
          <cell r="D876">
            <v>1</v>
          </cell>
          <cell r="E876">
            <v>0.14000000000000001</v>
          </cell>
          <cell r="F876">
            <v>48</v>
          </cell>
          <cell r="G876">
            <v>0</v>
          </cell>
          <cell r="H876">
            <v>46</v>
          </cell>
          <cell r="I876">
            <v>5</v>
          </cell>
          <cell r="J876">
            <v>6</v>
          </cell>
          <cell r="K876">
            <v>1</v>
          </cell>
          <cell r="L876">
            <v>10.985668</v>
          </cell>
          <cell r="M876">
            <v>-85.129070999999996</v>
          </cell>
          <cell r="N876" t="str">
            <v>Norte</v>
          </cell>
          <cell r="O876">
            <v>0</v>
          </cell>
          <cell r="P876" t="str">
            <v>tayni</v>
          </cell>
          <cell r="Q876" t="str">
            <v>tayni</v>
          </cell>
          <cell r="R876" t="b">
            <v>1</v>
          </cell>
          <cell r="S876" t="str">
            <v>604_3</v>
          </cell>
          <cell r="T876">
            <v>1</v>
          </cell>
          <cell r="U876">
            <v>7</v>
          </cell>
          <cell r="V876">
            <v>4</v>
          </cell>
          <cell r="W876">
            <v>0.571428571</v>
          </cell>
          <cell r="X876">
            <v>79</v>
          </cell>
          <cell r="Y876">
            <v>37</v>
          </cell>
          <cell r="Z876">
            <v>0.46835442999999999</v>
          </cell>
        </row>
        <row r="877">
          <cell r="B877" t="str">
            <v>F604_4B</v>
          </cell>
          <cell r="C877" t="str">
            <v>R1_F604_4B</v>
          </cell>
          <cell r="D877">
            <v>1</v>
          </cell>
          <cell r="E877">
            <v>0.28000000000000003</v>
          </cell>
          <cell r="F877">
            <v>48</v>
          </cell>
          <cell r="G877">
            <v>0</v>
          </cell>
          <cell r="H877">
            <v>46</v>
          </cell>
          <cell r="I877">
            <v>5</v>
          </cell>
          <cell r="J877">
            <v>6</v>
          </cell>
          <cell r="K877">
            <v>1</v>
          </cell>
          <cell r="L877">
            <v>10.985668</v>
          </cell>
          <cell r="M877">
            <v>-85.129070999999996</v>
          </cell>
          <cell r="N877" t="str">
            <v>Norte</v>
          </cell>
          <cell r="O877">
            <v>0</v>
          </cell>
          <cell r="P877" t="str">
            <v>brunca</v>
          </cell>
          <cell r="Q877" t="str">
            <v>brunca</v>
          </cell>
          <cell r="R877" t="b">
            <v>1</v>
          </cell>
          <cell r="S877" t="str">
            <v>604_4</v>
          </cell>
          <cell r="T877">
            <v>1</v>
          </cell>
          <cell r="U877">
            <v>7</v>
          </cell>
          <cell r="V877">
            <v>4</v>
          </cell>
          <cell r="W877">
            <v>0.571428571</v>
          </cell>
          <cell r="X877">
            <v>79</v>
          </cell>
          <cell r="Y877">
            <v>37</v>
          </cell>
          <cell r="Z877">
            <v>0.46835442999999999</v>
          </cell>
        </row>
        <row r="878">
          <cell r="B878" t="str">
            <v>F605_1B</v>
          </cell>
          <cell r="C878" t="str">
            <v>R1_F605_1B</v>
          </cell>
          <cell r="D878">
            <v>0</v>
          </cell>
          <cell r="E878">
            <v>0.21</v>
          </cell>
          <cell r="F878">
            <v>52</v>
          </cell>
          <cell r="G878">
            <v>1</v>
          </cell>
          <cell r="H878">
            <v>49</v>
          </cell>
          <cell r="I878">
            <v>7</v>
          </cell>
          <cell r="J878">
            <v>3</v>
          </cell>
          <cell r="K878">
            <v>0</v>
          </cell>
          <cell r="L878">
            <v>10.968972000000001</v>
          </cell>
          <cell r="M878">
            <v>-85.141194999999996</v>
          </cell>
          <cell r="N878" t="str">
            <v>Norte</v>
          </cell>
          <cell r="O878">
            <v>0</v>
          </cell>
          <cell r="P878" t="str">
            <v>victoria</v>
          </cell>
          <cell r="Q878" t="str">
            <v>rojo</v>
          </cell>
          <cell r="R878" t="str">
            <v>Not applicable</v>
          </cell>
          <cell r="S878" t="str">
            <v>605_1</v>
          </cell>
          <cell r="T878">
            <v>0</v>
          </cell>
          <cell r="U878">
            <v>6</v>
          </cell>
          <cell r="V878">
            <v>0</v>
          </cell>
          <cell r="W878">
            <v>0</v>
          </cell>
          <cell r="X878">
            <v>54</v>
          </cell>
          <cell r="Y878">
            <v>23</v>
          </cell>
          <cell r="Z878">
            <v>0.42592592600000001</v>
          </cell>
        </row>
        <row r="879">
          <cell r="B879" t="str">
            <v>F605_2B</v>
          </cell>
          <cell r="C879" t="str">
            <v>R1_F605_2B</v>
          </cell>
          <cell r="D879">
            <v>1</v>
          </cell>
          <cell r="E879">
            <v>0.21</v>
          </cell>
          <cell r="F879">
            <v>52</v>
          </cell>
          <cell r="G879">
            <v>1</v>
          </cell>
          <cell r="H879">
            <v>49</v>
          </cell>
          <cell r="I879">
            <v>7</v>
          </cell>
          <cell r="J879">
            <v>3</v>
          </cell>
          <cell r="K879">
            <v>1</v>
          </cell>
          <cell r="L879">
            <v>10.968972000000001</v>
          </cell>
          <cell r="M879">
            <v>-85.141194999999996</v>
          </cell>
          <cell r="N879" t="str">
            <v>Norte</v>
          </cell>
          <cell r="O879">
            <v>0</v>
          </cell>
          <cell r="P879" t="str">
            <v>guaymi</v>
          </cell>
          <cell r="Q879" t="str">
            <v>guaymi</v>
          </cell>
          <cell r="R879" t="b">
            <v>1</v>
          </cell>
          <cell r="S879" t="str">
            <v>605_2</v>
          </cell>
          <cell r="T879">
            <v>1</v>
          </cell>
          <cell r="U879">
            <v>6</v>
          </cell>
          <cell r="V879">
            <v>0</v>
          </cell>
          <cell r="W879">
            <v>0</v>
          </cell>
          <cell r="X879">
            <v>54</v>
          </cell>
          <cell r="Y879">
            <v>23</v>
          </cell>
          <cell r="Z879">
            <v>0.42592592600000001</v>
          </cell>
        </row>
        <row r="880">
          <cell r="B880" t="str">
            <v>F605_3B</v>
          </cell>
          <cell r="C880" t="str">
            <v>R1_F605_3B</v>
          </cell>
          <cell r="D880">
            <v>1</v>
          </cell>
          <cell r="E880">
            <v>0.14000000000000001</v>
          </cell>
          <cell r="F880">
            <v>52</v>
          </cell>
          <cell r="G880">
            <v>1</v>
          </cell>
          <cell r="H880">
            <v>49</v>
          </cell>
          <cell r="I880">
            <v>7</v>
          </cell>
          <cell r="J880">
            <v>3</v>
          </cell>
          <cell r="K880">
            <v>0</v>
          </cell>
          <cell r="L880">
            <v>10.968972000000001</v>
          </cell>
          <cell r="M880">
            <v>-85.141194999999996</v>
          </cell>
          <cell r="N880" t="str">
            <v>Norte</v>
          </cell>
          <cell r="O880">
            <v>0</v>
          </cell>
          <cell r="P880" t="str">
            <v>mantequilla</v>
          </cell>
          <cell r="Q880" t="str">
            <v>mantequilla</v>
          </cell>
          <cell r="R880" t="b">
            <v>1</v>
          </cell>
          <cell r="S880" t="str">
            <v>605_3</v>
          </cell>
          <cell r="T880">
            <v>1</v>
          </cell>
          <cell r="U880">
            <v>6</v>
          </cell>
          <cell r="V880">
            <v>0</v>
          </cell>
          <cell r="W880">
            <v>0</v>
          </cell>
          <cell r="X880">
            <v>54</v>
          </cell>
          <cell r="Y880">
            <v>23</v>
          </cell>
          <cell r="Z880">
            <v>0.42592592600000001</v>
          </cell>
        </row>
        <row r="881">
          <cell r="B881" t="str">
            <v>F606_1B</v>
          </cell>
          <cell r="C881" t="str">
            <v>R1_F606_1B</v>
          </cell>
          <cell r="D881">
            <v>1</v>
          </cell>
          <cell r="E881">
            <v>0.21</v>
          </cell>
          <cell r="F881">
            <v>42</v>
          </cell>
          <cell r="G881">
            <v>1</v>
          </cell>
          <cell r="H881">
            <v>66</v>
          </cell>
          <cell r="I881">
            <v>6</v>
          </cell>
          <cell r="J881">
            <v>3</v>
          </cell>
          <cell r="K881">
            <v>0</v>
          </cell>
          <cell r="L881">
            <v>10.994707999999999</v>
          </cell>
          <cell r="M881">
            <v>-85.091206999999997</v>
          </cell>
          <cell r="N881" t="str">
            <v>Norte</v>
          </cell>
          <cell r="O881">
            <v>0</v>
          </cell>
          <cell r="P881" t="str">
            <v>mantequilla</v>
          </cell>
          <cell r="Q881" t="str">
            <v>mantequilla</v>
          </cell>
          <cell r="R881" t="b">
            <v>1</v>
          </cell>
          <cell r="S881" t="str">
            <v>606_1</v>
          </cell>
          <cell r="T881">
            <v>1</v>
          </cell>
          <cell r="U881">
            <v>5</v>
          </cell>
          <cell r="V881">
            <v>3</v>
          </cell>
          <cell r="W881">
            <v>0.6</v>
          </cell>
          <cell r="X881">
            <v>43</v>
          </cell>
          <cell r="Y881">
            <v>16</v>
          </cell>
          <cell r="Z881">
            <v>0.37209302300000002</v>
          </cell>
        </row>
        <row r="882">
          <cell r="B882" t="str">
            <v>F607_1B</v>
          </cell>
          <cell r="C882" t="str">
            <v>R1_F607_1B</v>
          </cell>
          <cell r="D882">
            <v>1</v>
          </cell>
          <cell r="E882">
            <v>0.5</v>
          </cell>
          <cell r="F882">
            <v>46</v>
          </cell>
          <cell r="G882">
            <v>0</v>
          </cell>
          <cell r="H882">
            <v>31</v>
          </cell>
          <cell r="I882">
            <v>11</v>
          </cell>
          <cell r="J882">
            <v>8</v>
          </cell>
          <cell r="K882">
            <v>1</v>
          </cell>
          <cell r="L882">
            <v>10.989027</v>
          </cell>
          <cell r="M882">
            <v>-85.087063000000001</v>
          </cell>
          <cell r="N882" t="str">
            <v>Norte</v>
          </cell>
          <cell r="O882">
            <v>0</v>
          </cell>
          <cell r="P882" t="str">
            <v>matambu</v>
          </cell>
          <cell r="Q882" t="str">
            <v>matambu</v>
          </cell>
          <cell r="R882" t="b">
            <v>1</v>
          </cell>
          <cell r="S882" t="str">
            <v>607_1</v>
          </cell>
          <cell r="T882">
            <v>1</v>
          </cell>
          <cell r="U882">
            <v>4</v>
          </cell>
          <cell r="V882">
            <v>2</v>
          </cell>
          <cell r="W882">
            <v>0.5</v>
          </cell>
          <cell r="X882">
            <v>32</v>
          </cell>
          <cell r="Y882">
            <v>11</v>
          </cell>
          <cell r="Z882">
            <v>0.34375</v>
          </cell>
        </row>
        <row r="883">
          <cell r="B883" t="str">
            <v>F608_1B</v>
          </cell>
          <cell r="C883" t="str">
            <v>R1_F608_1B</v>
          </cell>
          <cell r="D883">
            <v>0</v>
          </cell>
          <cell r="E883">
            <v>1</v>
          </cell>
          <cell r="F883">
            <v>48</v>
          </cell>
          <cell r="G883">
            <v>1</v>
          </cell>
          <cell r="H883">
            <v>52</v>
          </cell>
          <cell r="I883">
            <v>6</v>
          </cell>
          <cell r="J883">
            <v>1</v>
          </cell>
          <cell r="K883">
            <v>0</v>
          </cell>
          <cell r="L883">
            <v>10.987767</v>
          </cell>
          <cell r="M883">
            <v>-85.087563000000003</v>
          </cell>
          <cell r="N883" t="str">
            <v>Norte</v>
          </cell>
          <cell r="O883">
            <v>0</v>
          </cell>
          <cell r="P883" t="str">
            <v>SEF 62</v>
          </cell>
          <cell r="Q883" t="str">
            <v>assay</v>
          </cell>
          <cell r="R883" t="str">
            <v>Not applicable</v>
          </cell>
          <cell r="S883" t="str">
            <v>608_1</v>
          </cell>
          <cell r="T883">
            <v>0</v>
          </cell>
          <cell r="U883">
            <v>3</v>
          </cell>
          <cell r="V883">
            <v>2</v>
          </cell>
          <cell r="W883">
            <v>0.66666666699999999</v>
          </cell>
          <cell r="X883">
            <v>29</v>
          </cell>
          <cell r="Y883">
            <v>11</v>
          </cell>
          <cell r="Z883">
            <v>0.37931034499999999</v>
          </cell>
        </row>
        <row r="884">
          <cell r="B884" t="str">
            <v>F608_2B</v>
          </cell>
          <cell r="C884" t="str">
            <v>R1_F608_2B</v>
          </cell>
          <cell r="D884">
            <v>1</v>
          </cell>
          <cell r="E884">
            <v>0.49</v>
          </cell>
          <cell r="F884">
            <v>48</v>
          </cell>
          <cell r="G884">
            <v>1</v>
          </cell>
          <cell r="H884">
            <v>52</v>
          </cell>
          <cell r="I884">
            <v>6</v>
          </cell>
          <cell r="J884">
            <v>1</v>
          </cell>
          <cell r="K884">
            <v>1</v>
          </cell>
          <cell r="L884">
            <v>10.987767</v>
          </cell>
          <cell r="M884">
            <v>-85.087563000000003</v>
          </cell>
          <cell r="N884" t="str">
            <v>Norte</v>
          </cell>
          <cell r="O884">
            <v>0</v>
          </cell>
          <cell r="P884" t="str">
            <v>matambu</v>
          </cell>
          <cell r="Q884" t="str">
            <v>matambu</v>
          </cell>
          <cell r="R884" t="b">
            <v>1</v>
          </cell>
          <cell r="S884" t="str">
            <v>608_2</v>
          </cell>
          <cell r="T884">
            <v>1</v>
          </cell>
          <cell r="U884">
            <v>3</v>
          </cell>
          <cell r="V884">
            <v>2</v>
          </cell>
          <cell r="W884">
            <v>0.66666666699999999</v>
          </cell>
          <cell r="X884">
            <v>29</v>
          </cell>
          <cell r="Y884">
            <v>11</v>
          </cell>
          <cell r="Z884">
            <v>0.37931034499999999</v>
          </cell>
        </row>
        <row r="885">
          <cell r="B885" t="str">
            <v>F609_1B</v>
          </cell>
          <cell r="C885" t="str">
            <v>R1_F609_1B</v>
          </cell>
          <cell r="D885">
            <v>0</v>
          </cell>
          <cell r="E885">
            <v>0.7</v>
          </cell>
          <cell r="F885">
            <v>46</v>
          </cell>
          <cell r="G885">
            <v>1</v>
          </cell>
          <cell r="H885">
            <v>54</v>
          </cell>
          <cell r="I885">
            <v>0</v>
          </cell>
          <cell r="J885">
            <v>10</v>
          </cell>
          <cell r="K885">
            <v>0</v>
          </cell>
          <cell r="L885">
            <v>10.989623999999999</v>
          </cell>
          <cell r="M885">
            <v>-85.078478000000004</v>
          </cell>
          <cell r="N885" t="str">
            <v>Norte</v>
          </cell>
          <cell r="O885">
            <v>0</v>
          </cell>
          <cell r="P885" t="str">
            <v>gibre</v>
          </cell>
          <cell r="Q885" t="str">
            <v>other</v>
          </cell>
          <cell r="R885" t="str">
            <v>Not applicable</v>
          </cell>
          <cell r="S885" t="str">
            <v>609_1</v>
          </cell>
          <cell r="T885">
            <v>0</v>
          </cell>
          <cell r="U885">
            <v>2</v>
          </cell>
          <cell r="V885">
            <v>0</v>
          </cell>
          <cell r="W885">
            <v>0</v>
          </cell>
          <cell r="X885">
            <v>30</v>
          </cell>
          <cell r="Y885">
            <v>12</v>
          </cell>
          <cell r="Z885">
            <v>0.4</v>
          </cell>
        </row>
        <row r="886">
          <cell r="B886" t="str">
            <v>F611_1B</v>
          </cell>
          <cell r="C886" t="str">
            <v>R1_F611_1B</v>
          </cell>
          <cell r="D886">
            <v>0</v>
          </cell>
          <cell r="E886">
            <v>0.7</v>
          </cell>
          <cell r="F886">
            <v>48</v>
          </cell>
          <cell r="G886">
            <v>0</v>
          </cell>
          <cell r="H886">
            <v>15</v>
          </cell>
          <cell r="I886">
            <v>8</v>
          </cell>
          <cell r="J886">
            <v>9</v>
          </cell>
          <cell r="K886">
            <v>1</v>
          </cell>
          <cell r="L886">
            <v>10.987742000000001</v>
          </cell>
          <cell r="M886">
            <v>-85.087439000000003</v>
          </cell>
          <cell r="N886" t="str">
            <v>Norte</v>
          </cell>
          <cell r="O886">
            <v>0</v>
          </cell>
          <cell r="P886" t="str">
            <v>uran</v>
          </cell>
          <cell r="Q886" t="str">
            <v>brunca</v>
          </cell>
          <cell r="R886" t="b">
            <v>0</v>
          </cell>
          <cell r="S886" t="str">
            <v>611_1</v>
          </cell>
          <cell r="T886">
            <v>0</v>
          </cell>
          <cell r="U886">
            <v>3</v>
          </cell>
          <cell r="V886">
            <v>2</v>
          </cell>
          <cell r="W886">
            <v>0.66666666699999999</v>
          </cell>
          <cell r="X886">
            <v>29</v>
          </cell>
          <cell r="Y886">
            <v>11</v>
          </cell>
          <cell r="Z886">
            <v>0.37931034499999999</v>
          </cell>
        </row>
        <row r="887">
          <cell r="B887" t="str">
            <v>F611_2B</v>
          </cell>
          <cell r="C887" t="str">
            <v>R1_F611_2B</v>
          </cell>
          <cell r="D887">
            <v>0</v>
          </cell>
          <cell r="E887">
            <v>7.0000000000000007E-2</v>
          </cell>
          <cell r="F887">
            <v>48</v>
          </cell>
          <cell r="G887">
            <v>0</v>
          </cell>
          <cell r="H887">
            <v>15</v>
          </cell>
          <cell r="I887">
            <v>8</v>
          </cell>
          <cell r="J887">
            <v>9</v>
          </cell>
          <cell r="K887">
            <v>1</v>
          </cell>
          <cell r="L887">
            <v>10.987742000000001</v>
          </cell>
          <cell r="M887">
            <v>-85.087439000000003</v>
          </cell>
          <cell r="N887" t="str">
            <v>Norte</v>
          </cell>
          <cell r="O887">
            <v>0</v>
          </cell>
          <cell r="P887" t="str">
            <v>guaymi</v>
          </cell>
          <cell r="Q887" t="str">
            <v>tayni</v>
          </cell>
          <cell r="R887" t="b">
            <v>0</v>
          </cell>
          <cell r="S887" t="str">
            <v>611_2</v>
          </cell>
          <cell r="T887">
            <v>1</v>
          </cell>
          <cell r="U887">
            <v>3</v>
          </cell>
          <cell r="V887">
            <v>2</v>
          </cell>
          <cell r="W887">
            <v>0.66666666699999999</v>
          </cell>
          <cell r="X887">
            <v>29</v>
          </cell>
          <cell r="Y887">
            <v>11</v>
          </cell>
          <cell r="Z887">
            <v>0.37931034499999999</v>
          </cell>
        </row>
        <row r="888">
          <cell r="B888" t="str">
            <v>F612_1B</v>
          </cell>
          <cell r="C888" t="str">
            <v>R1_F612_1B</v>
          </cell>
          <cell r="D888">
            <v>0</v>
          </cell>
          <cell r="E888">
            <v>0.315</v>
          </cell>
          <cell r="F888">
            <v>40</v>
          </cell>
          <cell r="G888">
            <v>1</v>
          </cell>
          <cell r="H888">
            <v>49</v>
          </cell>
          <cell r="I888">
            <v>6</v>
          </cell>
          <cell r="J888">
            <v>8</v>
          </cell>
          <cell r="K888">
            <v>0</v>
          </cell>
          <cell r="L888">
            <v>10.994199999999999</v>
          </cell>
          <cell r="M888">
            <v>-85.096686000000005</v>
          </cell>
          <cell r="N888" t="str">
            <v>Norte</v>
          </cell>
          <cell r="O888">
            <v>0</v>
          </cell>
          <cell r="P888" t="str">
            <v>victoria</v>
          </cell>
          <cell r="Q888" t="str">
            <v>cabecar</v>
          </cell>
          <cell r="R888" t="b">
            <v>0</v>
          </cell>
          <cell r="S888" t="str">
            <v>612_1</v>
          </cell>
          <cell r="T888">
            <v>0</v>
          </cell>
          <cell r="U888">
            <v>1</v>
          </cell>
          <cell r="V888">
            <v>1</v>
          </cell>
          <cell r="W888">
            <v>1</v>
          </cell>
          <cell r="X888">
            <v>33</v>
          </cell>
          <cell r="Y888">
            <v>13</v>
          </cell>
          <cell r="Z888">
            <v>0.393939394</v>
          </cell>
        </row>
        <row r="889">
          <cell r="B889" t="str">
            <v>F612_2B</v>
          </cell>
          <cell r="C889" t="str">
            <v>R1_F612_2B</v>
          </cell>
          <cell r="D889">
            <v>1</v>
          </cell>
          <cell r="E889">
            <v>0.315</v>
          </cell>
          <cell r="F889">
            <v>40</v>
          </cell>
          <cell r="G889">
            <v>1</v>
          </cell>
          <cell r="H889">
            <v>49</v>
          </cell>
          <cell r="I889">
            <v>6</v>
          </cell>
          <cell r="J889">
            <v>8</v>
          </cell>
          <cell r="K889">
            <v>1</v>
          </cell>
          <cell r="L889">
            <v>10.994199999999999</v>
          </cell>
          <cell r="M889">
            <v>-85.096686000000005</v>
          </cell>
          <cell r="N889" t="str">
            <v>Norte</v>
          </cell>
          <cell r="O889">
            <v>0</v>
          </cell>
          <cell r="P889" t="str">
            <v>tayni</v>
          </cell>
          <cell r="Q889" t="str">
            <v>tayni</v>
          </cell>
          <cell r="R889" t="b">
            <v>1</v>
          </cell>
          <cell r="S889" t="str">
            <v>612_2</v>
          </cell>
          <cell r="T889">
            <v>1</v>
          </cell>
          <cell r="U889">
            <v>1</v>
          </cell>
          <cell r="V889">
            <v>1</v>
          </cell>
          <cell r="W889">
            <v>1</v>
          </cell>
          <cell r="X889">
            <v>33</v>
          </cell>
          <cell r="Y889">
            <v>13</v>
          </cell>
          <cell r="Z889">
            <v>0.393939394</v>
          </cell>
        </row>
        <row r="890">
          <cell r="B890" t="str">
            <v>F612_3B</v>
          </cell>
          <cell r="C890" t="str">
            <v>R1_F612_3B</v>
          </cell>
          <cell r="D890">
            <v>1</v>
          </cell>
          <cell r="E890">
            <v>0.42</v>
          </cell>
          <cell r="F890">
            <v>40</v>
          </cell>
          <cell r="G890">
            <v>1</v>
          </cell>
          <cell r="H890">
            <v>49</v>
          </cell>
          <cell r="I890">
            <v>6</v>
          </cell>
          <cell r="J890">
            <v>8</v>
          </cell>
          <cell r="K890">
            <v>1</v>
          </cell>
          <cell r="L890">
            <v>10.994199999999999</v>
          </cell>
          <cell r="M890">
            <v>-85.096686000000005</v>
          </cell>
          <cell r="N890" t="str">
            <v>Norte</v>
          </cell>
          <cell r="O890">
            <v>0</v>
          </cell>
          <cell r="P890" t="str">
            <v>nambi</v>
          </cell>
          <cell r="Q890" t="str">
            <v>nambi</v>
          </cell>
          <cell r="R890" t="b">
            <v>1</v>
          </cell>
          <cell r="S890" t="str">
            <v>612_3</v>
          </cell>
          <cell r="T890">
            <v>1</v>
          </cell>
          <cell r="U890">
            <v>1</v>
          </cell>
          <cell r="V890">
            <v>1</v>
          </cell>
          <cell r="W890">
            <v>1</v>
          </cell>
          <cell r="X890">
            <v>33</v>
          </cell>
          <cell r="Y890">
            <v>13</v>
          </cell>
          <cell r="Z890">
            <v>0.393939394</v>
          </cell>
        </row>
        <row r="891">
          <cell r="B891" t="str">
            <v>F612_4B</v>
          </cell>
          <cell r="C891" t="str">
            <v>R1_F612_4B</v>
          </cell>
          <cell r="D891">
            <v>1</v>
          </cell>
          <cell r="E891">
            <v>0.14000000000000001</v>
          </cell>
          <cell r="F891">
            <v>40</v>
          </cell>
          <cell r="G891">
            <v>1</v>
          </cell>
          <cell r="H891">
            <v>49</v>
          </cell>
          <cell r="I891">
            <v>6</v>
          </cell>
          <cell r="J891">
            <v>8</v>
          </cell>
          <cell r="K891">
            <v>1</v>
          </cell>
          <cell r="L891">
            <v>10.994199999999999</v>
          </cell>
          <cell r="M891">
            <v>-85.096686000000005</v>
          </cell>
          <cell r="N891" t="str">
            <v>Norte</v>
          </cell>
          <cell r="O891">
            <v>0</v>
          </cell>
          <cell r="P891" t="str">
            <v>matambu</v>
          </cell>
          <cell r="Q891" t="str">
            <v>matambu</v>
          </cell>
          <cell r="R891" t="b">
            <v>1</v>
          </cell>
          <cell r="S891" t="str">
            <v>612_4</v>
          </cell>
          <cell r="T891">
            <v>1</v>
          </cell>
          <cell r="U891">
            <v>1</v>
          </cell>
          <cell r="V891">
            <v>1</v>
          </cell>
          <cell r="W891">
            <v>1</v>
          </cell>
          <cell r="X891">
            <v>33</v>
          </cell>
          <cell r="Y891">
            <v>13</v>
          </cell>
          <cell r="Z891">
            <v>0.393939394</v>
          </cell>
        </row>
        <row r="892">
          <cell r="B892" t="str">
            <v>F612_5B</v>
          </cell>
          <cell r="C892" t="str">
            <v>R1_F612_5B</v>
          </cell>
          <cell r="D892">
            <v>0</v>
          </cell>
          <cell r="E892">
            <v>7.0000000000000007E-2</v>
          </cell>
          <cell r="F892">
            <v>40</v>
          </cell>
          <cell r="G892">
            <v>1</v>
          </cell>
          <cell r="H892">
            <v>49</v>
          </cell>
          <cell r="I892">
            <v>6</v>
          </cell>
          <cell r="J892">
            <v>8</v>
          </cell>
          <cell r="K892">
            <v>0</v>
          </cell>
          <cell r="L892">
            <v>10.994199999999999</v>
          </cell>
          <cell r="M892">
            <v>-85.096686000000005</v>
          </cell>
          <cell r="N892" t="str">
            <v>Norte</v>
          </cell>
          <cell r="O892">
            <v>0</v>
          </cell>
          <cell r="P892" t="str">
            <v>SEF 64</v>
          </cell>
          <cell r="Q892" t="str">
            <v>dontknow</v>
          </cell>
          <cell r="R892" t="str">
            <v>Not applicable</v>
          </cell>
          <cell r="S892" t="str">
            <v>612_5</v>
          </cell>
          <cell r="T892">
            <v>0</v>
          </cell>
          <cell r="U892">
            <v>1</v>
          </cell>
          <cell r="V892">
            <v>1</v>
          </cell>
          <cell r="W892">
            <v>1</v>
          </cell>
          <cell r="X892">
            <v>33</v>
          </cell>
          <cell r="Y892">
            <v>13</v>
          </cell>
          <cell r="Z892">
            <v>0.393939394</v>
          </cell>
        </row>
        <row r="893">
          <cell r="B893" t="str">
            <v>F613_1B</v>
          </cell>
          <cell r="C893" t="str">
            <v>R1_F613_1B</v>
          </cell>
          <cell r="D893">
            <v>1</v>
          </cell>
          <cell r="E893">
            <v>7.0000000000000007E-2</v>
          </cell>
          <cell r="F893">
            <v>42</v>
          </cell>
          <cell r="G893">
            <v>1</v>
          </cell>
          <cell r="H893">
            <v>55</v>
          </cell>
          <cell r="I893">
            <v>6</v>
          </cell>
          <cell r="J893">
            <v>5</v>
          </cell>
          <cell r="K893">
            <v>1</v>
          </cell>
          <cell r="L893">
            <v>10.997274000000001</v>
          </cell>
          <cell r="M893">
            <v>-85.146721999999997</v>
          </cell>
          <cell r="N893" t="str">
            <v>Norte</v>
          </cell>
          <cell r="O893">
            <v>0</v>
          </cell>
          <cell r="P893" t="str">
            <v>nambi</v>
          </cell>
          <cell r="Q893" t="str">
            <v>nambi</v>
          </cell>
          <cell r="R893" t="b">
            <v>1</v>
          </cell>
          <cell r="S893" t="str">
            <v>613_1</v>
          </cell>
          <cell r="T893">
            <v>1</v>
          </cell>
          <cell r="U893">
            <v>8</v>
          </cell>
          <cell r="V893">
            <v>5</v>
          </cell>
          <cell r="W893">
            <v>0.625</v>
          </cell>
          <cell r="X893">
            <v>82</v>
          </cell>
          <cell r="Y893">
            <v>37</v>
          </cell>
          <cell r="Z893">
            <v>0.45121951199999999</v>
          </cell>
        </row>
        <row r="894">
          <cell r="B894" t="str">
            <v>F613_2B</v>
          </cell>
          <cell r="C894" t="str">
            <v>R1_F613_2B</v>
          </cell>
          <cell r="D894">
            <v>0</v>
          </cell>
          <cell r="E894">
            <v>0.28000000000000003</v>
          </cell>
          <cell r="F894">
            <v>42</v>
          </cell>
          <cell r="G894">
            <v>1</v>
          </cell>
          <cell r="H894">
            <v>55</v>
          </cell>
          <cell r="I894">
            <v>6</v>
          </cell>
          <cell r="J894">
            <v>5</v>
          </cell>
          <cell r="K894">
            <v>1</v>
          </cell>
          <cell r="L894">
            <v>10.997274000000001</v>
          </cell>
          <cell r="M894">
            <v>-85.146721999999997</v>
          </cell>
          <cell r="N894" t="str">
            <v>Norte</v>
          </cell>
          <cell r="O894">
            <v>0</v>
          </cell>
          <cell r="P894" t="str">
            <v>tayni</v>
          </cell>
          <cell r="Q894" t="str">
            <v>dontknow</v>
          </cell>
          <cell r="R894" t="str">
            <v>Not applicable</v>
          </cell>
          <cell r="S894" t="str">
            <v>613_2</v>
          </cell>
          <cell r="T894">
            <v>0</v>
          </cell>
          <cell r="U894">
            <v>8</v>
          </cell>
          <cell r="V894">
            <v>5</v>
          </cell>
          <cell r="W894">
            <v>0.625</v>
          </cell>
          <cell r="X894">
            <v>82</v>
          </cell>
          <cell r="Y894">
            <v>37</v>
          </cell>
          <cell r="Z894">
            <v>0.45121951199999999</v>
          </cell>
        </row>
        <row r="895">
          <cell r="B895" t="str">
            <v>F614_1B</v>
          </cell>
          <cell r="C895" t="str">
            <v>R1_F614_1B</v>
          </cell>
          <cell r="D895">
            <v>0</v>
          </cell>
          <cell r="E895">
            <v>0.35</v>
          </cell>
          <cell r="F895">
            <v>45</v>
          </cell>
          <cell r="G895">
            <v>1</v>
          </cell>
          <cell r="H895">
            <v>81</v>
          </cell>
          <cell r="I895">
            <v>0</v>
          </cell>
          <cell r="J895">
            <v>6</v>
          </cell>
          <cell r="K895">
            <v>0</v>
          </cell>
          <cell r="L895">
            <v>10.971037000000001</v>
          </cell>
          <cell r="M895">
            <v>-85.144594999999995</v>
          </cell>
          <cell r="N895" t="str">
            <v>Norte</v>
          </cell>
          <cell r="O895">
            <v>0</v>
          </cell>
          <cell r="P895" t="str">
            <v>victoria</v>
          </cell>
          <cell r="Q895" t="str">
            <v>other</v>
          </cell>
          <cell r="R895" t="str">
            <v>Not applicable</v>
          </cell>
          <cell r="S895" t="str">
            <v>614_1</v>
          </cell>
          <cell r="T895">
            <v>0</v>
          </cell>
          <cell r="U895">
            <v>14</v>
          </cell>
          <cell r="V895">
            <v>5</v>
          </cell>
          <cell r="W895">
            <v>0.35714285699999998</v>
          </cell>
          <cell r="X895">
            <v>57</v>
          </cell>
          <cell r="Y895">
            <v>25</v>
          </cell>
          <cell r="Z895">
            <v>0.43859649099999998</v>
          </cell>
        </row>
        <row r="896">
          <cell r="B896" t="str">
            <v>F615_1B</v>
          </cell>
          <cell r="C896" t="str">
            <v>R1_F615_1B</v>
          </cell>
          <cell r="D896">
            <v>1</v>
          </cell>
          <cell r="E896">
            <v>3.5</v>
          </cell>
          <cell r="F896">
            <v>42</v>
          </cell>
          <cell r="G896">
            <v>1</v>
          </cell>
          <cell r="H896">
            <v>38</v>
          </cell>
          <cell r="I896">
            <v>6</v>
          </cell>
          <cell r="J896">
            <v>4</v>
          </cell>
          <cell r="K896">
            <v>1</v>
          </cell>
          <cell r="L896">
            <v>11.003824</v>
          </cell>
          <cell r="M896">
            <v>-85.104861</v>
          </cell>
          <cell r="N896" t="str">
            <v>Norte</v>
          </cell>
          <cell r="O896">
            <v>0</v>
          </cell>
          <cell r="P896" t="str">
            <v>guaymi</v>
          </cell>
          <cell r="Q896" t="str">
            <v>guaymi</v>
          </cell>
          <cell r="R896" t="b">
            <v>1</v>
          </cell>
          <cell r="S896" t="str">
            <v>615_1</v>
          </cell>
          <cell r="T896">
            <v>1</v>
          </cell>
          <cell r="U896">
            <v>4</v>
          </cell>
          <cell r="V896">
            <v>3</v>
          </cell>
          <cell r="W896">
            <v>0.75</v>
          </cell>
          <cell r="X896">
            <v>61</v>
          </cell>
          <cell r="Y896">
            <v>30</v>
          </cell>
          <cell r="Z896">
            <v>0.49180327899999998</v>
          </cell>
        </row>
        <row r="897">
          <cell r="B897" t="str">
            <v>F616_1B</v>
          </cell>
          <cell r="C897" t="str">
            <v>R1_F616_1B</v>
          </cell>
          <cell r="D897">
            <v>0</v>
          </cell>
          <cell r="E897">
            <v>1.05</v>
          </cell>
          <cell r="F897">
            <v>42</v>
          </cell>
          <cell r="G897">
            <v>0</v>
          </cell>
          <cell r="H897">
            <v>52</v>
          </cell>
          <cell r="I897">
            <v>6</v>
          </cell>
          <cell r="J897">
            <v>4</v>
          </cell>
          <cell r="K897">
            <v>0</v>
          </cell>
          <cell r="L897">
            <v>11.003831999999999</v>
          </cell>
          <cell r="M897">
            <v>-85.104308000000003</v>
          </cell>
          <cell r="N897" t="str">
            <v>Norte</v>
          </cell>
          <cell r="O897">
            <v>0</v>
          </cell>
          <cell r="P897" t="str">
            <v>victoria</v>
          </cell>
          <cell r="Q897" t="str">
            <v>cabecar</v>
          </cell>
          <cell r="R897" t="b">
            <v>0</v>
          </cell>
          <cell r="S897" t="str">
            <v>616_1</v>
          </cell>
          <cell r="T897">
            <v>0</v>
          </cell>
          <cell r="U897">
            <v>3</v>
          </cell>
          <cell r="V897">
            <v>3</v>
          </cell>
          <cell r="W897">
            <v>1</v>
          </cell>
          <cell r="X897">
            <v>60</v>
          </cell>
          <cell r="Y897">
            <v>30</v>
          </cell>
          <cell r="Z897">
            <v>0.5</v>
          </cell>
        </row>
        <row r="898">
          <cell r="B898" t="str">
            <v>F616_2B</v>
          </cell>
          <cell r="C898" t="str">
            <v>R1_F616_2B</v>
          </cell>
          <cell r="D898">
            <v>1</v>
          </cell>
          <cell r="E898">
            <v>2.4500000000000002</v>
          </cell>
          <cell r="F898">
            <v>42</v>
          </cell>
          <cell r="G898">
            <v>0</v>
          </cell>
          <cell r="H898">
            <v>52</v>
          </cell>
          <cell r="I898">
            <v>6</v>
          </cell>
          <cell r="J898">
            <v>4</v>
          </cell>
          <cell r="K898">
            <v>1</v>
          </cell>
          <cell r="L898">
            <v>11.003831999999999</v>
          </cell>
          <cell r="M898">
            <v>-85.104308000000003</v>
          </cell>
          <cell r="N898" t="str">
            <v>Norte</v>
          </cell>
          <cell r="O898">
            <v>0</v>
          </cell>
          <cell r="P898" t="str">
            <v>nambi</v>
          </cell>
          <cell r="Q898" t="str">
            <v>nambi</v>
          </cell>
          <cell r="R898" t="b">
            <v>1</v>
          </cell>
          <cell r="S898" t="str">
            <v>616_2</v>
          </cell>
          <cell r="T898">
            <v>1</v>
          </cell>
          <cell r="U898">
            <v>3</v>
          </cell>
          <cell r="V898">
            <v>3</v>
          </cell>
          <cell r="W898">
            <v>1</v>
          </cell>
          <cell r="X898">
            <v>60</v>
          </cell>
          <cell r="Y898">
            <v>30</v>
          </cell>
          <cell r="Z898">
            <v>0.5</v>
          </cell>
        </row>
        <row r="899">
          <cell r="B899" t="str">
            <v>F617_1B</v>
          </cell>
          <cell r="C899" t="str">
            <v>R1_F617_1B</v>
          </cell>
          <cell r="D899">
            <v>0</v>
          </cell>
          <cell r="E899">
            <v>1</v>
          </cell>
          <cell r="F899">
            <v>42</v>
          </cell>
          <cell r="G899">
            <v>1</v>
          </cell>
          <cell r="H899">
            <v>51</v>
          </cell>
          <cell r="I899">
            <v>6</v>
          </cell>
          <cell r="J899">
            <v>8</v>
          </cell>
          <cell r="K899">
            <v>0</v>
          </cell>
          <cell r="L899">
            <v>10.991277</v>
          </cell>
          <cell r="M899">
            <v>-85.116784999999993</v>
          </cell>
          <cell r="N899" t="str">
            <v>Norte</v>
          </cell>
          <cell r="O899">
            <v>0</v>
          </cell>
          <cell r="P899" t="str">
            <v>victoria</v>
          </cell>
          <cell r="Q899" t="str">
            <v>cabecar</v>
          </cell>
          <cell r="R899" t="b">
            <v>0</v>
          </cell>
          <cell r="S899" t="str">
            <v>617_1</v>
          </cell>
          <cell r="T899">
            <v>0</v>
          </cell>
          <cell r="U899">
            <v>0</v>
          </cell>
          <cell r="V899">
            <v>0</v>
          </cell>
          <cell r="W899" t="str">
            <v>NA</v>
          </cell>
          <cell r="X899">
            <v>60</v>
          </cell>
          <cell r="Y899">
            <v>32</v>
          </cell>
          <cell r="Z899">
            <v>0.53333333299999997</v>
          </cell>
        </row>
        <row r="900">
          <cell r="B900" t="str">
            <v>F618_1B</v>
          </cell>
          <cell r="C900" t="str">
            <v>R1_F618_1B</v>
          </cell>
          <cell r="D900">
            <v>0</v>
          </cell>
          <cell r="E900">
            <v>0.7</v>
          </cell>
          <cell r="F900">
            <v>153</v>
          </cell>
          <cell r="G900">
            <v>0</v>
          </cell>
          <cell r="H900">
            <v>33</v>
          </cell>
          <cell r="I900">
            <v>6</v>
          </cell>
          <cell r="J900">
            <v>4</v>
          </cell>
          <cell r="K900">
            <v>1</v>
          </cell>
          <cell r="L900">
            <v>10.984343000000001</v>
          </cell>
          <cell r="M900">
            <v>-85.228747999999996</v>
          </cell>
          <cell r="N900" t="str">
            <v>Norte</v>
          </cell>
          <cell r="O900">
            <v>0</v>
          </cell>
          <cell r="P900" t="str">
            <v>guaymi</v>
          </cell>
          <cell r="Q900" t="str">
            <v>brunca</v>
          </cell>
          <cell r="R900" t="b">
            <v>0</v>
          </cell>
          <cell r="S900" t="str">
            <v>618_1</v>
          </cell>
          <cell r="T900">
            <v>0</v>
          </cell>
          <cell r="U900">
            <v>6</v>
          </cell>
          <cell r="V900">
            <v>4</v>
          </cell>
          <cell r="W900">
            <v>0.66666666699999999</v>
          </cell>
          <cell r="X900">
            <v>14</v>
          </cell>
          <cell r="Y900">
            <v>6</v>
          </cell>
          <cell r="Z900">
            <v>0.428571429</v>
          </cell>
        </row>
        <row r="901">
          <cell r="B901" t="str">
            <v>F619_1B</v>
          </cell>
          <cell r="C901" t="str">
            <v>R1_F619_1B</v>
          </cell>
          <cell r="D901">
            <v>0</v>
          </cell>
          <cell r="E901">
            <v>0.21</v>
          </cell>
          <cell r="F901">
            <v>147</v>
          </cell>
          <cell r="G901">
            <v>0</v>
          </cell>
          <cell r="H901">
            <v>30</v>
          </cell>
          <cell r="I901">
            <v>6</v>
          </cell>
          <cell r="J901">
            <v>5</v>
          </cell>
          <cell r="K901">
            <v>0</v>
          </cell>
          <cell r="L901">
            <v>10.988683</v>
          </cell>
          <cell r="M901">
            <v>-85.231516999999997</v>
          </cell>
          <cell r="N901" t="str">
            <v>Norte</v>
          </cell>
          <cell r="O901">
            <v>0</v>
          </cell>
          <cell r="P901" t="str">
            <v>victoria</v>
          </cell>
          <cell r="Q901" t="str">
            <v>cabecar</v>
          </cell>
          <cell r="R901" t="b">
            <v>0</v>
          </cell>
          <cell r="S901" t="str">
            <v>619_1</v>
          </cell>
          <cell r="T901">
            <v>1</v>
          </cell>
          <cell r="U901">
            <v>4</v>
          </cell>
          <cell r="V901">
            <v>2</v>
          </cell>
          <cell r="W901">
            <v>0.5</v>
          </cell>
          <cell r="X901">
            <v>9</v>
          </cell>
          <cell r="Y901">
            <v>4</v>
          </cell>
          <cell r="Z901">
            <v>0.44444444399999999</v>
          </cell>
        </row>
        <row r="902">
          <cell r="B902" t="str">
            <v>F619_2B</v>
          </cell>
          <cell r="C902" t="str">
            <v>R1_F619_2B</v>
          </cell>
          <cell r="D902">
            <v>1</v>
          </cell>
          <cell r="E902">
            <v>0.28000000000000003</v>
          </cell>
          <cell r="F902">
            <v>147</v>
          </cell>
          <cell r="G902">
            <v>0</v>
          </cell>
          <cell r="H902">
            <v>30</v>
          </cell>
          <cell r="I902">
            <v>6</v>
          </cell>
          <cell r="J902">
            <v>5</v>
          </cell>
          <cell r="K902">
            <v>1</v>
          </cell>
          <cell r="L902">
            <v>10.988683</v>
          </cell>
          <cell r="M902">
            <v>-85.231516999999997</v>
          </cell>
          <cell r="N902" t="str">
            <v>Norte</v>
          </cell>
          <cell r="O902">
            <v>0</v>
          </cell>
          <cell r="P902" t="str">
            <v>nambi</v>
          </cell>
          <cell r="Q902" t="str">
            <v>nambi</v>
          </cell>
          <cell r="R902" t="b">
            <v>1</v>
          </cell>
          <cell r="S902" t="str">
            <v>619_2</v>
          </cell>
          <cell r="T902">
            <v>1</v>
          </cell>
          <cell r="U902">
            <v>4</v>
          </cell>
          <cell r="V902">
            <v>2</v>
          </cell>
          <cell r="W902">
            <v>0.5</v>
          </cell>
          <cell r="X902">
            <v>9</v>
          </cell>
          <cell r="Y902">
            <v>4</v>
          </cell>
          <cell r="Z902">
            <v>0.44444444399999999</v>
          </cell>
        </row>
        <row r="903">
          <cell r="B903" t="str">
            <v>F619_3B</v>
          </cell>
          <cell r="C903" t="str">
            <v>R1_F619_3B</v>
          </cell>
          <cell r="D903">
            <v>0</v>
          </cell>
          <cell r="E903">
            <v>0.28000000000000003</v>
          </cell>
          <cell r="F903">
            <v>147</v>
          </cell>
          <cell r="G903">
            <v>0</v>
          </cell>
          <cell r="H903">
            <v>30</v>
          </cell>
          <cell r="I903">
            <v>6</v>
          </cell>
          <cell r="J903">
            <v>5</v>
          </cell>
          <cell r="K903">
            <v>0</v>
          </cell>
          <cell r="L903">
            <v>10.988683</v>
          </cell>
          <cell r="M903">
            <v>-85.231516999999997</v>
          </cell>
          <cell r="N903" t="str">
            <v>Norte</v>
          </cell>
          <cell r="O903">
            <v>0</v>
          </cell>
          <cell r="P903" t="str">
            <v>talamanca</v>
          </cell>
          <cell r="Q903" t="str">
            <v>dontknow</v>
          </cell>
          <cell r="R903" t="str">
            <v>Not applicable</v>
          </cell>
          <cell r="S903" t="str">
            <v>619_3</v>
          </cell>
          <cell r="T903">
            <v>0</v>
          </cell>
          <cell r="U903">
            <v>4</v>
          </cell>
          <cell r="V903">
            <v>2</v>
          </cell>
          <cell r="W903">
            <v>0.5</v>
          </cell>
          <cell r="X903">
            <v>9</v>
          </cell>
          <cell r="Y903">
            <v>4</v>
          </cell>
          <cell r="Z903">
            <v>0.44444444399999999</v>
          </cell>
        </row>
        <row r="904">
          <cell r="B904" t="str">
            <v>F620_1B</v>
          </cell>
          <cell r="C904" t="str">
            <v>R1_F620_1B</v>
          </cell>
          <cell r="D904">
            <v>0</v>
          </cell>
          <cell r="E904">
            <v>0.35</v>
          </cell>
          <cell r="F904">
            <v>87</v>
          </cell>
          <cell r="G904">
            <v>1</v>
          </cell>
          <cell r="H904">
            <v>55</v>
          </cell>
          <cell r="I904">
            <v>6</v>
          </cell>
          <cell r="J904">
            <v>5</v>
          </cell>
          <cell r="K904">
            <v>0</v>
          </cell>
          <cell r="L904">
            <v>10.870754</v>
          </cell>
          <cell r="M904">
            <v>-85.152635000000004</v>
          </cell>
          <cell r="N904" t="str">
            <v>Norte</v>
          </cell>
          <cell r="O904">
            <v>0</v>
          </cell>
          <cell r="P904" t="str">
            <v>victoria</v>
          </cell>
          <cell r="Q904" t="str">
            <v>cabecar</v>
          </cell>
          <cell r="R904" t="b">
            <v>0</v>
          </cell>
          <cell r="S904" t="str">
            <v>620_1</v>
          </cell>
          <cell r="T904">
            <v>1</v>
          </cell>
          <cell r="U904">
            <v>0</v>
          </cell>
          <cell r="V904">
            <v>0</v>
          </cell>
          <cell r="W904" t="str">
            <v>NA</v>
          </cell>
          <cell r="X904">
            <v>9</v>
          </cell>
          <cell r="Y904">
            <v>2</v>
          </cell>
          <cell r="Z904">
            <v>0.222222222</v>
          </cell>
        </row>
        <row r="905">
          <cell r="B905" t="str">
            <v>F620_2B</v>
          </cell>
          <cell r="C905" t="str">
            <v>R1_F620_2B</v>
          </cell>
          <cell r="D905">
            <v>1</v>
          </cell>
          <cell r="E905">
            <v>0.35</v>
          </cell>
          <cell r="F905">
            <v>87</v>
          </cell>
          <cell r="G905">
            <v>1</v>
          </cell>
          <cell r="H905">
            <v>55</v>
          </cell>
          <cell r="I905">
            <v>6</v>
          </cell>
          <cell r="J905">
            <v>5</v>
          </cell>
          <cell r="K905">
            <v>1</v>
          </cell>
          <cell r="L905">
            <v>10.870754</v>
          </cell>
          <cell r="M905">
            <v>-85.152635000000004</v>
          </cell>
          <cell r="N905" t="str">
            <v>Norte</v>
          </cell>
          <cell r="O905">
            <v>0</v>
          </cell>
          <cell r="P905" t="str">
            <v>brunca</v>
          </cell>
          <cell r="Q905" t="str">
            <v>brunca</v>
          </cell>
          <cell r="R905" t="b">
            <v>1</v>
          </cell>
          <cell r="S905" t="str">
            <v>620_2</v>
          </cell>
          <cell r="T905">
            <v>1</v>
          </cell>
          <cell r="U905">
            <v>0</v>
          </cell>
          <cell r="V905">
            <v>0</v>
          </cell>
          <cell r="W905" t="str">
            <v>NA</v>
          </cell>
          <cell r="X905">
            <v>9</v>
          </cell>
          <cell r="Y905">
            <v>2</v>
          </cell>
          <cell r="Z905">
            <v>0.222222222</v>
          </cell>
        </row>
        <row r="906">
          <cell r="B906" t="str">
            <v>F621_1B</v>
          </cell>
          <cell r="C906" t="str">
            <v>R1_F621_1B</v>
          </cell>
          <cell r="D906">
            <v>1</v>
          </cell>
          <cell r="E906">
            <v>0.56000000000000005</v>
          </cell>
          <cell r="F906">
            <v>44</v>
          </cell>
          <cell r="G906">
            <v>0</v>
          </cell>
          <cell r="H906">
            <v>38</v>
          </cell>
          <cell r="I906">
            <v>6</v>
          </cell>
          <cell r="J906">
            <v>5</v>
          </cell>
          <cell r="K906">
            <v>1</v>
          </cell>
          <cell r="L906">
            <v>11.005753</v>
          </cell>
          <cell r="M906">
            <v>-85.104326999999998</v>
          </cell>
          <cell r="N906" t="str">
            <v>Norte</v>
          </cell>
          <cell r="O906">
            <v>0</v>
          </cell>
          <cell r="P906" t="str">
            <v>guaymi</v>
          </cell>
          <cell r="Q906" t="str">
            <v>guaymi</v>
          </cell>
          <cell r="R906" t="b">
            <v>1</v>
          </cell>
          <cell r="S906" t="str">
            <v>621_1</v>
          </cell>
          <cell r="T906">
            <v>1</v>
          </cell>
          <cell r="U906">
            <v>3</v>
          </cell>
          <cell r="V906">
            <v>2</v>
          </cell>
          <cell r="W906">
            <v>0.66666666699999999</v>
          </cell>
          <cell r="X906">
            <v>60</v>
          </cell>
          <cell r="Y906">
            <v>29</v>
          </cell>
          <cell r="Z906">
            <v>0.48333333299999998</v>
          </cell>
        </row>
        <row r="907">
          <cell r="B907" t="str">
            <v>F621_2B</v>
          </cell>
          <cell r="C907" t="str">
            <v>R1_F621_2B</v>
          </cell>
          <cell r="D907">
            <v>0</v>
          </cell>
          <cell r="E907">
            <v>0.7</v>
          </cell>
          <cell r="F907">
            <v>44</v>
          </cell>
          <cell r="G907">
            <v>0</v>
          </cell>
          <cell r="H907">
            <v>38</v>
          </cell>
          <cell r="I907">
            <v>6</v>
          </cell>
          <cell r="J907">
            <v>5</v>
          </cell>
          <cell r="K907">
            <v>0</v>
          </cell>
          <cell r="L907">
            <v>11.005753</v>
          </cell>
          <cell r="M907">
            <v>-85.104326999999998</v>
          </cell>
          <cell r="N907" t="str">
            <v>Norte</v>
          </cell>
          <cell r="O907">
            <v>0</v>
          </cell>
          <cell r="P907" t="str">
            <v>victoria</v>
          </cell>
          <cell r="Q907" t="str">
            <v>cabecar</v>
          </cell>
          <cell r="R907" t="b">
            <v>0</v>
          </cell>
          <cell r="S907" t="str">
            <v>621_2</v>
          </cell>
          <cell r="T907">
            <v>1</v>
          </cell>
          <cell r="U907">
            <v>3</v>
          </cell>
          <cell r="V907">
            <v>2</v>
          </cell>
          <cell r="W907">
            <v>0.66666666699999999</v>
          </cell>
          <cell r="X907">
            <v>60</v>
          </cell>
          <cell r="Y907">
            <v>29</v>
          </cell>
          <cell r="Z907">
            <v>0.48333333299999998</v>
          </cell>
        </row>
        <row r="908">
          <cell r="B908" t="str">
            <v>F622_1B</v>
          </cell>
          <cell r="C908" t="str">
            <v>R1_F622_1B</v>
          </cell>
          <cell r="D908">
            <v>1</v>
          </cell>
          <cell r="E908">
            <v>0.63</v>
          </cell>
          <cell r="F908">
            <v>46</v>
          </cell>
          <cell r="G908">
            <v>1</v>
          </cell>
          <cell r="H908">
            <v>34</v>
          </cell>
          <cell r="I908">
            <v>10</v>
          </cell>
          <cell r="J908">
            <v>6</v>
          </cell>
          <cell r="K908">
            <v>1</v>
          </cell>
          <cell r="L908">
            <v>10.998172</v>
          </cell>
          <cell r="M908">
            <v>-85.148561000000001</v>
          </cell>
          <cell r="N908" t="str">
            <v>Norte</v>
          </cell>
          <cell r="O908">
            <v>0</v>
          </cell>
          <cell r="P908" t="str">
            <v>guaymi</v>
          </cell>
          <cell r="Q908" t="str">
            <v>guaymi</v>
          </cell>
          <cell r="R908" t="b">
            <v>1</v>
          </cell>
          <cell r="S908" t="str">
            <v>622_1</v>
          </cell>
          <cell r="T908">
            <v>1</v>
          </cell>
          <cell r="U908">
            <v>8</v>
          </cell>
          <cell r="V908">
            <v>4</v>
          </cell>
          <cell r="W908">
            <v>0.5</v>
          </cell>
          <cell r="X908">
            <v>82</v>
          </cell>
          <cell r="Y908">
            <v>36</v>
          </cell>
          <cell r="Z908">
            <v>0.43902438999999999</v>
          </cell>
        </row>
        <row r="909">
          <cell r="B909" t="str">
            <v>F622_2B</v>
          </cell>
          <cell r="C909" t="str">
            <v>R1_F622_2B</v>
          </cell>
          <cell r="D909">
            <v>1</v>
          </cell>
          <cell r="E909">
            <v>7.0000000000000007E-2</v>
          </cell>
          <cell r="F909">
            <v>46</v>
          </cell>
          <cell r="G909">
            <v>1</v>
          </cell>
          <cell r="H909">
            <v>34</v>
          </cell>
          <cell r="I909">
            <v>10</v>
          </cell>
          <cell r="J909">
            <v>6</v>
          </cell>
          <cell r="K909">
            <v>0</v>
          </cell>
          <cell r="L909">
            <v>10.998172</v>
          </cell>
          <cell r="M909">
            <v>-85.148561000000001</v>
          </cell>
          <cell r="N909" t="str">
            <v>Norte</v>
          </cell>
          <cell r="O909">
            <v>0</v>
          </cell>
          <cell r="P909" t="str">
            <v>mantequilla</v>
          </cell>
          <cell r="Q909" t="str">
            <v>mantequilla</v>
          </cell>
          <cell r="R909" t="b">
            <v>1</v>
          </cell>
          <cell r="S909" t="str">
            <v>622_2</v>
          </cell>
          <cell r="T909">
            <v>1</v>
          </cell>
          <cell r="U909">
            <v>8</v>
          </cell>
          <cell r="V909">
            <v>4</v>
          </cell>
          <cell r="W909">
            <v>0.5</v>
          </cell>
          <cell r="X909">
            <v>82</v>
          </cell>
          <cell r="Y909">
            <v>36</v>
          </cell>
          <cell r="Z909">
            <v>0.43902438999999999</v>
          </cell>
        </row>
        <row r="910">
          <cell r="B910" t="str">
            <v>F623_2B</v>
          </cell>
          <cell r="C910" t="str">
            <v>R1_F623_2B</v>
          </cell>
          <cell r="D910">
            <v>0</v>
          </cell>
          <cell r="E910">
            <v>0.5</v>
          </cell>
          <cell r="F910">
            <v>58</v>
          </cell>
          <cell r="G910">
            <v>1</v>
          </cell>
          <cell r="H910">
            <v>33</v>
          </cell>
          <cell r="I910">
            <v>11</v>
          </cell>
          <cell r="J910">
            <v>3</v>
          </cell>
          <cell r="K910">
            <v>0</v>
          </cell>
          <cell r="L910">
            <v>10.922649</v>
          </cell>
          <cell r="M910">
            <v>-85.159594999999996</v>
          </cell>
          <cell r="N910" t="str">
            <v>Norte</v>
          </cell>
          <cell r="O910">
            <v>0</v>
          </cell>
          <cell r="P910" t="str">
            <v>generalito</v>
          </cell>
          <cell r="Q910" t="str">
            <v>cabecar</v>
          </cell>
          <cell r="R910" t="b">
            <v>0</v>
          </cell>
          <cell r="S910" t="str">
            <v>623_2</v>
          </cell>
          <cell r="T910">
            <v>0</v>
          </cell>
          <cell r="U910">
            <v>1</v>
          </cell>
          <cell r="V910">
            <v>1</v>
          </cell>
          <cell r="W910">
            <v>1</v>
          </cell>
          <cell r="X910">
            <v>11</v>
          </cell>
          <cell r="Y910">
            <v>4</v>
          </cell>
          <cell r="Z910">
            <v>0.36363636399999999</v>
          </cell>
        </row>
        <row r="911">
          <cell r="B911" t="str">
            <v>F624_1B</v>
          </cell>
          <cell r="C911" t="str">
            <v>R1_F624_1B</v>
          </cell>
          <cell r="D911">
            <v>1</v>
          </cell>
          <cell r="E911">
            <v>0.7</v>
          </cell>
          <cell r="F911">
            <v>46</v>
          </cell>
          <cell r="G911">
            <v>1</v>
          </cell>
          <cell r="H911">
            <v>75</v>
          </cell>
          <cell r="I911">
            <v>1</v>
          </cell>
          <cell r="J911">
            <v>3</v>
          </cell>
          <cell r="K911">
            <v>1</v>
          </cell>
          <cell r="L911">
            <v>10.998163</v>
          </cell>
          <cell r="M911">
            <v>-85.148550999999998</v>
          </cell>
          <cell r="N911" t="str">
            <v>Norte</v>
          </cell>
          <cell r="O911">
            <v>0</v>
          </cell>
          <cell r="P911" t="str">
            <v>guaymi</v>
          </cell>
          <cell r="Q911" t="str">
            <v>guaymi</v>
          </cell>
          <cell r="R911" t="b">
            <v>1</v>
          </cell>
          <cell r="S911" t="str">
            <v>624_1</v>
          </cell>
          <cell r="T911">
            <v>1</v>
          </cell>
          <cell r="U911">
            <v>8</v>
          </cell>
          <cell r="V911">
            <v>5</v>
          </cell>
          <cell r="W911">
            <v>0.625</v>
          </cell>
          <cell r="X911">
            <v>82</v>
          </cell>
          <cell r="Y911">
            <v>37</v>
          </cell>
          <cell r="Z911">
            <v>0.45121951199999999</v>
          </cell>
        </row>
        <row r="912">
          <cell r="B912" t="str">
            <v>F624_2B</v>
          </cell>
          <cell r="C912" t="str">
            <v>R1_F624_2B</v>
          </cell>
          <cell r="D912">
            <v>0</v>
          </cell>
          <cell r="E912">
            <v>0.105</v>
          </cell>
          <cell r="F912">
            <v>46</v>
          </cell>
          <cell r="G912">
            <v>1</v>
          </cell>
          <cell r="H912">
            <v>75</v>
          </cell>
          <cell r="I912">
            <v>1</v>
          </cell>
          <cell r="J912">
            <v>3</v>
          </cell>
          <cell r="K912">
            <v>1</v>
          </cell>
          <cell r="L912">
            <v>10.998163</v>
          </cell>
          <cell r="M912">
            <v>-85.148550999999998</v>
          </cell>
          <cell r="N912" t="str">
            <v>Norte</v>
          </cell>
          <cell r="O912">
            <v>0</v>
          </cell>
          <cell r="P912" t="str">
            <v>tayni</v>
          </cell>
          <cell r="Q912" t="str">
            <v>dontknow</v>
          </cell>
          <cell r="R912" t="str">
            <v>Not applicable</v>
          </cell>
          <cell r="S912" t="str">
            <v>624_2</v>
          </cell>
          <cell r="T912">
            <v>0</v>
          </cell>
          <cell r="U912">
            <v>8</v>
          </cell>
          <cell r="V912">
            <v>5</v>
          </cell>
          <cell r="W912">
            <v>0.625</v>
          </cell>
          <cell r="X912">
            <v>82</v>
          </cell>
          <cell r="Y912">
            <v>37</v>
          </cell>
          <cell r="Z912">
            <v>0.45121951199999999</v>
          </cell>
        </row>
        <row r="913">
          <cell r="B913" t="str">
            <v>F625_1B</v>
          </cell>
          <cell r="C913" t="str">
            <v>R1_F625_1B</v>
          </cell>
          <cell r="D913">
            <v>1</v>
          </cell>
          <cell r="E913">
            <v>2.1</v>
          </cell>
          <cell r="F913">
            <v>59</v>
          </cell>
          <cell r="G913">
            <v>1</v>
          </cell>
          <cell r="H913">
            <v>21</v>
          </cell>
          <cell r="I913">
            <v>9</v>
          </cell>
          <cell r="J913">
            <v>5</v>
          </cell>
          <cell r="K913">
            <v>1</v>
          </cell>
          <cell r="L913">
            <v>10.897610999999999</v>
          </cell>
          <cell r="M913">
            <v>-85.160691999999997</v>
          </cell>
          <cell r="N913" t="str">
            <v>Norte</v>
          </cell>
          <cell r="O913">
            <v>0</v>
          </cell>
          <cell r="P913" t="str">
            <v>guaymi</v>
          </cell>
          <cell r="Q913" t="str">
            <v>guaymi</v>
          </cell>
          <cell r="R913" t="b">
            <v>1</v>
          </cell>
          <cell r="S913" t="str">
            <v>625_1</v>
          </cell>
          <cell r="T913">
            <v>1</v>
          </cell>
          <cell r="U913">
            <v>2</v>
          </cell>
          <cell r="V913">
            <v>0</v>
          </cell>
          <cell r="W913">
            <v>0</v>
          </cell>
          <cell r="X913">
            <v>9</v>
          </cell>
          <cell r="Y913">
            <v>3</v>
          </cell>
          <cell r="Z913">
            <v>0.33333333300000001</v>
          </cell>
        </row>
        <row r="914">
          <cell r="B914" t="str">
            <v>F625_2B</v>
          </cell>
          <cell r="C914" t="str">
            <v>R1_F625_2B</v>
          </cell>
          <cell r="D914">
            <v>1</v>
          </cell>
          <cell r="E914">
            <v>0.7</v>
          </cell>
          <cell r="F914">
            <v>59</v>
          </cell>
          <cell r="G914">
            <v>1</v>
          </cell>
          <cell r="H914">
            <v>21</v>
          </cell>
          <cell r="I914">
            <v>9</v>
          </cell>
          <cell r="J914">
            <v>5</v>
          </cell>
          <cell r="K914">
            <v>0</v>
          </cell>
          <cell r="L914">
            <v>10.897610999999999</v>
          </cell>
          <cell r="M914">
            <v>-85.160691999999997</v>
          </cell>
          <cell r="N914" t="str">
            <v>Norte</v>
          </cell>
          <cell r="O914">
            <v>0</v>
          </cell>
          <cell r="P914" t="str">
            <v>mantequilla</v>
          </cell>
          <cell r="Q914" t="str">
            <v>mantequilla</v>
          </cell>
          <cell r="R914" t="b">
            <v>1</v>
          </cell>
          <cell r="S914" t="str">
            <v>625_2</v>
          </cell>
          <cell r="T914">
            <v>1</v>
          </cell>
          <cell r="U914">
            <v>2</v>
          </cell>
          <cell r="V914">
            <v>0</v>
          </cell>
          <cell r="W914">
            <v>0</v>
          </cell>
          <cell r="X914">
            <v>9</v>
          </cell>
          <cell r="Y914">
            <v>3</v>
          </cell>
          <cell r="Z914">
            <v>0.33333333300000001</v>
          </cell>
        </row>
        <row r="915">
          <cell r="B915" t="str">
            <v>F626_1B</v>
          </cell>
          <cell r="C915" t="str">
            <v>R1_F626_1B</v>
          </cell>
          <cell r="D915">
            <v>0</v>
          </cell>
          <cell r="E915">
            <v>0.49</v>
          </cell>
          <cell r="F915">
            <v>46</v>
          </cell>
          <cell r="G915">
            <v>0</v>
          </cell>
          <cell r="H915">
            <v>23</v>
          </cell>
          <cell r="I915">
            <v>12</v>
          </cell>
          <cell r="J915">
            <v>4</v>
          </cell>
          <cell r="K915">
            <v>1</v>
          </cell>
          <cell r="L915">
            <v>11.002036</v>
          </cell>
          <cell r="M915">
            <v>-85.151713000000001</v>
          </cell>
          <cell r="N915" t="str">
            <v>Norte</v>
          </cell>
          <cell r="O915">
            <v>0</v>
          </cell>
          <cell r="P915" t="str">
            <v>tayni</v>
          </cell>
          <cell r="Q915" t="str">
            <v>dontknow</v>
          </cell>
          <cell r="R915" t="str">
            <v>Not applicable</v>
          </cell>
          <cell r="S915" t="str">
            <v>626_1</v>
          </cell>
          <cell r="T915">
            <v>0</v>
          </cell>
          <cell r="U915">
            <v>0</v>
          </cell>
          <cell r="V915">
            <v>0</v>
          </cell>
          <cell r="W915" t="str">
            <v>NA</v>
          </cell>
          <cell r="X915">
            <v>54</v>
          </cell>
          <cell r="Y915">
            <v>29</v>
          </cell>
          <cell r="Z915">
            <v>0.53703703700000005</v>
          </cell>
        </row>
        <row r="916">
          <cell r="B916" t="str">
            <v>F626_2B</v>
          </cell>
          <cell r="C916" t="str">
            <v>R1_F626_2B</v>
          </cell>
          <cell r="D916">
            <v>0</v>
          </cell>
          <cell r="E916">
            <v>0.28000000000000003</v>
          </cell>
          <cell r="F916">
            <v>46</v>
          </cell>
          <cell r="G916">
            <v>0</v>
          </cell>
          <cell r="H916">
            <v>23</v>
          </cell>
          <cell r="I916">
            <v>12</v>
          </cell>
          <cell r="J916">
            <v>4</v>
          </cell>
          <cell r="K916">
            <v>0</v>
          </cell>
          <cell r="L916">
            <v>11.002036</v>
          </cell>
          <cell r="M916">
            <v>-85.151713000000001</v>
          </cell>
          <cell r="N916" t="str">
            <v>Norte</v>
          </cell>
          <cell r="O916">
            <v>0</v>
          </cell>
          <cell r="P916" t="str">
            <v>talamanca</v>
          </cell>
          <cell r="Q916" t="str">
            <v>matambu</v>
          </cell>
          <cell r="R916" t="b">
            <v>0</v>
          </cell>
          <cell r="S916" t="str">
            <v>626_2</v>
          </cell>
          <cell r="T916">
            <v>0</v>
          </cell>
          <cell r="U916">
            <v>0</v>
          </cell>
          <cell r="V916">
            <v>0</v>
          </cell>
          <cell r="W916" t="str">
            <v>NA</v>
          </cell>
          <cell r="X916">
            <v>54</v>
          </cell>
          <cell r="Y916">
            <v>29</v>
          </cell>
          <cell r="Z916">
            <v>0.53703703700000005</v>
          </cell>
        </row>
        <row r="917">
          <cell r="B917" t="str">
            <v>F627_1B</v>
          </cell>
          <cell r="C917" t="str">
            <v>R1_F627_1B</v>
          </cell>
          <cell r="D917">
            <v>0</v>
          </cell>
          <cell r="E917">
            <v>0.14000000000000001</v>
          </cell>
          <cell r="F917">
            <v>55</v>
          </cell>
          <cell r="G917">
            <v>1</v>
          </cell>
          <cell r="H917">
            <v>50</v>
          </cell>
          <cell r="I917">
            <v>6</v>
          </cell>
          <cell r="J917">
            <v>1</v>
          </cell>
          <cell r="K917">
            <v>0</v>
          </cell>
          <cell r="L917">
            <v>10.915730999999999</v>
          </cell>
          <cell r="M917">
            <v>-85.155708000000004</v>
          </cell>
          <cell r="N917" t="str">
            <v>Norte</v>
          </cell>
          <cell r="O917">
            <v>0</v>
          </cell>
          <cell r="P917" t="str">
            <v>SEF 64</v>
          </cell>
          <cell r="Q917" t="str">
            <v>dontknow</v>
          </cell>
          <cell r="R917" t="str">
            <v>Not applicable</v>
          </cell>
          <cell r="S917" t="str">
            <v>627_1</v>
          </cell>
          <cell r="T917">
            <v>0</v>
          </cell>
          <cell r="U917">
            <v>2</v>
          </cell>
          <cell r="V917">
            <v>1</v>
          </cell>
          <cell r="W917">
            <v>0.5</v>
          </cell>
          <cell r="X917">
            <v>12</v>
          </cell>
          <cell r="Y917">
            <v>4</v>
          </cell>
          <cell r="Z917">
            <v>0.33333333300000001</v>
          </cell>
        </row>
        <row r="918">
          <cell r="B918" t="str">
            <v>F627_2B</v>
          </cell>
          <cell r="C918" t="str">
            <v>R1_F627_2B</v>
          </cell>
          <cell r="D918">
            <v>0</v>
          </cell>
          <cell r="E918">
            <v>7.0000000000000007E-2</v>
          </cell>
          <cell r="F918">
            <v>55</v>
          </cell>
          <cell r="G918">
            <v>1</v>
          </cell>
          <cell r="H918">
            <v>50</v>
          </cell>
          <cell r="I918">
            <v>6</v>
          </cell>
          <cell r="J918">
            <v>1</v>
          </cell>
          <cell r="K918">
            <v>1</v>
          </cell>
          <cell r="L918">
            <v>10.915730999999999</v>
          </cell>
          <cell r="M918">
            <v>-85.155708000000004</v>
          </cell>
          <cell r="N918" t="str">
            <v>Norte</v>
          </cell>
          <cell r="O918">
            <v>0</v>
          </cell>
          <cell r="P918" t="str">
            <v>uran</v>
          </cell>
          <cell r="Q918" t="str">
            <v>dontknow</v>
          </cell>
          <cell r="R918" t="str">
            <v>Not applicable</v>
          </cell>
          <cell r="S918" t="str">
            <v>627_2</v>
          </cell>
          <cell r="T918">
            <v>0</v>
          </cell>
          <cell r="U918">
            <v>2</v>
          </cell>
          <cell r="V918">
            <v>1</v>
          </cell>
          <cell r="W918">
            <v>0.5</v>
          </cell>
          <cell r="X918">
            <v>12</v>
          </cell>
          <cell r="Y918">
            <v>4</v>
          </cell>
          <cell r="Z918">
            <v>0.33333333300000001</v>
          </cell>
        </row>
        <row r="919">
          <cell r="B919" t="str">
            <v>F628_1B</v>
          </cell>
          <cell r="C919" t="str">
            <v>R1_F628_1B</v>
          </cell>
          <cell r="D919">
            <v>1</v>
          </cell>
          <cell r="E919">
            <v>0.35</v>
          </cell>
          <cell r="F919">
            <v>42</v>
          </cell>
          <cell r="G919">
            <v>0</v>
          </cell>
          <cell r="H919">
            <v>28</v>
          </cell>
          <cell r="I919">
            <v>11</v>
          </cell>
          <cell r="J919">
            <v>5</v>
          </cell>
          <cell r="K919">
            <v>1</v>
          </cell>
          <cell r="L919">
            <v>10.998808</v>
          </cell>
          <cell r="M919">
            <v>-85.146314000000004</v>
          </cell>
          <cell r="N919" t="str">
            <v>Norte</v>
          </cell>
          <cell r="O919">
            <v>0</v>
          </cell>
          <cell r="P919" t="str">
            <v>guaymi</v>
          </cell>
          <cell r="Q919" t="str">
            <v>guaymi</v>
          </cell>
          <cell r="R919" t="b">
            <v>1</v>
          </cell>
          <cell r="S919" t="str">
            <v>628_1</v>
          </cell>
          <cell r="T919">
            <v>1</v>
          </cell>
          <cell r="U919">
            <v>11</v>
          </cell>
          <cell r="V919">
            <v>5</v>
          </cell>
          <cell r="W919">
            <v>0.45454545499999999</v>
          </cell>
          <cell r="X919">
            <v>83</v>
          </cell>
          <cell r="Y919">
            <v>37</v>
          </cell>
          <cell r="Z919">
            <v>0.445783133</v>
          </cell>
        </row>
        <row r="920">
          <cell r="B920" t="str">
            <v>F629_1B</v>
          </cell>
          <cell r="C920" t="str">
            <v>R1_F629_1B</v>
          </cell>
          <cell r="D920">
            <v>0</v>
          </cell>
          <cell r="E920">
            <v>0.17499999999999999</v>
          </cell>
          <cell r="F920">
            <v>40</v>
          </cell>
          <cell r="G920">
            <v>1</v>
          </cell>
          <cell r="H920">
            <v>42</v>
          </cell>
          <cell r="I920">
            <v>7</v>
          </cell>
          <cell r="J920">
            <v>5</v>
          </cell>
          <cell r="K920">
            <v>0</v>
          </cell>
          <cell r="L920">
            <v>10.970705000000001</v>
          </cell>
          <cell r="M920">
            <v>-85.030197999999999</v>
          </cell>
          <cell r="N920" t="str">
            <v>Norte</v>
          </cell>
          <cell r="O920">
            <v>0</v>
          </cell>
          <cell r="P920" t="str">
            <v>victoria</v>
          </cell>
          <cell r="Q920" t="str">
            <v>cabecar</v>
          </cell>
          <cell r="R920" t="b">
            <v>0</v>
          </cell>
          <cell r="S920" t="str">
            <v>629_1</v>
          </cell>
          <cell r="T920">
            <v>1</v>
          </cell>
          <cell r="U920">
            <v>1</v>
          </cell>
          <cell r="V920">
            <v>0</v>
          </cell>
          <cell r="W920">
            <v>0</v>
          </cell>
          <cell r="X920">
            <v>31</v>
          </cell>
          <cell r="Y920">
            <v>10</v>
          </cell>
          <cell r="Z920">
            <v>0.322580645</v>
          </cell>
        </row>
        <row r="921">
          <cell r="B921" t="str">
            <v>F629_2B</v>
          </cell>
          <cell r="C921" t="str">
            <v>R1_F629_2B</v>
          </cell>
          <cell r="D921">
            <v>1</v>
          </cell>
          <cell r="E921">
            <v>0.7</v>
          </cell>
          <cell r="F921">
            <v>40</v>
          </cell>
          <cell r="G921">
            <v>1</v>
          </cell>
          <cell r="H921">
            <v>42</v>
          </cell>
          <cell r="I921">
            <v>7</v>
          </cell>
          <cell r="J921">
            <v>5</v>
          </cell>
          <cell r="K921">
            <v>0</v>
          </cell>
          <cell r="L921">
            <v>10.970705000000001</v>
          </cell>
          <cell r="M921">
            <v>-85.030197999999999</v>
          </cell>
          <cell r="N921" t="str">
            <v>Norte</v>
          </cell>
          <cell r="O921">
            <v>0</v>
          </cell>
          <cell r="P921" t="str">
            <v>mantequilla</v>
          </cell>
          <cell r="Q921" t="str">
            <v>mantequilla</v>
          </cell>
          <cell r="R921" t="b">
            <v>1</v>
          </cell>
          <cell r="S921" t="str">
            <v>629_2</v>
          </cell>
          <cell r="T921">
            <v>1</v>
          </cell>
          <cell r="U921">
            <v>1</v>
          </cell>
          <cell r="V921">
            <v>0</v>
          </cell>
          <cell r="W921">
            <v>0</v>
          </cell>
          <cell r="X921">
            <v>31</v>
          </cell>
          <cell r="Y921">
            <v>10</v>
          </cell>
          <cell r="Z921">
            <v>0.322580645</v>
          </cell>
        </row>
        <row r="922">
          <cell r="B922" t="str">
            <v>F629_3B</v>
          </cell>
          <cell r="C922" t="str">
            <v>R1_F629_3B</v>
          </cell>
          <cell r="D922">
            <v>0</v>
          </cell>
          <cell r="E922">
            <v>1</v>
          </cell>
          <cell r="F922">
            <v>40</v>
          </cell>
          <cell r="G922">
            <v>1</v>
          </cell>
          <cell r="H922">
            <v>42</v>
          </cell>
          <cell r="I922">
            <v>7</v>
          </cell>
          <cell r="J922">
            <v>5</v>
          </cell>
          <cell r="K922">
            <v>1</v>
          </cell>
          <cell r="L922">
            <v>10.970705000000001</v>
          </cell>
          <cell r="M922">
            <v>-85.030197999999999</v>
          </cell>
          <cell r="N922" t="str">
            <v>Norte</v>
          </cell>
          <cell r="O922">
            <v>0</v>
          </cell>
          <cell r="P922" t="str">
            <v>guaymi</v>
          </cell>
          <cell r="Q922" t="str">
            <v>dontknow</v>
          </cell>
          <cell r="R922" t="str">
            <v>Not applicable</v>
          </cell>
          <cell r="S922" t="str">
            <v>629_3</v>
          </cell>
          <cell r="T922">
            <v>0</v>
          </cell>
          <cell r="U922">
            <v>1</v>
          </cell>
          <cell r="V922">
            <v>0</v>
          </cell>
          <cell r="W922">
            <v>0</v>
          </cell>
          <cell r="X922">
            <v>31</v>
          </cell>
          <cell r="Y922">
            <v>10</v>
          </cell>
          <cell r="Z922">
            <v>0.322580645</v>
          </cell>
        </row>
        <row r="923">
          <cell r="B923" t="str">
            <v>F630_1B</v>
          </cell>
          <cell r="C923" t="str">
            <v>R1_F630_1B</v>
          </cell>
          <cell r="D923">
            <v>0</v>
          </cell>
          <cell r="E923">
            <v>1</v>
          </cell>
          <cell r="F923">
            <v>42</v>
          </cell>
          <cell r="G923">
            <v>1</v>
          </cell>
          <cell r="H923">
            <v>29</v>
          </cell>
          <cell r="I923">
            <v>9</v>
          </cell>
          <cell r="J923">
            <v>4</v>
          </cell>
          <cell r="K923">
            <v>0</v>
          </cell>
          <cell r="L923">
            <v>10.956764</v>
          </cell>
          <cell r="M923">
            <v>-85.032201999999998</v>
          </cell>
          <cell r="N923" t="str">
            <v>Norte</v>
          </cell>
          <cell r="O923">
            <v>0</v>
          </cell>
          <cell r="P923" t="str">
            <v>victoria</v>
          </cell>
          <cell r="Q923" t="str">
            <v>cabecar</v>
          </cell>
          <cell r="R923" t="b">
            <v>0</v>
          </cell>
          <cell r="S923" t="str">
            <v>630_1</v>
          </cell>
          <cell r="T923">
            <v>0</v>
          </cell>
          <cell r="U923">
            <v>3</v>
          </cell>
          <cell r="V923">
            <v>2</v>
          </cell>
          <cell r="W923">
            <v>0.66666666699999999</v>
          </cell>
          <cell r="X923">
            <v>43</v>
          </cell>
          <cell r="Y923">
            <v>15</v>
          </cell>
          <cell r="Z923">
            <v>0.34883720899999998</v>
          </cell>
        </row>
        <row r="924">
          <cell r="B924" t="str">
            <v>F631_1B</v>
          </cell>
          <cell r="C924" t="str">
            <v>R1_F631_1B</v>
          </cell>
          <cell r="D924">
            <v>0</v>
          </cell>
          <cell r="E924">
            <v>2</v>
          </cell>
          <cell r="F924">
            <v>42</v>
          </cell>
          <cell r="G924">
            <v>1</v>
          </cell>
          <cell r="H924">
            <v>38</v>
          </cell>
          <cell r="I924">
            <v>8</v>
          </cell>
          <cell r="J924">
            <v>4</v>
          </cell>
          <cell r="K924">
            <v>0</v>
          </cell>
          <cell r="L924">
            <v>10.957283</v>
          </cell>
          <cell r="M924">
            <v>-85.032426999999998</v>
          </cell>
          <cell r="N924" t="str">
            <v>Norte</v>
          </cell>
          <cell r="O924">
            <v>0</v>
          </cell>
          <cell r="P924" t="str">
            <v>victoria</v>
          </cell>
          <cell r="Q924" t="str">
            <v>cabecar</v>
          </cell>
          <cell r="R924" t="b">
            <v>0</v>
          </cell>
          <cell r="S924" t="str">
            <v>631_1</v>
          </cell>
          <cell r="T924">
            <v>1</v>
          </cell>
          <cell r="U924">
            <v>2</v>
          </cell>
          <cell r="V924">
            <v>0</v>
          </cell>
          <cell r="W924">
            <v>0</v>
          </cell>
          <cell r="X924">
            <v>42</v>
          </cell>
          <cell r="Y924">
            <v>13</v>
          </cell>
          <cell r="Z924">
            <v>0.30952381000000001</v>
          </cell>
        </row>
        <row r="925">
          <cell r="B925" t="str">
            <v>F631_2B</v>
          </cell>
          <cell r="C925" t="str">
            <v>R1_F631_2B</v>
          </cell>
          <cell r="D925">
            <v>1</v>
          </cell>
          <cell r="E925">
            <v>1</v>
          </cell>
          <cell r="F925">
            <v>42</v>
          </cell>
          <cell r="G925">
            <v>1</v>
          </cell>
          <cell r="H925">
            <v>38</v>
          </cell>
          <cell r="I925">
            <v>8</v>
          </cell>
          <cell r="J925">
            <v>4</v>
          </cell>
          <cell r="K925">
            <v>1</v>
          </cell>
          <cell r="L925">
            <v>10.957283</v>
          </cell>
          <cell r="M925">
            <v>-85.032426999999998</v>
          </cell>
          <cell r="N925" t="str">
            <v>Norte</v>
          </cell>
          <cell r="O925">
            <v>0</v>
          </cell>
          <cell r="P925" t="str">
            <v>guaymi</v>
          </cell>
          <cell r="Q925" t="str">
            <v>guaymi</v>
          </cell>
          <cell r="R925" t="b">
            <v>1</v>
          </cell>
          <cell r="S925" t="str">
            <v>631_2</v>
          </cell>
          <cell r="T925">
            <v>1</v>
          </cell>
          <cell r="U925">
            <v>2</v>
          </cell>
          <cell r="V925">
            <v>0</v>
          </cell>
          <cell r="W925">
            <v>0</v>
          </cell>
          <cell r="X925">
            <v>42</v>
          </cell>
          <cell r="Y925">
            <v>13</v>
          </cell>
          <cell r="Z925">
            <v>0.30952381000000001</v>
          </cell>
        </row>
        <row r="926">
          <cell r="B926" t="str">
            <v>F632_1B</v>
          </cell>
          <cell r="C926" t="str">
            <v>R1_F632_1B</v>
          </cell>
          <cell r="D926">
            <v>1</v>
          </cell>
          <cell r="E926">
            <v>0.7</v>
          </cell>
          <cell r="F926">
            <v>41</v>
          </cell>
          <cell r="G926">
            <v>1</v>
          </cell>
          <cell r="H926">
            <v>58</v>
          </cell>
          <cell r="I926">
            <v>3</v>
          </cell>
          <cell r="J926">
            <v>1</v>
          </cell>
          <cell r="K926">
            <v>1</v>
          </cell>
          <cell r="L926">
            <v>10.990292999999999</v>
          </cell>
          <cell r="M926">
            <v>-85.048539000000005</v>
          </cell>
          <cell r="N926" t="str">
            <v>Norte</v>
          </cell>
          <cell r="O926">
            <v>0</v>
          </cell>
          <cell r="P926" t="str">
            <v>tayni</v>
          </cell>
          <cell r="Q926" t="str">
            <v>tayni</v>
          </cell>
          <cell r="R926" t="b">
            <v>1</v>
          </cell>
          <cell r="S926" t="str">
            <v>632_1</v>
          </cell>
          <cell r="T926">
            <v>1</v>
          </cell>
          <cell r="U926">
            <v>4</v>
          </cell>
          <cell r="V926">
            <v>1</v>
          </cell>
          <cell r="W926">
            <v>0.25</v>
          </cell>
          <cell r="X926">
            <v>26</v>
          </cell>
          <cell r="Y926">
            <v>7</v>
          </cell>
          <cell r="Z926">
            <v>0.26923076899999998</v>
          </cell>
        </row>
        <row r="927">
          <cell r="B927" t="str">
            <v>F632_2B</v>
          </cell>
          <cell r="C927" t="str">
            <v>R1_F632_2B</v>
          </cell>
          <cell r="D927">
            <v>0</v>
          </cell>
          <cell r="E927">
            <v>0.5</v>
          </cell>
          <cell r="F927">
            <v>41</v>
          </cell>
          <cell r="G927">
            <v>1</v>
          </cell>
          <cell r="H927">
            <v>58</v>
          </cell>
          <cell r="I927">
            <v>3</v>
          </cell>
          <cell r="J927">
            <v>1</v>
          </cell>
          <cell r="K927">
            <v>1</v>
          </cell>
          <cell r="L927">
            <v>10.990292999999999</v>
          </cell>
          <cell r="M927">
            <v>-85.048539000000005</v>
          </cell>
          <cell r="N927" t="str">
            <v>Norte</v>
          </cell>
          <cell r="O927">
            <v>0</v>
          </cell>
          <cell r="P927" t="str">
            <v>nambi</v>
          </cell>
          <cell r="Q927" t="str">
            <v>guaymi</v>
          </cell>
          <cell r="R927" t="b">
            <v>0</v>
          </cell>
          <cell r="S927" t="str">
            <v>632_2</v>
          </cell>
          <cell r="T927">
            <v>0</v>
          </cell>
          <cell r="U927">
            <v>4</v>
          </cell>
          <cell r="V927">
            <v>1</v>
          </cell>
          <cell r="W927">
            <v>0.25</v>
          </cell>
          <cell r="X927">
            <v>26</v>
          </cell>
          <cell r="Y927">
            <v>7</v>
          </cell>
          <cell r="Z927">
            <v>0.26923076899999998</v>
          </cell>
        </row>
        <row r="928">
          <cell r="B928" t="str">
            <v>F633_1B</v>
          </cell>
          <cell r="C928" t="str">
            <v>R1_F633_1B</v>
          </cell>
          <cell r="D928">
            <v>1</v>
          </cell>
          <cell r="E928">
            <v>0.7</v>
          </cell>
          <cell r="F928">
            <v>41</v>
          </cell>
          <cell r="G928">
            <v>1</v>
          </cell>
          <cell r="H928">
            <v>40</v>
          </cell>
          <cell r="I928">
            <v>6</v>
          </cell>
          <cell r="J928">
            <v>5</v>
          </cell>
          <cell r="K928">
            <v>1</v>
          </cell>
          <cell r="L928">
            <v>10.990755999999999</v>
          </cell>
          <cell r="M928">
            <v>-85.048865000000006</v>
          </cell>
          <cell r="N928" t="str">
            <v>Norte</v>
          </cell>
          <cell r="O928">
            <v>0</v>
          </cell>
          <cell r="P928" t="str">
            <v>nambi</v>
          </cell>
          <cell r="Q928" t="str">
            <v>nambi</v>
          </cell>
          <cell r="R928" t="b">
            <v>1</v>
          </cell>
          <cell r="S928" t="str">
            <v>633_1</v>
          </cell>
          <cell r="T928">
            <v>1</v>
          </cell>
          <cell r="U928">
            <v>4</v>
          </cell>
          <cell r="V928">
            <v>1</v>
          </cell>
          <cell r="W928">
            <v>0.25</v>
          </cell>
          <cell r="X928">
            <v>26</v>
          </cell>
          <cell r="Y928">
            <v>7</v>
          </cell>
          <cell r="Z928">
            <v>0.26923076899999998</v>
          </cell>
        </row>
        <row r="929">
          <cell r="B929" t="str">
            <v>F633_2B</v>
          </cell>
          <cell r="C929" t="str">
            <v>R1_F633_2B</v>
          </cell>
          <cell r="D929">
            <v>0</v>
          </cell>
          <cell r="E929">
            <v>0.7</v>
          </cell>
          <cell r="F929">
            <v>41</v>
          </cell>
          <cell r="G929">
            <v>1</v>
          </cell>
          <cell r="H929">
            <v>40</v>
          </cell>
          <cell r="I929">
            <v>6</v>
          </cell>
          <cell r="J929">
            <v>5</v>
          </cell>
          <cell r="K929">
            <v>1</v>
          </cell>
          <cell r="L929">
            <v>10.990755999999999</v>
          </cell>
          <cell r="M929">
            <v>-85.048865000000006</v>
          </cell>
          <cell r="N929" t="str">
            <v>Norte</v>
          </cell>
          <cell r="O929">
            <v>0</v>
          </cell>
          <cell r="P929" t="str">
            <v>uran</v>
          </cell>
          <cell r="Q929" t="str">
            <v>other</v>
          </cell>
          <cell r="R929" t="str">
            <v>Not applicable</v>
          </cell>
          <cell r="S929" t="str">
            <v>633_2</v>
          </cell>
          <cell r="T929">
            <v>0</v>
          </cell>
          <cell r="U929">
            <v>4</v>
          </cell>
          <cell r="V929">
            <v>1</v>
          </cell>
          <cell r="W929">
            <v>0.25</v>
          </cell>
          <cell r="X929">
            <v>26</v>
          </cell>
          <cell r="Y929">
            <v>7</v>
          </cell>
          <cell r="Z929">
            <v>0.26923076899999998</v>
          </cell>
        </row>
        <row r="930">
          <cell r="B930" t="str">
            <v>F634_1B</v>
          </cell>
          <cell r="C930" t="str">
            <v>R1_F634_1B</v>
          </cell>
          <cell r="D930">
            <v>0</v>
          </cell>
          <cell r="E930">
            <v>0.14000000000000001</v>
          </cell>
          <cell r="F930">
            <v>46</v>
          </cell>
          <cell r="G930">
            <v>0</v>
          </cell>
          <cell r="H930">
            <v>59</v>
          </cell>
          <cell r="I930">
            <v>4</v>
          </cell>
          <cell r="J930">
            <v>1</v>
          </cell>
          <cell r="K930">
            <v>0</v>
          </cell>
          <cell r="L930">
            <v>10.982797</v>
          </cell>
          <cell r="M930">
            <v>-85.128140999999999</v>
          </cell>
          <cell r="N930" t="str">
            <v>Norte</v>
          </cell>
          <cell r="O930">
            <v>0</v>
          </cell>
          <cell r="P930" t="str">
            <v>SEF 64</v>
          </cell>
          <cell r="Q930" t="str">
            <v>assay</v>
          </cell>
          <cell r="R930" t="str">
            <v>Not applicable</v>
          </cell>
          <cell r="S930" t="str">
            <v>634_1</v>
          </cell>
          <cell r="T930">
            <v>0</v>
          </cell>
          <cell r="U930">
            <v>7</v>
          </cell>
          <cell r="V930">
            <v>5</v>
          </cell>
          <cell r="W930">
            <v>0.71428571399999996</v>
          </cell>
          <cell r="X930">
            <v>77</v>
          </cell>
          <cell r="Y930">
            <v>36</v>
          </cell>
          <cell r="Z930">
            <v>0.46753246799999998</v>
          </cell>
        </row>
        <row r="931">
          <cell r="B931" t="str">
            <v>F635_1B</v>
          </cell>
          <cell r="C931" t="str">
            <v>R1_F635_1B</v>
          </cell>
          <cell r="D931">
            <v>0</v>
          </cell>
          <cell r="E931">
            <v>0.35</v>
          </cell>
          <cell r="F931">
            <v>41</v>
          </cell>
          <cell r="G931">
            <v>0</v>
          </cell>
          <cell r="H931">
            <v>57</v>
          </cell>
          <cell r="I931">
            <v>4</v>
          </cell>
          <cell r="J931">
            <v>4</v>
          </cell>
          <cell r="K931">
            <v>0</v>
          </cell>
          <cell r="L931">
            <v>10.960893</v>
          </cell>
          <cell r="M931">
            <v>-85.044617000000002</v>
          </cell>
          <cell r="N931" t="str">
            <v>Norte</v>
          </cell>
          <cell r="O931">
            <v>0</v>
          </cell>
          <cell r="P931" t="str">
            <v>sacapobres</v>
          </cell>
          <cell r="Q931" t="str">
            <v>cabecar</v>
          </cell>
          <cell r="R931" t="b">
            <v>0</v>
          </cell>
          <cell r="S931" t="str">
            <v>635_1</v>
          </cell>
          <cell r="T931">
            <v>0</v>
          </cell>
          <cell r="U931">
            <v>4</v>
          </cell>
          <cell r="V931">
            <v>2</v>
          </cell>
          <cell r="W931">
            <v>0.5</v>
          </cell>
          <cell r="X931">
            <v>40</v>
          </cell>
          <cell r="Y931">
            <v>15</v>
          </cell>
          <cell r="Z931">
            <v>0.375</v>
          </cell>
        </row>
        <row r="932">
          <cell r="B932" t="str">
            <v>F635_2B</v>
          </cell>
          <cell r="C932" t="str">
            <v>R1_F635_2B</v>
          </cell>
          <cell r="D932">
            <v>0</v>
          </cell>
          <cell r="E932">
            <v>0.35</v>
          </cell>
          <cell r="F932">
            <v>41</v>
          </cell>
          <cell r="G932">
            <v>0</v>
          </cell>
          <cell r="H932">
            <v>57</v>
          </cell>
          <cell r="I932">
            <v>4</v>
          </cell>
          <cell r="J932">
            <v>4</v>
          </cell>
          <cell r="K932">
            <v>1</v>
          </cell>
          <cell r="L932">
            <v>10.960893</v>
          </cell>
          <cell r="M932">
            <v>-85.044617000000002</v>
          </cell>
          <cell r="N932" t="str">
            <v>Norte</v>
          </cell>
          <cell r="O932">
            <v>0</v>
          </cell>
          <cell r="P932" t="str">
            <v>nambi</v>
          </cell>
          <cell r="Q932" t="str">
            <v>guaymi</v>
          </cell>
          <cell r="R932" t="b">
            <v>0</v>
          </cell>
          <cell r="S932" t="str">
            <v>635_2</v>
          </cell>
          <cell r="T932">
            <v>0</v>
          </cell>
          <cell r="U932">
            <v>4</v>
          </cell>
          <cell r="V932">
            <v>2</v>
          </cell>
          <cell r="W932">
            <v>0.5</v>
          </cell>
          <cell r="X932">
            <v>40</v>
          </cell>
          <cell r="Y932">
            <v>15</v>
          </cell>
          <cell r="Z932">
            <v>0.375</v>
          </cell>
        </row>
        <row r="933">
          <cell r="B933" t="str">
            <v>F636_1B</v>
          </cell>
          <cell r="C933" t="str">
            <v>R1_F636_1B</v>
          </cell>
          <cell r="D933">
            <v>1</v>
          </cell>
          <cell r="E933">
            <v>0.35</v>
          </cell>
          <cell r="F933">
            <v>44</v>
          </cell>
          <cell r="G933">
            <v>1</v>
          </cell>
          <cell r="H933">
            <v>69</v>
          </cell>
          <cell r="I933">
            <v>0</v>
          </cell>
          <cell r="J933">
            <v>4</v>
          </cell>
          <cell r="K933">
            <v>1</v>
          </cell>
          <cell r="L933">
            <v>10.967352999999999</v>
          </cell>
          <cell r="M933">
            <v>-85.042978000000005</v>
          </cell>
          <cell r="N933" t="str">
            <v>Norte</v>
          </cell>
          <cell r="O933">
            <v>0</v>
          </cell>
          <cell r="P933" t="str">
            <v>nambi</v>
          </cell>
          <cell r="Q933" t="str">
            <v>nambi</v>
          </cell>
          <cell r="R933" t="b">
            <v>1</v>
          </cell>
          <cell r="S933" t="str">
            <v>636_1</v>
          </cell>
          <cell r="T933">
            <v>1</v>
          </cell>
          <cell r="U933">
            <v>13</v>
          </cell>
          <cell r="V933">
            <v>4</v>
          </cell>
          <cell r="W933">
            <v>0.30769230800000003</v>
          </cell>
          <cell r="X933">
            <v>38</v>
          </cell>
          <cell r="Y933">
            <v>14</v>
          </cell>
          <cell r="Z933">
            <v>0.368421053</v>
          </cell>
        </row>
        <row r="934">
          <cell r="B934" t="str">
            <v>F636_2B</v>
          </cell>
          <cell r="C934" t="str">
            <v>R1_F636_2B</v>
          </cell>
          <cell r="D934">
            <v>0</v>
          </cell>
          <cell r="E934">
            <v>0.35</v>
          </cell>
          <cell r="F934">
            <v>44</v>
          </cell>
          <cell r="G934">
            <v>1</v>
          </cell>
          <cell r="H934">
            <v>69</v>
          </cell>
          <cell r="I934">
            <v>0</v>
          </cell>
          <cell r="J934">
            <v>4</v>
          </cell>
          <cell r="K934">
            <v>1</v>
          </cell>
          <cell r="L934">
            <v>10.967352999999999</v>
          </cell>
          <cell r="M934">
            <v>-85.042978000000005</v>
          </cell>
          <cell r="N934" t="str">
            <v>Norte</v>
          </cell>
          <cell r="O934">
            <v>0</v>
          </cell>
          <cell r="P934" t="str">
            <v>changuena</v>
          </cell>
          <cell r="Q934" t="str">
            <v>nambi</v>
          </cell>
          <cell r="R934" t="b">
            <v>0</v>
          </cell>
          <cell r="S934" t="str">
            <v>636_2</v>
          </cell>
          <cell r="T934">
            <v>0</v>
          </cell>
          <cell r="U934">
            <v>13</v>
          </cell>
          <cell r="V934">
            <v>4</v>
          </cell>
          <cell r="W934">
            <v>0.30769230800000003</v>
          </cell>
          <cell r="X934">
            <v>38</v>
          </cell>
          <cell r="Y934">
            <v>14</v>
          </cell>
          <cell r="Z934">
            <v>0.368421053</v>
          </cell>
        </row>
        <row r="935">
          <cell r="B935" t="str">
            <v>F637_1B</v>
          </cell>
          <cell r="C935" t="str">
            <v>R1_F637_1B</v>
          </cell>
          <cell r="D935">
            <v>0</v>
          </cell>
          <cell r="E935">
            <v>1.4</v>
          </cell>
          <cell r="F935">
            <v>49</v>
          </cell>
          <cell r="G935">
            <v>1</v>
          </cell>
          <cell r="H935">
            <v>53</v>
          </cell>
          <cell r="I935">
            <v>0</v>
          </cell>
          <cell r="J935">
            <v>4</v>
          </cell>
          <cell r="K935">
            <v>0</v>
          </cell>
          <cell r="L935">
            <v>10.976697</v>
          </cell>
          <cell r="M935">
            <v>-85.147523000000007</v>
          </cell>
          <cell r="N935" t="str">
            <v>Norte</v>
          </cell>
          <cell r="O935">
            <v>0</v>
          </cell>
          <cell r="P935" t="str">
            <v>victoria</v>
          </cell>
          <cell r="Q935" t="str">
            <v>cabecar</v>
          </cell>
          <cell r="R935" t="b">
            <v>0</v>
          </cell>
          <cell r="S935" t="str">
            <v>637_1</v>
          </cell>
          <cell r="T935">
            <v>0</v>
          </cell>
          <cell r="U935">
            <v>0</v>
          </cell>
          <cell r="V935">
            <v>0</v>
          </cell>
          <cell r="W935" t="str">
            <v>NA</v>
          </cell>
          <cell r="X935">
            <v>6</v>
          </cell>
          <cell r="Y935">
            <v>1</v>
          </cell>
          <cell r="Z935">
            <v>0.16666666699999999</v>
          </cell>
        </row>
        <row r="936">
          <cell r="B936" t="str">
            <v>F637_2B</v>
          </cell>
          <cell r="C936" t="str">
            <v>R1_F637_2B</v>
          </cell>
          <cell r="D936">
            <v>1</v>
          </cell>
          <cell r="E936">
            <v>0.7</v>
          </cell>
          <cell r="F936">
            <v>49</v>
          </cell>
          <cell r="G936">
            <v>1</v>
          </cell>
          <cell r="H936">
            <v>53</v>
          </cell>
          <cell r="I936">
            <v>0</v>
          </cell>
          <cell r="J936">
            <v>4</v>
          </cell>
          <cell r="K936">
            <v>1</v>
          </cell>
          <cell r="L936">
            <v>10.976697</v>
          </cell>
          <cell r="M936">
            <v>-85.147523000000007</v>
          </cell>
          <cell r="N936" t="str">
            <v>Norte</v>
          </cell>
          <cell r="O936">
            <v>0</v>
          </cell>
          <cell r="P936" t="str">
            <v>nambi</v>
          </cell>
          <cell r="Q936" t="str">
            <v>nambi</v>
          </cell>
          <cell r="R936" t="b">
            <v>1</v>
          </cell>
          <cell r="S936" t="str">
            <v>637_2</v>
          </cell>
          <cell r="T936">
            <v>1</v>
          </cell>
          <cell r="U936">
            <v>0</v>
          </cell>
          <cell r="V936">
            <v>0</v>
          </cell>
          <cell r="W936" t="str">
            <v>NA</v>
          </cell>
          <cell r="X936">
            <v>6</v>
          </cell>
          <cell r="Y936">
            <v>1</v>
          </cell>
          <cell r="Z936">
            <v>0.16666666699999999</v>
          </cell>
        </row>
        <row r="937">
          <cell r="B937" t="str">
            <v>F638_1B</v>
          </cell>
          <cell r="C937" t="str">
            <v>R1_F638_1B</v>
          </cell>
          <cell r="D937">
            <v>1</v>
          </cell>
          <cell r="E937">
            <v>1.05</v>
          </cell>
          <cell r="F937">
            <v>42</v>
          </cell>
          <cell r="G937">
            <v>0</v>
          </cell>
          <cell r="H937">
            <v>35</v>
          </cell>
          <cell r="I937">
            <v>9</v>
          </cell>
          <cell r="J937">
            <v>6</v>
          </cell>
          <cell r="K937">
            <v>1</v>
          </cell>
          <cell r="L937">
            <v>11.013356999999999</v>
          </cell>
          <cell r="M937">
            <v>-85.147807</v>
          </cell>
          <cell r="N937" t="str">
            <v>Norte</v>
          </cell>
          <cell r="O937">
            <v>0</v>
          </cell>
          <cell r="P937" t="str">
            <v>nambi</v>
          </cell>
          <cell r="Q937" t="str">
            <v>nambi</v>
          </cell>
          <cell r="R937" t="b">
            <v>1</v>
          </cell>
          <cell r="S937" t="str">
            <v>638_1</v>
          </cell>
          <cell r="T937">
            <v>1</v>
          </cell>
          <cell r="U937">
            <v>6</v>
          </cell>
          <cell r="V937">
            <v>6</v>
          </cell>
          <cell r="W937">
            <v>1</v>
          </cell>
          <cell r="X937">
            <v>62</v>
          </cell>
          <cell r="Y937">
            <v>31</v>
          </cell>
          <cell r="Z937">
            <v>0.5</v>
          </cell>
        </row>
        <row r="938">
          <cell r="B938" t="str">
            <v>F639_1B</v>
          </cell>
          <cell r="C938" t="str">
            <v>R1_F639_1B</v>
          </cell>
          <cell r="D938">
            <v>1</v>
          </cell>
          <cell r="E938">
            <v>1.5</v>
          </cell>
          <cell r="F938">
            <v>39</v>
          </cell>
          <cell r="G938">
            <v>1</v>
          </cell>
          <cell r="H938">
            <v>24</v>
          </cell>
          <cell r="I938">
            <v>9</v>
          </cell>
          <cell r="J938">
            <v>4</v>
          </cell>
          <cell r="K938">
            <v>1</v>
          </cell>
          <cell r="L938">
            <v>11.021053999999999</v>
          </cell>
          <cell r="M938">
            <v>-85.14255</v>
          </cell>
          <cell r="N938" t="str">
            <v>Norte</v>
          </cell>
          <cell r="O938">
            <v>0</v>
          </cell>
          <cell r="P938" t="str">
            <v>cabecar</v>
          </cell>
          <cell r="Q938" t="str">
            <v>cabecar</v>
          </cell>
          <cell r="R938" t="b">
            <v>1</v>
          </cell>
          <cell r="S938" t="str">
            <v>639_1</v>
          </cell>
          <cell r="T938">
            <v>1</v>
          </cell>
          <cell r="U938">
            <v>2</v>
          </cell>
          <cell r="V938">
            <v>2</v>
          </cell>
          <cell r="W938">
            <v>1</v>
          </cell>
          <cell r="X938">
            <v>29</v>
          </cell>
          <cell r="Y938">
            <v>18</v>
          </cell>
          <cell r="Z938">
            <v>0.62068965499999995</v>
          </cell>
        </row>
        <row r="939">
          <cell r="B939" t="str">
            <v>F640_1B</v>
          </cell>
          <cell r="C939" t="str">
            <v>R1_F640_1B</v>
          </cell>
          <cell r="D939">
            <v>1</v>
          </cell>
          <cell r="E939">
            <v>1.7</v>
          </cell>
          <cell r="F939">
            <v>40</v>
          </cell>
          <cell r="G939">
            <v>1</v>
          </cell>
          <cell r="H939">
            <v>53</v>
          </cell>
          <cell r="I939">
            <v>6</v>
          </cell>
          <cell r="J939">
            <v>6</v>
          </cell>
          <cell r="K939">
            <v>1</v>
          </cell>
          <cell r="L939">
            <v>11.014436999999999</v>
          </cell>
          <cell r="M939">
            <v>-85.148295000000005</v>
          </cell>
          <cell r="N939" t="str">
            <v>Norte</v>
          </cell>
          <cell r="O939">
            <v>0</v>
          </cell>
          <cell r="P939" t="str">
            <v>nambi</v>
          </cell>
          <cell r="Q939" t="str">
            <v>nambi</v>
          </cell>
          <cell r="R939" t="b">
            <v>1</v>
          </cell>
          <cell r="S939" t="str">
            <v>640_1</v>
          </cell>
          <cell r="T939">
            <v>1</v>
          </cell>
          <cell r="U939">
            <v>6</v>
          </cell>
          <cell r="V939">
            <v>6</v>
          </cell>
          <cell r="W939">
            <v>1</v>
          </cell>
          <cell r="X939">
            <v>57</v>
          </cell>
          <cell r="Y939">
            <v>29</v>
          </cell>
          <cell r="Z939">
            <v>0.50877192999999998</v>
          </cell>
        </row>
        <row r="940">
          <cell r="B940" t="str">
            <v>F641_1B</v>
          </cell>
          <cell r="C940" t="str">
            <v>R1_F641_1B</v>
          </cell>
          <cell r="D940">
            <v>1</v>
          </cell>
          <cell r="E940">
            <v>1.05</v>
          </cell>
          <cell r="F940">
            <v>45</v>
          </cell>
          <cell r="G940">
            <v>1</v>
          </cell>
          <cell r="H940">
            <v>34</v>
          </cell>
          <cell r="I940">
            <v>6</v>
          </cell>
          <cell r="J940">
            <v>7</v>
          </cell>
          <cell r="K940">
            <v>1</v>
          </cell>
          <cell r="L940">
            <v>10.982578</v>
          </cell>
          <cell r="M940">
            <v>-85.128041999999994</v>
          </cell>
          <cell r="N940" t="str">
            <v>Norte</v>
          </cell>
          <cell r="O940">
            <v>0</v>
          </cell>
          <cell r="P940" t="str">
            <v>nambi</v>
          </cell>
          <cell r="Q940" t="str">
            <v>nambi</v>
          </cell>
          <cell r="R940" t="b">
            <v>1</v>
          </cell>
          <cell r="S940" t="str">
            <v>641_1</v>
          </cell>
          <cell r="T940">
            <v>1</v>
          </cell>
          <cell r="U940">
            <v>7</v>
          </cell>
          <cell r="V940">
            <v>4</v>
          </cell>
          <cell r="W940">
            <v>0.571428571</v>
          </cell>
          <cell r="X940">
            <v>77</v>
          </cell>
          <cell r="Y940">
            <v>35</v>
          </cell>
          <cell r="Z940">
            <v>0.45454545499999999</v>
          </cell>
        </row>
        <row r="941">
          <cell r="B941" t="str">
            <v>F642_1B</v>
          </cell>
          <cell r="C941" t="str">
            <v>R1_F642_1B</v>
          </cell>
          <cell r="D941">
            <v>1</v>
          </cell>
          <cell r="E941">
            <v>1.05</v>
          </cell>
          <cell r="F941">
            <v>44</v>
          </cell>
          <cell r="G941">
            <v>0</v>
          </cell>
          <cell r="H941">
            <v>71</v>
          </cell>
          <cell r="I941">
            <v>3</v>
          </cell>
          <cell r="J941">
            <v>1</v>
          </cell>
          <cell r="K941">
            <v>1</v>
          </cell>
          <cell r="L941">
            <v>11.012415000000001</v>
          </cell>
          <cell r="M941">
            <v>-85.148060999999998</v>
          </cell>
          <cell r="N941" t="str">
            <v>Norte</v>
          </cell>
          <cell r="O941">
            <v>0</v>
          </cell>
          <cell r="P941" t="str">
            <v>nambi</v>
          </cell>
          <cell r="Q941" t="str">
            <v>nambi</v>
          </cell>
          <cell r="R941" t="b">
            <v>1</v>
          </cell>
          <cell r="S941" t="str">
            <v>642_1</v>
          </cell>
          <cell r="T941">
            <v>1</v>
          </cell>
          <cell r="U941">
            <v>6</v>
          </cell>
          <cell r="V941">
            <v>6</v>
          </cell>
          <cell r="W941">
            <v>1</v>
          </cell>
          <cell r="X941">
            <v>62</v>
          </cell>
          <cell r="Y941">
            <v>31</v>
          </cell>
          <cell r="Z941">
            <v>0.5</v>
          </cell>
        </row>
        <row r="942">
          <cell r="B942" t="str">
            <v>F643_1B</v>
          </cell>
          <cell r="C942" t="str">
            <v>R1_F643_1B</v>
          </cell>
          <cell r="D942">
            <v>0</v>
          </cell>
          <cell r="E942">
            <v>1</v>
          </cell>
          <cell r="F942">
            <v>40</v>
          </cell>
          <cell r="G942">
            <v>1</v>
          </cell>
          <cell r="H942">
            <v>46</v>
          </cell>
          <cell r="I942">
            <v>6</v>
          </cell>
          <cell r="J942">
            <v>4</v>
          </cell>
          <cell r="K942">
            <v>0</v>
          </cell>
          <cell r="L942">
            <v>11.034305</v>
          </cell>
          <cell r="M942">
            <v>-85.150467000000006</v>
          </cell>
          <cell r="N942" t="str">
            <v>Norte</v>
          </cell>
          <cell r="O942">
            <v>0</v>
          </cell>
          <cell r="P942" t="str">
            <v>victoria</v>
          </cell>
          <cell r="Q942" t="str">
            <v>brunca</v>
          </cell>
          <cell r="R942" t="b">
            <v>0</v>
          </cell>
          <cell r="S942" t="str">
            <v>643_1</v>
          </cell>
          <cell r="T942">
            <v>0</v>
          </cell>
          <cell r="U942">
            <v>2</v>
          </cell>
          <cell r="V942">
            <v>0</v>
          </cell>
          <cell r="W942">
            <v>0</v>
          </cell>
          <cell r="X942">
            <v>24</v>
          </cell>
          <cell r="Y942">
            <v>16</v>
          </cell>
          <cell r="Z942">
            <v>0.66666666699999999</v>
          </cell>
        </row>
        <row r="943">
          <cell r="B943" t="str">
            <v>F643_2B</v>
          </cell>
          <cell r="C943" t="str">
            <v>R1_F643_2B</v>
          </cell>
          <cell r="D943">
            <v>0</v>
          </cell>
          <cell r="E943">
            <v>1</v>
          </cell>
          <cell r="F943">
            <v>40</v>
          </cell>
          <cell r="G943">
            <v>1</v>
          </cell>
          <cell r="H943">
            <v>46</v>
          </cell>
          <cell r="I943">
            <v>6</v>
          </cell>
          <cell r="J943">
            <v>4</v>
          </cell>
          <cell r="K943">
            <v>1</v>
          </cell>
          <cell r="L943">
            <v>11.034305</v>
          </cell>
          <cell r="M943">
            <v>-85.150467000000006</v>
          </cell>
          <cell r="N943" t="str">
            <v>Norte</v>
          </cell>
          <cell r="O943">
            <v>0</v>
          </cell>
          <cell r="P943" t="str">
            <v>guaymi</v>
          </cell>
          <cell r="Q943" t="str">
            <v>cabecar</v>
          </cell>
          <cell r="R943" t="b">
            <v>0</v>
          </cell>
          <cell r="S943" t="str">
            <v>643_2</v>
          </cell>
          <cell r="T943">
            <v>0</v>
          </cell>
          <cell r="U943">
            <v>2</v>
          </cell>
          <cell r="V943">
            <v>0</v>
          </cell>
          <cell r="W943">
            <v>0</v>
          </cell>
          <cell r="X943">
            <v>24</v>
          </cell>
          <cell r="Y943">
            <v>16</v>
          </cell>
          <cell r="Z943">
            <v>0.66666666699999999</v>
          </cell>
        </row>
        <row r="944">
          <cell r="B944" t="str">
            <v>F644_1B</v>
          </cell>
          <cell r="C944" t="str">
            <v>R1_F644_1B</v>
          </cell>
          <cell r="D944">
            <v>1</v>
          </cell>
          <cell r="E944">
            <v>0.35</v>
          </cell>
          <cell r="F944">
            <v>39</v>
          </cell>
          <cell r="G944">
            <v>0</v>
          </cell>
          <cell r="H944">
            <v>32</v>
          </cell>
          <cell r="I944">
            <v>5</v>
          </cell>
          <cell r="J944">
            <v>2</v>
          </cell>
          <cell r="K944">
            <v>1</v>
          </cell>
          <cell r="L944">
            <v>11.012347</v>
          </cell>
          <cell r="M944">
            <v>-85.150332000000006</v>
          </cell>
          <cell r="N944" t="str">
            <v>Norte</v>
          </cell>
          <cell r="O944">
            <v>0</v>
          </cell>
          <cell r="P944" t="str">
            <v>matambu</v>
          </cell>
          <cell r="Q944" t="str">
            <v>matambu</v>
          </cell>
          <cell r="R944" t="b">
            <v>1</v>
          </cell>
          <cell r="S944" t="str">
            <v>644_1</v>
          </cell>
          <cell r="T944">
            <v>1</v>
          </cell>
          <cell r="U944">
            <v>6</v>
          </cell>
          <cell r="V944">
            <v>6</v>
          </cell>
          <cell r="W944">
            <v>1</v>
          </cell>
          <cell r="X944">
            <v>57</v>
          </cell>
          <cell r="Y944">
            <v>29</v>
          </cell>
          <cell r="Z944">
            <v>0.50877192999999998</v>
          </cell>
        </row>
        <row r="945">
          <cell r="B945" t="str">
            <v>F645_1B</v>
          </cell>
          <cell r="C945" t="str">
            <v>R1_F645_1B</v>
          </cell>
          <cell r="D945">
            <v>0</v>
          </cell>
          <cell r="E945">
            <v>0.5</v>
          </cell>
          <cell r="F945">
            <v>44</v>
          </cell>
          <cell r="G945">
            <v>1</v>
          </cell>
          <cell r="H945">
            <v>35</v>
          </cell>
          <cell r="I945">
            <v>6</v>
          </cell>
          <cell r="J945">
            <v>8</v>
          </cell>
          <cell r="K945">
            <v>1</v>
          </cell>
          <cell r="L945">
            <v>10.998782</v>
          </cell>
          <cell r="M945">
            <v>-85.122510000000005</v>
          </cell>
          <cell r="N945" t="str">
            <v>Norte</v>
          </cell>
          <cell r="O945">
            <v>0</v>
          </cell>
          <cell r="P945" t="str">
            <v>nambi</v>
          </cell>
          <cell r="Q945" t="str">
            <v>cabecar</v>
          </cell>
          <cell r="R945" t="b">
            <v>0</v>
          </cell>
          <cell r="S945" t="str">
            <v>645_1</v>
          </cell>
          <cell r="T945">
            <v>0</v>
          </cell>
          <cell r="U945">
            <v>13</v>
          </cell>
          <cell r="V945">
            <v>4</v>
          </cell>
          <cell r="W945">
            <v>0.30769230800000003</v>
          </cell>
          <cell r="X945">
            <v>66</v>
          </cell>
          <cell r="Y945">
            <v>35</v>
          </cell>
          <cell r="Z945">
            <v>0.53030303000000001</v>
          </cell>
        </row>
        <row r="946">
          <cell r="B946" t="str">
            <v>F645_2B</v>
          </cell>
          <cell r="C946" t="str">
            <v>R1_F645_2B</v>
          </cell>
          <cell r="D946">
            <v>0</v>
          </cell>
          <cell r="E946">
            <v>1.5</v>
          </cell>
          <cell r="F946">
            <v>44</v>
          </cell>
          <cell r="G946">
            <v>1</v>
          </cell>
          <cell r="H946">
            <v>35</v>
          </cell>
          <cell r="I946">
            <v>6</v>
          </cell>
          <cell r="J946">
            <v>8</v>
          </cell>
          <cell r="K946">
            <v>0</v>
          </cell>
          <cell r="L946">
            <v>10.998782</v>
          </cell>
          <cell r="M946">
            <v>-85.122510000000005</v>
          </cell>
          <cell r="N946" t="str">
            <v>Norte</v>
          </cell>
          <cell r="O946">
            <v>0</v>
          </cell>
          <cell r="P946" t="str">
            <v>victoria</v>
          </cell>
          <cell r="Q946" t="str">
            <v>nambi</v>
          </cell>
          <cell r="R946" t="b">
            <v>0</v>
          </cell>
          <cell r="S946" t="str">
            <v>645_2</v>
          </cell>
          <cell r="T946">
            <v>0</v>
          </cell>
          <cell r="U946">
            <v>13</v>
          </cell>
          <cell r="V946">
            <v>4</v>
          </cell>
          <cell r="W946">
            <v>0.30769230800000003</v>
          </cell>
          <cell r="X946">
            <v>66</v>
          </cell>
          <cell r="Y946">
            <v>35</v>
          </cell>
          <cell r="Z946">
            <v>0.53030303000000001</v>
          </cell>
        </row>
        <row r="947">
          <cell r="B947" t="str">
            <v>F646_1B</v>
          </cell>
          <cell r="C947" t="str">
            <v>R1_F646_1B</v>
          </cell>
          <cell r="D947">
            <v>1</v>
          </cell>
          <cell r="E947">
            <v>1.7</v>
          </cell>
          <cell r="F947">
            <v>44</v>
          </cell>
          <cell r="G947">
            <v>1</v>
          </cell>
          <cell r="H947">
            <v>40</v>
          </cell>
          <cell r="I947">
            <v>12</v>
          </cell>
          <cell r="J947">
            <v>4</v>
          </cell>
          <cell r="K947">
            <v>1</v>
          </cell>
          <cell r="L947">
            <v>11.013941000000001</v>
          </cell>
          <cell r="M947">
            <v>-85.147523000000007</v>
          </cell>
          <cell r="N947" t="str">
            <v>Norte</v>
          </cell>
          <cell r="O947">
            <v>0</v>
          </cell>
          <cell r="P947" t="str">
            <v>nambi</v>
          </cell>
          <cell r="Q947" t="str">
            <v>nambi</v>
          </cell>
          <cell r="R947" t="b">
            <v>1</v>
          </cell>
          <cell r="S947" t="str">
            <v>646_1</v>
          </cell>
          <cell r="T947">
            <v>1</v>
          </cell>
          <cell r="U947">
            <v>6</v>
          </cell>
          <cell r="V947">
            <v>6</v>
          </cell>
          <cell r="W947">
            <v>1</v>
          </cell>
          <cell r="X947">
            <v>57</v>
          </cell>
          <cell r="Y947">
            <v>29</v>
          </cell>
          <cell r="Z947">
            <v>0.50877192999999998</v>
          </cell>
        </row>
        <row r="948">
          <cell r="B948" t="str">
            <v>F647_1B</v>
          </cell>
          <cell r="C948" t="str">
            <v>R1_F647_1B</v>
          </cell>
          <cell r="D948">
            <v>0</v>
          </cell>
          <cell r="E948">
            <v>0.21</v>
          </cell>
          <cell r="F948">
            <v>37</v>
          </cell>
          <cell r="G948">
            <v>0</v>
          </cell>
          <cell r="H948">
            <v>50</v>
          </cell>
          <cell r="I948">
            <v>6</v>
          </cell>
          <cell r="J948">
            <v>3</v>
          </cell>
          <cell r="K948">
            <v>0</v>
          </cell>
          <cell r="L948">
            <v>10.965123999999999</v>
          </cell>
          <cell r="M948">
            <v>-85.013783000000004</v>
          </cell>
          <cell r="N948" t="str">
            <v>Norte</v>
          </cell>
          <cell r="O948">
            <v>0</v>
          </cell>
          <cell r="P948" t="str">
            <v>generalito</v>
          </cell>
          <cell r="Q948" t="str">
            <v>other</v>
          </cell>
          <cell r="R948" t="str">
            <v>Not applicable</v>
          </cell>
          <cell r="S948" t="str">
            <v>647_1</v>
          </cell>
          <cell r="T948">
            <v>0</v>
          </cell>
          <cell r="U948">
            <v>8</v>
          </cell>
          <cell r="V948">
            <v>3</v>
          </cell>
          <cell r="W948">
            <v>0.375</v>
          </cell>
          <cell r="X948">
            <v>15</v>
          </cell>
          <cell r="Y948">
            <v>6</v>
          </cell>
          <cell r="Z948">
            <v>0.4</v>
          </cell>
        </row>
        <row r="949">
          <cell r="B949" t="str">
            <v>F647_2B</v>
          </cell>
          <cell r="C949" t="str">
            <v>R1_F647_2B</v>
          </cell>
          <cell r="D949">
            <v>0</v>
          </cell>
          <cell r="E949">
            <v>0.14000000000000001</v>
          </cell>
          <cell r="F949">
            <v>37</v>
          </cell>
          <cell r="G949">
            <v>0</v>
          </cell>
          <cell r="H949">
            <v>50</v>
          </cell>
          <cell r="I949">
            <v>6</v>
          </cell>
          <cell r="J949">
            <v>3</v>
          </cell>
          <cell r="K949">
            <v>0</v>
          </cell>
          <cell r="L949">
            <v>10.965123999999999</v>
          </cell>
          <cell r="M949">
            <v>-85.013783000000004</v>
          </cell>
          <cell r="N949" t="str">
            <v>Norte</v>
          </cell>
          <cell r="O949">
            <v>0</v>
          </cell>
          <cell r="P949" t="str">
            <v>victoria</v>
          </cell>
          <cell r="Q949" t="str">
            <v>mantequilla</v>
          </cell>
          <cell r="R949" t="b">
            <v>0</v>
          </cell>
          <cell r="S949" t="str">
            <v>647_2</v>
          </cell>
          <cell r="T949">
            <v>0</v>
          </cell>
          <cell r="U949">
            <v>8</v>
          </cell>
          <cell r="V949">
            <v>3</v>
          </cell>
          <cell r="W949">
            <v>0.375</v>
          </cell>
          <cell r="X949">
            <v>15</v>
          </cell>
          <cell r="Y949">
            <v>6</v>
          </cell>
          <cell r="Z949">
            <v>0.4</v>
          </cell>
        </row>
        <row r="950">
          <cell r="B950" t="str">
            <v>F648_1B</v>
          </cell>
          <cell r="C950" t="str">
            <v>R1_F648_1B</v>
          </cell>
          <cell r="D950">
            <v>1</v>
          </cell>
          <cell r="E950">
            <v>1.05</v>
          </cell>
          <cell r="F950">
            <v>42</v>
          </cell>
          <cell r="G950">
            <v>1</v>
          </cell>
          <cell r="H950">
            <v>67</v>
          </cell>
          <cell r="I950">
            <v>11</v>
          </cell>
          <cell r="J950">
            <v>6</v>
          </cell>
          <cell r="K950">
            <v>1</v>
          </cell>
          <cell r="L950">
            <v>10.972111999999999</v>
          </cell>
          <cell r="M950">
            <v>-85.013170000000002</v>
          </cell>
          <cell r="N950" t="str">
            <v>Norte</v>
          </cell>
          <cell r="O950">
            <v>0</v>
          </cell>
          <cell r="P950" t="str">
            <v>guaymi</v>
          </cell>
          <cell r="Q950" t="str">
            <v>guaymi</v>
          </cell>
          <cell r="R950" t="b">
            <v>1</v>
          </cell>
          <cell r="S950" t="str">
            <v>648_1</v>
          </cell>
          <cell r="T950">
            <v>1</v>
          </cell>
          <cell r="U950">
            <v>6</v>
          </cell>
          <cell r="V950">
            <v>1</v>
          </cell>
          <cell r="W950">
            <v>0.16666666699999999</v>
          </cell>
          <cell r="X950">
            <v>14</v>
          </cell>
          <cell r="Y950">
            <v>5</v>
          </cell>
          <cell r="Z950">
            <v>0.35714285699999998</v>
          </cell>
        </row>
        <row r="951">
          <cell r="B951" t="str">
            <v>F648_2B</v>
          </cell>
          <cell r="C951" t="str">
            <v>R1_F648_2B</v>
          </cell>
          <cell r="D951">
            <v>0</v>
          </cell>
          <cell r="E951">
            <v>3.4</v>
          </cell>
          <cell r="F951">
            <v>42</v>
          </cell>
          <cell r="G951">
            <v>1</v>
          </cell>
          <cell r="H951">
            <v>67</v>
          </cell>
          <cell r="I951">
            <v>11</v>
          </cell>
          <cell r="J951">
            <v>6</v>
          </cell>
          <cell r="K951">
            <v>0</v>
          </cell>
          <cell r="L951">
            <v>10.972111999999999</v>
          </cell>
          <cell r="M951">
            <v>-85.013170000000002</v>
          </cell>
          <cell r="N951" t="str">
            <v>Norte</v>
          </cell>
          <cell r="O951">
            <v>0</v>
          </cell>
          <cell r="P951" t="str">
            <v>victoria</v>
          </cell>
          <cell r="Q951" t="str">
            <v>other</v>
          </cell>
          <cell r="R951" t="str">
            <v>Not applicable</v>
          </cell>
          <cell r="S951" t="str">
            <v>648_2</v>
          </cell>
          <cell r="T951">
            <v>0</v>
          </cell>
          <cell r="U951">
            <v>6</v>
          </cell>
          <cell r="V951">
            <v>1</v>
          </cell>
          <cell r="W951">
            <v>0.16666666699999999</v>
          </cell>
          <cell r="X951">
            <v>14</v>
          </cell>
          <cell r="Y951">
            <v>5</v>
          </cell>
          <cell r="Z951">
            <v>0.35714285699999998</v>
          </cell>
        </row>
        <row r="952">
          <cell r="B952" t="str">
            <v>F649_1B</v>
          </cell>
          <cell r="C952" t="str">
            <v>R1_F649_1B</v>
          </cell>
          <cell r="D952">
            <v>0</v>
          </cell>
          <cell r="E952">
            <v>2.8</v>
          </cell>
          <cell r="F952">
            <v>41</v>
          </cell>
          <cell r="G952">
            <v>1</v>
          </cell>
          <cell r="H952">
            <v>37</v>
          </cell>
          <cell r="I952">
            <v>6</v>
          </cell>
          <cell r="J952">
            <v>6</v>
          </cell>
          <cell r="K952">
            <v>0</v>
          </cell>
          <cell r="L952">
            <v>10.974167</v>
          </cell>
          <cell r="M952">
            <v>-85.014043999999998</v>
          </cell>
          <cell r="N952" t="str">
            <v>Norte</v>
          </cell>
          <cell r="O952">
            <v>0</v>
          </cell>
          <cell r="P952" t="str">
            <v>gibre</v>
          </cell>
          <cell r="Q952" t="str">
            <v>cabecar</v>
          </cell>
          <cell r="R952" t="b">
            <v>0</v>
          </cell>
          <cell r="S952" t="str">
            <v>649_1</v>
          </cell>
          <cell r="T952">
            <v>0</v>
          </cell>
          <cell r="U952">
            <v>4</v>
          </cell>
          <cell r="V952">
            <v>1</v>
          </cell>
          <cell r="W952">
            <v>0.25</v>
          </cell>
          <cell r="X952">
            <v>14</v>
          </cell>
          <cell r="Y952">
            <v>5</v>
          </cell>
          <cell r="Z952">
            <v>0.35714285699999998</v>
          </cell>
        </row>
        <row r="953">
          <cell r="B953" t="str">
            <v>F649_2B</v>
          </cell>
          <cell r="C953" t="str">
            <v>R1_F649_2B</v>
          </cell>
          <cell r="D953">
            <v>1</v>
          </cell>
          <cell r="E953">
            <v>9</v>
          </cell>
          <cell r="F953">
            <v>41</v>
          </cell>
          <cell r="G953">
            <v>1</v>
          </cell>
          <cell r="H953">
            <v>37</v>
          </cell>
          <cell r="I953">
            <v>6</v>
          </cell>
          <cell r="J953">
            <v>6</v>
          </cell>
          <cell r="K953">
            <v>1</v>
          </cell>
          <cell r="L953">
            <v>10.974167</v>
          </cell>
          <cell r="M953">
            <v>-85.014043999999998</v>
          </cell>
          <cell r="N953" t="str">
            <v>Norte</v>
          </cell>
          <cell r="O953">
            <v>0</v>
          </cell>
          <cell r="P953" t="str">
            <v>guaymi</v>
          </cell>
          <cell r="Q953" t="str">
            <v>guaymi</v>
          </cell>
          <cell r="R953" t="b">
            <v>1</v>
          </cell>
          <cell r="S953" t="str">
            <v>649_2</v>
          </cell>
          <cell r="T953">
            <v>1</v>
          </cell>
          <cell r="U953">
            <v>4</v>
          </cell>
          <cell r="V953">
            <v>1</v>
          </cell>
          <cell r="W953">
            <v>0.25</v>
          </cell>
          <cell r="X953">
            <v>14</v>
          </cell>
          <cell r="Y953">
            <v>5</v>
          </cell>
          <cell r="Z953">
            <v>0.35714285699999998</v>
          </cell>
        </row>
        <row r="954">
          <cell r="B954" t="str">
            <v>F650_2B</v>
          </cell>
          <cell r="C954" t="str">
            <v>R1_F650_2B</v>
          </cell>
          <cell r="D954">
            <v>1</v>
          </cell>
          <cell r="E954">
            <v>7.0000000000000007E-2</v>
          </cell>
          <cell r="F954">
            <v>45</v>
          </cell>
          <cell r="G954">
            <v>1</v>
          </cell>
          <cell r="H954">
            <v>72</v>
          </cell>
          <cell r="I954">
            <v>3</v>
          </cell>
          <cell r="J954">
            <v>3</v>
          </cell>
          <cell r="K954">
            <v>0</v>
          </cell>
          <cell r="L954">
            <v>10.960986999999999</v>
          </cell>
          <cell r="M954">
            <v>-85.013876999999994</v>
          </cell>
          <cell r="N954" t="str">
            <v>Norte</v>
          </cell>
          <cell r="O954">
            <v>0</v>
          </cell>
          <cell r="P954" t="str">
            <v>mantequilla</v>
          </cell>
          <cell r="Q954" t="str">
            <v>mantequilla</v>
          </cell>
          <cell r="R954" t="b">
            <v>1</v>
          </cell>
          <cell r="S954" t="str">
            <v>650_2</v>
          </cell>
          <cell r="T954">
            <v>1</v>
          </cell>
          <cell r="U954">
            <v>5</v>
          </cell>
          <cell r="V954">
            <v>1</v>
          </cell>
          <cell r="W954">
            <v>0.2</v>
          </cell>
          <cell r="X954">
            <v>25</v>
          </cell>
          <cell r="Y954">
            <v>9</v>
          </cell>
          <cell r="Z954">
            <v>0.36</v>
          </cell>
        </row>
        <row r="955">
          <cell r="B955" t="str">
            <v>F651_1B</v>
          </cell>
          <cell r="C955" t="str">
            <v>R1_F651_1B</v>
          </cell>
          <cell r="D955">
            <v>0</v>
          </cell>
          <cell r="E955">
            <v>0.5</v>
          </cell>
          <cell r="F955">
            <v>42</v>
          </cell>
          <cell r="G955">
            <v>1</v>
          </cell>
          <cell r="H955">
            <v>60</v>
          </cell>
          <cell r="I955">
            <v>12</v>
          </cell>
          <cell r="J955">
            <v>1</v>
          </cell>
          <cell r="K955">
            <v>1</v>
          </cell>
          <cell r="L955">
            <v>10.962947</v>
          </cell>
          <cell r="M955">
            <v>-85.013779999999997</v>
          </cell>
          <cell r="N955" t="str">
            <v>Norte</v>
          </cell>
          <cell r="O955">
            <v>0</v>
          </cell>
          <cell r="P955" t="str">
            <v>nambi</v>
          </cell>
          <cell r="Q955" t="str">
            <v>matambu</v>
          </cell>
          <cell r="R955" t="b">
            <v>0</v>
          </cell>
          <cell r="S955" t="str">
            <v>651_1</v>
          </cell>
          <cell r="T955">
            <v>0</v>
          </cell>
          <cell r="U955">
            <v>4</v>
          </cell>
          <cell r="V955">
            <v>2</v>
          </cell>
          <cell r="W955">
            <v>0.5</v>
          </cell>
          <cell r="X955">
            <v>21</v>
          </cell>
          <cell r="Y955">
            <v>9</v>
          </cell>
          <cell r="Z955">
            <v>0.428571429</v>
          </cell>
        </row>
        <row r="956">
          <cell r="B956" t="str">
            <v>F651_2B</v>
          </cell>
          <cell r="C956" t="str">
            <v>R1_F651_2B</v>
          </cell>
          <cell r="D956">
            <v>0</v>
          </cell>
          <cell r="E956">
            <v>0.5</v>
          </cell>
          <cell r="F956">
            <v>42</v>
          </cell>
          <cell r="G956">
            <v>1</v>
          </cell>
          <cell r="H956">
            <v>60</v>
          </cell>
          <cell r="I956">
            <v>12</v>
          </cell>
          <cell r="J956">
            <v>1</v>
          </cell>
          <cell r="K956">
            <v>0</v>
          </cell>
          <cell r="L956">
            <v>10.962947</v>
          </cell>
          <cell r="M956">
            <v>-85.013779999999997</v>
          </cell>
          <cell r="N956" t="str">
            <v>Norte</v>
          </cell>
          <cell r="O956">
            <v>0</v>
          </cell>
          <cell r="P956" t="str">
            <v>victoria</v>
          </cell>
          <cell r="Q956" t="str">
            <v>guaymi</v>
          </cell>
          <cell r="R956" t="b">
            <v>0</v>
          </cell>
          <cell r="S956" t="str">
            <v>651_2</v>
          </cell>
          <cell r="T956">
            <v>0</v>
          </cell>
          <cell r="U956">
            <v>4</v>
          </cell>
          <cell r="V956">
            <v>2</v>
          </cell>
          <cell r="W956">
            <v>0.5</v>
          </cell>
          <cell r="X956">
            <v>21</v>
          </cell>
          <cell r="Y956">
            <v>9</v>
          </cell>
          <cell r="Z956">
            <v>0.428571429</v>
          </cell>
        </row>
        <row r="957">
          <cell r="B957" t="str">
            <v>F652_1B</v>
          </cell>
          <cell r="C957" t="str">
            <v>R1_F652_1B</v>
          </cell>
          <cell r="D957">
            <v>1</v>
          </cell>
          <cell r="E957">
            <v>2</v>
          </cell>
          <cell r="F957">
            <v>41</v>
          </cell>
          <cell r="G957">
            <v>1</v>
          </cell>
          <cell r="H957">
            <v>53</v>
          </cell>
          <cell r="I957">
            <v>2</v>
          </cell>
          <cell r="J957">
            <v>5</v>
          </cell>
          <cell r="K957">
            <v>1</v>
          </cell>
          <cell r="L957">
            <v>10.960812000000001</v>
          </cell>
          <cell r="M957">
            <v>-85.016544999999994</v>
          </cell>
          <cell r="N957" t="str">
            <v>Norte</v>
          </cell>
          <cell r="O957">
            <v>0</v>
          </cell>
          <cell r="P957" t="str">
            <v>brunca</v>
          </cell>
          <cell r="Q957" t="str">
            <v>brunca</v>
          </cell>
          <cell r="R957" t="b">
            <v>1</v>
          </cell>
          <cell r="S957" t="str">
            <v>652_1</v>
          </cell>
          <cell r="T957">
            <v>1</v>
          </cell>
          <cell r="U957">
            <v>5</v>
          </cell>
          <cell r="V957">
            <v>1</v>
          </cell>
          <cell r="W957">
            <v>0.2</v>
          </cell>
          <cell r="X957">
            <v>25</v>
          </cell>
          <cell r="Y957">
            <v>9</v>
          </cell>
          <cell r="Z957">
            <v>0.36</v>
          </cell>
        </row>
        <row r="958">
          <cell r="B958" t="str">
            <v>F653_1B</v>
          </cell>
          <cell r="C958" t="str">
            <v>R1_F653_1B</v>
          </cell>
          <cell r="D958">
            <v>0</v>
          </cell>
          <cell r="E958">
            <v>0.17499999999999999</v>
          </cell>
          <cell r="F958">
            <v>42</v>
          </cell>
          <cell r="G958">
            <v>1</v>
          </cell>
          <cell r="H958">
            <v>45</v>
          </cell>
          <cell r="I958">
            <v>4</v>
          </cell>
          <cell r="J958">
            <v>8</v>
          </cell>
          <cell r="K958">
            <v>1</v>
          </cell>
          <cell r="L958">
            <v>10.972135</v>
          </cell>
          <cell r="M958">
            <v>-85.013158000000004</v>
          </cell>
          <cell r="N958" t="str">
            <v>Norte</v>
          </cell>
          <cell r="O958">
            <v>0</v>
          </cell>
          <cell r="P958" t="str">
            <v>matambu</v>
          </cell>
          <cell r="Q958" t="str">
            <v>dontknow</v>
          </cell>
          <cell r="R958" t="str">
            <v>Not applicable</v>
          </cell>
          <cell r="S958" t="str">
            <v>653_1</v>
          </cell>
          <cell r="T958">
            <v>0</v>
          </cell>
          <cell r="U958">
            <v>6</v>
          </cell>
          <cell r="V958">
            <v>2</v>
          </cell>
          <cell r="W958">
            <v>0.33333333300000001</v>
          </cell>
          <cell r="X958">
            <v>14</v>
          </cell>
          <cell r="Y958">
            <v>6</v>
          </cell>
          <cell r="Z958">
            <v>0.428571429</v>
          </cell>
        </row>
        <row r="959">
          <cell r="B959" t="str">
            <v>F653_2B</v>
          </cell>
          <cell r="C959" t="str">
            <v>R1_F653_2B</v>
          </cell>
          <cell r="D959">
            <v>0</v>
          </cell>
          <cell r="E959">
            <v>2.1</v>
          </cell>
          <cell r="F959">
            <v>42</v>
          </cell>
          <cell r="G959">
            <v>1</v>
          </cell>
          <cell r="H959">
            <v>45</v>
          </cell>
          <cell r="I959">
            <v>4</v>
          </cell>
          <cell r="J959">
            <v>8</v>
          </cell>
          <cell r="K959">
            <v>0</v>
          </cell>
          <cell r="L959">
            <v>10.972135</v>
          </cell>
          <cell r="M959">
            <v>-85.013158000000004</v>
          </cell>
          <cell r="N959" t="str">
            <v>Norte</v>
          </cell>
          <cell r="O959">
            <v>0</v>
          </cell>
          <cell r="P959" t="str">
            <v>generalito</v>
          </cell>
          <cell r="Q959" t="str">
            <v>cabecar</v>
          </cell>
          <cell r="R959" t="b">
            <v>0</v>
          </cell>
          <cell r="S959" t="str">
            <v>653_2</v>
          </cell>
          <cell r="T959">
            <v>0</v>
          </cell>
          <cell r="U959">
            <v>6</v>
          </cell>
          <cell r="V959">
            <v>2</v>
          </cell>
          <cell r="W959">
            <v>0.33333333300000001</v>
          </cell>
          <cell r="X959">
            <v>14</v>
          </cell>
          <cell r="Y959">
            <v>6</v>
          </cell>
          <cell r="Z959">
            <v>0.428571429</v>
          </cell>
        </row>
        <row r="960">
          <cell r="B960" t="str">
            <v>F654_1B</v>
          </cell>
          <cell r="C960" t="str">
            <v>R1_F654_1B</v>
          </cell>
          <cell r="D960">
            <v>0</v>
          </cell>
          <cell r="E960">
            <v>1</v>
          </cell>
          <cell r="F960">
            <v>56</v>
          </cell>
          <cell r="G960">
            <v>1</v>
          </cell>
          <cell r="H960">
            <v>59</v>
          </cell>
          <cell r="I960">
            <v>11</v>
          </cell>
          <cell r="J960">
            <v>1</v>
          </cell>
          <cell r="K960">
            <v>1</v>
          </cell>
          <cell r="L960">
            <v>10.936062</v>
          </cell>
          <cell r="M960">
            <v>-85.077721999999994</v>
          </cell>
          <cell r="N960" t="str">
            <v>Norte</v>
          </cell>
          <cell r="O960">
            <v>0</v>
          </cell>
          <cell r="P960" t="str">
            <v>tayni</v>
          </cell>
          <cell r="Q960" t="str">
            <v>other</v>
          </cell>
          <cell r="R960" t="str">
            <v>Not applicable</v>
          </cell>
          <cell r="S960" t="str">
            <v>654_1</v>
          </cell>
          <cell r="T960">
            <v>1</v>
          </cell>
          <cell r="U960">
            <v>0</v>
          </cell>
          <cell r="V960">
            <v>0</v>
          </cell>
          <cell r="W960" t="str">
            <v>NA</v>
          </cell>
          <cell r="X960">
            <v>13</v>
          </cell>
          <cell r="Y960">
            <v>5</v>
          </cell>
          <cell r="Z960">
            <v>0.38461538499999998</v>
          </cell>
        </row>
        <row r="961">
          <cell r="B961" t="str">
            <v>F654_2B</v>
          </cell>
          <cell r="C961" t="str">
            <v>R1_F654_2B</v>
          </cell>
          <cell r="D961">
            <v>1</v>
          </cell>
          <cell r="E961">
            <v>1</v>
          </cell>
          <cell r="F961">
            <v>56</v>
          </cell>
          <cell r="G961">
            <v>1</v>
          </cell>
          <cell r="H961">
            <v>59</v>
          </cell>
          <cell r="I961">
            <v>11</v>
          </cell>
          <cell r="J961">
            <v>1</v>
          </cell>
          <cell r="K961">
            <v>1</v>
          </cell>
          <cell r="L961">
            <v>10.936062</v>
          </cell>
          <cell r="M961">
            <v>-85.077721999999994</v>
          </cell>
          <cell r="N961" t="str">
            <v>Norte</v>
          </cell>
          <cell r="O961">
            <v>0</v>
          </cell>
          <cell r="P961" t="str">
            <v>nambi</v>
          </cell>
          <cell r="Q961" t="str">
            <v>nambi</v>
          </cell>
          <cell r="R961" t="b">
            <v>1</v>
          </cell>
          <cell r="S961" t="str">
            <v>654_2</v>
          </cell>
          <cell r="T961">
            <v>1</v>
          </cell>
          <cell r="U961">
            <v>0</v>
          </cell>
          <cell r="V961">
            <v>0</v>
          </cell>
          <cell r="W961" t="str">
            <v>NA</v>
          </cell>
          <cell r="X961">
            <v>13</v>
          </cell>
          <cell r="Y961">
            <v>5</v>
          </cell>
          <cell r="Z961">
            <v>0.38461538499999998</v>
          </cell>
        </row>
        <row r="962">
          <cell r="B962" t="str">
            <v>F655_1B</v>
          </cell>
          <cell r="C962" t="str">
            <v>R1_F655_1B</v>
          </cell>
          <cell r="D962">
            <v>0</v>
          </cell>
          <cell r="E962">
            <v>0.7</v>
          </cell>
          <cell r="F962">
            <v>50</v>
          </cell>
          <cell r="G962">
            <v>1</v>
          </cell>
          <cell r="H962">
            <v>79</v>
          </cell>
          <cell r="I962">
            <v>4</v>
          </cell>
          <cell r="J962">
            <v>3</v>
          </cell>
          <cell r="K962">
            <v>1</v>
          </cell>
          <cell r="L962">
            <v>10.983893</v>
          </cell>
          <cell r="M962">
            <v>-85.149535</v>
          </cell>
          <cell r="N962" t="str">
            <v>Norte</v>
          </cell>
          <cell r="O962">
            <v>0</v>
          </cell>
          <cell r="P962" t="str">
            <v>uran</v>
          </cell>
          <cell r="Q962" t="str">
            <v>cabecar</v>
          </cell>
          <cell r="R962" t="b">
            <v>0</v>
          </cell>
          <cell r="S962" t="str">
            <v>655_1</v>
          </cell>
          <cell r="T962">
            <v>0</v>
          </cell>
          <cell r="U962">
            <v>0</v>
          </cell>
          <cell r="V962">
            <v>0</v>
          </cell>
          <cell r="W962" t="str">
            <v>NA</v>
          </cell>
          <cell r="X962">
            <v>62</v>
          </cell>
          <cell r="Y962">
            <v>31</v>
          </cell>
          <cell r="Z962">
            <v>0.5</v>
          </cell>
        </row>
        <row r="963">
          <cell r="B963" t="str">
            <v>F655_2B</v>
          </cell>
          <cell r="C963" t="str">
            <v>R1_F655_2B</v>
          </cell>
          <cell r="D963">
            <v>0</v>
          </cell>
          <cell r="E963">
            <v>0.14000000000000001</v>
          </cell>
          <cell r="F963">
            <v>50</v>
          </cell>
          <cell r="G963">
            <v>1</v>
          </cell>
          <cell r="H963">
            <v>79</v>
          </cell>
          <cell r="I963">
            <v>4</v>
          </cell>
          <cell r="J963">
            <v>3</v>
          </cell>
          <cell r="K963">
            <v>0</v>
          </cell>
          <cell r="L963">
            <v>10.983893</v>
          </cell>
          <cell r="M963">
            <v>-85.149535</v>
          </cell>
          <cell r="N963" t="str">
            <v>Norte</v>
          </cell>
          <cell r="O963">
            <v>0</v>
          </cell>
          <cell r="P963" t="str">
            <v>victoria</v>
          </cell>
          <cell r="Q963" t="str">
            <v>assay</v>
          </cell>
          <cell r="R963" t="str">
            <v>Not applicable</v>
          </cell>
          <cell r="S963" t="str">
            <v>655_2</v>
          </cell>
          <cell r="T963">
            <v>0</v>
          </cell>
          <cell r="U963">
            <v>0</v>
          </cell>
          <cell r="V963">
            <v>0</v>
          </cell>
          <cell r="W963" t="str">
            <v>NA</v>
          </cell>
          <cell r="X963">
            <v>62</v>
          </cell>
          <cell r="Y963">
            <v>31</v>
          </cell>
          <cell r="Z963">
            <v>0.5</v>
          </cell>
        </row>
        <row r="964">
          <cell r="B964" t="str">
            <v>F656_1B</v>
          </cell>
          <cell r="C964" t="str">
            <v>R1_F656_1B</v>
          </cell>
          <cell r="D964">
            <v>0</v>
          </cell>
          <cell r="E964">
            <v>7.0000000000000007E-2</v>
          </cell>
          <cell r="F964">
            <v>47</v>
          </cell>
          <cell r="G964">
            <v>1</v>
          </cell>
          <cell r="H964">
            <v>44</v>
          </cell>
          <cell r="I964">
            <v>5</v>
          </cell>
          <cell r="J964">
            <v>5</v>
          </cell>
          <cell r="K964">
            <v>0</v>
          </cell>
          <cell r="L964">
            <v>10.976265</v>
          </cell>
          <cell r="M964">
            <v>-85.142258999999996</v>
          </cell>
          <cell r="N964" t="str">
            <v>Norte</v>
          </cell>
          <cell r="O964">
            <v>0</v>
          </cell>
          <cell r="P964" t="str">
            <v>generalito</v>
          </cell>
          <cell r="Q964" t="str">
            <v>other</v>
          </cell>
          <cell r="R964" t="str">
            <v>Not applicable</v>
          </cell>
          <cell r="S964" t="str">
            <v>656_1</v>
          </cell>
          <cell r="T964">
            <v>0</v>
          </cell>
          <cell r="U964">
            <v>5</v>
          </cell>
          <cell r="V964">
            <v>1</v>
          </cell>
          <cell r="W964">
            <v>0.2</v>
          </cell>
          <cell r="X964">
            <v>62</v>
          </cell>
          <cell r="Y964">
            <v>28</v>
          </cell>
          <cell r="Z964">
            <v>0.45161290300000001</v>
          </cell>
        </row>
        <row r="965">
          <cell r="B965" t="str">
            <v>F656_2B</v>
          </cell>
          <cell r="C965" t="str">
            <v>R1_F656_2B</v>
          </cell>
          <cell r="D965">
            <v>0</v>
          </cell>
          <cell r="E965">
            <v>0.7</v>
          </cell>
          <cell r="F965">
            <v>47</v>
          </cell>
          <cell r="G965">
            <v>1</v>
          </cell>
          <cell r="H965">
            <v>44</v>
          </cell>
          <cell r="I965">
            <v>5</v>
          </cell>
          <cell r="J965">
            <v>5</v>
          </cell>
          <cell r="K965">
            <v>0</v>
          </cell>
          <cell r="L965">
            <v>10.976265</v>
          </cell>
          <cell r="M965">
            <v>-85.142258999999996</v>
          </cell>
          <cell r="N965" t="str">
            <v>Norte</v>
          </cell>
          <cell r="O965">
            <v>0</v>
          </cell>
          <cell r="P965" t="str">
            <v>victoria</v>
          </cell>
          <cell r="Q965" t="str">
            <v>cabecar</v>
          </cell>
          <cell r="R965" t="b">
            <v>0</v>
          </cell>
          <cell r="S965" t="str">
            <v>656_2</v>
          </cell>
          <cell r="T965">
            <v>0</v>
          </cell>
          <cell r="U965">
            <v>5</v>
          </cell>
          <cell r="V965">
            <v>1</v>
          </cell>
          <cell r="W965">
            <v>0.2</v>
          </cell>
          <cell r="X965">
            <v>62</v>
          </cell>
          <cell r="Y965">
            <v>28</v>
          </cell>
          <cell r="Z965">
            <v>0.45161290300000001</v>
          </cell>
        </row>
        <row r="966">
          <cell r="B966" t="str">
            <v>F656_3B</v>
          </cell>
          <cell r="C966" t="str">
            <v>R1_F656_3B</v>
          </cell>
          <cell r="D966">
            <v>1</v>
          </cell>
          <cell r="E966">
            <v>1.05</v>
          </cell>
          <cell r="F966">
            <v>47</v>
          </cell>
          <cell r="G966">
            <v>1</v>
          </cell>
          <cell r="H966">
            <v>44</v>
          </cell>
          <cell r="I966">
            <v>5</v>
          </cell>
          <cell r="J966">
            <v>5</v>
          </cell>
          <cell r="K966">
            <v>1</v>
          </cell>
          <cell r="L966">
            <v>10.976265</v>
          </cell>
          <cell r="M966">
            <v>-85.142258999999996</v>
          </cell>
          <cell r="N966" t="str">
            <v>Norte</v>
          </cell>
          <cell r="O966">
            <v>0</v>
          </cell>
          <cell r="P966" t="str">
            <v>nambi</v>
          </cell>
          <cell r="Q966" t="str">
            <v>nambi</v>
          </cell>
          <cell r="R966" t="b">
            <v>1</v>
          </cell>
          <cell r="S966" t="str">
            <v>656_3</v>
          </cell>
          <cell r="T966">
            <v>1</v>
          </cell>
          <cell r="U966">
            <v>5</v>
          </cell>
          <cell r="V966">
            <v>1</v>
          </cell>
          <cell r="W966">
            <v>0.2</v>
          </cell>
          <cell r="X966">
            <v>62</v>
          </cell>
          <cell r="Y966">
            <v>28</v>
          </cell>
          <cell r="Z966">
            <v>0.45161290300000001</v>
          </cell>
        </row>
        <row r="967">
          <cell r="B967" t="str">
            <v>F656_4B</v>
          </cell>
          <cell r="C967" t="str">
            <v>R1_F656_4B</v>
          </cell>
          <cell r="D967">
            <v>1</v>
          </cell>
          <cell r="E967">
            <v>0.35</v>
          </cell>
          <cell r="F967">
            <v>47</v>
          </cell>
          <cell r="G967">
            <v>1</v>
          </cell>
          <cell r="H967">
            <v>44</v>
          </cell>
          <cell r="I967">
            <v>5</v>
          </cell>
          <cell r="J967">
            <v>5</v>
          </cell>
          <cell r="K967">
            <v>1</v>
          </cell>
          <cell r="L967">
            <v>10.976265</v>
          </cell>
          <cell r="M967">
            <v>-85.142258999999996</v>
          </cell>
          <cell r="N967" t="str">
            <v>Norte</v>
          </cell>
          <cell r="O967">
            <v>0</v>
          </cell>
          <cell r="P967" t="str">
            <v>guaymi</v>
          </cell>
          <cell r="Q967" t="str">
            <v>guaymi</v>
          </cell>
          <cell r="R967" t="b">
            <v>1</v>
          </cell>
          <cell r="S967" t="str">
            <v>656_4</v>
          </cell>
          <cell r="T967">
            <v>1</v>
          </cell>
          <cell r="U967">
            <v>5</v>
          </cell>
          <cell r="V967">
            <v>1</v>
          </cell>
          <cell r="W967">
            <v>0.2</v>
          </cell>
          <cell r="X967">
            <v>62</v>
          </cell>
          <cell r="Y967">
            <v>28</v>
          </cell>
          <cell r="Z967">
            <v>0.45161290300000001</v>
          </cell>
        </row>
        <row r="968">
          <cell r="B968" t="str">
            <v>F657_1B</v>
          </cell>
          <cell r="C968" t="str">
            <v>R1_F657_1B</v>
          </cell>
          <cell r="D968">
            <v>1</v>
          </cell>
          <cell r="E968">
            <v>0.35</v>
          </cell>
          <cell r="F968">
            <v>48</v>
          </cell>
          <cell r="G968">
            <v>1</v>
          </cell>
          <cell r="H968">
            <v>43</v>
          </cell>
          <cell r="I968">
            <v>6</v>
          </cell>
          <cell r="J968">
            <v>5</v>
          </cell>
          <cell r="K968">
            <v>1</v>
          </cell>
          <cell r="L968">
            <v>10.976217</v>
          </cell>
          <cell r="M968">
            <v>-85.142392999999998</v>
          </cell>
          <cell r="N968" t="str">
            <v>Norte</v>
          </cell>
          <cell r="O968">
            <v>0</v>
          </cell>
          <cell r="P968" t="str">
            <v>nambi</v>
          </cell>
          <cell r="Q968" t="str">
            <v>nambi</v>
          </cell>
          <cell r="R968" t="b">
            <v>1</v>
          </cell>
          <cell r="S968" t="str">
            <v>657_1</v>
          </cell>
          <cell r="T968">
            <v>1</v>
          </cell>
          <cell r="U968">
            <v>7</v>
          </cell>
          <cell r="V968">
            <v>2</v>
          </cell>
          <cell r="W968">
            <v>0.28571428599999998</v>
          </cell>
          <cell r="X968">
            <v>64</v>
          </cell>
          <cell r="Y968">
            <v>29</v>
          </cell>
          <cell r="Z968">
            <v>0.453125</v>
          </cell>
        </row>
        <row r="969">
          <cell r="B969" t="str">
            <v>F657_2B</v>
          </cell>
          <cell r="C969" t="str">
            <v>R1_F657_2B</v>
          </cell>
          <cell r="D969">
            <v>0</v>
          </cell>
          <cell r="E969">
            <v>0.35</v>
          </cell>
          <cell r="F969">
            <v>48</v>
          </cell>
          <cell r="G969">
            <v>1</v>
          </cell>
          <cell r="H969">
            <v>43</v>
          </cell>
          <cell r="I969">
            <v>6</v>
          </cell>
          <cell r="J969">
            <v>5</v>
          </cell>
          <cell r="K969">
            <v>0</v>
          </cell>
          <cell r="L969">
            <v>10.976217</v>
          </cell>
          <cell r="M969">
            <v>-85.142392999999998</v>
          </cell>
          <cell r="N969" t="str">
            <v>Norte</v>
          </cell>
          <cell r="O969">
            <v>0</v>
          </cell>
          <cell r="P969" t="str">
            <v>victoria</v>
          </cell>
          <cell r="Q969" t="str">
            <v>cabecar</v>
          </cell>
          <cell r="R969" t="b">
            <v>0</v>
          </cell>
          <cell r="S969" t="str">
            <v>657_2</v>
          </cell>
          <cell r="T969">
            <v>0</v>
          </cell>
          <cell r="U969">
            <v>7</v>
          </cell>
          <cell r="V969">
            <v>2</v>
          </cell>
          <cell r="W969">
            <v>0.28571428599999998</v>
          </cell>
          <cell r="X969">
            <v>64</v>
          </cell>
          <cell r="Y969">
            <v>29</v>
          </cell>
          <cell r="Z969">
            <v>0.453125</v>
          </cell>
        </row>
        <row r="970">
          <cell r="B970" t="str">
            <v>F658_1B</v>
          </cell>
          <cell r="C970" t="str">
            <v>R1_F658_1B</v>
          </cell>
          <cell r="D970">
            <v>1</v>
          </cell>
          <cell r="E970">
            <v>0.5</v>
          </cell>
          <cell r="F970">
            <v>48</v>
          </cell>
          <cell r="G970">
            <v>1</v>
          </cell>
          <cell r="H970">
            <v>60</v>
          </cell>
          <cell r="I970">
            <v>6</v>
          </cell>
          <cell r="J970">
            <v>4</v>
          </cell>
          <cell r="K970">
            <v>1</v>
          </cell>
          <cell r="L970">
            <v>11.016382999999999</v>
          </cell>
          <cell r="M970">
            <v>-85.104892000000007</v>
          </cell>
          <cell r="N970" t="str">
            <v>Norte</v>
          </cell>
          <cell r="O970">
            <v>0</v>
          </cell>
          <cell r="P970" t="str">
            <v>nambi</v>
          </cell>
          <cell r="Q970" t="str">
            <v>nambi</v>
          </cell>
          <cell r="R970" t="b">
            <v>1</v>
          </cell>
          <cell r="S970" t="str">
            <v>658_1</v>
          </cell>
          <cell r="T970">
            <v>1</v>
          </cell>
          <cell r="U970">
            <v>3</v>
          </cell>
          <cell r="V970">
            <v>2</v>
          </cell>
          <cell r="W970">
            <v>0.66666666699999999</v>
          </cell>
          <cell r="X970">
            <v>3</v>
          </cell>
          <cell r="Y970">
            <v>2</v>
          </cell>
          <cell r="Z970">
            <v>0.66666666699999999</v>
          </cell>
        </row>
        <row r="971">
          <cell r="B971" t="str">
            <v>F659_1B</v>
          </cell>
          <cell r="C971" t="str">
            <v>R1_F659_1B</v>
          </cell>
          <cell r="D971">
            <v>0</v>
          </cell>
          <cell r="E971">
            <v>0.7</v>
          </cell>
          <cell r="F971">
            <v>41</v>
          </cell>
          <cell r="G971">
            <v>1</v>
          </cell>
          <cell r="H971">
            <v>77</v>
          </cell>
          <cell r="I971">
            <v>0</v>
          </cell>
          <cell r="J971">
            <v>4</v>
          </cell>
          <cell r="K971">
            <v>0</v>
          </cell>
          <cell r="L971">
            <v>10.998965</v>
          </cell>
          <cell r="M971">
            <v>-85.119218000000004</v>
          </cell>
          <cell r="N971" t="str">
            <v>Norte</v>
          </cell>
          <cell r="O971">
            <v>0</v>
          </cell>
          <cell r="P971" t="str">
            <v>generalito</v>
          </cell>
          <cell r="Q971" t="str">
            <v>guaymi</v>
          </cell>
          <cell r="R971" t="b">
            <v>0</v>
          </cell>
          <cell r="S971" t="str">
            <v>659_1</v>
          </cell>
          <cell r="T971">
            <v>0</v>
          </cell>
          <cell r="U971">
            <v>9</v>
          </cell>
          <cell r="V971">
            <v>2</v>
          </cell>
          <cell r="W971">
            <v>0.222222222</v>
          </cell>
          <cell r="X971">
            <v>73</v>
          </cell>
          <cell r="Y971">
            <v>40</v>
          </cell>
          <cell r="Z971">
            <v>0.54794520499999999</v>
          </cell>
        </row>
        <row r="972">
          <cell r="B972" t="str">
            <v>F659_2B</v>
          </cell>
          <cell r="C972" t="str">
            <v>R1_F659_2B</v>
          </cell>
          <cell r="D972">
            <v>0</v>
          </cell>
          <cell r="E972">
            <v>0.35</v>
          </cell>
          <cell r="F972">
            <v>41</v>
          </cell>
          <cell r="G972">
            <v>1</v>
          </cell>
          <cell r="H972">
            <v>77</v>
          </cell>
          <cell r="I972">
            <v>0</v>
          </cell>
          <cell r="J972">
            <v>4</v>
          </cell>
          <cell r="K972">
            <v>1</v>
          </cell>
          <cell r="L972">
            <v>10.998965</v>
          </cell>
          <cell r="M972">
            <v>-85.119218000000004</v>
          </cell>
          <cell r="N972" t="str">
            <v>Norte</v>
          </cell>
          <cell r="O972">
            <v>0</v>
          </cell>
          <cell r="P972" t="str">
            <v>guaymi</v>
          </cell>
          <cell r="Q972" t="str">
            <v>cabecar</v>
          </cell>
          <cell r="R972" t="b">
            <v>0</v>
          </cell>
          <cell r="S972" t="str">
            <v>659_2</v>
          </cell>
          <cell r="T972">
            <v>0</v>
          </cell>
          <cell r="U972">
            <v>9</v>
          </cell>
          <cell r="V972">
            <v>2</v>
          </cell>
          <cell r="W972">
            <v>0.222222222</v>
          </cell>
          <cell r="X972">
            <v>73</v>
          </cell>
          <cell r="Y972">
            <v>40</v>
          </cell>
          <cell r="Z972">
            <v>0.54794520499999999</v>
          </cell>
        </row>
        <row r="973">
          <cell r="B973" t="str">
            <v>F660_1B</v>
          </cell>
          <cell r="C973" t="str">
            <v>R1_F660_1B</v>
          </cell>
          <cell r="D973">
            <v>0</v>
          </cell>
          <cell r="E973">
            <v>0.2</v>
          </cell>
          <cell r="F973">
            <v>44</v>
          </cell>
          <cell r="G973">
            <v>1</v>
          </cell>
          <cell r="H973">
            <v>58</v>
          </cell>
          <cell r="I973">
            <v>8</v>
          </cell>
          <cell r="J973">
            <v>4</v>
          </cell>
          <cell r="K973">
            <v>0</v>
          </cell>
          <cell r="L973">
            <v>11.016165000000001</v>
          </cell>
          <cell r="M973">
            <v>-85.106547000000006</v>
          </cell>
          <cell r="N973" t="str">
            <v>Norte</v>
          </cell>
          <cell r="O973">
            <v>0</v>
          </cell>
          <cell r="P973" t="str">
            <v>suru</v>
          </cell>
          <cell r="Q973" t="str">
            <v>blanco</v>
          </cell>
          <cell r="R973" t="b">
            <v>0</v>
          </cell>
          <cell r="S973" t="str">
            <v>660_1</v>
          </cell>
          <cell r="T973">
            <v>0</v>
          </cell>
          <cell r="U973">
            <v>1</v>
          </cell>
          <cell r="V973">
            <v>1</v>
          </cell>
          <cell r="W973">
            <v>1</v>
          </cell>
          <cell r="X973">
            <v>1</v>
          </cell>
          <cell r="Y973">
            <v>1</v>
          </cell>
          <cell r="Z973">
            <v>1</v>
          </cell>
        </row>
        <row r="974">
          <cell r="B974" t="str">
            <v>F660_2B</v>
          </cell>
          <cell r="C974" t="str">
            <v>R1_F660_2B</v>
          </cell>
          <cell r="D974">
            <v>1</v>
          </cell>
          <cell r="E974">
            <v>1</v>
          </cell>
          <cell r="F974">
            <v>44</v>
          </cell>
          <cell r="G974">
            <v>1</v>
          </cell>
          <cell r="H974">
            <v>58</v>
          </cell>
          <cell r="I974">
            <v>8</v>
          </cell>
          <cell r="J974">
            <v>4</v>
          </cell>
          <cell r="K974">
            <v>1</v>
          </cell>
          <cell r="L974">
            <v>11.016165000000001</v>
          </cell>
          <cell r="M974">
            <v>-85.106547000000006</v>
          </cell>
          <cell r="N974" t="str">
            <v>Norte</v>
          </cell>
          <cell r="O974">
            <v>0</v>
          </cell>
          <cell r="P974" t="str">
            <v>brunca</v>
          </cell>
          <cell r="Q974" t="str">
            <v>brunca</v>
          </cell>
          <cell r="R974" t="b">
            <v>1</v>
          </cell>
          <cell r="S974" t="str">
            <v>660_2</v>
          </cell>
          <cell r="T974">
            <v>1</v>
          </cell>
          <cell r="U974">
            <v>1</v>
          </cell>
          <cell r="V974">
            <v>1</v>
          </cell>
          <cell r="W974">
            <v>1</v>
          </cell>
          <cell r="X974">
            <v>1</v>
          </cell>
          <cell r="Y974">
            <v>1</v>
          </cell>
          <cell r="Z974">
            <v>1</v>
          </cell>
        </row>
        <row r="975">
          <cell r="B975" t="str">
            <v>F660_3B</v>
          </cell>
          <cell r="C975" t="str">
            <v>R1_F660_3B</v>
          </cell>
          <cell r="D975">
            <v>1</v>
          </cell>
          <cell r="E975">
            <v>1</v>
          </cell>
          <cell r="F975">
            <v>44</v>
          </cell>
          <cell r="G975">
            <v>1</v>
          </cell>
          <cell r="H975">
            <v>58</v>
          </cell>
          <cell r="I975">
            <v>8</v>
          </cell>
          <cell r="J975">
            <v>4</v>
          </cell>
          <cell r="K975">
            <v>1</v>
          </cell>
          <cell r="L975">
            <v>11.016165000000001</v>
          </cell>
          <cell r="M975">
            <v>-85.106547000000006</v>
          </cell>
          <cell r="N975" t="str">
            <v>Norte</v>
          </cell>
          <cell r="O975">
            <v>0</v>
          </cell>
          <cell r="P975" t="str">
            <v>tayni</v>
          </cell>
          <cell r="Q975" t="str">
            <v>tayni</v>
          </cell>
          <cell r="R975" t="b">
            <v>1</v>
          </cell>
          <cell r="S975" t="str">
            <v>660_3</v>
          </cell>
          <cell r="T975">
            <v>1</v>
          </cell>
          <cell r="U975">
            <v>1</v>
          </cell>
          <cell r="V975">
            <v>1</v>
          </cell>
          <cell r="W975">
            <v>1</v>
          </cell>
          <cell r="X975">
            <v>1</v>
          </cell>
          <cell r="Y975">
            <v>1</v>
          </cell>
          <cell r="Z975">
            <v>1</v>
          </cell>
        </row>
        <row r="976">
          <cell r="B976" t="str">
            <v>F661_1B</v>
          </cell>
          <cell r="C976" t="str">
            <v>R1_F661_1B</v>
          </cell>
          <cell r="D976">
            <v>0</v>
          </cell>
          <cell r="E976">
            <v>0.7</v>
          </cell>
          <cell r="F976">
            <v>46</v>
          </cell>
          <cell r="G976">
            <v>1</v>
          </cell>
          <cell r="H976">
            <v>67</v>
          </cell>
          <cell r="I976">
            <v>2</v>
          </cell>
          <cell r="J976">
            <v>6</v>
          </cell>
          <cell r="K976">
            <v>1</v>
          </cell>
          <cell r="L976">
            <v>10.995975</v>
          </cell>
          <cell r="M976">
            <v>-85.126193000000001</v>
          </cell>
          <cell r="N976" t="str">
            <v>Norte</v>
          </cell>
          <cell r="O976">
            <v>0</v>
          </cell>
          <cell r="P976" t="str">
            <v>tayni</v>
          </cell>
          <cell r="Q976" t="str">
            <v>matambu</v>
          </cell>
          <cell r="R976" t="b">
            <v>0</v>
          </cell>
          <cell r="S976" t="str">
            <v>661_1</v>
          </cell>
          <cell r="T976">
            <v>1</v>
          </cell>
          <cell r="U976">
            <v>14</v>
          </cell>
          <cell r="V976">
            <v>3</v>
          </cell>
          <cell r="W976">
            <v>0.21428571399999999</v>
          </cell>
          <cell r="X976">
            <v>81</v>
          </cell>
          <cell r="Y976">
            <v>41</v>
          </cell>
          <cell r="Z976">
            <v>0.50617283999999996</v>
          </cell>
        </row>
        <row r="977">
          <cell r="B977" t="str">
            <v>F661_2B</v>
          </cell>
          <cell r="C977" t="str">
            <v>R1_F661_2B</v>
          </cell>
          <cell r="D977">
            <v>0</v>
          </cell>
          <cell r="E977">
            <v>0.5</v>
          </cell>
          <cell r="F977">
            <v>46</v>
          </cell>
          <cell r="G977">
            <v>1</v>
          </cell>
          <cell r="H977">
            <v>67</v>
          </cell>
          <cell r="I977">
            <v>2</v>
          </cell>
          <cell r="J977">
            <v>6</v>
          </cell>
          <cell r="K977">
            <v>1</v>
          </cell>
          <cell r="L977">
            <v>10.995975</v>
          </cell>
          <cell r="M977">
            <v>-85.126193000000001</v>
          </cell>
          <cell r="N977" t="str">
            <v>Norte</v>
          </cell>
          <cell r="O977">
            <v>0</v>
          </cell>
          <cell r="P977" t="str">
            <v>matambu</v>
          </cell>
          <cell r="Q977" t="str">
            <v>guaymi</v>
          </cell>
          <cell r="R977" t="b">
            <v>0</v>
          </cell>
          <cell r="S977" t="str">
            <v>661_2</v>
          </cell>
          <cell r="T977">
            <v>0</v>
          </cell>
          <cell r="U977">
            <v>14</v>
          </cell>
          <cell r="V977">
            <v>3</v>
          </cell>
          <cell r="W977">
            <v>0.21428571399999999</v>
          </cell>
          <cell r="X977">
            <v>81</v>
          </cell>
          <cell r="Y977">
            <v>41</v>
          </cell>
          <cell r="Z977">
            <v>0.50617283999999996</v>
          </cell>
        </row>
        <row r="978">
          <cell r="B978" t="str">
            <v>F662_1B</v>
          </cell>
          <cell r="C978" t="str">
            <v>R1_F662_1B</v>
          </cell>
          <cell r="D978">
            <v>0</v>
          </cell>
          <cell r="E978">
            <v>0.35</v>
          </cell>
          <cell r="F978">
            <v>44</v>
          </cell>
          <cell r="G978">
            <v>0</v>
          </cell>
          <cell r="H978">
            <v>65</v>
          </cell>
          <cell r="I978">
            <v>5</v>
          </cell>
          <cell r="J978">
            <v>3</v>
          </cell>
          <cell r="K978">
            <v>0</v>
          </cell>
          <cell r="L978">
            <v>10.996285</v>
          </cell>
          <cell r="M978">
            <v>-85.125957999999997</v>
          </cell>
          <cell r="N978" t="str">
            <v>Norte</v>
          </cell>
          <cell r="O978">
            <v>0</v>
          </cell>
          <cell r="P978" t="str">
            <v>gibre</v>
          </cell>
          <cell r="Q978" t="str">
            <v>cabecar</v>
          </cell>
          <cell r="R978" t="b">
            <v>0</v>
          </cell>
          <cell r="S978" t="str">
            <v>662_1</v>
          </cell>
          <cell r="T978">
            <v>0</v>
          </cell>
          <cell r="U978">
            <v>16</v>
          </cell>
          <cell r="V978">
            <v>4</v>
          </cell>
          <cell r="W978">
            <v>0.25</v>
          </cell>
          <cell r="X978">
            <v>81</v>
          </cell>
          <cell r="Y978">
            <v>41</v>
          </cell>
          <cell r="Z978">
            <v>0.50617283999999996</v>
          </cell>
        </row>
        <row r="979">
          <cell r="B979" t="str">
            <v>F662_2B</v>
          </cell>
          <cell r="C979" t="str">
            <v>R1_F662_2B</v>
          </cell>
          <cell r="D979">
            <v>1</v>
          </cell>
          <cell r="E979">
            <v>0.7</v>
          </cell>
          <cell r="F979">
            <v>44</v>
          </cell>
          <cell r="G979">
            <v>0</v>
          </cell>
          <cell r="H979">
            <v>65</v>
          </cell>
          <cell r="I979">
            <v>5</v>
          </cell>
          <cell r="J979">
            <v>3</v>
          </cell>
          <cell r="K979">
            <v>1</v>
          </cell>
          <cell r="L979">
            <v>10.996285</v>
          </cell>
          <cell r="M979">
            <v>-85.125957999999997</v>
          </cell>
          <cell r="N979" t="str">
            <v>Norte</v>
          </cell>
          <cell r="O979">
            <v>0</v>
          </cell>
          <cell r="P979" t="str">
            <v>brunca</v>
          </cell>
          <cell r="Q979" t="str">
            <v>brunca</v>
          </cell>
          <cell r="R979" t="b">
            <v>1</v>
          </cell>
          <cell r="S979" t="str">
            <v>662_2</v>
          </cell>
          <cell r="T979">
            <v>1</v>
          </cell>
          <cell r="U979">
            <v>16</v>
          </cell>
          <cell r="V979">
            <v>4</v>
          </cell>
          <cell r="W979">
            <v>0.25</v>
          </cell>
          <cell r="X979">
            <v>81</v>
          </cell>
          <cell r="Y979">
            <v>41</v>
          </cell>
          <cell r="Z979">
            <v>0.50617283999999996</v>
          </cell>
        </row>
        <row r="980">
          <cell r="B980" t="str">
            <v>F663_1B</v>
          </cell>
          <cell r="C980" t="str">
            <v>R1_F663_1B</v>
          </cell>
          <cell r="D980">
            <v>0</v>
          </cell>
          <cell r="E980">
            <v>0.35</v>
          </cell>
          <cell r="F980">
            <v>45</v>
          </cell>
          <cell r="G980">
            <v>1</v>
          </cell>
          <cell r="H980">
            <v>36</v>
          </cell>
          <cell r="I980">
            <v>9</v>
          </cell>
          <cell r="J980">
            <v>5</v>
          </cell>
          <cell r="K980">
            <v>0</v>
          </cell>
          <cell r="L980">
            <v>10.989846999999999</v>
          </cell>
          <cell r="M980">
            <v>-85.041004999999998</v>
          </cell>
          <cell r="N980" t="str">
            <v>Norte</v>
          </cell>
          <cell r="O980">
            <v>0</v>
          </cell>
          <cell r="P980" t="str">
            <v>SEF 62</v>
          </cell>
          <cell r="Q980" t="str">
            <v>assay</v>
          </cell>
          <cell r="R980" t="str">
            <v>Not applicable</v>
          </cell>
          <cell r="S980" t="str">
            <v>663_1</v>
          </cell>
          <cell r="T980">
            <v>0</v>
          </cell>
          <cell r="U980">
            <v>4</v>
          </cell>
          <cell r="V980">
            <v>2</v>
          </cell>
          <cell r="W980">
            <v>0.5</v>
          </cell>
          <cell r="X980">
            <v>26</v>
          </cell>
          <cell r="Y980">
            <v>8</v>
          </cell>
          <cell r="Z980">
            <v>0.30769230800000003</v>
          </cell>
        </row>
        <row r="981">
          <cell r="B981" t="str">
            <v>F663_2B</v>
          </cell>
          <cell r="C981" t="str">
            <v>R1_F663_2B</v>
          </cell>
          <cell r="D981">
            <v>0</v>
          </cell>
          <cell r="E981">
            <v>0.7</v>
          </cell>
          <cell r="F981">
            <v>45</v>
          </cell>
          <cell r="G981">
            <v>1</v>
          </cell>
          <cell r="H981">
            <v>36</v>
          </cell>
          <cell r="I981">
            <v>9</v>
          </cell>
          <cell r="J981">
            <v>5</v>
          </cell>
          <cell r="K981">
            <v>1</v>
          </cell>
          <cell r="L981">
            <v>10.989846999999999</v>
          </cell>
          <cell r="M981">
            <v>-85.041004999999998</v>
          </cell>
          <cell r="N981" t="str">
            <v>Norte</v>
          </cell>
          <cell r="O981">
            <v>0</v>
          </cell>
          <cell r="P981" t="str">
            <v>cabecar</v>
          </cell>
          <cell r="Q981" t="str">
            <v>other</v>
          </cell>
          <cell r="R981" t="str">
            <v>Not applicable</v>
          </cell>
          <cell r="S981" t="str">
            <v>663_2</v>
          </cell>
          <cell r="T981">
            <v>0</v>
          </cell>
          <cell r="U981">
            <v>4</v>
          </cell>
          <cell r="V981">
            <v>2</v>
          </cell>
          <cell r="W981">
            <v>0.5</v>
          </cell>
          <cell r="X981">
            <v>26</v>
          </cell>
          <cell r="Y981">
            <v>8</v>
          </cell>
          <cell r="Z981">
            <v>0.30769230800000003</v>
          </cell>
        </row>
        <row r="982">
          <cell r="B982" t="str">
            <v>F665_1B</v>
          </cell>
          <cell r="C982" t="str">
            <v>R1_F665_1B</v>
          </cell>
          <cell r="D982">
            <v>0</v>
          </cell>
          <cell r="E982">
            <v>0.35</v>
          </cell>
          <cell r="F982">
            <v>43</v>
          </cell>
          <cell r="G982">
            <v>0</v>
          </cell>
          <cell r="H982">
            <v>28</v>
          </cell>
          <cell r="I982">
            <v>9</v>
          </cell>
          <cell r="J982">
            <v>4</v>
          </cell>
          <cell r="K982">
            <v>0</v>
          </cell>
          <cell r="L982">
            <v>10.982150000000001</v>
          </cell>
          <cell r="M982">
            <v>-85.062005999999997</v>
          </cell>
          <cell r="N982" t="str">
            <v>Norte</v>
          </cell>
          <cell r="O982">
            <v>0</v>
          </cell>
          <cell r="P982" t="str">
            <v>victoria</v>
          </cell>
          <cell r="Q982" t="str">
            <v>cabecar</v>
          </cell>
          <cell r="R982" t="b">
            <v>0</v>
          </cell>
          <cell r="S982" t="str">
            <v>665_1</v>
          </cell>
          <cell r="T982">
            <v>0</v>
          </cell>
          <cell r="U982">
            <v>1</v>
          </cell>
          <cell r="V982">
            <v>0</v>
          </cell>
          <cell r="W982">
            <v>0</v>
          </cell>
          <cell r="X982">
            <v>22</v>
          </cell>
          <cell r="Y982">
            <v>4</v>
          </cell>
          <cell r="Z982">
            <v>0.18181818199999999</v>
          </cell>
        </row>
        <row r="983">
          <cell r="B983" t="str">
            <v>F666_1B</v>
          </cell>
          <cell r="C983" t="str">
            <v>R1_F666_1B</v>
          </cell>
          <cell r="D983">
            <v>1</v>
          </cell>
          <cell r="E983">
            <v>0.5</v>
          </cell>
          <cell r="F983">
            <v>41</v>
          </cell>
          <cell r="G983">
            <v>1</v>
          </cell>
          <cell r="H983">
            <v>61</v>
          </cell>
          <cell r="I983">
            <v>9</v>
          </cell>
          <cell r="J983">
            <v>4</v>
          </cell>
          <cell r="K983">
            <v>1</v>
          </cell>
          <cell r="L983">
            <v>10.960893</v>
          </cell>
          <cell r="M983">
            <v>-85.044617000000002</v>
          </cell>
          <cell r="N983" t="str">
            <v>Norte</v>
          </cell>
          <cell r="O983">
            <v>0</v>
          </cell>
          <cell r="P983" t="str">
            <v>nambi</v>
          </cell>
          <cell r="Q983" t="str">
            <v>nambi</v>
          </cell>
          <cell r="R983" t="b">
            <v>1</v>
          </cell>
          <cell r="S983" t="str">
            <v>666_1</v>
          </cell>
          <cell r="T983">
            <v>1</v>
          </cell>
          <cell r="U983">
            <v>5</v>
          </cell>
          <cell r="V983">
            <v>1</v>
          </cell>
          <cell r="W983">
            <v>0.2</v>
          </cell>
          <cell r="X983">
            <v>41</v>
          </cell>
          <cell r="Y983">
            <v>14</v>
          </cell>
          <cell r="Z983">
            <v>0.34146341499999999</v>
          </cell>
        </row>
        <row r="984">
          <cell r="B984" t="str">
            <v>F667_1B</v>
          </cell>
          <cell r="C984" t="str">
            <v>R1_F667_1B</v>
          </cell>
          <cell r="D984">
            <v>0</v>
          </cell>
          <cell r="E984">
            <v>1.05</v>
          </cell>
          <cell r="F984">
            <v>43</v>
          </cell>
          <cell r="G984">
            <v>1</v>
          </cell>
          <cell r="H984">
            <v>51</v>
          </cell>
          <cell r="I984">
            <v>9</v>
          </cell>
          <cell r="J984">
            <v>5</v>
          </cell>
          <cell r="K984">
            <v>1</v>
          </cell>
          <cell r="L984">
            <v>10.976262</v>
          </cell>
          <cell r="M984">
            <v>-85.057822000000002</v>
          </cell>
          <cell r="N984" t="str">
            <v>Norte</v>
          </cell>
          <cell r="O984">
            <v>0</v>
          </cell>
          <cell r="P984" t="str">
            <v>nambi</v>
          </cell>
          <cell r="Q984" t="str">
            <v>talamanca</v>
          </cell>
          <cell r="R984" t="b">
            <v>0</v>
          </cell>
          <cell r="S984" t="str">
            <v>667_1</v>
          </cell>
          <cell r="T984">
            <v>0</v>
          </cell>
          <cell r="U984">
            <v>0</v>
          </cell>
          <cell r="V984">
            <v>0</v>
          </cell>
          <cell r="W984" t="str">
            <v>NA</v>
          </cell>
          <cell r="X984">
            <v>16</v>
          </cell>
          <cell r="Y984">
            <v>1</v>
          </cell>
          <cell r="Z984">
            <v>6.25E-2</v>
          </cell>
        </row>
        <row r="985">
          <cell r="B985" t="str">
            <v>F667_2B</v>
          </cell>
          <cell r="C985" t="str">
            <v>R1_F667_2B</v>
          </cell>
          <cell r="D985">
            <v>0</v>
          </cell>
          <cell r="E985">
            <v>7</v>
          </cell>
          <cell r="F985">
            <v>43</v>
          </cell>
          <cell r="G985">
            <v>1</v>
          </cell>
          <cell r="H985">
            <v>51</v>
          </cell>
          <cell r="I985">
            <v>9</v>
          </cell>
          <cell r="J985">
            <v>5</v>
          </cell>
          <cell r="K985">
            <v>0</v>
          </cell>
          <cell r="L985">
            <v>10.976262</v>
          </cell>
          <cell r="M985">
            <v>-85.057822000000002</v>
          </cell>
          <cell r="N985" t="str">
            <v>Norte</v>
          </cell>
          <cell r="O985">
            <v>0</v>
          </cell>
          <cell r="P985" t="str">
            <v>victoria</v>
          </cell>
          <cell r="Q985" t="str">
            <v>cabecar</v>
          </cell>
          <cell r="R985" t="b">
            <v>0</v>
          </cell>
          <cell r="S985" t="str">
            <v>667_2</v>
          </cell>
          <cell r="T985">
            <v>0</v>
          </cell>
          <cell r="U985">
            <v>0</v>
          </cell>
          <cell r="V985">
            <v>0</v>
          </cell>
          <cell r="W985" t="str">
            <v>NA</v>
          </cell>
          <cell r="X985">
            <v>16</v>
          </cell>
          <cell r="Y985">
            <v>1</v>
          </cell>
          <cell r="Z985">
            <v>6.25E-2</v>
          </cell>
        </row>
        <row r="986">
          <cell r="B986" t="str">
            <v>F668_1B</v>
          </cell>
          <cell r="C986" t="str">
            <v>R1_F668_1B</v>
          </cell>
          <cell r="D986">
            <v>0</v>
          </cell>
          <cell r="E986">
            <v>0.49</v>
          </cell>
          <cell r="F986">
            <v>42</v>
          </cell>
          <cell r="G986">
            <v>1</v>
          </cell>
          <cell r="H986">
            <v>42</v>
          </cell>
          <cell r="I986">
            <v>9</v>
          </cell>
          <cell r="J986">
            <v>4</v>
          </cell>
          <cell r="K986">
            <v>1</v>
          </cell>
          <cell r="L986">
            <v>10.986606999999999</v>
          </cell>
          <cell r="M986">
            <v>-85.071721999999994</v>
          </cell>
          <cell r="N986" t="str">
            <v>Norte</v>
          </cell>
          <cell r="O986">
            <v>0</v>
          </cell>
          <cell r="P986" t="str">
            <v>nambi</v>
          </cell>
          <cell r="Q986" t="str">
            <v>matambu</v>
          </cell>
          <cell r="R986" t="b">
            <v>0</v>
          </cell>
          <cell r="S986" t="str">
            <v>668_1</v>
          </cell>
          <cell r="T986">
            <v>0</v>
          </cell>
          <cell r="U986">
            <v>3</v>
          </cell>
          <cell r="V986">
            <v>0</v>
          </cell>
          <cell r="W986">
            <v>0</v>
          </cell>
          <cell r="X986">
            <v>21</v>
          </cell>
          <cell r="Y986">
            <v>5</v>
          </cell>
          <cell r="Z986">
            <v>0.23809523799999999</v>
          </cell>
        </row>
        <row r="987">
          <cell r="B987" t="str">
            <v>F668_2B</v>
          </cell>
          <cell r="C987" t="str">
            <v>R1_F668_2B</v>
          </cell>
          <cell r="D987">
            <v>0</v>
          </cell>
          <cell r="E987">
            <v>3.5000000000000003E-2</v>
          </cell>
          <cell r="F987">
            <v>42</v>
          </cell>
          <cell r="G987">
            <v>1</v>
          </cell>
          <cell r="H987">
            <v>42</v>
          </cell>
          <cell r="I987">
            <v>9</v>
          </cell>
          <cell r="J987">
            <v>4</v>
          </cell>
          <cell r="K987">
            <v>0</v>
          </cell>
          <cell r="L987">
            <v>10.986606999999999</v>
          </cell>
          <cell r="M987">
            <v>-85.071721999999994</v>
          </cell>
          <cell r="N987" t="str">
            <v>Norte</v>
          </cell>
          <cell r="O987">
            <v>0</v>
          </cell>
          <cell r="P987" t="str">
            <v>SEF 60</v>
          </cell>
          <cell r="Q987" t="str">
            <v>assay</v>
          </cell>
          <cell r="R987" t="str">
            <v>Not applicable</v>
          </cell>
          <cell r="S987" t="str">
            <v>668_2</v>
          </cell>
          <cell r="T987">
            <v>0</v>
          </cell>
          <cell r="U987">
            <v>3</v>
          </cell>
          <cell r="V987">
            <v>0</v>
          </cell>
          <cell r="W987">
            <v>0</v>
          </cell>
          <cell r="X987">
            <v>21</v>
          </cell>
          <cell r="Y987">
            <v>5</v>
          </cell>
          <cell r="Z987">
            <v>0.23809523799999999</v>
          </cell>
        </row>
        <row r="988">
          <cell r="B988" t="str">
            <v>F669_1B</v>
          </cell>
          <cell r="C988" t="str">
            <v>R1_F669_1B</v>
          </cell>
          <cell r="D988">
            <v>1</v>
          </cell>
          <cell r="E988">
            <v>1.26</v>
          </cell>
          <cell r="F988">
            <v>47</v>
          </cell>
          <cell r="G988">
            <v>1</v>
          </cell>
          <cell r="H988">
            <v>42</v>
          </cell>
          <cell r="I988">
            <v>9</v>
          </cell>
          <cell r="J988">
            <v>6</v>
          </cell>
          <cell r="K988">
            <v>1</v>
          </cell>
          <cell r="L988">
            <v>10.977727</v>
          </cell>
          <cell r="M988">
            <v>-85.087157000000005</v>
          </cell>
          <cell r="N988" t="str">
            <v>Norte</v>
          </cell>
          <cell r="O988">
            <v>0</v>
          </cell>
          <cell r="P988" t="str">
            <v>nambi</v>
          </cell>
          <cell r="Q988" t="str">
            <v>nambi</v>
          </cell>
          <cell r="R988" t="b">
            <v>1</v>
          </cell>
          <cell r="S988" t="str">
            <v>669_1</v>
          </cell>
          <cell r="T988">
            <v>1</v>
          </cell>
          <cell r="U988">
            <v>0</v>
          </cell>
          <cell r="V988">
            <v>0</v>
          </cell>
          <cell r="W988" t="str">
            <v>NA</v>
          </cell>
          <cell r="X988">
            <v>21</v>
          </cell>
          <cell r="Y988">
            <v>7</v>
          </cell>
          <cell r="Z988">
            <v>0.33333333300000001</v>
          </cell>
        </row>
        <row r="989">
          <cell r="B989" t="str">
            <v>F670_1B</v>
          </cell>
          <cell r="C989" t="str">
            <v>R1_F670_1B</v>
          </cell>
          <cell r="D989">
            <v>0</v>
          </cell>
          <cell r="E989">
            <v>0.35</v>
          </cell>
          <cell r="F989">
            <v>44</v>
          </cell>
          <cell r="G989">
            <v>1</v>
          </cell>
          <cell r="H989">
            <v>70</v>
          </cell>
          <cell r="I989">
            <v>3</v>
          </cell>
          <cell r="J989">
            <v>4</v>
          </cell>
          <cell r="K989">
            <v>0</v>
          </cell>
          <cell r="L989">
            <v>10.994752</v>
          </cell>
          <cell r="M989">
            <v>-85.064916999999994</v>
          </cell>
          <cell r="N989" t="str">
            <v>Norte</v>
          </cell>
          <cell r="O989">
            <v>0</v>
          </cell>
          <cell r="P989" t="str">
            <v>victoria</v>
          </cell>
          <cell r="Q989" t="str">
            <v>cabecar</v>
          </cell>
          <cell r="R989" t="b">
            <v>0</v>
          </cell>
          <cell r="S989" t="str">
            <v>670_1</v>
          </cell>
          <cell r="T989">
            <v>0</v>
          </cell>
          <cell r="U989">
            <v>0</v>
          </cell>
          <cell r="V989">
            <v>0</v>
          </cell>
          <cell r="W989" t="str">
            <v>NA</v>
          </cell>
          <cell r="X989">
            <v>26</v>
          </cell>
          <cell r="Y989">
            <v>8</v>
          </cell>
          <cell r="Z989">
            <v>0.30769230800000003</v>
          </cell>
        </row>
        <row r="990">
          <cell r="B990" t="str">
            <v>F670_2B</v>
          </cell>
          <cell r="C990" t="str">
            <v>R1_F670_2B</v>
          </cell>
          <cell r="D990">
            <v>0</v>
          </cell>
          <cell r="E990">
            <v>0.7</v>
          </cell>
          <cell r="F990">
            <v>44</v>
          </cell>
          <cell r="G990">
            <v>1</v>
          </cell>
          <cell r="H990">
            <v>70</v>
          </cell>
          <cell r="I990">
            <v>3</v>
          </cell>
          <cell r="J990">
            <v>4</v>
          </cell>
          <cell r="K990">
            <v>1</v>
          </cell>
          <cell r="L990">
            <v>10.994752</v>
          </cell>
          <cell r="M990">
            <v>-85.064916999999994</v>
          </cell>
          <cell r="N990" t="str">
            <v>Norte</v>
          </cell>
          <cell r="O990">
            <v>0</v>
          </cell>
          <cell r="P990" t="str">
            <v>nambi</v>
          </cell>
          <cell r="Q990" t="str">
            <v>matambu</v>
          </cell>
          <cell r="R990" t="b">
            <v>0</v>
          </cell>
          <cell r="S990" t="str">
            <v>670_2</v>
          </cell>
          <cell r="T990">
            <v>0</v>
          </cell>
          <cell r="U990">
            <v>0</v>
          </cell>
          <cell r="V990">
            <v>0</v>
          </cell>
          <cell r="W990" t="str">
            <v>NA</v>
          </cell>
          <cell r="X990">
            <v>26</v>
          </cell>
          <cell r="Y990">
            <v>8</v>
          </cell>
          <cell r="Z990">
            <v>0.30769230800000003</v>
          </cell>
        </row>
        <row r="991">
          <cell r="B991" t="str">
            <v>F671_1B</v>
          </cell>
          <cell r="C991" t="str">
            <v>R1_F671_1B</v>
          </cell>
          <cell r="D991">
            <v>0</v>
          </cell>
          <cell r="E991">
            <v>0.7</v>
          </cell>
          <cell r="F991">
            <v>39</v>
          </cell>
          <cell r="G991">
            <v>0</v>
          </cell>
          <cell r="H991">
            <v>46</v>
          </cell>
          <cell r="I991">
            <v>5</v>
          </cell>
          <cell r="J991">
            <v>6</v>
          </cell>
          <cell r="K991">
            <v>1</v>
          </cell>
          <cell r="L991">
            <v>10.975332</v>
          </cell>
          <cell r="M991">
            <v>-85.045500000000004</v>
          </cell>
          <cell r="N991" t="str">
            <v>Norte</v>
          </cell>
          <cell r="O991">
            <v>0</v>
          </cell>
          <cell r="P991" t="str">
            <v>uran</v>
          </cell>
          <cell r="Q991" t="str">
            <v>assay</v>
          </cell>
          <cell r="R991" t="str">
            <v>Not applicable</v>
          </cell>
          <cell r="S991" t="str">
            <v>671_1</v>
          </cell>
          <cell r="T991">
            <v>0</v>
          </cell>
          <cell r="U991">
            <v>14</v>
          </cell>
          <cell r="V991">
            <v>4</v>
          </cell>
          <cell r="W991">
            <v>0.28571428599999998</v>
          </cell>
          <cell r="X991">
            <v>34</v>
          </cell>
          <cell r="Y991">
            <v>12</v>
          </cell>
          <cell r="Z991">
            <v>0.35294117600000002</v>
          </cell>
        </row>
        <row r="992">
          <cell r="B992" t="str">
            <v>F671_2B</v>
          </cell>
          <cell r="C992" t="str">
            <v>R1_F671_2B</v>
          </cell>
          <cell r="D992">
            <v>0</v>
          </cell>
          <cell r="E992">
            <v>0.7</v>
          </cell>
          <cell r="F992">
            <v>39</v>
          </cell>
          <cell r="G992">
            <v>0</v>
          </cell>
          <cell r="H992">
            <v>46</v>
          </cell>
          <cell r="I992">
            <v>5</v>
          </cell>
          <cell r="J992">
            <v>6</v>
          </cell>
          <cell r="K992">
            <v>1</v>
          </cell>
          <cell r="L992">
            <v>10.975332</v>
          </cell>
          <cell r="M992">
            <v>-85.045500000000004</v>
          </cell>
          <cell r="N992" t="str">
            <v>Norte</v>
          </cell>
          <cell r="O992">
            <v>0</v>
          </cell>
          <cell r="P992" t="str">
            <v>guaymi</v>
          </cell>
          <cell r="Q992" t="str">
            <v>other</v>
          </cell>
          <cell r="R992" t="str">
            <v>Not applicable</v>
          </cell>
          <cell r="S992" t="str">
            <v>671_2</v>
          </cell>
          <cell r="T992">
            <v>0</v>
          </cell>
          <cell r="U992">
            <v>14</v>
          </cell>
          <cell r="V992">
            <v>4</v>
          </cell>
          <cell r="W992">
            <v>0.28571428599999998</v>
          </cell>
          <cell r="X992">
            <v>34</v>
          </cell>
          <cell r="Y992">
            <v>12</v>
          </cell>
          <cell r="Z992">
            <v>0.35294117600000002</v>
          </cell>
        </row>
        <row r="993">
          <cell r="B993" t="str">
            <v>F672_1B</v>
          </cell>
          <cell r="C993" t="str">
            <v>R1_F672_1B</v>
          </cell>
          <cell r="D993">
            <v>0</v>
          </cell>
          <cell r="E993">
            <v>0.7</v>
          </cell>
          <cell r="F993">
            <v>39</v>
          </cell>
          <cell r="G993">
            <v>0</v>
          </cell>
          <cell r="H993">
            <v>40</v>
          </cell>
          <cell r="I993">
            <v>6</v>
          </cell>
          <cell r="J993">
            <v>4</v>
          </cell>
          <cell r="K993">
            <v>0</v>
          </cell>
          <cell r="L993">
            <v>10.975332</v>
          </cell>
          <cell r="M993">
            <v>-85.045500000000004</v>
          </cell>
          <cell r="N993" t="str">
            <v>Norte</v>
          </cell>
          <cell r="O993">
            <v>0</v>
          </cell>
          <cell r="P993" t="str">
            <v>SEF 62</v>
          </cell>
          <cell r="Q993" t="str">
            <v>cabecar</v>
          </cell>
          <cell r="R993" t="b">
            <v>0</v>
          </cell>
          <cell r="S993" t="str">
            <v>672_1</v>
          </cell>
          <cell r="T993">
            <v>0</v>
          </cell>
          <cell r="U993">
            <v>14</v>
          </cell>
          <cell r="V993">
            <v>3</v>
          </cell>
          <cell r="W993">
            <v>0.21428571399999999</v>
          </cell>
          <cell r="X993">
            <v>34</v>
          </cell>
          <cell r="Y993">
            <v>11</v>
          </cell>
          <cell r="Z993">
            <v>0.32352941200000002</v>
          </cell>
        </row>
        <row r="994">
          <cell r="B994" t="str">
            <v>F672_2B</v>
          </cell>
          <cell r="C994" t="str">
            <v>R1_F672_2B</v>
          </cell>
          <cell r="D994">
            <v>1</v>
          </cell>
          <cell r="E994">
            <v>0.7</v>
          </cell>
          <cell r="F994">
            <v>39</v>
          </cell>
          <cell r="G994">
            <v>0</v>
          </cell>
          <cell r="H994">
            <v>40</v>
          </cell>
          <cell r="I994">
            <v>6</v>
          </cell>
          <cell r="J994">
            <v>4</v>
          </cell>
          <cell r="K994">
            <v>1</v>
          </cell>
          <cell r="L994">
            <v>10.975332</v>
          </cell>
          <cell r="M994">
            <v>-85.045500000000004</v>
          </cell>
          <cell r="N994" t="str">
            <v>Norte</v>
          </cell>
          <cell r="O994">
            <v>0</v>
          </cell>
          <cell r="P994" t="str">
            <v>nambi</v>
          </cell>
          <cell r="Q994" t="str">
            <v>nambi</v>
          </cell>
          <cell r="R994" t="b">
            <v>1</v>
          </cell>
          <cell r="S994" t="str">
            <v>672_2</v>
          </cell>
          <cell r="T994">
            <v>1</v>
          </cell>
          <cell r="U994">
            <v>14</v>
          </cell>
          <cell r="V994">
            <v>3</v>
          </cell>
          <cell r="W994">
            <v>0.21428571399999999</v>
          </cell>
          <cell r="X994">
            <v>34</v>
          </cell>
          <cell r="Y994">
            <v>11</v>
          </cell>
          <cell r="Z994">
            <v>0.32352941200000002</v>
          </cell>
        </row>
        <row r="995">
          <cell r="B995" t="str">
            <v>F673_1B</v>
          </cell>
          <cell r="C995" t="str">
            <v>R1_F673_1B</v>
          </cell>
          <cell r="D995">
            <v>0</v>
          </cell>
          <cell r="E995">
            <v>12</v>
          </cell>
          <cell r="F995">
            <v>40</v>
          </cell>
          <cell r="G995">
            <v>1</v>
          </cell>
          <cell r="H995">
            <v>51</v>
          </cell>
          <cell r="I995">
            <v>12</v>
          </cell>
          <cell r="J995">
            <v>6</v>
          </cell>
          <cell r="K995">
            <v>0</v>
          </cell>
          <cell r="L995">
            <v>10.973811</v>
          </cell>
          <cell r="M995">
            <v>-85.045952</v>
          </cell>
          <cell r="N995" t="str">
            <v>Norte</v>
          </cell>
          <cell r="O995">
            <v>0</v>
          </cell>
          <cell r="P995" t="str">
            <v>SEF 62</v>
          </cell>
          <cell r="Q995" t="str">
            <v>cabecar</v>
          </cell>
          <cell r="R995" t="b">
            <v>0</v>
          </cell>
          <cell r="S995" t="str">
            <v>673_1</v>
          </cell>
          <cell r="T995">
            <v>0</v>
          </cell>
          <cell r="U995">
            <v>17</v>
          </cell>
          <cell r="V995">
            <v>4</v>
          </cell>
          <cell r="W995">
            <v>0.235294118</v>
          </cell>
          <cell r="X995">
            <v>34</v>
          </cell>
          <cell r="Y995">
            <v>11</v>
          </cell>
          <cell r="Z995">
            <v>0.32352941200000002</v>
          </cell>
        </row>
        <row r="996">
          <cell r="B996" t="str">
            <v>F673_2B</v>
          </cell>
          <cell r="C996" t="str">
            <v>R1_F673_2B</v>
          </cell>
          <cell r="D996">
            <v>1</v>
          </cell>
          <cell r="E996">
            <v>8.4</v>
          </cell>
          <cell r="F996">
            <v>40</v>
          </cell>
          <cell r="G996">
            <v>1</v>
          </cell>
          <cell r="H996">
            <v>51</v>
          </cell>
          <cell r="I996">
            <v>12</v>
          </cell>
          <cell r="J996">
            <v>6</v>
          </cell>
          <cell r="K996">
            <v>1</v>
          </cell>
          <cell r="L996">
            <v>10.973811</v>
          </cell>
          <cell r="M996">
            <v>-85.045952</v>
          </cell>
          <cell r="N996" t="str">
            <v>Norte</v>
          </cell>
          <cell r="O996">
            <v>0</v>
          </cell>
          <cell r="P996" t="str">
            <v>nambi</v>
          </cell>
          <cell r="Q996" t="str">
            <v>nambi</v>
          </cell>
          <cell r="R996" t="b">
            <v>1</v>
          </cell>
          <cell r="S996" t="str">
            <v>673_2</v>
          </cell>
          <cell r="T996">
            <v>1</v>
          </cell>
          <cell r="U996">
            <v>17</v>
          </cell>
          <cell r="V996">
            <v>4</v>
          </cell>
          <cell r="W996">
            <v>0.235294118</v>
          </cell>
          <cell r="X996">
            <v>34</v>
          </cell>
          <cell r="Y996">
            <v>11</v>
          </cell>
          <cell r="Z996">
            <v>0.32352941200000002</v>
          </cell>
        </row>
        <row r="997">
          <cell r="B997" t="str">
            <v>F674_1B</v>
          </cell>
          <cell r="C997" t="str">
            <v>R1_F674_1B</v>
          </cell>
          <cell r="D997">
            <v>0</v>
          </cell>
          <cell r="E997">
            <v>0.35</v>
          </cell>
          <cell r="F997">
            <v>37</v>
          </cell>
          <cell r="G997">
            <v>0</v>
          </cell>
          <cell r="H997">
            <v>60</v>
          </cell>
          <cell r="I997">
            <v>6</v>
          </cell>
          <cell r="J997">
            <v>1</v>
          </cell>
          <cell r="K997">
            <v>1</v>
          </cell>
          <cell r="L997">
            <v>10.975555</v>
          </cell>
          <cell r="M997">
            <v>-85.046413000000001</v>
          </cell>
          <cell r="N997" t="str">
            <v>Norte</v>
          </cell>
          <cell r="O997">
            <v>0</v>
          </cell>
          <cell r="P997" t="str">
            <v>brunca</v>
          </cell>
          <cell r="Q997" t="str">
            <v>dontknow</v>
          </cell>
          <cell r="R997" t="str">
            <v>Not applicable</v>
          </cell>
          <cell r="S997" t="str">
            <v>674_1</v>
          </cell>
          <cell r="T997">
            <v>0</v>
          </cell>
          <cell r="U997">
            <v>15</v>
          </cell>
          <cell r="V997">
            <v>4</v>
          </cell>
          <cell r="W997">
            <v>0.26666666700000002</v>
          </cell>
          <cell r="X997">
            <v>35</v>
          </cell>
          <cell r="Y997">
            <v>12</v>
          </cell>
          <cell r="Z997">
            <v>0.34285714299999998</v>
          </cell>
        </row>
        <row r="998">
          <cell r="B998" t="str">
            <v>F675_1B</v>
          </cell>
          <cell r="C998" t="str">
            <v>R1_F675_1B</v>
          </cell>
          <cell r="D998">
            <v>0</v>
          </cell>
          <cell r="E998">
            <v>0.7</v>
          </cell>
          <cell r="F998">
            <v>44</v>
          </cell>
          <cell r="G998">
            <v>1</v>
          </cell>
          <cell r="H998">
            <v>45</v>
          </cell>
          <cell r="I998">
            <v>11</v>
          </cell>
          <cell r="J998">
            <v>1</v>
          </cell>
          <cell r="K998">
            <v>0</v>
          </cell>
          <cell r="L998">
            <v>10.967354</v>
          </cell>
          <cell r="M998">
            <v>-85.042978000000005</v>
          </cell>
          <cell r="N998" t="str">
            <v>Norte</v>
          </cell>
          <cell r="O998">
            <v>0</v>
          </cell>
          <cell r="P998" t="str">
            <v>RCB 593</v>
          </cell>
          <cell r="Q998" t="str">
            <v>cabecar</v>
          </cell>
          <cell r="R998" t="b">
            <v>0</v>
          </cell>
          <cell r="S998" t="str">
            <v>675_1</v>
          </cell>
          <cell r="T998">
            <v>0</v>
          </cell>
          <cell r="U998">
            <v>14</v>
          </cell>
          <cell r="V998">
            <v>5</v>
          </cell>
          <cell r="W998">
            <v>0.35714285699999998</v>
          </cell>
          <cell r="X998">
            <v>39</v>
          </cell>
          <cell r="Y998">
            <v>15</v>
          </cell>
          <cell r="Z998">
            <v>0.38461538499999998</v>
          </cell>
        </row>
        <row r="999">
          <cell r="B999" t="str">
            <v>F676_1B</v>
          </cell>
          <cell r="C999" t="str">
            <v>R1_F676_1B</v>
          </cell>
          <cell r="D999">
            <v>0</v>
          </cell>
          <cell r="E999">
            <v>1.4</v>
          </cell>
          <cell r="F999">
            <v>43</v>
          </cell>
          <cell r="G999">
            <v>1</v>
          </cell>
          <cell r="H999">
            <v>40</v>
          </cell>
          <cell r="I999">
            <v>11</v>
          </cell>
          <cell r="J999">
            <v>6</v>
          </cell>
          <cell r="K999">
            <v>0</v>
          </cell>
          <cell r="L999">
            <v>10.972289</v>
          </cell>
          <cell r="M999">
            <v>-85.045700999999994</v>
          </cell>
          <cell r="N999" t="str">
            <v>Norte</v>
          </cell>
          <cell r="O999">
            <v>0</v>
          </cell>
          <cell r="P999" t="str">
            <v>generalito</v>
          </cell>
          <cell r="Q999" t="str">
            <v>cabecar</v>
          </cell>
          <cell r="R999" t="b">
            <v>0</v>
          </cell>
          <cell r="S999" t="str">
            <v>676_1</v>
          </cell>
          <cell r="T999">
            <v>0</v>
          </cell>
          <cell r="U999">
            <v>17</v>
          </cell>
          <cell r="V999">
            <v>5</v>
          </cell>
          <cell r="W999">
            <v>0.29411764699999998</v>
          </cell>
          <cell r="X999">
            <v>34</v>
          </cell>
          <cell r="Y999">
            <v>12</v>
          </cell>
          <cell r="Z999">
            <v>0.35294117600000002</v>
          </cell>
        </row>
        <row r="1000">
          <cell r="B1000" t="str">
            <v>F676_2B</v>
          </cell>
          <cell r="C1000" t="str">
            <v>R1_F676_2B</v>
          </cell>
          <cell r="D1000">
            <v>0</v>
          </cell>
          <cell r="E1000">
            <v>0.7</v>
          </cell>
          <cell r="F1000">
            <v>43</v>
          </cell>
          <cell r="G1000">
            <v>1</v>
          </cell>
          <cell r="H1000">
            <v>40</v>
          </cell>
          <cell r="I1000">
            <v>11</v>
          </cell>
          <cell r="J1000">
            <v>6</v>
          </cell>
          <cell r="K1000">
            <v>1</v>
          </cell>
          <cell r="L1000">
            <v>10.972289</v>
          </cell>
          <cell r="M1000">
            <v>-85.045700999999994</v>
          </cell>
          <cell r="N1000" t="str">
            <v>Norte</v>
          </cell>
          <cell r="O1000">
            <v>0</v>
          </cell>
          <cell r="P1000" t="str">
            <v>guaymi</v>
          </cell>
          <cell r="Q1000" t="str">
            <v>dontknow</v>
          </cell>
          <cell r="R1000" t="str">
            <v>Not applicable</v>
          </cell>
          <cell r="S1000" t="str">
            <v>676_2</v>
          </cell>
          <cell r="T1000">
            <v>0</v>
          </cell>
          <cell r="U1000">
            <v>17</v>
          </cell>
          <cell r="V1000">
            <v>5</v>
          </cell>
          <cell r="W1000">
            <v>0.29411764699999998</v>
          </cell>
          <cell r="X1000">
            <v>34</v>
          </cell>
          <cell r="Y1000">
            <v>12</v>
          </cell>
          <cell r="Z1000">
            <v>0.35294117600000002</v>
          </cell>
        </row>
        <row r="1001">
          <cell r="B1001" t="str">
            <v>F677_1B</v>
          </cell>
          <cell r="C1001" t="str">
            <v>R1_F677_1B</v>
          </cell>
          <cell r="D1001">
            <v>0</v>
          </cell>
          <cell r="E1001">
            <v>0.7</v>
          </cell>
          <cell r="F1001">
            <v>41</v>
          </cell>
          <cell r="G1001">
            <v>0</v>
          </cell>
          <cell r="H1001">
            <v>53</v>
          </cell>
          <cell r="I1001">
            <v>6</v>
          </cell>
          <cell r="J1001">
            <v>1</v>
          </cell>
          <cell r="K1001">
            <v>0</v>
          </cell>
          <cell r="L1001">
            <v>10.973585999999999</v>
          </cell>
          <cell r="M1001">
            <v>-85.046290999999997</v>
          </cell>
          <cell r="N1001" t="str">
            <v>Norte</v>
          </cell>
          <cell r="O1001">
            <v>0</v>
          </cell>
          <cell r="P1001" t="str">
            <v>SEF 62</v>
          </cell>
          <cell r="Q1001" t="str">
            <v>cabecar</v>
          </cell>
          <cell r="R1001" t="b">
            <v>0</v>
          </cell>
          <cell r="S1001" t="str">
            <v>677_1</v>
          </cell>
          <cell r="T1001">
            <v>0</v>
          </cell>
          <cell r="U1001">
            <v>17</v>
          </cell>
          <cell r="V1001">
            <v>5</v>
          </cell>
          <cell r="W1001">
            <v>0.29411764699999998</v>
          </cell>
          <cell r="X1001">
            <v>34</v>
          </cell>
          <cell r="Y1001">
            <v>12</v>
          </cell>
          <cell r="Z1001">
            <v>0.35294117600000002</v>
          </cell>
        </row>
        <row r="1002">
          <cell r="B1002" t="str">
            <v>F677_2B</v>
          </cell>
          <cell r="C1002" t="str">
            <v>R1_F677_2B</v>
          </cell>
          <cell r="D1002">
            <v>0</v>
          </cell>
          <cell r="E1002">
            <v>0.35</v>
          </cell>
          <cell r="F1002">
            <v>41</v>
          </cell>
          <cell r="G1002">
            <v>0</v>
          </cell>
          <cell r="H1002">
            <v>53</v>
          </cell>
          <cell r="I1002">
            <v>6</v>
          </cell>
          <cell r="J1002">
            <v>1</v>
          </cell>
          <cell r="K1002">
            <v>1</v>
          </cell>
          <cell r="L1002">
            <v>10.973585999999999</v>
          </cell>
          <cell r="M1002">
            <v>-85.046290999999997</v>
          </cell>
          <cell r="N1002" t="str">
            <v>Norte</v>
          </cell>
          <cell r="O1002">
            <v>0</v>
          </cell>
          <cell r="P1002" t="str">
            <v>nambi</v>
          </cell>
          <cell r="Q1002" t="str">
            <v>tayni</v>
          </cell>
          <cell r="R1002" t="b">
            <v>0</v>
          </cell>
          <cell r="S1002" t="str">
            <v>677_2</v>
          </cell>
          <cell r="T1002">
            <v>0</v>
          </cell>
          <cell r="U1002">
            <v>17</v>
          </cell>
          <cell r="V1002">
            <v>5</v>
          </cell>
          <cell r="W1002">
            <v>0.29411764699999998</v>
          </cell>
          <cell r="X1002">
            <v>34</v>
          </cell>
          <cell r="Y1002">
            <v>12</v>
          </cell>
          <cell r="Z1002">
            <v>0.35294117600000002</v>
          </cell>
        </row>
        <row r="1003">
          <cell r="B1003" t="str">
            <v>F678_1B</v>
          </cell>
          <cell r="C1003" t="str">
            <v>R1_F678_1B</v>
          </cell>
          <cell r="D1003">
            <v>0</v>
          </cell>
          <cell r="E1003">
            <v>0.52500000000000002</v>
          </cell>
          <cell r="F1003">
            <v>41</v>
          </cell>
          <cell r="G1003">
            <v>0</v>
          </cell>
          <cell r="H1003">
            <v>28</v>
          </cell>
          <cell r="I1003">
            <v>10</v>
          </cell>
          <cell r="J1003">
            <v>5</v>
          </cell>
          <cell r="K1003">
            <v>0</v>
          </cell>
          <cell r="L1003">
            <v>10.975246</v>
          </cell>
          <cell r="M1003">
            <v>-85.043968000000007</v>
          </cell>
          <cell r="N1003" t="str">
            <v>Norte</v>
          </cell>
          <cell r="O1003">
            <v>0</v>
          </cell>
          <cell r="P1003" t="str">
            <v>SEF 62</v>
          </cell>
          <cell r="Q1003" t="str">
            <v>assay</v>
          </cell>
          <cell r="R1003" t="str">
            <v>Not applicable</v>
          </cell>
          <cell r="S1003" t="str">
            <v>678_1</v>
          </cell>
          <cell r="T1003">
            <v>0</v>
          </cell>
          <cell r="U1003">
            <v>15</v>
          </cell>
          <cell r="V1003">
            <v>4</v>
          </cell>
          <cell r="W1003">
            <v>0.26666666700000002</v>
          </cell>
          <cell r="X1003">
            <v>35</v>
          </cell>
          <cell r="Y1003">
            <v>12</v>
          </cell>
          <cell r="Z1003">
            <v>0.34285714299999998</v>
          </cell>
        </row>
        <row r="1004">
          <cell r="B1004" t="str">
            <v>F679_1B</v>
          </cell>
          <cell r="C1004" t="str">
            <v>R1_F679_1B</v>
          </cell>
          <cell r="D1004">
            <v>1</v>
          </cell>
          <cell r="E1004">
            <v>1</v>
          </cell>
          <cell r="F1004">
            <v>43</v>
          </cell>
          <cell r="G1004">
            <v>1</v>
          </cell>
          <cell r="H1004">
            <v>43</v>
          </cell>
          <cell r="I1004">
            <v>6</v>
          </cell>
          <cell r="J1004">
            <v>6</v>
          </cell>
          <cell r="K1004">
            <v>1</v>
          </cell>
          <cell r="L1004">
            <v>10.972288000000001</v>
          </cell>
          <cell r="M1004">
            <v>-85.045699999999997</v>
          </cell>
          <cell r="N1004" t="str">
            <v>Norte</v>
          </cell>
          <cell r="O1004">
            <v>0</v>
          </cell>
          <cell r="P1004" t="str">
            <v>brunca</v>
          </cell>
          <cell r="Q1004" t="str">
            <v>brunca</v>
          </cell>
          <cell r="R1004" t="b">
            <v>1</v>
          </cell>
          <cell r="S1004" t="str">
            <v>679_1</v>
          </cell>
          <cell r="T1004">
            <v>1</v>
          </cell>
          <cell r="U1004">
            <v>16</v>
          </cell>
          <cell r="V1004">
            <v>3</v>
          </cell>
          <cell r="W1004">
            <v>0.1875</v>
          </cell>
          <cell r="X1004">
            <v>33</v>
          </cell>
          <cell r="Y1004">
            <v>10</v>
          </cell>
          <cell r="Z1004">
            <v>0.303030303</v>
          </cell>
        </row>
        <row r="1005">
          <cell r="B1005" t="str">
            <v>F679_2B</v>
          </cell>
          <cell r="C1005" t="str">
            <v>R1_F679_2B</v>
          </cell>
          <cell r="D1005">
            <v>1</v>
          </cell>
          <cell r="E1005">
            <v>5</v>
          </cell>
          <cell r="F1005">
            <v>43</v>
          </cell>
          <cell r="G1005">
            <v>1</v>
          </cell>
          <cell r="H1005">
            <v>43</v>
          </cell>
          <cell r="I1005">
            <v>6</v>
          </cell>
          <cell r="J1005">
            <v>6</v>
          </cell>
          <cell r="K1005">
            <v>1</v>
          </cell>
          <cell r="L1005">
            <v>10.972288000000001</v>
          </cell>
          <cell r="M1005">
            <v>-85.045699999999997</v>
          </cell>
          <cell r="N1005" t="str">
            <v>Norte</v>
          </cell>
          <cell r="O1005">
            <v>0</v>
          </cell>
          <cell r="P1005" t="str">
            <v>nambi</v>
          </cell>
          <cell r="Q1005" t="str">
            <v>nambi</v>
          </cell>
          <cell r="R1005" t="b">
            <v>1</v>
          </cell>
          <cell r="S1005" t="str">
            <v>679_2</v>
          </cell>
          <cell r="T1005">
            <v>1</v>
          </cell>
          <cell r="U1005">
            <v>16</v>
          </cell>
          <cell r="V1005">
            <v>3</v>
          </cell>
          <cell r="W1005">
            <v>0.1875</v>
          </cell>
          <cell r="X1005">
            <v>33</v>
          </cell>
          <cell r="Y1005">
            <v>10</v>
          </cell>
          <cell r="Z1005">
            <v>0.303030303</v>
          </cell>
        </row>
        <row r="1006">
          <cell r="B1006" t="str">
            <v>F679_3B</v>
          </cell>
          <cell r="C1006" t="str">
            <v>R1_F679_3B</v>
          </cell>
          <cell r="D1006">
            <v>0</v>
          </cell>
          <cell r="E1006">
            <v>1</v>
          </cell>
          <cell r="F1006">
            <v>43</v>
          </cell>
          <cell r="G1006">
            <v>1</v>
          </cell>
          <cell r="H1006">
            <v>43</v>
          </cell>
          <cell r="I1006">
            <v>6</v>
          </cell>
          <cell r="J1006">
            <v>6</v>
          </cell>
          <cell r="K1006">
            <v>1</v>
          </cell>
          <cell r="L1006">
            <v>10.972288000000001</v>
          </cell>
          <cell r="M1006">
            <v>-85.045699999999997</v>
          </cell>
          <cell r="N1006" t="str">
            <v>Norte</v>
          </cell>
          <cell r="O1006">
            <v>0</v>
          </cell>
          <cell r="P1006" t="str">
            <v>uran</v>
          </cell>
          <cell r="Q1006" t="str">
            <v>assay</v>
          </cell>
          <cell r="R1006" t="str">
            <v>Not applicable</v>
          </cell>
          <cell r="S1006" t="str">
            <v>679_3</v>
          </cell>
          <cell r="T1006">
            <v>0</v>
          </cell>
          <cell r="U1006">
            <v>16</v>
          </cell>
          <cell r="V1006">
            <v>3</v>
          </cell>
          <cell r="W1006">
            <v>0.1875</v>
          </cell>
          <cell r="X1006">
            <v>33</v>
          </cell>
          <cell r="Y1006">
            <v>10</v>
          </cell>
          <cell r="Z1006">
            <v>0.303030303</v>
          </cell>
        </row>
        <row r="1007">
          <cell r="B1007" t="str">
            <v>F680_1B</v>
          </cell>
          <cell r="C1007" t="str">
            <v>R1_F680_1B</v>
          </cell>
          <cell r="D1007">
            <v>1</v>
          </cell>
          <cell r="E1007">
            <v>0.7</v>
          </cell>
          <cell r="F1007">
            <v>43</v>
          </cell>
          <cell r="G1007">
            <v>1</v>
          </cell>
          <cell r="H1007">
            <v>62</v>
          </cell>
          <cell r="I1007">
            <v>4</v>
          </cell>
          <cell r="J1007">
            <v>4</v>
          </cell>
          <cell r="K1007">
            <v>1</v>
          </cell>
          <cell r="L1007">
            <v>10.991033</v>
          </cell>
          <cell r="M1007">
            <v>-85.134566000000007</v>
          </cell>
          <cell r="N1007" t="str">
            <v>Norte</v>
          </cell>
          <cell r="O1007">
            <v>0</v>
          </cell>
          <cell r="P1007" t="str">
            <v>guaymi</v>
          </cell>
          <cell r="Q1007" t="str">
            <v>guaymi</v>
          </cell>
          <cell r="R1007" t="b">
            <v>1</v>
          </cell>
          <cell r="S1007" t="str">
            <v>680_1</v>
          </cell>
          <cell r="T1007">
            <v>1</v>
          </cell>
          <cell r="U1007">
            <v>9</v>
          </cell>
          <cell r="V1007">
            <v>4</v>
          </cell>
          <cell r="W1007">
            <v>0.44444444399999999</v>
          </cell>
          <cell r="X1007">
            <v>76</v>
          </cell>
          <cell r="Y1007">
            <v>37</v>
          </cell>
          <cell r="Z1007">
            <v>0.48684210500000002</v>
          </cell>
        </row>
        <row r="1008">
          <cell r="B1008" t="str">
            <v>F680_2B</v>
          </cell>
          <cell r="C1008" t="str">
            <v>R1_F680_2B</v>
          </cell>
          <cell r="D1008">
            <v>0</v>
          </cell>
          <cell r="E1008">
            <v>0.14000000000000001</v>
          </cell>
          <cell r="F1008">
            <v>43</v>
          </cell>
          <cell r="G1008">
            <v>1</v>
          </cell>
          <cell r="H1008">
            <v>62</v>
          </cell>
          <cell r="I1008">
            <v>4</v>
          </cell>
          <cell r="J1008">
            <v>4</v>
          </cell>
          <cell r="K1008">
            <v>0</v>
          </cell>
          <cell r="L1008">
            <v>10.991033</v>
          </cell>
          <cell r="M1008">
            <v>-85.134566000000007</v>
          </cell>
          <cell r="N1008" t="str">
            <v>Norte</v>
          </cell>
          <cell r="O1008">
            <v>0</v>
          </cell>
          <cell r="P1008" t="str">
            <v>SEF 62</v>
          </cell>
          <cell r="Q1008" t="str">
            <v>assay</v>
          </cell>
          <cell r="R1008" t="str">
            <v>Not applicable</v>
          </cell>
          <cell r="S1008" t="str">
            <v>680_2</v>
          </cell>
          <cell r="T1008">
            <v>0</v>
          </cell>
          <cell r="U1008">
            <v>9</v>
          </cell>
          <cell r="V1008">
            <v>4</v>
          </cell>
          <cell r="W1008">
            <v>0.44444444399999999</v>
          </cell>
          <cell r="X1008">
            <v>76</v>
          </cell>
          <cell r="Y1008">
            <v>37</v>
          </cell>
          <cell r="Z1008">
            <v>0.48684210500000002</v>
          </cell>
        </row>
        <row r="1009">
          <cell r="B1009" t="str">
            <v>F681_1B</v>
          </cell>
          <cell r="C1009" t="str">
            <v>R1_F681_1B</v>
          </cell>
          <cell r="D1009">
            <v>1</v>
          </cell>
          <cell r="E1009">
            <v>0.28000000000000003</v>
          </cell>
          <cell r="F1009">
            <v>47</v>
          </cell>
          <cell r="G1009">
            <v>1</v>
          </cell>
          <cell r="H1009">
            <v>55</v>
          </cell>
          <cell r="I1009">
            <v>6</v>
          </cell>
          <cell r="J1009">
            <v>5</v>
          </cell>
          <cell r="K1009">
            <v>1</v>
          </cell>
          <cell r="L1009">
            <v>10.997256999999999</v>
          </cell>
          <cell r="M1009">
            <v>-85.135985000000005</v>
          </cell>
          <cell r="N1009" t="str">
            <v>Norte</v>
          </cell>
          <cell r="O1009">
            <v>0</v>
          </cell>
          <cell r="P1009" t="str">
            <v>nambi</v>
          </cell>
          <cell r="Q1009" t="str">
            <v>nambi</v>
          </cell>
          <cell r="R1009" t="b">
            <v>1</v>
          </cell>
          <cell r="S1009" t="str">
            <v>681_1</v>
          </cell>
          <cell r="T1009">
            <v>1</v>
          </cell>
          <cell r="U1009">
            <v>4</v>
          </cell>
          <cell r="V1009">
            <v>1</v>
          </cell>
          <cell r="W1009">
            <v>0.25</v>
          </cell>
          <cell r="X1009">
            <v>73</v>
          </cell>
          <cell r="Y1009">
            <v>35</v>
          </cell>
          <cell r="Z1009">
            <v>0.47945205499999999</v>
          </cell>
        </row>
        <row r="1010">
          <cell r="B1010" t="str">
            <v>F681_2B</v>
          </cell>
          <cell r="C1010" t="str">
            <v>R1_F681_2B</v>
          </cell>
          <cell r="D1010">
            <v>1</v>
          </cell>
          <cell r="E1010">
            <v>0.7</v>
          </cell>
          <cell r="F1010">
            <v>47</v>
          </cell>
          <cell r="G1010">
            <v>1</v>
          </cell>
          <cell r="H1010">
            <v>55</v>
          </cell>
          <cell r="I1010">
            <v>6</v>
          </cell>
          <cell r="J1010">
            <v>5</v>
          </cell>
          <cell r="K1010">
            <v>1</v>
          </cell>
          <cell r="L1010">
            <v>10.997256999999999</v>
          </cell>
          <cell r="M1010">
            <v>-85.135985000000005</v>
          </cell>
          <cell r="N1010" t="str">
            <v>Norte</v>
          </cell>
          <cell r="O1010">
            <v>0</v>
          </cell>
          <cell r="P1010" t="str">
            <v>tayni</v>
          </cell>
          <cell r="Q1010" t="str">
            <v>tayni</v>
          </cell>
          <cell r="R1010" t="b">
            <v>1</v>
          </cell>
          <cell r="S1010" t="str">
            <v>681_2</v>
          </cell>
          <cell r="T1010">
            <v>1</v>
          </cell>
          <cell r="U1010">
            <v>4</v>
          </cell>
          <cell r="V1010">
            <v>1</v>
          </cell>
          <cell r="W1010">
            <v>0.25</v>
          </cell>
          <cell r="X1010">
            <v>73</v>
          </cell>
          <cell r="Y1010">
            <v>35</v>
          </cell>
          <cell r="Z1010">
            <v>0.47945205499999999</v>
          </cell>
        </row>
        <row r="1011">
          <cell r="B1011" t="str">
            <v>F681_3B</v>
          </cell>
          <cell r="C1011" t="str">
            <v>R1_F681_3B</v>
          </cell>
          <cell r="D1011">
            <v>1</v>
          </cell>
          <cell r="E1011">
            <v>0.49</v>
          </cell>
          <cell r="F1011">
            <v>47</v>
          </cell>
          <cell r="G1011">
            <v>1</v>
          </cell>
          <cell r="H1011">
            <v>55</v>
          </cell>
          <cell r="I1011">
            <v>6</v>
          </cell>
          <cell r="J1011">
            <v>5</v>
          </cell>
          <cell r="K1011">
            <v>1</v>
          </cell>
          <cell r="L1011">
            <v>10.997256999999999</v>
          </cell>
          <cell r="M1011">
            <v>-85.135985000000005</v>
          </cell>
          <cell r="N1011" t="str">
            <v>Norte</v>
          </cell>
          <cell r="O1011">
            <v>0</v>
          </cell>
          <cell r="P1011" t="str">
            <v>cabecar</v>
          </cell>
          <cell r="Q1011" t="str">
            <v>cabecar</v>
          </cell>
          <cell r="R1011" t="b">
            <v>1</v>
          </cell>
          <cell r="S1011" t="str">
            <v>681_3</v>
          </cell>
          <cell r="T1011">
            <v>1</v>
          </cell>
          <cell r="U1011">
            <v>4</v>
          </cell>
          <cell r="V1011">
            <v>1</v>
          </cell>
          <cell r="W1011">
            <v>0.25</v>
          </cell>
          <cell r="X1011">
            <v>73</v>
          </cell>
          <cell r="Y1011">
            <v>35</v>
          </cell>
          <cell r="Z1011">
            <v>0.47945205499999999</v>
          </cell>
        </row>
        <row r="1012">
          <cell r="B1012" t="str">
            <v>F682_1B</v>
          </cell>
          <cell r="C1012" t="str">
            <v>R1_F682_1B</v>
          </cell>
          <cell r="D1012">
            <v>0</v>
          </cell>
          <cell r="E1012">
            <v>7.0000000000000007E-2</v>
          </cell>
          <cell r="F1012">
            <v>43</v>
          </cell>
          <cell r="G1012">
            <v>1</v>
          </cell>
          <cell r="H1012">
            <v>80</v>
          </cell>
          <cell r="I1012">
            <v>0</v>
          </cell>
          <cell r="J1012">
            <v>1</v>
          </cell>
          <cell r="K1012">
            <v>0</v>
          </cell>
          <cell r="L1012">
            <v>11.002545</v>
          </cell>
          <cell r="M1012">
            <v>-85.123335999999995</v>
          </cell>
          <cell r="N1012" t="str">
            <v>Norte</v>
          </cell>
          <cell r="O1012">
            <v>0</v>
          </cell>
          <cell r="P1012" t="str">
            <v>sacapobres</v>
          </cell>
          <cell r="Q1012" t="str">
            <v>nambi</v>
          </cell>
          <cell r="R1012" t="b">
            <v>0</v>
          </cell>
          <cell r="S1012" t="str">
            <v>682_1</v>
          </cell>
          <cell r="T1012">
            <v>0</v>
          </cell>
          <cell r="U1012">
            <v>7</v>
          </cell>
          <cell r="V1012">
            <v>1</v>
          </cell>
          <cell r="W1012">
            <v>0.14285714299999999</v>
          </cell>
          <cell r="X1012">
            <v>63</v>
          </cell>
          <cell r="Y1012">
            <v>33</v>
          </cell>
          <cell r="Z1012">
            <v>0.52380952400000003</v>
          </cell>
        </row>
        <row r="1013">
          <cell r="B1013" t="str">
            <v>F682_2B</v>
          </cell>
          <cell r="C1013" t="str">
            <v>R1_F682_2B</v>
          </cell>
          <cell r="D1013">
            <v>1</v>
          </cell>
          <cell r="E1013">
            <v>0.42</v>
          </cell>
          <cell r="F1013">
            <v>43</v>
          </cell>
          <cell r="G1013">
            <v>1</v>
          </cell>
          <cell r="H1013">
            <v>80</v>
          </cell>
          <cell r="I1013">
            <v>0</v>
          </cell>
          <cell r="J1013">
            <v>1</v>
          </cell>
          <cell r="K1013">
            <v>1</v>
          </cell>
          <cell r="L1013">
            <v>11.002545</v>
          </cell>
          <cell r="M1013">
            <v>-85.123335999999995</v>
          </cell>
          <cell r="N1013" t="str">
            <v>Norte</v>
          </cell>
          <cell r="O1013">
            <v>0</v>
          </cell>
          <cell r="P1013" t="str">
            <v>nambi</v>
          </cell>
          <cell r="Q1013" t="str">
            <v>nambi</v>
          </cell>
          <cell r="R1013" t="b">
            <v>1</v>
          </cell>
          <cell r="S1013" t="str">
            <v>682_2</v>
          </cell>
          <cell r="T1013">
            <v>1</v>
          </cell>
          <cell r="U1013">
            <v>7</v>
          </cell>
          <cell r="V1013">
            <v>1</v>
          </cell>
          <cell r="W1013">
            <v>0.14285714299999999</v>
          </cell>
          <cell r="X1013">
            <v>63</v>
          </cell>
          <cell r="Y1013">
            <v>33</v>
          </cell>
          <cell r="Z1013">
            <v>0.52380952400000003</v>
          </cell>
        </row>
        <row r="1014">
          <cell r="B1014" t="str">
            <v>F683_1B</v>
          </cell>
          <cell r="C1014" t="str">
            <v>R1_F683_1B</v>
          </cell>
          <cell r="D1014">
            <v>1</v>
          </cell>
          <cell r="E1014">
            <v>0.7</v>
          </cell>
          <cell r="F1014">
            <v>43</v>
          </cell>
          <cell r="G1014">
            <v>1</v>
          </cell>
          <cell r="H1014">
            <v>52</v>
          </cell>
          <cell r="I1014">
            <v>6</v>
          </cell>
          <cell r="J1014">
            <v>5</v>
          </cell>
          <cell r="K1014">
            <v>1</v>
          </cell>
          <cell r="L1014">
            <v>10.999140000000001</v>
          </cell>
          <cell r="M1014">
            <v>-85.137991</v>
          </cell>
          <cell r="N1014" t="str">
            <v>Norte</v>
          </cell>
          <cell r="O1014">
            <v>0</v>
          </cell>
          <cell r="P1014" t="str">
            <v>guaymi</v>
          </cell>
          <cell r="Q1014" t="str">
            <v>guaymi</v>
          </cell>
          <cell r="R1014" t="b">
            <v>1</v>
          </cell>
          <cell r="S1014" t="str">
            <v>683_1</v>
          </cell>
          <cell r="T1014">
            <v>1</v>
          </cell>
          <cell r="U1014">
            <v>4</v>
          </cell>
          <cell r="V1014">
            <v>3</v>
          </cell>
          <cell r="W1014">
            <v>0.75</v>
          </cell>
          <cell r="X1014">
            <v>87</v>
          </cell>
          <cell r="Y1014">
            <v>41</v>
          </cell>
          <cell r="Z1014">
            <v>0.47126436799999999</v>
          </cell>
        </row>
        <row r="1015">
          <cell r="B1015" t="str">
            <v>F684_1B</v>
          </cell>
          <cell r="C1015" t="str">
            <v>R1_F684_1B</v>
          </cell>
          <cell r="D1015">
            <v>1</v>
          </cell>
          <cell r="E1015">
            <v>1.05</v>
          </cell>
          <cell r="F1015">
            <v>44</v>
          </cell>
          <cell r="G1015">
            <v>1</v>
          </cell>
          <cell r="H1015">
            <v>55</v>
          </cell>
          <cell r="I1015">
            <v>6</v>
          </cell>
          <cell r="J1015">
            <v>1</v>
          </cell>
          <cell r="K1015">
            <v>1</v>
          </cell>
          <cell r="L1015">
            <v>10.999167999999999</v>
          </cell>
          <cell r="M1015">
            <v>-85.13897</v>
          </cell>
          <cell r="N1015" t="str">
            <v>Norte</v>
          </cell>
          <cell r="O1015">
            <v>0</v>
          </cell>
          <cell r="P1015" t="str">
            <v>guaymi</v>
          </cell>
          <cell r="Q1015" t="str">
            <v>guaymi</v>
          </cell>
          <cell r="R1015" t="b">
            <v>1</v>
          </cell>
          <cell r="S1015" t="str">
            <v>684_1</v>
          </cell>
          <cell r="T1015">
            <v>1</v>
          </cell>
          <cell r="U1015">
            <v>4</v>
          </cell>
          <cell r="V1015">
            <v>3</v>
          </cell>
          <cell r="W1015">
            <v>0.75</v>
          </cell>
          <cell r="X1015">
            <v>87</v>
          </cell>
          <cell r="Y1015">
            <v>41</v>
          </cell>
          <cell r="Z1015">
            <v>0.47126436799999999</v>
          </cell>
        </row>
        <row r="1016">
          <cell r="B1016" t="str">
            <v>F685_1B</v>
          </cell>
          <cell r="C1016" t="str">
            <v>R1_F685_1B</v>
          </cell>
          <cell r="D1016">
            <v>0</v>
          </cell>
          <cell r="E1016">
            <v>0.35</v>
          </cell>
          <cell r="F1016">
            <v>46</v>
          </cell>
          <cell r="G1016">
            <v>1</v>
          </cell>
          <cell r="H1016">
            <v>43</v>
          </cell>
          <cell r="I1016">
            <v>6</v>
          </cell>
          <cell r="J1016">
            <v>6</v>
          </cell>
          <cell r="K1016">
            <v>1</v>
          </cell>
          <cell r="L1016">
            <v>10.998239999999999</v>
          </cell>
          <cell r="M1016">
            <v>-85.139329000000004</v>
          </cell>
          <cell r="N1016" t="str">
            <v>Norte</v>
          </cell>
          <cell r="O1016">
            <v>0</v>
          </cell>
          <cell r="P1016" t="str">
            <v>brunca</v>
          </cell>
          <cell r="Q1016" t="str">
            <v>guaymi</v>
          </cell>
          <cell r="R1016" t="b">
            <v>0</v>
          </cell>
          <cell r="S1016" t="str">
            <v>685_1</v>
          </cell>
          <cell r="T1016">
            <v>1</v>
          </cell>
          <cell r="U1016">
            <v>4</v>
          </cell>
          <cell r="V1016">
            <v>3</v>
          </cell>
          <cell r="W1016">
            <v>0.75</v>
          </cell>
          <cell r="X1016">
            <v>87</v>
          </cell>
          <cell r="Y1016">
            <v>41</v>
          </cell>
          <cell r="Z1016">
            <v>0.47126436799999999</v>
          </cell>
        </row>
        <row r="1017">
          <cell r="B1017" t="str">
            <v>F686_1B</v>
          </cell>
          <cell r="C1017" t="str">
            <v>R1_F686_1B</v>
          </cell>
          <cell r="D1017">
            <v>0</v>
          </cell>
          <cell r="E1017">
            <v>0.17499999999999999</v>
          </cell>
          <cell r="F1017">
            <v>45</v>
          </cell>
          <cell r="G1017">
            <v>1</v>
          </cell>
          <cell r="H1017">
            <v>31</v>
          </cell>
          <cell r="I1017">
            <v>9</v>
          </cell>
          <cell r="J1017">
            <v>4</v>
          </cell>
          <cell r="K1017">
            <v>0</v>
          </cell>
          <cell r="L1017">
            <v>10.997654000000001</v>
          </cell>
          <cell r="M1017">
            <v>-85.143193999999994</v>
          </cell>
          <cell r="N1017" t="str">
            <v>Norte</v>
          </cell>
          <cell r="O1017">
            <v>0</v>
          </cell>
          <cell r="P1017" t="str">
            <v>victoria</v>
          </cell>
          <cell r="Q1017" t="str">
            <v>cabecar</v>
          </cell>
          <cell r="R1017" t="b">
            <v>0</v>
          </cell>
          <cell r="S1017" t="str">
            <v>686_1</v>
          </cell>
          <cell r="T1017">
            <v>1</v>
          </cell>
          <cell r="U1017">
            <v>13</v>
          </cell>
          <cell r="V1017">
            <v>8</v>
          </cell>
          <cell r="W1017">
            <v>0.61538461499999997</v>
          </cell>
          <cell r="X1017">
            <v>84</v>
          </cell>
          <cell r="Y1017">
            <v>37</v>
          </cell>
          <cell r="Z1017">
            <v>0.44047618999999999</v>
          </cell>
        </row>
        <row r="1018">
          <cell r="B1018" t="str">
            <v>F687_1B</v>
          </cell>
          <cell r="C1018" t="str">
            <v>R1_F687_1B</v>
          </cell>
          <cell r="D1018">
            <v>0</v>
          </cell>
          <cell r="E1018">
            <v>0.5</v>
          </cell>
          <cell r="F1018">
            <v>46</v>
          </cell>
          <cell r="G1018">
            <v>1</v>
          </cell>
          <cell r="H1018">
            <v>64</v>
          </cell>
          <cell r="I1018">
            <v>0</v>
          </cell>
          <cell r="J1018">
            <v>5</v>
          </cell>
          <cell r="K1018">
            <v>1</v>
          </cell>
          <cell r="L1018">
            <v>10.992796999999999</v>
          </cell>
          <cell r="M1018">
            <v>-85.128917999999999</v>
          </cell>
          <cell r="N1018" t="str">
            <v>Norte</v>
          </cell>
          <cell r="O1018">
            <v>0</v>
          </cell>
          <cell r="P1018" t="str">
            <v>guaymi</v>
          </cell>
          <cell r="Q1018" t="str">
            <v>brunca</v>
          </cell>
          <cell r="R1018" t="b">
            <v>0</v>
          </cell>
          <cell r="S1018" t="str">
            <v>687_1</v>
          </cell>
          <cell r="T1018">
            <v>1</v>
          </cell>
          <cell r="U1018">
            <v>15</v>
          </cell>
          <cell r="V1018">
            <v>6</v>
          </cell>
          <cell r="W1018">
            <v>0.4</v>
          </cell>
          <cell r="X1018">
            <v>84</v>
          </cell>
          <cell r="Y1018">
            <v>43</v>
          </cell>
          <cell r="Z1018">
            <v>0.51190476200000001</v>
          </cell>
        </row>
        <row r="1019">
          <cell r="B1019" t="str">
            <v>F688_1B</v>
          </cell>
          <cell r="C1019" t="str">
            <v>R1_F688_1B</v>
          </cell>
          <cell r="D1019">
            <v>0</v>
          </cell>
          <cell r="E1019">
            <v>0.14000000000000001</v>
          </cell>
          <cell r="F1019">
            <v>44</v>
          </cell>
          <cell r="G1019">
            <v>1</v>
          </cell>
          <cell r="H1019">
            <v>75</v>
          </cell>
          <cell r="I1019">
            <v>0</v>
          </cell>
          <cell r="J1019">
            <v>1</v>
          </cell>
          <cell r="K1019">
            <v>0</v>
          </cell>
          <cell r="L1019">
            <v>10.997173</v>
          </cell>
          <cell r="M1019">
            <v>-85.137827999999999</v>
          </cell>
          <cell r="N1019" t="str">
            <v>Norte</v>
          </cell>
          <cell r="O1019">
            <v>0</v>
          </cell>
          <cell r="P1019" t="str">
            <v>SEF 62</v>
          </cell>
          <cell r="Q1019" t="str">
            <v>uran</v>
          </cell>
          <cell r="R1019" t="b">
            <v>0</v>
          </cell>
          <cell r="S1019" t="str">
            <v>688_1</v>
          </cell>
          <cell r="T1019">
            <v>0</v>
          </cell>
          <cell r="U1019">
            <v>8</v>
          </cell>
          <cell r="V1019">
            <v>5</v>
          </cell>
          <cell r="W1019">
            <v>0.625</v>
          </cell>
          <cell r="X1019">
            <v>89</v>
          </cell>
          <cell r="Y1019">
            <v>43</v>
          </cell>
          <cell r="Z1019">
            <v>0.48314606700000001</v>
          </cell>
        </row>
        <row r="1020">
          <cell r="B1020" t="str">
            <v>F689_1B</v>
          </cell>
          <cell r="C1020" t="str">
            <v>R1_F689_1B</v>
          </cell>
          <cell r="D1020">
            <v>0</v>
          </cell>
          <cell r="E1020">
            <v>0.35</v>
          </cell>
          <cell r="F1020">
            <v>44</v>
          </cell>
          <cell r="G1020">
            <v>1</v>
          </cell>
          <cell r="H1020">
            <v>36</v>
          </cell>
          <cell r="I1020">
            <v>6</v>
          </cell>
          <cell r="J1020">
            <v>5</v>
          </cell>
          <cell r="K1020">
            <v>1</v>
          </cell>
          <cell r="L1020">
            <v>10.991443</v>
          </cell>
          <cell r="M1020">
            <v>-85.135755000000003</v>
          </cell>
          <cell r="N1020" t="str">
            <v>Norte</v>
          </cell>
          <cell r="O1020">
            <v>0</v>
          </cell>
          <cell r="P1020" t="str">
            <v>guaymi</v>
          </cell>
          <cell r="Q1020" t="str">
            <v>matambu</v>
          </cell>
          <cell r="R1020" t="b">
            <v>0</v>
          </cell>
          <cell r="S1020" t="str">
            <v>689_1</v>
          </cell>
          <cell r="T1020">
            <v>0</v>
          </cell>
          <cell r="U1020">
            <v>7</v>
          </cell>
          <cell r="V1020">
            <v>4</v>
          </cell>
          <cell r="W1020">
            <v>0.571428571</v>
          </cell>
          <cell r="X1020">
            <v>78</v>
          </cell>
          <cell r="Y1020">
            <v>38</v>
          </cell>
          <cell r="Z1020">
            <v>0.48717948700000002</v>
          </cell>
        </row>
        <row r="1021">
          <cell r="B1021" t="str">
            <v>F690_1B</v>
          </cell>
          <cell r="C1021" t="str">
            <v>R1_F690_1B</v>
          </cell>
          <cell r="D1021">
            <v>1</v>
          </cell>
          <cell r="E1021">
            <v>2.8</v>
          </cell>
          <cell r="F1021">
            <v>43</v>
          </cell>
          <cell r="G1021">
            <v>1</v>
          </cell>
          <cell r="H1021">
            <v>59</v>
          </cell>
          <cell r="I1021">
            <v>6</v>
          </cell>
          <cell r="J1021">
            <v>3</v>
          </cell>
          <cell r="K1021">
            <v>1</v>
          </cell>
          <cell r="L1021">
            <v>11.011455</v>
          </cell>
          <cell r="M1021">
            <v>-85.147717999999998</v>
          </cell>
          <cell r="N1021" t="str">
            <v>Norte</v>
          </cell>
          <cell r="O1021">
            <v>0</v>
          </cell>
          <cell r="P1021" t="str">
            <v>nambi</v>
          </cell>
          <cell r="Q1021" t="str">
            <v>nambi</v>
          </cell>
          <cell r="R1021" t="b">
            <v>1</v>
          </cell>
          <cell r="S1021" t="str">
            <v>690_1</v>
          </cell>
          <cell r="T1021">
            <v>1</v>
          </cell>
          <cell r="U1021">
            <v>7</v>
          </cell>
          <cell r="V1021">
            <v>6</v>
          </cell>
          <cell r="W1021">
            <v>0.85714285700000004</v>
          </cell>
          <cell r="X1021">
            <v>64</v>
          </cell>
          <cell r="Y1021">
            <v>31</v>
          </cell>
          <cell r="Z1021">
            <v>0.484375</v>
          </cell>
        </row>
        <row r="1022">
          <cell r="B1022" t="str">
            <v>F691_1B</v>
          </cell>
          <cell r="C1022" t="str">
            <v>R1_F691_1B</v>
          </cell>
          <cell r="D1022">
            <v>0</v>
          </cell>
          <cell r="E1022">
            <v>0.35</v>
          </cell>
          <cell r="F1022">
            <v>46</v>
          </cell>
          <cell r="G1022">
            <v>1</v>
          </cell>
          <cell r="H1022">
            <v>32</v>
          </cell>
          <cell r="I1022">
            <v>8</v>
          </cell>
          <cell r="J1022">
            <v>4</v>
          </cell>
          <cell r="K1022">
            <v>0</v>
          </cell>
          <cell r="L1022">
            <v>10.982519</v>
          </cell>
          <cell r="M1022">
            <v>-85.128213000000002</v>
          </cell>
          <cell r="N1022" t="str">
            <v>Norte</v>
          </cell>
          <cell r="O1022">
            <v>0</v>
          </cell>
          <cell r="P1022" t="str">
            <v>victoria</v>
          </cell>
          <cell r="Q1022" t="str">
            <v>cabecar</v>
          </cell>
          <cell r="R1022" t="b">
            <v>0</v>
          </cell>
          <cell r="S1022" t="str">
            <v>691_1</v>
          </cell>
          <cell r="T1022">
            <v>1</v>
          </cell>
          <cell r="U1022">
            <v>6</v>
          </cell>
          <cell r="V1022">
            <v>3</v>
          </cell>
          <cell r="W1022">
            <v>0.5</v>
          </cell>
          <cell r="X1022">
            <v>76</v>
          </cell>
          <cell r="Y1022">
            <v>34</v>
          </cell>
          <cell r="Z1022">
            <v>0.44736842100000002</v>
          </cell>
        </row>
        <row r="1023">
          <cell r="B1023" t="str">
            <v>F691_2B</v>
          </cell>
          <cell r="C1023" t="str">
            <v>R1_F691_2B</v>
          </cell>
          <cell r="D1023">
            <v>1</v>
          </cell>
          <cell r="E1023">
            <v>1.75</v>
          </cell>
          <cell r="F1023">
            <v>46</v>
          </cell>
          <cell r="G1023">
            <v>1</v>
          </cell>
          <cell r="H1023">
            <v>32</v>
          </cell>
          <cell r="I1023">
            <v>8</v>
          </cell>
          <cell r="J1023">
            <v>4</v>
          </cell>
          <cell r="K1023">
            <v>1</v>
          </cell>
          <cell r="L1023">
            <v>10.982519</v>
          </cell>
          <cell r="M1023">
            <v>-85.128213000000002</v>
          </cell>
          <cell r="N1023" t="str">
            <v>Norte</v>
          </cell>
          <cell r="O1023">
            <v>0</v>
          </cell>
          <cell r="P1023" t="str">
            <v>nambi</v>
          </cell>
          <cell r="Q1023" t="str">
            <v>nambi</v>
          </cell>
          <cell r="R1023" t="b">
            <v>1</v>
          </cell>
          <cell r="S1023" t="str">
            <v>691_2</v>
          </cell>
          <cell r="T1023">
            <v>1</v>
          </cell>
          <cell r="U1023">
            <v>6</v>
          </cell>
          <cell r="V1023">
            <v>3</v>
          </cell>
          <cell r="W1023">
            <v>0.5</v>
          </cell>
          <cell r="X1023">
            <v>76</v>
          </cell>
          <cell r="Y1023">
            <v>34</v>
          </cell>
          <cell r="Z1023">
            <v>0.44736842100000002</v>
          </cell>
        </row>
        <row r="1024">
          <cell r="B1024" t="str">
            <v>F692_1B</v>
          </cell>
          <cell r="C1024" t="str">
            <v>R1_F692_1B</v>
          </cell>
          <cell r="D1024">
            <v>0</v>
          </cell>
          <cell r="E1024">
            <v>1</v>
          </cell>
          <cell r="F1024">
            <v>41</v>
          </cell>
          <cell r="G1024">
            <v>1</v>
          </cell>
          <cell r="H1024">
            <v>26</v>
          </cell>
          <cell r="I1024">
            <v>8</v>
          </cell>
          <cell r="J1024">
            <v>4</v>
          </cell>
          <cell r="K1024">
            <v>1</v>
          </cell>
          <cell r="L1024">
            <v>11.030225</v>
          </cell>
          <cell r="M1024">
            <v>-85.148747</v>
          </cell>
          <cell r="N1024" t="str">
            <v>Norte</v>
          </cell>
          <cell r="O1024">
            <v>0</v>
          </cell>
          <cell r="P1024" t="str">
            <v>guaymi</v>
          </cell>
          <cell r="Q1024" t="str">
            <v>matambu</v>
          </cell>
          <cell r="R1024" t="b">
            <v>0</v>
          </cell>
          <cell r="S1024" t="str">
            <v>692_1</v>
          </cell>
          <cell r="T1024">
            <v>0</v>
          </cell>
          <cell r="U1024">
            <v>2</v>
          </cell>
          <cell r="V1024">
            <v>0</v>
          </cell>
          <cell r="W1024">
            <v>0</v>
          </cell>
          <cell r="X1024">
            <v>28</v>
          </cell>
          <cell r="Y1024">
            <v>19</v>
          </cell>
          <cell r="Z1024">
            <v>0.678571429</v>
          </cell>
        </row>
        <row r="1025">
          <cell r="B1025" t="str">
            <v>F692_2B</v>
          </cell>
          <cell r="C1025" t="str">
            <v>R1_F692_2B</v>
          </cell>
          <cell r="D1025">
            <v>1</v>
          </cell>
          <cell r="E1025">
            <v>3.5000000000000003E-2</v>
          </cell>
          <cell r="F1025">
            <v>41</v>
          </cell>
          <cell r="G1025">
            <v>1</v>
          </cell>
          <cell r="H1025">
            <v>26</v>
          </cell>
          <cell r="I1025">
            <v>8</v>
          </cell>
          <cell r="J1025">
            <v>4</v>
          </cell>
          <cell r="K1025">
            <v>1</v>
          </cell>
          <cell r="L1025">
            <v>11.030225</v>
          </cell>
          <cell r="M1025">
            <v>-85.148747</v>
          </cell>
          <cell r="N1025" t="str">
            <v>Norte</v>
          </cell>
          <cell r="O1025">
            <v>0</v>
          </cell>
          <cell r="P1025" t="str">
            <v>uran</v>
          </cell>
          <cell r="Q1025" t="str">
            <v>uran</v>
          </cell>
          <cell r="R1025" t="b">
            <v>1</v>
          </cell>
          <cell r="S1025" t="str">
            <v>692_2</v>
          </cell>
          <cell r="T1025">
            <v>0</v>
          </cell>
          <cell r="U1025">
            <v>2</v>
          </cell>
          <cell r="V1025">
            <v>0</v>
          </cell>
          <cell r="W1025">
            <v>0</v>
          </cell>
          <cell r="X1025">
            <v>28</v>
          </cell>
          <cell r="Y1025">
            <v>19</v>
          </cell>
          <cell r="Z1025">
            <v>0.678571429</v>
          </cell>
        </row>
        <row r="1026">
          <cell r="B1026" t="str">
            <v>F693_1B</v>
          </cell>
          <cell r="C1026" t="str">
            <v>R1_F693_1B</v>
          </cell>
          <cell r="D1026">
            <v>0</v>
          </cell>
          <cell r="E1026">
            <v>0.1</v>
          </cell>
          <cell r="F1026">
            <v>44</v>
          </cell>
          <cell r="G1026">
            <v>1</v>
          </cell>
          <cell r="H1026">
            <v>43</v>
          </cell>
          <cell r="I1026">
            <v>10</v>
          </cell>
          <cell r="J1026">
            <v>5</v>
          </cell>
          <cell r="K1026">
            <v>1</v>
          </cell>
          <cell r="L1026">
            <v>10.992331</v>
          </cell>
          <cell r="M1026">
            <v>-85.128956000000002</v>
          </cell>
          <cell r="N1026" t="str">
            <v>Norte</v>
          </cell>
          <cell r="O1026">
            <v>0</v>
          </cell>
          <cell r="P1026" t="str">
            <v>nambi</v>
          </cell>
          <cell r="Q1026" t="str">
            <v>matambu</v>
          </cell>
          <cell r="R1026" t="b">
            <v>0</v>
          </cell>
          <cell r="S1026" t="str">
            <v>693_1</v>
          </cell>
          <cell r="T1026">
            <v>0</v>
          </cell>
          <cell r="U1026">
            <v>15</v>
          </cell>
          <cell r="V1026">
            <v>7</v>
          </cell>
          <cell r="W1026">
            <v>0.46666666699999998</v>
          </cell>
          <cell r="X1026">
            <v>83</v>
          </cell>
          <cell r="Y1026">
            <v>43</v>
          </cell>
          <cell r="Z1026">
            <v>0.51807228900000002</v>
          </cell>
        </row>
        <row r="1027">
          <cell r="B1027" t="str">
            <v>F694_1B</v>
          </cell>
          <cell r="C1027" t="str">
            <v>R1_F694_1B</v>
          </cell>
          <cell r="D1027">
            <v>0</v>
          </cell>
          <cell r="E1027">
            <v>1.26</v>
          </cell>
          <cell r="F1027">
            <v>44</v>
          </cell>
          <cell r="G1027">
            <v>1</v>
          </cell>
          <cell r="H1027">
            <v>54</v>
          </cell>
          <cell r="I1027">
            <v>6</v>
          </cell>
          <cell r="J1027">
            <v>4</v>
          </cell>
          <cell r="K1027">
            <v>1</v>
          </cell>
          <cell r="L1027">
            <v>10.992134</v>
          </cell>
          <cell r="M1027">
            <v>-85.128647999999998</v>
          </cell>
          <cell r="N1027" t="str">
            <v>Norte</v>
          </cell>
          <cell r="O1027">
            <v>0</v>
          </cell>
          <cell r="P1027" t="str">
            <v>guaymi</v>
          </cell>
          <cell r="Q1027" t="str">
            <v>matambu</v>
          </cell>
          <cell r="R1027" t="b">
            <v>0</v>
          </cell>
          <cell r="S1027" t="str">
            <v>694_1</v>
          </cell>
          <cell r="T1027">
            <v>0</v>
          </cell>
          <cell r="U1027">
            <v>15</v>
          </cell>
          <cell r="V1027">
            <v>7</v>
          </cell>
          <cell r="W1027">
            <v>0.46666666699999998</v>
          </cell>
          <cell r="X1027">
            <v>83</v>
          </cell>
          <cell r="Y1027">
            <v>43</v>
          </cell>
          <cell r="Z1027">
            <v>0.51807228900000002</v>
          </cell>
        </row>
        <row r="1028">
          <cell r="B1028" t="str">
            <v>F695_1B</v>
          </cell>
          <cell r="C1028" t="str">
            <v>R1_F695_1B</v>
          </cell>
          <cell r="D1028">
            <v>1</v>
          </cell>
          <cell r="E1028">
            <v>1.05</v>
          </cell>
          <cell r="F1028">
            <v>45</v>
          </cell>
          <cell r="G1028">
            <v>1</v>
          </cell>
          <cell r="H1028">
            <v>76</v>
          </cell>
          <cell r="I1028">
            <v>0</v>
          </cell>
          <cell r="J1028">
            <v>5</v>
          </cell>
          <cell r="K1028">
            <v>1</v>
          </cell>
          <cell r="L1028">
            <v>10.994171</v>
          </cell>
          <cell r="M1028">
            <v>-85.126587999999998</v>
          </cell>
          <cell r="N1028" t="str">
            <v>Norte</v>
          </cell>
          <cell r="O1028">
            <v>0</v>
          </cell>
          <cell r="P1028" t="str">
            <v>nambi</v>
          </cell>
          <cell r="Q1028" t="str">
            <v>nambi</v>
          </cell>
          <cell r="R1028" t="b">
            <v>1</v>
          </cell>
          <cell r="S1028" t="str">
            <v>695_1</v>
          </cell>
          <cell r="T1028">
            <v>1</v>
          </cell>
          <cell r="U1028">
            <v>12</v>
          </cell>
          <cell r="V1028">
            <v>3</v>
          </cell>
          <cell r="W1028">
            <v>0.25</v>
          </cell>
          <cell r="X1028">
            <v>80</v>
          </cell>
          <cell r="Y1028">
            <v>41</v>
          </cell>
          <cell r="Z1028">
            <v>0.51249999999999996</v>
          </cell>
        </row>
        <row r="1029">
          <cell r="B1029" t="str">
            <v>F695_2B</v>
          </cell>
          <cell r="C1029" t="str">
            <v>R1_F695_2B</v>
          </cell>
          <cell r="D1029">
            <v>0</v>
          </cell>
          <cell r="E1029">
            <v>7.0000000000000007E-2</v>
          </cell>
          <cell r="F1029">
            <v>45</v>
          </cell>
          <cell r="G1029">
            <v>1</v>
          </cell>
          <cell r="H1029">
            <v>76</v>
          </cell>
          <cell r="I1029">
            <v>0</v>
          </cell>
          <cell r="J1029">
            <v>5</v>
          </cell>
          <cell r="K1029">
            <v>0</v>
          </cell>
          <cell r="L1029">
            <v>10.994171</v>
          </cell>
          <cell r="M1029">
            <v>-85.126587999999998</v>
          </cell>
          <cell r="N1029" t="str">
            <v>Norte</v>
          </cell>
          <cell r="O1029">
            <v>0</v>
          </cell>
          <cell r="P1029" t="str">
            <v>generalito</v>
          </cell>
          <cell r="Q1029" t="str">
            <v>dontknow</v>
          </cell>
          <cell r="R1029" t="str">
            <v>Not applicable</v>
          </cell>
          <cell r="S1029" t="str">
            <v>695_2</v>
          </cell>
          <cell r="T1029">
            <v>0</v>
          </cell>
          <cell r="U1029">
            <v>12</v>
          </cell>
          <cell r="V1029">
            <v>3</v>
          </cell>
          <cell r="W1029">
            <v>0.25</v>
          </cell>
          <cell r="X1029">
            <v>80</v>
          </cell>
          <cell r="Y1029">
            <v>41</v>
          </cell>
          <cell r="Z1029">
            <v>0.51249999999999996</v>
          </cell>
        </row>
        <row r="1030">
          <cell r="B1030" t="str">
            <v>F696_1B</v>
          </cell>
          <cell r="C1030" t="str">
            <v>R1_F696_1B</v>
          </cell>
          <cell r="D1030">
            <v>0</v>
          </cell>
          <cell r="E1030">
            <v>1.5</v>
          </cell>
          <cell r="F1030">
            <v>40</v>
          </cell>
          <cell r="G1030">
            <v>1</v>
          </cell>
          <cell r="H1030">
            <v>52</v>
          </cell>
          <cell r="I1030">
            <v>3</v>
          </cell>
          <cell r="J1030">
            <v>7</v>
          </cell>
          <cell r="K1030">
            <v>0</v>
          </cell>
          <cell r="L1030">
            <v>10.997418</v>
          </cell>
          <cell r="M1030">
            <v>-85.122038000000003</v>
          </cell>
          <cell r="N1030" t="str">
            <v>Norte</v>
          </cell>
          <cell r="O1030">
            <v>0</v>
          </cell>
          <cell r="P1030" t="str">
            <v>victoria</v>
          </cell>
          <cell r="Q1030" t="str">
            <v>cabecar</v>
          </cell>
          <cell r="R1030" t="b">
            <v>0</v>
          </cell>
          <cell r="S1030" t="str">
            <v>696_1</v>
          </cell>
          <cell r="T1030">
            <v>0</v>
          </cell>
          <cell r="U1030">
            <v>13</v>
          </cell>
          <cell r="V1030">
            <v>4</v>
          </cell>
          <cell r="W1030">
            <v>0.30769230800000003</v>
          </cell>
          <cell r="X1030">
            <v>70</v>
          </cell>
          <cell r="Y1030">
            <v>39</v>
          </cell>
          <cell r="Z1030">
            <v>0.55714285699999999</v>
          </cell>
        </row>
        <row r="1031">
          <cell r="B1031" t="str">
            <v>F696_2B</v>
          </cell>
          <cell r="C1031" t="str">
            <v>R1_F696_2B</v>
          </cell>
          <cell r="D1031">
            <v>0</v>
          </cell>
          <cell r="E1031">
            <v>1.5</v>
          </cell>
          <cell r="F1031">
            <v>40</v>
          </cell>
          <cell r="G1031">
            <v>1</v>
          </cell>
          <cell r="H1031">
            <v>52</v>
          </cell>
          <cell r="I1031">
            <v>3</v>
          </cell>
          <cell r="J1031">
            <v>7</v>
          </cell>
          <cell r="K1031">
            <v>1</v>
          </cell>
          <cell r="L1031">
            <v>10.997418</v>
          </cell>
          <cell r="M1031">
            <v>-85.122038000000003</v>
          </cell>
          <cell r="N1031" t="str">
            <v>Norte</v>
          </cell>
          <cell r="O1031">
            <v>0</v>
          </cell>
          <cell r="P1031" t="str">
            <v>brunca</v>
          </cell>
          <cell r="Q1031" t="str">
            <v>nambi</v>
          </cell>
          <cell r="R1031" t="b">
            <v>0</v>
          </cell>
          <cell r="S1031" t="str">
            <v>696_2</v>
          </cell>
          <cell r="T1031">
            <v>0</v>
          </cell>
          <cell r="U1031">
            <v>13</v>
          </cell>
          <cell r="V1031">
            <v>4</v>
          </cell>
          <cell r="W1031">
            <v>0.30769230800000003</v>
          </cell>
          <cell r="X1031">
            <v>70</v>
          </cell>
          <cell r="Y1031">
            <v>39</v>
          </cell>
          <cell r="Z1031">
            <v>0.55714285699999999</v>
          </cell>
        </row>
        <row r="1032">
          <cell r="B1032" t="str">
            <v>F697_1B</v>
          </cell>
          <cell r="C1032" t="str">
            <v>R1_F697_1B</v>
          </cell>
          <cell r="D1032">
            <v>0</v>
          </cell>
          <cell r="E1032">
            <v>0.35</v>
          </cell>
          <cell r="F1032">
            <v>44</v>
          </cell>
          <cell r="G1032">
            <v>0</v>
          </cell>
          <cell r="H1032">
            <v>37</v>
          </cell>
          <cell r="I1032">
            <v>6</v>
          </cell>
          <cell r="J1032">
            <v>8</v>
          </cell>
          <cell r="K1032">
            <v>1</v>
          </cell>
          <cell r="L1032">
            <v>10.999917999999999</v>
          </cell>
          <cell r="M1032">
            <v>-85.122846999999993</v>
          </cell>
          <cell r="N1032" t="str">
            <v>Norte</v>
          </cell>
          <cell r="O1032">
            <v>0</v>
          </cell>
          <cell r="P1032" t="str">
            <v>cabecar</v>
          </cell>
          <cell r="Q1032" t="str">
            <v>tayni</v>
          </cell>
          <cell r="R1032" t="b">
            <v>0</v>
          </cell>
          <cell r="S1032" t="str">
            <v>697_1</v>
          </cell>
          <cell r="T1032">
            <v>0</v>
          </cell>
          <cell r="U1032">
            <v>14</v>
          </cell>
          <cell r="V1032">
            <v>4</v>
          </cell>
          <cell r="W1032">
            <v>0.28571428599999998</v>
          </cell>
          <cell r="X1032">
            <v>66</v>
          </cell>
          <cell r="Y1032">
            <v>35</v>
          </cell>
          <cell r="Z1032">
            <v>0.53030303000000001</v>
          </cell>
        </row>
        <row r="1033">
          <cell r="B1033" t="str">
            <v>F698_1B</v>
          </cell>
          <cell r="C1033" t="str">
            <v>R1_F698_1B</v>
          </cell>
          <cell r="D1033">
            <v>0</v>
          </cell>
          <cell r="E1033">
            <v>0.91</v>
          </cell>
          <cell r="F1033">
            <v>43</v>
          </cell>
          <cell r="G1033">
            <v>1</v>
          </cell>
          <cell r="H1033">
            <v>45</v>
          </cell>
          <cell r="I1033">
            <v>0</v>
          </cell>
          <cell r="J1033">
            <v>4</v>
          </cell>
          <cell r="K1033">
            <v>1</v>
          </cell>
          <cell r="L1033">
            <v>10.991116999999999</v>
          </cell>
          <cell r="M1033">
            <v>-85.134427000000002</v>
          </cell>
          <cell r="N1033" t="str">
            <v>Norte</v>
          </cell>
          <cell r="O1033">
            <v>0</v>
          </cell>
          <cell r="P1033" t="str">
            <v>matambu</v>
          </cell>
          <cell r="Q1033" t="str">
            <v>other</v>
          </cell>
          <cell r="R1033" t="str">
            <v>Not applicable</v>
          </cell>
          <cell r="S1033" t="str">
            <v>698_1</v>
          </cell>
          <cell r="T1033">
            <v>0</v>
          </cell>
          <cell r="U1033">
            <v>10</v>
          </cell>
          <cell r="V1033">
            <v>5</v>
          </cell>
          <cell r="W1033">
            <v>0.5</v>
          </cell>
          <cell r="X1033">
            <v>77</v>
          </cell>
          <cell r="Y1033">
            <v>38</v>
          </cell>
          <cell r="Z1033">
            <v>0.49350649400000002</v>
          </cell>
        </row>
        <row r="1034">
          <cell r="B1034" t="str">
            <v>F699_1B</v>
          </cell>
          <cell r="C1034" t="str">
            <v>R1_F699_1B</v>
          </cell>
          <cell r="D1034">
            <v>1</v>
          </cell>
          <cell r="E1034">
            <v>1.4</v>
          </cell>
          <cell r="F1034">
            <v>39</v>
          </cell>
          <cell r="G1034">
            <v>1</v>
          </cell>
          <cell r="H1034">
            <v>47</v>
          </cell>
          <cell r="I1034">
            <v>8</v>
          </cell>
          <cell r="J1034">
            <v>7</v>
          </cell>
          <cell r="K1034">
            <v>1</v>
          </cell>
          <cell r="L1034">
            <v>11.021063</v>
          </cell>
          <cell r="M1034">
            <v>-85.142551999999995</v>
          </cell>
          <cell r="N1034" t="str">
            <v>Norte</v>
          </cell>
          <cell r="O1034">
            <v>0</v>
          </cell>
          <cell r="P1034" t="str">
            <v>guaymi</v>
          </cell>
          <cell r="Q1034" t="str">
            <v>guaymi</v>
          </cell>
          <cell r="R1034" t="b">
            <v>1</v>
          </cell>
          <cell r="S1034" t="str">
            <v>699_1</v>
          </cell>
          <cell r="T1034">
            <v>1</v>
          </cell>
          <cell r="U1034">
            <v>1</v>
          </cell>
          <cell r="V1034">
            <v>1</v>
          </cell>
          <cell r="W1034">
            <v>1</v>
          </cell>
          <cell r="X1034">
            <v>28</v>
          </cell>
          <cell r="Y1034">
            <v>17</v>
          </cell>
          <cell r="Z1034">
            <v>0.60714285700000004</v>
          </cell>
        </row>
        <row r="1035">
          <cell r="B1035" t="str">
            <v>F699_2B</v>
          </cell>
          <cell r="C1035" t="str">
            <v>R1_F699_2B</v>
          </cell>
          <cell r="D1035">
            <v>1</v>
          </cell>
          <cell r="E1035">
            <v>1.4</v>
          </cell>
          <cell r="F1035">
            <v>39</v>
          </cell>
          <cell r="G1035">
            <v>1</v>
          </cell>
          <cell r="H1035">
            <v>47</v>
          </cell>
          <cell r="I1035">
            <v>8</v>
          </cell>
          <cell r="J1035">
            <v>7</v>
          </cell>
          <cell r="K1035">
            <v>1</v>
          </cell>
          <cell r="L1035">
            <v>11.021063</v>
          </cell>
          <cell r="M1035">
            <v>-85.142551999999995</v>
          </cell>
          <cell r="N1035" t="str">
            <v>Norte</v>
          </cell>
          <cell r="O1035">
            <v>0</v>
          </cell>
          <cell r="P1035" t="str">
            <v>tayni</v>
          </cell>
          <cell r="Q1035" t="str">
            <v>tayni</v>
          </cell>
          <cell r="R1035" t="b">
            <v>1</v>
          </cell>
          <cell r="S1035" t="str">
            <v>699_2</v>
          </cell>
          <cell r="T1035">
            <v>1</v>
          </cell>
          <cell r="U1035">
            <v>1</v>
          </cell>
          <cell r="V1035">
            <v>1</v>
          </cell>
          <cell r="W1035">
            <v>1</v>
          </cell>
          <cell r="X1035">
            <v>28</v>
          </cell>
          <cell r="Y1035">
            <v>17</v>
          </cell>
          <cell r="Z1035">
            <v>0.60714285700000004</v>
          </cell>
        </row>
        <row r="1036">
          <cell r="B1036" t="str">
            <v>F700_1B</v>
          </cell>
          <cell r="C1036" t="str">
            <v>R1_F700_1B</v>
          </cell>
          <cell r="D1036">
            <v>0</v>
          </cell>
          <cell r="E1036">
            <v>0.5</v>
          </cell>
          <cell r="F1036">
            <v>39</v>
          </cell>
          <cell r="G1036">
            <v>1</v>
          </cell>
          <cell r="H1036">
            <v>50</v>
          </cell>
          <cell r="I1036">
            <v>5</v>
          </cell>
          <cell r="J1036">
            <v>4</v>
          </cell>
          <cell r="K1036">
            <v>0</v>
          </cell>
          <cell r="L1036">
            <v>11.020697</v>
          </cell>
          <cell r="M1036">
            <v>-85.119027000000003</v>
          </cell>
          <cell r="N1036" t="str">
            <v>Norte</v>
          </cell>
          <cell r="O1036">
            <v>0</v>
          </cell>
          <cell r="P1036" t="str">
            <v>talamanca</v>
          </cell>
          <cell r="Q1036" t="str">
            <v>other</v>
          </cell>
          <cell r="R1036" t="str">
            <v>Not applicable</v>
          </cell>
          <cell r="S1036" t="str">
            <v>700_1</v>
          </cell>
          <cell r="T1036">
            <v>0</v>
          </cell>
          <cell r="U1036">
            <v>0</v>
          </cell>
          <cell r="V1036">
            <v>0</v>
          </cell>
          <cell r="W1036" t="str">
            <v>NA</v>
          </cell>
          <cell r="X1036">
            <v>16</v>
          </cell>
          <cell r="Y1036">
            <v>6</v>
          </cell>
          <cell r="Z1036">
            <v>0.375</v>
          </cell>
        </row>
        <row r="1037">
          <cell r="B1037" t="str">
            <v>F702_1B</v>
          </cell>
          <cell r="C1037" t="str">
            <v>R1_F702_1B</v>
          </cell>
          <cell r="D1037">
            <v>0</v>
          </cell>
          <cell r="E1037">
            <v>0.5</v>
          </cell>
          <cell r="F1037">
            <v>49</v>
          </cell>
          <cell r="G1037">
            <v>1</v>
          </cell>
          <cell r="H1037">
            <v>67</v>
          </cell>
          <cell r="I1037">
            <v>3</v>
          </cell>
          <cell r="J1037">
            <v>4</v>
          </cell>
          <cell r="K1037">
            <v>1</v>
          </cell>
          <cell r="L1037">
            <v>10.967622</v>
          </cell>
          <cell r="M1037">
            <v>-85.142087000000004</v>
          </cell>
          <cell r="N1037" t="str">
            <v>Norte</v>
          </cell>
          <cell r="O1037">
            <v>0</v>
          </cell>
          <cell r="P1037" t="str">
            <v>nambi</v>
          </cell>
          <cell r="Q1037" t="str">
            <v>other</v>
          </cell>
          <cell r="R1037" t="str">
            <v>Not applicable</v>
          </cell>
          <cell r="S1037" t="str">
            <v>702_1</v>
          </cell>
          <cell r="T1037">
            <v>0</v>
          </cell>
          <cell r="U1037">
            <v>8</v>
          </cell>
          <cell r="V1037">
            <v>2</v>
          </cell>
          <cell r="W1037">
            <v>0.25</v>
          </cell>
          <cell r="X1037">
            <v>59</v>
          </cell>
          <cell r="Y1037">
            <v>26</v>
          </cell>
          <cell r="Z1037">
            <v>0.44067796599999998</v>
          </cell>
        </row>
        <row r="1038">
          <cell r="B1038" t="str">
            <v>F703_1B</v>
          </cell>
          <cell r="C1038" t="str">
            <v>R1_F703_1B</v>
          </cell>
          <cell r="D1038">
            <v>0</v>
          </cell>
          <cell r="E1038">
            <v>0.17499999999999999</v>
          </cell>
          <cell r="F1038">
            <v>52</v>
          </cell>
          <cell r="G1038">
            <v>1</v>
          </cell>
          <cell r="H1038">
            <v>53</v>
          </cell>
          <cell r="I1038">
            <v>7</v>
          </cell>
          <cell r="J1038">
            <v>3</v>
          </cell>
          <cell r="K1038">
            <v>1</v>
          </cell>
          <cell r="L1038">
            <v>10.968973</v>
          </cell>
          <cell r="M1038">
            <v>-85.141195999999994</v>
          </cell>
          <cell r="N1038" t="str">
            <v>Norte</v>
          </cell>
          <cell r="O1038">
            <v>0</v>
          </cell>
          <cell r="P1038" t="str">
            <v>nambi</v>
          </cell>
          <cell r="Q1038" t="str">
            <v>dontknow</v>
          </cell>
          <cell r="R1038" t="str">
            <v>Not applicable</v>
          </cell>
          <cell r="S1038" t="str">
            <v>703_1</v>
          </cell>
          <cell r="T1038">
            <v>0</v>
          </cell>
          <cell r="U1038">
            <v>7</v>
          </cell>
          <cell r="V1038">
            <v>2</v>
          </cell>
          <cell r="W1038">
            <v>0.28571428599999998</v>
          </cell>
          <cell r="X1038">
            <v>55</v>
          </cell>
          <cell r="Y1038">
            <v>25</v>
          </cell>
          <cell r="Z1038">
            <v>0.45454545499999999</v>
          </cell>
        </row>
        <row r="1039">
          <cell r="B1039" t="str">
            <v>F703_2B</v>
          </cell>
          <cell r="C1039" t="str">
            <v>R1_F703_2B</v>
          </cell>
          <cell r="D1039">
            <v>0</v>
          </cell>
          <cell r="E1039">
            <v>7.0000000000000007E-2</v>
          </cell>
          <cell r="F1039">
            <v>52</v>
          </cell>
          <cell r="G1039">
            <v>1</v>
          </cell>
          <cell r="H1039">
            <v>53</v>
          </cell>
          <cell r="I1039">
            <v>7</v>
          </cell>
          <cell r="J1039">
            <v>3</v>
          </cell>
          <cell r="K1039">
            <v>0</v>
          </cell>
          <cell r="L1039">
            <v>10.968973</v>
          </cell>
          <cell r="M1039">
            <v>-85.141195999999994</v>
          </cell>
          <cell r="N1039" t="str">
            <v>Norte</v>
          </cell>
          <cell r="O1039">
            <v>0</v>
          </cell>
          <cell r="P1039" t="str">
            <v>victoria</v>
          </cell>
          <cell r="Q1039" t="str">
            <v>dontknow</v>
          </cell>
          <cell r="R1039" t="str">
            <v>Not applicable</v>
          </cell>
          <cell r="S1039" t="str">
            <v>703_2</v>
          </cell>
          <cell r="T1039">
            <v>0</v>
          </cell>
          <cell r="U1039">
            <v>7</v>
          </cell>
          <cell r="V1039">
            <v>2</v>
          </cell>
          <cell r="W1039">
            <v>0.28571428599999998</v>
          </cell>
          <cell r="X1039">
            <v>55</v>
          </cell>
          <cell r="Y1039">
            <v>25</v>
          </cell>
          <cell r="Z1039">
            <v>0.45454545499999999</v>
          </cell>
        </row>
        <row r="1040">
          <cell r="B1040" t="str">
            <v>F704_1B</v>
          </cell>
          <cell r="C1040" t="str">
            <v>R1_F704_1B</v>
          </cell>
          <cell r="D1040">
            <v>0</v>
          </cell>
          <cell r="E1040">
            <v>3.15</v>
          </cell>
          <cell r="F1040">
            <v>45</v>
          </cell>
          <cell r="G1040">
            <v>1</v>
          </cell>
          <cell r="H1040">
            <v>49</v>
          </cell>
          <cell r="I1040">
            <v>9</v>
          </cell>
          <cell r="J1040">
            <v>5</v>
          </cell>
          <cell r="K1040">
            <v>0</v>
          </cell>
          <cell r="L1040">
            <v>10.992303</v>
          </cell>
          <cell r="M1040">
            <v>-85.144290999999996</v>
          </cell>
          <cell r="N1040" t="str">
            <v>Norte</v>
          </cell>
          <cell r="O1040">
            <v>0</v>
          </cell>
          <cell r="P1040" t="str">
            <v>sacapobres</v>
          </cell>
          <cell r="Q1040" t="str">
            <v>cabecar</v>
          </cell>
          <cell r="R1040" t="b">
            <v>0</v>
          </cell>
          <cell r="S1040" t="str">
            <v>704_1</v>
          </cell>
          <cell r="T1040">
            <v>0</v>
          </cell>
          <cell r="U1040">
            <v>8</v>
          </cell>
          <cell r="V1040">
            <v>6</v>
          </cell>
          <cell r="W1040">
            <v>0.75</v>
          </cell>
          <cell r="X1040">
            <v>82</v>
          </cell>
          <cell r="Y1040">
            <v>38</v>
          </cell>
          <cell r="Z1040">
            <v>0.46341463399999999</v>
          </cell>
        </row>
        <row r="1041">
          <cell r="B1041" t="str">
            <v>F704_2B</v>
          </cell>
          <cell r="C1041" t="str">
            <v>R1_F704_2B</v>
          </cell>
          <cell r="D1041">
            <v>0</v>
          </cell>
          <cell r="E1041">
            <v>1.75</v>
          </cell>
          <cell r="F1041">
            <v>45</v>
          </cell>
          <cell r="G1041">
            <v>1</v>
          </cell>
          <cell r="H1041">
            <v>49</v>
          </cell>
          <cell r="I1041">
            <v>9</v>
          </cell>
          <cell r="J1041">
            <v>5</v>
          </cell>
          <cell r="K1041">
            <v>1</v>
          </cell>
          <cell r="L1041">
            <v>10.992303</v>
          </cell>
          <cell r="M1041">
            <v>-85.144290999999996</v>
          </cell>
          <cell r="N1041" t="str">
            <v>Norte</v>
          </cell>
          <cell r="O1041">
            <v>0</v>
          </cell>
          <cell r="P1041" t="str">
            <v>nambi</v>
          </cell>
          <cell r="Q1041" t="str">
            <v>matambu</v>
          </cell>
          <cell r="R1041" t="b">
            <v>0</v>
          </cell>
          <cell r="S1041" t="str">
            <v>704_2</v>
          </cell>
          <cell r="T1041">
            <v>0</v>
          </cell>
          <cell r="U1041">
            <v>8</v>
          </cell>
          <cell r="V1041">
            <v>6</v>
          </cell>
          <cell r="W1041">
            <v>0.75</v>
          </cell>
          <cell r="X1041">
            <v>82</v>
          </cell>
          <cell r="Y1041">
            <v>38</v>
          </cell>
          <cell r="Z1041">
            <v>0.46341463399999999</v>
          </cell>
        </row>
        <row r="1042">
          <cell r="B1042" t="str">
            <v>F705_1B</v>
          </cell>
          <cell r="C1042" t="str">
            <v>R1_F705_1B</v>
          </cell>
          <cell r="D1042">
            <v>0</v>
          </cell>
          <cell r="E1042">
            <v>0.28000000000000003</v>
          </cell>
          <cell r="F1042">
            <v>47</v>
          </cell>
          <cell r="G1042">
            <v>1</v>
          </cell>
          <cell r="H1042">
            <v>48</v>
          </cell>
          <cell r="I1042">
            <v>6</v>
          </cell>
          <cell r="J1042">
            <v>3</v>
          </cell>
          <cell r="K1042">
            <v>1</v>
          </cell>
          <cell r="L1042">
            <v>10.967717</v>
          </cell>
          <cell r="M1042">
            <v>-85.142756000000006</v>
          </cell>
          <cell r="N1042" t="str">
            <v>Norte</v>
          </cell>
          <cell r="O1042">
            <v>0</v>
          </cell>
          <cell r="P1042" t="str">
            <v>brunca</v>
          </cell>
          <cell r="Q1042" t="str">
            <v>tayni</v>
          </cell>
          <cell r="R1042" t="b">
            <v>0</v>
          </cell>
          <cell r="S1042" t="str">
            <v>705_1</v>
          </cell>
          <cell r="T1042">
            <v>0</v>
          </cell>
          <cell r="U1042">
            <v>7</v>
          </cell>
          <cell r="V1042">
            <v>2</v>
          </cell>
          <cell r="W1042">
            <v>0.28571428599999998</v>
          </cell>
          <cell r="X1042">
            <v>57</v>
          </cell>
          <cell r="Y1042">
            <v>26</v>
          </cell>
          <cell r="Z1042">
            <v>0.456140351</v>
          </cell>
        </row>
        <row r="1043">
          <cell r="B1043" t="str">
            <v>F705_2B</v>
          </cell>
          <cell r="C1043" t="str">
            <v>R1_F705_2B</v>
          </cell>
          <cell r="D1043">
            <v>0</v>
          </cell>
          <cell r="E1043">
            <v>7.0000000000000007E-2</v>
          </cell>
          <cell r="F1043">
            <v>47</v>
          </cell>
          <cell r="G1043">
            <v>1</v>
          </cell>
          <cell r="H1043">
            <v>48</v>
          </cell>
          <cell r="I1043">
            <v>6</v>
          </cell>
          <cell r="J1043">
            <v>3</v>
          </cell>
          <cell r="K1043">
            <v>0</v>
          </cell>
          <cell r="L1043">
            <v>10.967717</v>
          </cell>
          <cell r="M1043">
            <v>-85.142756000000006</v>
          </cell>
          <cell r="N1043" t="str">
            <v>Norte</v>
          </cell>
          <cell r="O1043">
            <v>0</v>
          </cell>
          <cell r="P1043" t="str">
            <v>victoria</v>
          </cell>
          <cell r="Q1043" t="str">
            <v>cabecar</v>
          </cell>
          <cell r="R1043" t="b">
            <v>0</v>
          </cell>
          <cell r="S1043" t="str">
            <v>705_2</v>
          </cell>
          <cell r="T1043">
            <v>0</v>
          </cell>
          <cell r="U1043">
            <v>7</v>
          </cell>
          <cell r="V1043">
            <v>2</v>
          </cell>
          <cell r="W1043">
            <v>0.28571428599999998</v>
          </cell>
          <cell r="X1043">
            <v>57</v>
          </cell>
          <cell r="Y1043">
            <v>26</v>
          </cell>
          <cell r="Z1043">
            <v>0.456140351</v>
          </cell>
        </row>
        <row r="1044">
          <cell r="B1044" t="str">
            <v>F706_1B</v>
          </cell>
          <cell r="C1044" t="str">
            <v>R1_F706_1B</v>
          </cell>
          <cell r="D1044">
            <v>0</v>
          </cell>
          <cell r="E1044">
            <v>7.0000000000000007E-2</v>
          </cell>
          <cell r="F1044">
            <v>84</v>
          </cell>
          <cell r="G1044">
            <v>1</v>
          </cell>
          <cell r="H1044">
            <v>43</v>
          </cell>
          <cell r="I1044">
            <v>11</v>
          </cell>
          <cell r="J1044">
            <v>5</v>
          </cell>
          <cell r="K1044">
            <v>0</v>
          </cell>
          <cell r="L1044">
            <v>10.869213999999999</v>
          </cell>
          <cell r="M1044">
            <v>-85.137414000000007</v>
          </cell>
          <cell r="N1044" t="str">
            <v>Norte</v>
          </cell>
          <cell r="O1044">
            <v>0</v>
          </cell>
          <cell r="P1044" t="str">
            <v>mantequilla</v>
          </cell>
          <cell r="Q1044" t="str">
            <v>dontknow</v>
          </cell>
          <cell r="R1044" t="str">
            <v>Not applicable</v>
          </cell>
          <cell r="S1044" t="str">
            <v>706_1</v>
          </cell>
          <cell r="T1044">
            <v>0</v>
          </cell>
          <cell r="U1044">
            <v>3</v>
          </cell>
          <cell r="V1044">
            <v>0</v>
          </cell>
          <cell r="W1044">
            <v>0</v>
          </cell>
          <cell r="X1044">
            <v>5</v>
          </cell>
          <cell r="Y1044">
            <v>2</v>
          </cell>
          <cell r="Z1044">
            <v>0.4</v>
          </cell>
        </row>
        <row r="1045">
          <cell r="B1045" t="str">
            <v>F706_2B</v>
          </cell>
          <cell r="C1045" t="str">
            <v>R1_F706_2B</v>
          </cell>
          <cell r="D1045">
            <v>0</v>
          </cell>
          <cell r="E1045">
            <v>7.0000000000000007E-2</v>
          </cell>
          <cell r="F1045">
            <v>84</v>
          </cell>
          <cell r="G1045">
            <v>1</v>
          </cell>
          <cell r="H1045">
            <v>43</v>
          </cell>
          <cell r="I1045">
            <v>11</v>
          </cell>
          <cell r="J1045">
            <v>5</v>
          </cell>
          <cell r="K1045">
            <v>1</v>
          </cell>
          <cell r="L1045">
            <v>10.869213999999999</v>
          </cell>
          <cell r="M1045">
            <v>-85.137414000000007</v>
          </cell>
          <cell r="N1045" t="str">
            <v>Norte</v>
          </cell>
          <cell r="O1045">
            <v>0</v>
          </cell>
          <cell r="P1045" t="str">
            <v>tayni</v>
          </cell>
          <cell r="Q1045" t="str">
            <v>guaymi</v>
          </cell>
          <cell r="R1045" t="b">
            <v>0</v>
          </cell>
          <cell r="S1045" t="str">
            <v>706_2</v>
          </cell>
          <cell r="T1045">
            <v>0</v>
          </cell>
          <cell r="U1045">
            <v>3</v>
          </cell>
          <cell r="V1045">
            <v>0</v>
          </cell>
          <cell r="W1045">
            <v>0</v>
          </cell>
          <cell r="X1045">
            <v>5</v>
          </cell>
          <cell r="Y1045">
            <v>2</v>
          </cell>
          <cell r="Z1045">
            <v>0.4</v>
          </cell>
        </row>
        <row r="1046">
          <cell r="B1046" t="str">
            <v>F707_1B</v>
          </cell>
          <cell r="C1046" t="str">
            <v>R1_F707_1B</v>
          </cell>
          <cell r="D1046">
            <v>0</v>
          </cell>
          <cell r="E1046">
            <v>0.7</v>
          </cell>
          <cell r="F1046">
            <v>77</v>
          </cell>
          <cell r="G1046">
            <v>1</v>
          </cell>
          <cell r="H1046">
            <v>54</v>
          </cell>
          <cell r="I1046">
            <v>6</v>
          </cell>
          <cell r="J1046">
            <v>5</v>
          </cell>
          <cell r="K1046">
            <v>1</v>
          </cell>
          <cell r="L1046">
            <v>10.871274</v>
          </cell>
          <cell r="M1046">
            <v>-85.138227999999998</v>
          </cell>
          <cell r="N1046" t="str">
            <v>Norte</v>
          </cell>
          <cell r="O1046">
            <v>0</v>
          </cell>
          <cell r="P1046" t="str">
            <v>guaymi</v>
          </cell>
          <cell r="Q1046" t="str">
            <v>matambu</v>
          </cell>
          <cell r="R1046" t="b">
            <v>0</v>
          </cell>
          <cell r="S1046" t="str">
            <v>707_1</v>
          </cell>
          <cell r="T1046">
            <v>0</v>
          </cell>
          <cell r="U1046">
            <v>3</v>
          </cell>
          <cell r="V1046">
            <v>0</v>
          </cell>
          <cell r="W1046">
            <v>0</v>
          </cell>
          <cell r="X1046">
            <v>5</v>
          </cell>
          <cell r="Y1046">
            <v>2</v>
          </cell>
          <cell r="Z1046">
            <v>0.4</v>
          </cell>
        </row>
        <row r="1047">
          <cell r="B1047" t="str">
            <v>F707_2B</v>
          </cell>
          <cell r="C1047" t="str">
            <v>R1_F707_2B</v>
          </cell>
          <cell r="D1047">
            <v>0</v>
          </cell>
          <cell r="E1047">
            <v>0.7</v>
          </cell>
          <cell r="F1047">
            <v>77</v>
          </cell>
          <cell r="G1047">
            <v>1</v>
          </cell>
          <cell r="H1047">
            <v>54</v>
          </cell>
          <cell r="I1047">
            <v>6</v>
          </cell>
          <cell r="J1047">
            <v>5</v>
          </cell>
          <cell r="K1047">
            <v>1</v>
          </cell>
          <cell r="L1047">
            <v>10.871274</v>
          </cell>
          <cell r="M1047">
            <v>-85.138227999999998</v>
          </cell>
          <cell r="N1047" t="str">
            <v>Norte</v>
          </cell>
          <cell r="O1047">
            <v>0</v>
          </cell>
          <cell r="P1047" t="str">
            <v>tayni</v>
          </cell>
          <cell r="Q1047" t="str">
            <v>cabecar</v>
          </cell>
          <cell r="R1047" t="b">
            <v>0</v>
          </cell>
          <cell r="S1047" t="str">
            <v>707_2</v>
          </cell>
          <cell r="T1047">
            <v>0</v>
          </cell>
          <cell r="U1047">
            <v>3</v>
          </cell>
          <cell r="V1047">
            <v>0</v>
          </cell>
          <cell r="W1047">
            <v>0</v>
          </cell>
          <cell r="X1047">
            <v>5</v>
          </cell>
          <cell r="Y1047">
            <v>2</v>
          </cell>
          <cell r="Z1047">
            <v>0.4</v>
          </cell>
        </row>
        <row r="1048">
          <cell r="B1048" t="str">
            <v>F708_1B</v>
          </cell>
          <cell r="C1048" t="str">
            <v>R1_F708_1B</v>
          </cell>
          <cell r="D1048">
            <v>0</v>
          </cell>
          <cell r="E1048">
            <v>0.35</v>
          </cell>
          <cell r="F1048">
            <v>99</v>
          </cell>
          <cell r="G1048">
            <v>1</v>
          </cell>
          <cell r="H1048">
            <v>58</v>
          </cell>
          <cell r="I1048">
            <v>4</v>
          </cell>
          <cell r="J1048">
            <v>4</v>
          </cell>
          <cell r="K1048">
            <v>1</v>
          </cell>
          <cell r="L1048">
            <v>10.870751</v>
          </cell>
          <cell r="M1048">
            <v>-85.140592999999996</v>
          </cell>
          <cell r="N1048" t="str">
            <v>Norte</v>
          </cell>
          <cell r="O1048">
            <v>0</v>
          </cell>
          <cell r="P1048" t="str">
            <v>guaymi</v>
          </cell>
          <cell r="Q1048" t="str">
            <v>dontknow</v>
          </cell>
          <cell r="R1048" t="str">
            <v>Not applicable</v>
          </cell>
          <cell r="S1048" t="str">
            <v>708_1</v>
          </cell>
          <cell r="T1048">
            <v>0</v>
          </cell>
          <cell r="U1048">
            <v>4</v>
          </cell>
          <cell r="V1048">
            <v>0</v>
          </cell>
          <cell r="W1048">
            <v>0</v>
          </cell>
          <cell r="X1048">
            <v>6</v>
          </cell>
          <cell r="Y1048">
            <v>2</v>
          </cell>
          <cell r="Z1048">
            <v>0.33333333300000001</v>
          </cell>
        </row>
        <row r="1049">
          <cell r="B1049" t="str">
            <v>F709_1B</v>
          </cell>
          <cell r="C1049" t="str">
            <v>R1_F709_1B</v>
          </cell>
          <cell r="D1049">
            <v>0</v>
          </cell>
          <cell r="E1049">
            <v>4</v>
          </cell>
          <cell r="F1049">
            <v>55</v>
          </cell>
          <cell r="G1049">
            <v>1</v>
          </cell>
          <cell r="H1049">
            <v>41</v>
          </cell>
          <cell r="I1049">
            <v>10</v>
          </cell>
          <cell r="J1049">
            <v>3</v>
          </cell>
          <cell r="K1049">
            <v>1</v>
          </cell>
          <cell r="L1049">
            <v>10.896485</v>
          </cell>
          <cell r="M1049">
            <v>-85.16319</v>
          </cell>
          <cell r="N1049" t="str">
            <v>Norte</v>
          </cell>
          <cell r="O1049">
            <v>0</v>
          </cell>
          <cell r="P1049" t="str">
            <v>guaymi</v>
          </cell>
          <cell r="Q1049" t="str">
            <v>dontknow</v>
          </cell>
          <cell r="R1049" t="str">
            <v>Not applicable</v>
          </cell>
          <cell r="S1049" t="str">
            <v>709_1</v>
          </cell>
          <cell r="T1049">
            <v>0</v>
          </cell>
          <cell r="U1049">
            <v>2</v>
          </cell>
          <cell r="V1049">
            <v>2</v>
          </cell>
          <cell r="W1049">
            <v>1</v>
          </cell>
          <cell r="X1049">
            <v>9</v>
          </cell>
          <cell r="Y1049">
            <v>5</v>
          </cell>
          <cell r="Z1049">
            <v>0.55555555599999995</v>
          </cell>
        </row>
        <row r="1050">
          <cell r="B1050" t="str">
            <v>F709_2B</v>
          </cell>
          <cell r="C1050" t="str">
            <v>R1_F709_2B</v>
          </cell>
          <cell r="D1050">
            <v>0</v>
          </cell>
          <cell r="E1050">
            <v>1.5</v>
          </cell>
          <cell r="F1050">
            <v>55</v>
          </cell>
          <cell r="G1050">
            <v>1</v>
          </cell>
          <cell r="H1050">
            <v>41</v>
          </cell>
          <cell r="I1050">
            <v>10</v>
          </cell>
          <cell r="J1050">
            <v>3</v>
          </cell>
          <cell r="K1050">
            <v>0</v>
          </cell>
          <cell r="L1050">
            <v>10.896485</v>
          </cell>
          <cell r="M1050">
            <v>-85.16319</v>
          </cell>
          <cell r="N1050" t="str">
            <v>Norte</v>
          </cell>
          <cell r="O1050">
            <v>0</v>
          </cell>
          <cell r="P1050" t="str">
            <v>victoria</v>
          </cell>
          <cell r="Q1050" t="str">
            <v>dontknow</v>
          </cell>
          <cell r="R1050" t="str">
            <v>Not applicable</v>
          </cell>
          <cell r="S1050" t="str">
            <v>709_2</v>
          </cell>
          <cell r="T1050">
            <v>0</v>
          </cell>
          <cell r="U1050">
            <v>2</v>
          </cell>
          <cell r="V1050">
            <v>2</v>
          </cell>
          <cell r="W1050">
            <v>1</v>
          </cell>
          <cell r="X1050">
            <v>9</v>
          </cell>
          <cell r="Y1050">
            <v>5</v>
          </cell>
          <cell r="Z1050">
            <v>0.55555555599999995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14B3-1A04-784F-AC5A-69A754CD41A3}">
  <dimension ref="A1:BM1149"/>
  <sheetViews>
    <sheetView tabSelected="1" topLeftCell="C1" zoomScale="80" zoomScaleNormal="80" workbookViewId="0">
      <selection activeCell="AN2" sqref="AN2"/>
    </sheetView>
  </sheetViews>
  <sheetFormatPr baseColWidth="10" defaultColWidth="11" defaultRowHeight="16" x14ac:dyDescent="0.2"/>
  <cols>
    <col min="1" max="1" width="25" bestFit="1" customWidth="1"/>
    <col min="3" max="3" width="11.5" bestFit="1" customWidth="1"/>
    <col min="27" max="28" width="10.83203125" style="5"/>
    <col min="31" max="31" width="10.83203125" style="5"/>
  </cols>
  <sheetData>
    <row r="1" spans="1:65"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3" t="s">
        <v>22</v>
      </c>
      <c r="X1" s="3" t="s">
        <v>23</v>
      </c>
      <c r="Y1" s="3" t="s">
        <v>24</v>
      </c>
      <c r="Z1" s="2" t="s">
        <v>25</v>
      </c>
      <c r="AA1" s="4" t="s">
        <v>26</v>
      </c>
      <c r="AB1" s="4" t="s">
        <v>27</v>
      </c>
      <c r="AC1" s="2" t="s">
        <v>28</v>
      </c>
      <c r="AD1" s="2" t="s">
        <v>29</v>
      </c>
      <c r="AE1" s="4"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59</v>
      </c>
      <c r="BG1" s="2" t="s">
        <v>60</v>
      </c>
      <c r="BH1" s="2" t="s">
        <v>61</v>
      </c>
      <c r="BI1" s="2" t="s">
        <v>62</v>
      </c>
      <c r="BJ1" s="2" t="s">
        <v>63</v>
      </c>
      <c r="BK1" s="2" t="s">
        <v>64</v>
      </c>
      <c r="BL1" s="2" t="s">
        <v>65</v>
      </c>
      <c r="BM1" s="2" t="s">
        <v>66</v>
      </c>
    </row>
    <row r="2" spans="1:65" x14ac:dyDescent="0.2">
      <c r="A2">
        <v>1</v>
      </c>
      <c r="B2" t="s">
        <v>67</v>
      </c>
      <c r="C2">
        <v>1</v>
      </c>
      <c r="D2" t="s">
        <v>68</v>
      </c>
      <c r="E2">
        <v>1</v>
      </c>
      <c r="F2">
        <v>205</v>
      </c>
      <c r="G2" t="s">
        <v>69</v>
      </c>
      <c r="H2" s="1">
        <v>7</v>
      </c>
      <c r="I2" t="s">
        <v>70</v>
      </c>
      <c r="J2" t="s">
        <v>71</v>
      </c>
      <c r="K2" t="s">
        <v>72</v>
      </c>
      <c r="L2">
        <v>1</v>
      </c>
      <c r="M2">
        <v>0</v>
      </c>
      <c r="N2">
        <v>1</v>
      </c>
      <c r="O2">
        <v>1</v>
      </c>
      <c r="P2">
        <v>1</v>
      </c>
      <c r="Q2">
        <v>16</v>
      </c>
      <c r="R2">
        <v>0</v>
      </c>
      <c r="S2">
        <v>0</v>
      </c>
      <c r="T2">
        <v>0</v>
      </c>
      <c r="U2">
        <v>0</v>
      </c>
      <c r="V2">
        <f>IF(Z2=AC2,1,0)</f>
        <v>1</v>
      </c>
      <c r="W2">
        <v>1</v>
      </c>
      <c r="X2">
        <v>1</v>
      </c>
      <c r="Y2">
        <v>1</v>
      </c>
      <c r="Z2" t="s">
        <v>73</v>
      </c>
      <c r="AA2" s="5" t="s">
        <v>73</v>
      </c>
      <c r="AB2" s="5" t="s">
        <v>73</v>
      </c>
      <c r="AC2" t="s">
        <v>73</v>
      </c>
      <c r="AD2" t="s">
        <v>74</v>
      </c>
      <c r="AE2" s="5" t="s">
        <v>74</v>
      </c>
      <c r="AF2" t="s">
        <v>75</v>
      </c>
      <c r="AG2" t="s">
        <v>76</v>
      </c>
      <c r="AH2">
        <f>AI2</f>
        <v>5.8726675999999998E-2</v>
      </c>
      <c r="AI2">
        <f>AJ2</f>
        <v>5.8726675999999998E-2</v>
      </c>
      <c r="AJ2">
        <f>AK2</f>
        <v>5.8726675999999998E-2</v>
      </c>
      <c r="AK2">
        <v>5.8726675999999998E-2</v>
      </c>
      <c r="AL2">
        <v>0.119205296</v>
      </c>
      <c r="AM2">
        <v>0.12747797</v>
      </c>
      <c r="AN2">
        <v>0.13036302999999999</v>
      </c>
      <c r="AO2">
        <v>94.1273324</v>
      </c>
      <c r="AP2">
        <v>88.079470400000005</v>
      </c>
      <c r="AQ2">
        <v>87.252202999999994</v>
      </c>
      <c r="AR2">
        <v>86.963696999999996</v>
      </c>
      <c r="AS2" t="b">
        <v>1</v>
      </c>
      <c r="AT2" t="b">
        <v>0</v>
      </c>
      <c r="AU2" t="s">
        <v>77</v>
      </c>
      <c r="AV2" t="s">
        <v>78</v>
      </c>
      <c r="AW2" t="s">
        <v>79</v>
      </c>
      <c r="AX2" t="s">
        <v>80</v>
      </c>
      <c r="AY2" t="s">
        <v>81</v>
      </c>
      <c r="AZ2" t="s">
        <v>72</v>
      </c>
      <c r="BA2" t="s">
        <v>82</v>
      </c>
      <c r="BB2">
        <v>1.4</v>
      </c>
      <c r="BC2">
        <v>4.1163553999999996E-3</v>
      </c>
      <c r="BD2">
        <v>1.4279989108178799E-4</v>
      </c>
      <c r="BE2">
        <v>4.2591552910817903E-3</v>
      </c>
      <c r="BF2">
        <f>IF(AK2&lt;BE2,1,0)</f>
        <v>0</v>
      </c>
      <c r="BG2">
        <f>IF(AK2&lt;BC2,1,0)</f>
        <v>0</v>
      </c>
      <c r="BH2">
        <f>VLOOKUP($B2,[1]Data_Peer_with_peerVars!$B$2:$Z$1050,20,FALSE)</f>
        <v>4</v>
      </c>
      <c r="BI2">
        <f>VLOOKUP($B2,[1]Data_Peer_with_peerVars!$B$2:$Z$1050,21,FALSE)</f>
        <v>2</v>
      </c>
      <c r="BJ2">
        <f>VLOOKUP($B2,[1]Data_Peer_with_peerVars!$B$2:$Z$1050,22,FALSE)</f>
        <v>0.5</v>
      </c>
      <c r="BK2">
        <f>VLOOKUP($B2,[1]Data_Peer_with_peerVars!$B$2:$Z$1050,23,FALSE)</f>
        <v>54</v>
      </c>
      <c r="BL2">
        <f>VLOOKUP($B2,[1]Data_Peer_with_peerVars!$B$2:$Z$1050,24,FALSE)</f>
        <v>32</v>
      </c>
      <c r="BM2">
        <f>VLOOKUP($B2,[1]Data_Peer_with_peerVars!$B$2:$Z$1050,25,FALSE)</f>
        <v>0.592592593</v>
      </c>
    </row>
    <row r="3" spans="1:65" x14ac:dyDescent="0.2">
      <c r="A3">
        <v>1</v>
      </c>
      <c r="B3" t="s">
        <v>83</v>
      </c>
      <c r="C3">
        <v>1</v>
      </c>
      <c r="D3" t="s">
        <v>68</v>
      </c>
      <c r="E3">
        <v>1</v>
      </c>
      <c r="F3">
        <v>205</v>
      </c>
      <c r="G3" t="s">
        <v>69</v>
      </c>
      <c r="H3" s="1">
        <v>7</v>
      </c>
      <c r="I3" t="s">
        <v>70</v>
      </c>
      <c r="J3" t="s">
        <v>71</v>
      </c>
      <c r="K3" t="s">
        <v>72</v>
      </c>
      <c r="L3">
        <v>1</v>
      </c>
      <c r="M3">
        <v>0</v>
      </c>
      <c r="N3">
        <v>1</v>
      </c>
      <c r="O3">
        <v>1</v>
      </c>
      <c r="P3">
        <v>1</v>
      </c>
      <c r="Q3">
        <v>16</v>
      </c>
      <c r="R3">
        <v>0</v>
      </c>
      <c r="S3">
        <v>0</v>
      </c>
      <c r="T3">
        <v>0</v>
      </c>
      <c r="U3">
        <v>0</v>
      </c>
      <c r="V3">
        <f t="shared" ref="V3:V66" si="0">IF(Z3=AC3,1,0)</f>
        <v>0</v>
      </c>
      <c r="W3">
        <f t="shared" ref="W3:W66" si="1">IF(Z3=AD3,1,0)</f>
        <v>1</v>
      </c>
      <c r="X3">
        <v>1</v>
      </c>
      <c r="Y3">
        <v>1</v>
      </c>
      <c r="Z3" t="s">
        <v>76</v>
      </c>
      <c r="AA3" s="5" t="s">
        <v>76</v>
      </c>
      <c r="AB3" s="5" t="s">
        <v>76</v>
      </c>
      <c r="AC3" t="s">
        <v>74</v>
      </c>
      <c r="AD3" t="s">
        <v>76</v>
      </c>
      <c r="AE3" s="5" t="s">
        <v>76</v>
      </c>
      <c r="AF3" t="s">
        <v>75</v>
      </c>
      <c r="AG3" t="s">
        <v>84</v>
      </c>
      <c r="AH3">
        <f t="shared" ref="AH3" si="2">AI3</f>
        <v>6.9780220000000004E-2</v>
      </c>
      <c r="AI3">
        <f>AJ3</f>
        <v>6.9780220000000004E-2</v>
      </c>
      <c r="AJ3">
        <f>AL3</f>
        <v>6.9780220000000004E-2</v>
      </c>
      <c r="AK3">
        <v>5.3168042999999998E-2</v>
      </c>
      <c r="AL3">
        <v>6.9780220000000004E-2</v>
      </c>
      <c r="AM3">
        <v>0.10313530999999999</v>
      </c>
      <c r="AN3">
        <v>0.10535025000000001</v>
      </c>
      <c r="AO3">
        <v>94.683195699999999</v>
      </c>
      <c r="AP3">
        <v>93.021978000000004</v>
      </c>
      <c r="AQ3">
        <v>89.686469000000002</v>
      </c>
      <c r="AR3">
        <v>89.464974999999995</v>
      </c>
      <c r="AS3" t="b">
        <v>0</v>
      </c>
      <c r="AT3" t="b">
        <v>1</v>
      </c>
      <c r="AU3" t="s">
        <v>77</v>
      </c>
      <c r="AV3" t="s">
        <v>77</v>
      </c>
      <c r="AW3" t="s">
        <v>79</v>
      </c>
      <c r="AX3" t="s">
        <v>80</v>
      </c>
      <c r="AY3" t="s">
        <v>81</v>
      </c>
      <c r="AZ3" t="s">
        <v>72</v>
      </c>
      <c r="BA3" t="s">
        <v>82</v>
      </c>
      <c r="BB3">
        <v>1</v>
      </c>
      <c r="BC3">
        <v>2.4738868000000001E-3</v>
      </c>
      <c r="BD3">
        <v>1.4256942275279999E-4</v>
      </c>
      <c r="BE3">
        <v>2.6164562227527998E-3</v>
      </c>
      <c r="BF3">
        <f>IF(AK3&lt;BE3,1,0)</f>
        <v>0</v>
      </c>
      <c r="BG3">
        <f>IF(AK3&lt;BC3,1,0)</f>
        <v>0</v>
      </c>
      <c r="BH3">
        <f>VLOOKUP($B3,[1]Data_Peer_with_peerVars!$B$2:$Z$1050,20,FALSE)</f>
        <v>4</v>
      </c>
      <c r="BI3">
        <f>VLOOKUP($B3,[1]Data_Peer_with_peerVars!$B$2:$Z$1050,21,FALSE)</f>
        <v>2</v>
      </c>
      <c r="BJ3">
        <f>VLOOKUP($B3,[1]Data_Peer_with_peerVars!$B$2:$Z$1050,22,FALSE)</f>
        <v>0.5</v>
      </c>
      <c r="BK3">
        <f>VLOOKUP($B3,[1]Data_Peer_with_peerVars!$B$2:$Z$1050,23,FALSE)</f>
        <v>54</v>
      </c>
      <c r="BL3">
        <f>VLOOKUP($B3,[1]Data_Peer_with_peerVars!$B$2:$Z$1050,24,FALSE)</f>
        <v>32</v>
      </c>
      <c r="BM3">
        <f>VLOOKUP($B3,[1]Data_Peer_with_peerVars!$B$2:$Z$1050,25,FALSE)</f>
        <v>0.592592593</v>
      </c>
    </row>
    <row r="4" spans="1:65" x14ac:dyDescent="0.2">
      <c r="A4">
        <v>1</v>
      </c>
      <c r="B4" t="s">
        <v>85</v>
      </c>
      <c r="C4">
        <v>2</v>
      </c>
      <c r="D4" t="s">
        <v>68</v>
      </c>
      <c r="E4">
        <v>1</v>
      </c>
      <c r="F4">
        <v>240</v>
      </c>
      <c r="G4" t="s">
        <v>86</v>
      </c>
      <c r="H4" s="1">
        <v>0</v>
      </c>
      <c r="I4" t="s">
        <v>87</v>
      </c>
      <c r="J4" t="s">
        <v>88</v>
      </c>
      <c r="K4" t="s">
        <v>72</v>
      </c>
      <c r="L4">
        <v>1</v>
      </c>
      <c r="M4">
        <v>0</v>
      </c>
      <c r="N4">
        <v>0</v>
      </c>
      <c r="O4">
        <v>0</v>
      </c>
      <c r="P4">
        <v>0</v>
      </c>
      <c r="Q4">
        <v>6</v>
      </c>
      <c r="R4">
        <v>0</v>
      </c>
      <c r="S4">
        <v>0</v>
      </c>
      <c r="T4">
        <v>0</v>
      </c>
      <c r="U4">
        <v>0</v>
      </c>
      <c r="V4">
        <f t="shared" si="0"/>
        <v>0</v>
      </c>
      <c r="W4">
        <f t="shared" si="1"/>
        <v>0</v>
      </c>
      <c r="X4">
        <f t="shared" ref="X4:X66" si="3">IF(Z4=AF4,1,0)</f>
        <v>0</v>
      </c>
      <c r="Y4">
        <f t="shared" ref="Y4:Y66" si="4">IF(Z4=AG4,1,0)</f>
        <v>0</v>
      </c>
      <c r="Z4" t="s">
        <v>89</v>
      </c>
      <c r="AA4" s="5" t="s">
        <v>89</v>
      </c>
      <c r="AB4" s="5" t="s">
        <v>90</v>
      </c>
      <c r="AC4" t="s">
        <v>73</v>
      </c>
      <c r="AD4" t="s">
        <v>91</v>
      </c>
      <c r="AE4" s="5" t="s">
        <v>91</v>
      </c>
      <c r="AF4" t="s">
        <v>74</v>
      </c>
      <c r="AG4" t="s">
        <v>76</v>
      </c>
      <c r="AH4">
        <f>AI4</f>
        <v>0.1080786</v>
      </c>
      <c r="AI4">
        <f t="shared" ref="AI4:AI6" si="5">AJ4</f>
        <v>0.1080786</v>
      </c>
      <c r="AJ4">
        <f t="shared" ref="AJ4:AJ66" si="6">AK4</f>
        <v>0.1080786</v>
      </c>
      <c r="AK4">
        <v>0.1080786</v>
      </c>
      <c r="AL4">
        <v>0.1182266</v>
      </c>
      <c r="AM4">
        <v>0.12973121000000001</v>
      </c>
      <c r="AN4">
        <v>0.14024055999999999</v>
      </c>
      <c r="AO4">
        <v>89.192139999999995</v>
      </c>
      <c r="AP4">
        <v>88.177340000000001</v>
      </c>
      <c r="AQ4">
        <v>87.026878999999994</v>
      </c>
      <c r="AR4">
        <v>85.975943999999998</v>
      </c>
      <c r="AS4" t="b">
        <v>0</v>
      </c>
      <c r="AT4" t="b">
        <v>0</v>
      </c>
      <c r="AU4" t="s">
        <v>92</v>
      </c>
      <c r="AV4" t="s">
        <v>92</v>
      </c>
      <c r="AW4" t="s">
        <v>79</v>
      </c>
      <c r="AX4" t="s">
        <v>80</v>
      </c>
      <c r="AY4" t="s">
        <v>81</v>
      </c>
      <c r="AZ4" t="s">
        <v>72</v>
      </c>
      <c r="BA4" t="s">
        <v>82</v>
      </c>
      <c r="BB4">
        <v>0.35</v>
      </c>
      <c r="BC4">
        <v>4.1163553999999996E-3</v>
      </c>
      <c r="BD4">
        <v>1.4279989108178799E-4</v>
      </c>
      <c r="BE4">
        <v>4.2591552910817903E-3</v>
      </c>
      <c r="BF4">
        <f>IF(AK4&lt;BE4,1,0)</f>
        <v>0</v>
      </c>
      <c r="BG4">
        <f>IF(AK4&lt;BC4,1,0)</f>
        <v>0</v>
      </c>
      <c r="BH4">
        <f>VLOOKUP($B4,[1]Data_Peer_with_peerVars!$B$2:$Z$1050,20,FALSE)</f>
        <v>5</v>
      </c>
      <c r="BI4">
        <f>VLOOKUP($B4,[1]Data_Peer_with_peerVars!$B$2:$Z$1050,21,FALSE)</f>
        <v>4</v>
      </c>
      <c r="BJ4">
        <f>VLOOKUP($B4,[1]Data_Peer_with_peerVars!$B$2:$Z$1050,22,FALSE)</f>
        <v>0.8</v>
      </c>
      <c r="BK4">
        <f>VLOOKUP($B4,[1]Data_Peer_with_peerVars!$B$2:$Z$1050,23,FALSE)</f>
        <v>60</v>
      </c>
      <c r="BL4">
        <f>VLOOKUP($B4,[1]Data_Peer_with_peerVars!$B$2:$Z$1050,24,FALSE)</f>
        <v>37</v>
      </c>
      <c r="BM4">
        <f>VLOOKUP($B4,[1]Data_Peer_with_peerVars!$B$2:$Z$1050,25,FALSE)</f>
        <v>0.61666666699999995</v>
      </c>
    </row>
    <row r="5" spans="1:65" x14ac:dyDescent="0.2">
      <c r="A5">
        <v>1</v>
      </c>
      <c r="B5" t="s">
        <v>93</v>
      </c>
      <c r="C5">
        <v>3</v>
      </c>
      <c r="D5" t="s">
        <v>68</v>
      </c>
      <c r="E5">
        <v>1</v>
      </c>
      <c r="F5">
        <v>251</v>
      </c>
      <c r="G5" t="s">
        <v>69</v>
      </c>
      <c r="H5" s="1">
        <v>0</v>
      </c>
      <c r="I5" t="s">
        <v>70</v>
      </c>
      <c r="J5" t="s">
        <v>71</v>
      </c>
      <c r="K5" t="s">
        <v>72</v>
      </c>
      <c r="L5">
        <v>1</v>
      </c>
      <c r="M5">
        <v>0</v>
      </c>
      <c r="N5">
        <v>0</v>
      </c>
      <c r="O5">
        <v>0</v>
      </c>
      <c r="P5">
        <v>0</v>
      </c>
      <c r="Q5">
        <v>6</v>
      </c>
      <c r="R5">
        <v>0</v>
      </c>
      <c r="S5">
        <v>0</v>
      </c>
      <c r="T5">
        <v>0</v>
      </c>
      <c r="U5">
        <v>0</v>
      </c>
      <c r="V5">
        <f t="shared" si="0"/>
        <v>1</v>
      </c>
      <c r="W5">
        <v>1</v>
      </c>
      <c r="X5">
        <v>1</v>
      </c>
      <c r="Y5">
        <v>1</v>
      </c>
      <c r="Z5" t="s">
        <v>73</v>
      </c>
      <c r="AA5" s="5" t="s">
        <v>73</v>
      </c>
      <c r="AB5" s="5" t="s">
        <v>73</v>
      </c>
      <c r="AC5" t="s">
        <v>73</v>
      </c>
      <c r="AD5" t="s">
        <v>94</v>
      </c>
      <c r="AE5" s="5" t="s">
        <v>94</v>
      </c>
      <c r="AF5" t="s">
        <v>75</v>
      </c>
      <c r="AG5" t="s">
        <v>95</v>
      </c>
      <c r="AH5">
        <f t="shared" ref="AH5:AH6" si="7">AI5</f>
        <v>5.9452523E-2</v>
      </c>
      <c r="AI5">
        <f t="shared" si="5"/>
        <v>5.9452523E-2</v>
      </c>
      <c r="AJ5">
        <f t="shared" si="6"/>
        <v>5.9452523E-2</v>
      </c>
      <c r="AK5">
        <v>5.9452523E-2</v>
      </c>
      <c r="AL5">
        <v>0.12200342</v>
      </c>
      <c r="AM5">
        <v>0.12692966999999999</v>
      </c>
      <c r="AN5">
        <v>0.13784246</v>
      </c>
      <c r="AO5">
        <v>94.054747699999993</v>
      </c>
      <c r="AP5">
        <v>87.799657999999994</v>
      </c>
      <c r="AQ5">
        <v>87.307033000000004</v>
      </c>
      <c r="AR5">
        <v>86.215754000000004</v>
      </c>
      <c r="AS5" t="b">
        <v>1</v>
      </c>
      <c r="AT5" t="b">
        <v>0</v>
      </c>
      <c r="AU5" t="s">
        <v>77</v>
      </c>
      <c r="AV5" t="s">
        <v>78</v>
      </c>
      <c r="AW5" t="s">
        <v>79</v>
      </c>
      <c r="AX5" t="s">
        <v>80</v>
      </c>
      <c r="AY5" t="s">
        <v>81</v>
      </c>
      <c r="AZ5" t="s">
        <v>72</v>
      </c>
      <c r="BA5" t="s">
        <v>82</v>
      </c>
      <c r="BB5">
        <v>0.25</v>
      </c>
      <c r="BC5">
        <v>4.1163553999999996E-3</v>
      </c>
      <c r="BD5">
        <v>1.4279989108178799E-4</v>
      </c>
      <c r="BE5">
        <v>4.2591552910817903E-3</v>
      </c>
      <c r="BF5">
        <f>IF(AK5&lt;BE5,1,0)</f>
        <v>0</v>
      </c>
      <c r="BG5">
        <f>IF(AK5&lt;BC5,1,0)</f>
        <v>0</v>
      </c>
      <c r="BH5">
        <f>VLOOKUP($B5,[1]Data_Peer_with_peerVars!$B$2:$Z$1050,20,FALSE)</f>
        <v>5</v>
      </c>
      <c r="BI5">
        <f>VLOOKUP($B5,[1]Data_Peer_with_peerVars!$B$2:$Z$1050,21,FALSE)</f>
        <v>3</v>
      </c>
      <c r="BJ5">
        <f>VLOOKUP($B5,[1]Data_Peer_with_peerVars!$B$2:$Z$1050,22,FALSE)</f>
        <v>0.6</v>
      </c>
      <c r="BK5">
        <f>VLOOKUP($B5,[1]Data_Peer_with_peerVars!$B$2:$Z$1050,23,FALSE)</f>
        <v>60</v>
      </c>
      <c r="BL5">
        <f>VLOOKUP($B5,[1]Data_Peer_with_peerVars!$B$2:$Z$1050,24,FALSE)</f>
        <v>36</v>
      </c>
      <c r="BM5">
        <f>VLOOKUP($B5,[1]Data_Peer_with_peerVars!$B$2:$Z$1050,25,FALSE)</f>
        <v>0.6</v>
      </c>
    </row>
    <row r="6" spans="1:65" x14ac:dyDescent="0.2">
      <c r="A6">
        <v>1</v>
      </c>
      <c r="B6" t="s">
        <v>96</v>
      </c>
      <c r="C6">
        <v>4</v>
      </c>
      <c r="D6" t="s">
        <v>68</v>
      </c>
      <c r="E6">
        <v>0</v>
      </c>
      <c r="F6">
        <v>540</v>
      </c>
      <c r="G6" t="s">
        <v>97</v>
      </c>
      <c r="H6" s="1">
        <v>0</v>
      </c>
      <c r="I6" t="s">
        <v>87</v>
      </c>
      <c r="J6" t="s">
        <v>88</v>
      </c>
      <c r="K6" t="s">
        <v>72</v>
      </c>
      <c r="L6">
        <v>1</v>
      </c>
      <c r="M6">
        <v>0</v>
      </c>
      <c r="N6">
        <v>1</v>
      </c>
      <c r="O6">
        <v>1</v>
      </c>
      <c r="P6">
        <v>0</v>
      </c>
      <c r="Q6">
        <v>0</v>
      </c>
      <c r="R6">
        <v>0</v>
      </c>
      <c r="S6">
        <v>0</v>
      </c>
      <c r="T6">
        <v>0</v>
      </c>
      <c r="U6">
        <v>0</v>
      </c>
      <c r="V6">
        <v>1</v>
      </c>
      <c r="W6">
        <v>1</v>
      </c>
      <c r="X6">
        <v>1</v>
      </c>
      <c r="Y6">
        <v>1</v>
      </c>
      <c r="Z6" t="s">
        <v>98</v>
      </c>
      <c r="AA6" s="5" t="s">
        <v>99</v>
      </c>
      <c r="AB6" s="5" t="s">
        <v>100</v>
      </c>
      <c r="AC6" t="s">
        <v>99</v>
      </c>
      <c r="AD6" t="s">
        <v>101</v>
      </c>
      <c r="AE6" s="5" t="s">
        <v>101</v>
      </c>
      <c r="AF6" t="s">
        <v>102</v>
      </c>
      <c r="AG6" t="s">
        <v>103</v>
      </c>
      <c r="AH6">
        <f t="shared" si="7"/>
        <v>2.1223815E-2</v>
      </c>
      <c r="AI6">
        <f t="shared" si="5"/>
        <v>2.1223815E-2</v>
      </c>
      <c r="AJ6">
        <f t="shared" si="6"/>
        <v>2.1223815E-2</v>
      </c>
      <c r="AK6">
        <v>2.1223815E-2</v>
      </c>
      <c r="AL6">
        <v>7.3626380000000005E-2</v>
      </c>
      <c r="AM6">
        <v>0.100054674</v>
      </c>
      <c r="AN6">
        <v>0.11175497</v>
      </c>
      <c r="AO6">
        <v>97.877618499999997</v>
      </c>
      <c r="AP6">
        <v>92.637361999999996</v>
      </c>
      <c r="AQ6">
        <v>89.994532599999999</v>
      </c>
      <c r="AR6">
        <v>88.824503000000007</v>
      </c>
      <c r="AS6" t="b">
        <v>1</v>
      </c>
      <c r="AT6" t="b">
        <v>0</v>
      </c>
      <c r="AU6" t="s">
        <v>77</v>
      </c>
      <c r="AV6" t="s">
        <v>77</v>
      </c>
      <c r="AW6" t="s">
        <v>79</v>
      </c>
      <c r="AX6" t="s">
        <v>80</v>
      </c>
      <c r="AY6" t="s">
        <v>81</v>
      </c>
      <c r="AZ6" t="s">
        <v>72</v>
      </c>
      <c r="BA6" t="s">
        <v>82</v>
      </c>
      <c r="BB6">
        <v>0.3</v>
      </c>
      <c r="BC6">
        <v>2.4711695999999998E-2</v>
      </c>
      <c r="BD6">
        <v>1.72884756304863E-3</v>
      </c>
      <c r="BE6">
        <v>2.6440543563048601E-2</v>
      </c>
      <c r="BF6">
        <f>IF(AK6&lt;BE6,1,0)</f>
        <v>1</v>
      </c>
      <c r="BG6">
        <f>IF(AK6&lt;BC6,1,0)</f>
        <v>1</v>
      </c>
      <c r="BH6">
        <f>VLOOKUP($B6,[1]Data_Peer_with_peerVars!$B$2:$Z$1050,20,FALSE)</f>
        <v>0</v>
      </c>
      <c r="BI6">
        <f>VLOOKUP($B6,[1]Data_Peer_with_peerVars!$B$2:$Z$1050,21,FALSE)</f>
        <v>0</v>
      </c>
      <c r="BJ6">
        <v>0</v>
      </c>
      <c r="BK6">
        <f>VLOOKUP($B6,[1]Data_Peer_with_peerVars!$B$2:$Z$1050,23,FALSE)</f>
        <v>48</v>
      </c>
      <c r="BL6">
        <f>VLOOKUP($B6,[1]Data_Peer_with_peerVars!$B$2:$Z$1050,24,FALSE)</f>
        <v>30</v>
      </c>
      <c r="BM6">
        <f>VLOOKUP($B6,[1]Data_Peer_with_peerVars!$B$2:$Z$1050,25,FALSE)</f>
        <v>0.625</v>
      </c>
    </row>
    <row r="7" spans="1:65" x14ac:dyDescent="0.2">
      <c r="A7">
        <v>1</v>
      </c>
      <c r="B7" t="s">
        <v>104</v>
      </c>
      <c r="C7">
        <v>4</v>
      </c>
      <c r="D7" t="s">
        <v>68</v>
      </c>
      <c r="E7">
        <v>0</v>
      </c>
      <c r="F7">
        <v>540</v>
      </c>
      <c r="G7" t="s">
        <v>97</v>
      </c>
      <c r="H7" s="1">
        <v>0</v>
      </c>
      <c r="I7" t="s">
        <v>87</v>
      </c>
      <c r="J7" t="s">
        <v>88</v>
      </c>
      <c r="K7" t="s">
        <v>72</v>
      </c>
      <c r="L7">
        <v>1</v>
      </c>
      <c r="M7">
        <v>0</v>
      </c>
      <c r="N7">
        <v>1</v>
      </c>
      <c r="O7">
        <v>1</v>
      </c>
      <c r="P7">
        <v>0</v>
      </c>
      <c r="Q7">
        <v>0</v>
      </c>
      <c r="R7">
        <v>0</v>
      </c>
      <c r="S7">
        <v>0</v>
      </c>
      <c r="T7">
        <v>1</v>
      </c>
      <c r="U7">
        <v>1</v>
      </c>
      <c r="V7">
        <f t="shared" si="0"/>
        <v>0</v>
      </c>
      <c r="W7">
        <f t="shared" si="1"/>
        <v>0</v>
      </c>
      <c r="X7">
        <f t="shared" si="3"/>
        <v>0</v>
      </c>
      <c r="Y7">
        <f t="shared" si="4"/>
        <v>0</v>
      </c>
      <c r="Z7" t="s">
        <v>91</v>
      </c>
      <c r="AA7" s="5" t="s">
        <v>91</v>
      </c>
      <c r="AB7" s="5" t="s">
        <v>105</v>
      </c>
      <c r="AC7" t="s">
        <v>73</v>
      </c>
      <c r="AD7" t="s">
        <v>94</v>
      </c>
      <c r="AE7" s="5" t="s">
        <v>106</v>
      </c>
      <c r="AF7" t="s">
        <v>107</v>
      </c>
      <c r="AG7" t="s">
        <v>95</v>
      </c>
      <c r="AH7">
        <f>AI7</f>
        <v>3.8230475000000002E-3</v>
      </c>
      <c r="AI7">
        <f>AJ7</f>
        <v>3.8230475000000002E-3</v>
      </c>
      <c r="AJ7">
        <f t="shared" si="6"/>
        <v>3.8230475000000002E-3</v>
      </c>
      <c r="AK7">
        <v>3.8230475000000002E-3</v>
      </c>
      <c r="AL7">
        <v>0.13136289000000001</v>
      </c>
      <c r="AM7">
        <v>0.13646348</v>
      </c>
      <c r="AN7">
        <v>0.13890411</v>
      </c>
      <c r="AO7">
        <v>99.617695249999997</v>
      </c>
      <c r="AP7">
        <v>86.863710999999995</v>
      </c>
      <c r="AQ7">
        <v>86.353651999999997</v>
      </c>
      <c r="AR7">
        <v>86.109589</v>
      </c>
      <c r="AS7" t="b">
        <v>0</v>
      </c>
      <c r="AT7" t="b">
        <v>0</v>
      </c>
      <c r="AU7" t="s">
        <v>77</v>
      </c>
      <c r="AV7" t="s">
        <v>108</v>
      </c>
      <c r="AW7" t="s">
        <v>79</v>
      </c>
      <c r="AX7" t="s">
        <v>80</v>
      </c>
      <c r="AY7" t="s">
        <v>81</v>
      </c>
      <c r="AZ7" t="s">
        <v>109</v>
      </c>
      <c r="BA7">
        <v>100</v>
      </c>
      <c r="BB7">
        <v>2</v>
      </c>
      <c r="BC7">
        <v>4.1163553999999996E-3</v>
      </c>
      <c r="BD7">
        <v>1.4279989108178799E-4</v>
      </c>
      <c r="BE7">
        <v>4.2591552910817903E-3</v>
      </c>
      <c r="BF7">
        <f>IF(AK7&lt;BE7,1,0)</f>
        <v>1</v>
      </c>
      <c r="BG7">
        <f>IF(AK7&lt;BC7,1,0)</f>
        <v>1</v>
      </c>
      <c r="BH7">
        <f>VLOOKUP($B7,[1]Data_Peer_with_peerVars!$B$2:$Z$1050,20,FALSE)</f>
        <v>0</v>
      </c>
      <c r="BI7">
        <f>VLOOKUP($B7,[1]Data_Peer_with_peerVars!$B$2:$Z$1050,21,FALSE)</f>
        <v>0</v>
      </c>
      <c r="BJ7">
        <v>0</v>
      </c>
      <c r="BK7">
        <f>VLOOKUP($B7,[1]Data_Peer_with_peerVars!$B$2:$Z$1050,23,FALSE)</f>
        <v>48</v>
      </c>
      <c r="BL7">
        <f>VLOOKUP($B7,[1]Data_Peer_with_peerVars!$B$2:$Z$1050,24,FALSE)</f>
        <v>30</v>
      </c>
      <c r="BM7">
        <f>VLOOKUP($B7,[1]Data_Peer_with_peerVars!$B$2:$Z$1050,25,FALSE)</f>
        <v>0.625</v>
      </c>
    </row>
    <row r="8" spans="1:65" x14ac:dyDescent="0.2">
      <c r="A8">
        <v>1</v>
      </c>
      <c r="B8" t="s">
        <v>110</v>
      </c>
      <c r="C8">
        <v>5</v>
      </c>
      <c r="D8" t="s">
        <v>68</v>
      </c>
      <c r="E8">
        <v>1</v>
      </c>
      <c r="F8">
        <v>202</v>
      </c>
      <c r="G8" t="s">
        <v>69</v>
      </c>
      <c r="H8" s="1">
        <v>6</v>
      </c>
      <c r="I8" t="s">
        <v>87</v>
      </c>
      <c r="J8" t="s">
        <v>111</v>
      </c>
      <c r="K8" t="s">
        <v>109</v>
      </c>
      <c r="L8">
        <v>1</v>
      </c>
      <c r="M8">
        <v>1</v>
      </c>
      <c r="N8">
        <v>1</v>
      </c>
      <c r="O8">
        <v>0</v>
      </c>
      <c r="P8">
        <v>0</v>
      </c>
      <c r="Q8">
        <v>3</v>
      </c>
      <c r="R8">
        <v>0</v>
      </c>
      <c r="S8">
        <v>0</v>
      </c>
      <c r="T8">
        <v>0</v>
      </c>
      <c r="U8">
        <v>0</v>
      </c>
      <c r="V8">
        <f t="shared" si="0"/>
        <v>1</v>
      </c>
      <c r="W8">
        <v>1</v>
      </c>
      <c r="X8">
        <v>1</v>
      </c>
      <c r="Y8">
        <v>1</v>
      </c>
      <c r="Z8" t="s">
        <v>84</v>
      </c>
      <c r="AA8" s="5" t="s">
        <v>84</v>
      </c>
      <c r="AB8" s="5" t="s">
        <v>112</v>
      </c>
      <c r="AC8" t="s">
        <v>84</v>
      </c>
      <c r="AD8" t="s">
        <v>113</v>
      </c>
      <c r="AE8" s="5" t="s">
        <v>113</v>
      </c>
      <c r="AF8" t="s">
        <v>114</v>
      </c>
      <c r="AG8" t="s">
        <v>74</v>
      </c>
      <c r="AH8">
        <f t="shared" ref="AH8:AH19" si="8">AI8</f>
        <v>6.2087912000000002E-2</v>
      </c>
      <c r="AI8">
        <f t="shared" ref="AI8:AI13" si="9">AJ8</f>
        <v>6.2087912000000002E-2</v>
      </c>
      <c r="AJ8">
        <f t="shared" si="6"/>
        <v>6.2087912000000002E-2</v>
      </c>
      <c r="AK8">
        <v>6.2087912000000002E-2</v>
      </c>
      <c r="AL8">
        <v>0.122112215</v>
      </c>
      <c r="AM8">
        <v>0.13788376999999999</v>
      </c>
      <c r="AN8">
        <v>0.139011</v>
      </c>
      <c r="AO8">
        <v>93.791208800000007</v>
      </c>
      <c r="AP8">
        <v>87.788778500000006</v>
      </c>
      <c r="AQ8">
        <v>86.211623000000003</v>
      </c>
      <c r="AR8">
        <v>86.0989</v>
      </c>
      <c r="AS8" t="b">
        <v>1</v>
      </c>
      <c r="AT8" t="b">
        <v>0</v>
      </c>
      <c r="AU8" t="s">
        <v>77</v>
      </c>
      <c r="AV8" t="s">
        <v>78</v>
      </c>
      <c r="AW8" t="s">
        <v>79</v>
      </c>
      <c r="AX8" t="s">
        <v>80</v>
      </c>
      <c r="AY8" t="s">
        <v>115</v>
      </c>
      <c r="AZ8" t="s">
        <v>109</v>
      </c>
      <c r="BA8">
        <v>2</v>
      </c>
      <c r="BB8">
        <v>0.7</v>
      </c>
      <c r="BC8">
        <v>4.6780407000000003E-2</v>
      </c>
      <c r="BD8">
        <v>6.0749635341231199E-3</v>
      </c>
      <c r="BE8">
        <v>5.2855370534123099E-2</v>
      </c>
      <c r="BF8">
        <f>IF(AK8&lt;BE8,1,0)</f>
        <v>0</v>
      </c>
      <c r="BG8">
        <f>IF(AK8&lt;BC8,1,0)</f>
        <v>0</v>
      </c>
      <c r="BH8">
        <f>VLOOKUP($B8,[1]Data_Peer_with_peerVars!$B$2:$Z$1050,20,FALSE)</f>
        <v>2</v>
      </c>
      <c r="BI8">
        <f>VLOOKUP($B8,[1]Data_Peer_with_peerVars!$B$2:$Z$1050,21,FALSE)</f>
        <v>1</v>
      </c>
      <c r="BJ8">
        <f>VLOOKUP($B8,[1]Data_Peer_with_peerVars!$B$2:$Z$1050,22,FALSE)</f>
        <v>0.5</v>
      </c>
      <c r="BK8">
        <f>VLOOKUP($B8,[1]Data_Peer_with_peerVars!$B$2:$Z$1050,23,FALSE)</f>
        <v>35</v>
      </c>
      <c r="BL8">
        <f>VLOOKUP($B8,[1]Data_Peer_with_peerVars!$B$2:$Z$1050,24,FALSE)</f>
        <v>22</v>
      </c>
      <c r="BM8">
        <f>VLOOKUP($B8,[1]Data_Peer_with_peerVars!$B$2:$Z$1050,25,FALSE)</f>
        <v>0.62857142899999996</v>
      </c>
    </row>
    <row r="9" spans="1:65" x14ac:dyDescent="0.2">
      <c r="A9">
        <v>1</v>
      </c>
      <c r="B9" t="s">
        <v>116</v>
      </c>
      <c r="C9">
        <v>5</v>
      </c>
      <c r="D9" t="s">
        <v>68</v>
      </c>
      <c r="E9">
        <v>1</v>
      </c>
      <c r="F9">
        <v>202</v>
      </c>
      <c r="G9" t="s">
        <v>69</v>
      </c>
      <c r="H9" s="1">
        <v>6</v>
      </c>
      <c r="I9" t="s">
        <v>87</v>
      </c>
      <c r="J9" t="s">
        <v>111</v>
      </c>
      <c r="K9" t="s">
        <v>109</v>
      </c>
      <c r="L9">
        <v>1</v>
      </c>
      <c r="M9">
        <v>1</v>
      </c>
      <c r="N9">
        <v>1</v>
      </c>
      <c r="O9">
        <v>0</v>
      </c>
      <c r="P9">
        <v>0</v>
      </c>
      <c r="Q9">
        <v>3</v>
      </c>
      <c r="R9">
        <v>0</v>
      </c>
      <c r="S9">
        <v>0</v>
      </c>
      <c r="T9">
        <v>1</v>
      </c>
      <c r="U9">
        <v>1</v>
      </c>
      <c r="V9">
        <f t="shared" si="0"/>
        <v>1</v>
      </c>
      <c r="W9">
        <v>1</v>
      </c>
      <c r="X9">
        <v>1</v>
      </c>
      <c r="Y9">
        <v>1</v>
      </c>
      <c r="Z9" t="s">
        <v>73</v>
      </c>
      <c r="AA9" s="5" t="s">
        <v>73</v>
      </c>
      <c r="AB9" s="5" t="s">
        <v>117</v>
      </c>
      <c r="AC9" t="s">
        <v>73</v>
      </c>
      <c r="AD9" t="s">
        <v>94</v>
      </c>
      <c r="AE9" s="5" t="s">
        <v>106</v>
      </c>
      <c r="AF9" t="s">
        <v>107</v>
      </c>
      <c r="AG9" t="s">
        <v>95</v>
      </c>
      <c r="AH9">
        <f t="shared" si="8"/>
        <v>3.8209606000000002E-3</v>
      </c>
      <c r="AI9">
        <f t="shared" si="9"/>
        <v>3.8209606000000002E-3</v>
      </c>
      <c r="AJ9">
        <f t="shared" si="6"/>
        <v>3.8209606000000002E-3</v>
      </c>
      <c r="AK9">
        <v>3.8209606000000002E-3</v>
      </c>
      <c r="AL9">
        <v>0.13129103</v>
      </c>
      <c r="AM9">
        <v>0.13638858000000001</v>
      </c>
      <c r="AN9">
        <v>0.13882804000000001</v>
      </c>
      <c r="AO9">
        <v>99.617903940000005</v>
      </c>
      <c r="AP9">
        <v>86.870896999999999</v>
      </c>
      <c r="AQ9">
        <v>86.361142000000001</v>
      </c>
      <c r="AR9">
        <v>86.117196000000007</v>
      </c>
      <c r="AS9" t="b">
        <v>1</v>
      </c>
      <c r="AT9" t="b">
        <v>0</v>
      </c>
      <c r="AU9" t="s">
        <v>77</v>
      </c>
      <c r="AV9" t="s">
        <v>108</v>
      </c>
      <c r="AW9" t="s">
        <v>79</v>
      </c>
      <c r="AX9" t="s">
        <v>80</v>
      </c>
      <c r="AY9" t="s">
        <v>115</v>
      </c>
      <c r="AZ9" t="s">
        <v>109</v>
      </c>
      <c r="BA9">
        <v>8</v>
      </c>
      <c r="BB9">
        <v>2</v>
      </c>
      <c r="BC9">
        <v>4.1163553999999996E-3</v>
      </c>
      <c r="BD9">
        <v>1.4279989108178799E-4</v>
      </c>
      <c r="BE9">
        <v>4.2591552910817903E-3</v>
      </c>
      <c r="BF9">
        <f>IF(AK9&lt;BE9,1,0)</f>
        <v>1</v>
      </c>
      <c r="BG9">
        <f>IF(AK9&lt;BC9,1,0)</f>
        <v>1</v>
      </c>
      <c r="BH9">
        <f>VLOOKUP($B9,[1]Data_Peer_with_peerVars!$B$2:$Z$1050,20,FALSE)</f>
        <v>2</v>
      </c>
      <c r="BI9">
        <f>VLOOKUP($B9,[1]Data_Peer_with_peerVars!$B$2:$Z$1050,21,FALSE)</f>
        <v>1</v>
      </c>
      <c r="BJ9">
        <f>VLOOKUP($B9,[1]Data_Peer_with_peerVars!$B$2:$Z$1050,22,FALSE)</f>
        <v>0.5</v>
      </c>
      <c r="BK9">
        <f>VLOOKUP($B9,[1]Data_Peer_with_peerVars!$B$2:$Z$1050,23,FALSE)</f>
        <v>35</v>
      </c>
      <c r="BL9">
        <f>VLOOKUP($B9,[1]Data_Peer_with_peerVars!$B$2:$Z$1050,24,FALSE)</f>
        <v>22</v>
      </c>
      <c r="BM9">
        <f>VLOOKUP($B9,[1]Data_Peer_with_peerVars!$B$2:$Z$1050,25,FALSE)</f>
        <v>0.62857142899999996</v>
      </c>
    </row>
    <row r="10" spans="1:65" x14ac:dyDescent="0.2">
      <c r="A10">
        <v>1</v>
      </c>
      <c r="B10" t="s">
        <v>118</v>
      </c>
      <c r="C10">
        <v>6</v>
      </c>
      <c r="D10" t="s">
        <v>68</v>
      </c>
      <c r="E10">
        <v>0</v>
      </c>
      <c r="F10">
        <v>214</v>
      </c>
      <c r="G10" t="s">
        <v>119</v>
      </c>
      <c r="H10" s="1">
        <v>7</v>
      </c>
      <c r="I10" t="s">
        <v>87</v>
      </c>
      <c r="J10" t="s">
        <v>111</v>
      </c>
      <c r="K10" t="s">
        <v>109</v>
      </c>
      <c r="L10">
        <v>1</v>
      </c>
      <c r="M10">
        <v>1</v>
      </c>
      <c r="N10">
        <v>0</v>
      </c>
      <c r="O10">
        <v>1</v>
      </c>
      <c r="P10">
        <v>0</v>
      </c>
      <c r="Q10">
        <v>0</v>
      </c>
      <c r="R10">
        <v>0</v>
      </c>
      <c r="S10">
        <v>0</v>
      </c>
      <c r="T10">
        <v>0</v>
      </c>
      <c r="U10">
        <v>0</v>
      </c>
      <c r="V10">
        <f t="shared" si="0"/>
        <v>1</v>
      </c>
      <c r="W10">
        <v>1</v>
      </c>
      <c r="X10">
        <v>1</v>
      </c>
      <c r="Y10">
        <v>1</v>
      </c>
      <c r="Z10" t="s">
        <v>76</v>
      </c>
      <c r="AA10" s="5" t="s">
        <v>76</v>
      </c>
      <c r="AB10" s="5" t="s">
        <v>76</v>
      </c>
      <c r="AC10" t="s">
        <v>76</v>
      </c>
      <c r="AD10" t="s">
        <v>74</v>
      </c>
      <c r="AE10" s="5" t="s">
        <v>74</v>
      </c>
      <c r="AF10" t="s">
        <v>75</v>
      </c>
      <c r="AG10" t="s">
        <v>120</v>
      </c>
      <c r="AH10">
        <f t="shared" si="8"/>
        <v>7.1038249999999997E-2</v>
      </c>
      <c r="AI10">
        <f t="shared" si="9"/>
        <v>7.1038249999999997E-2</v>
      </c>
      <c r="AJ10">
        <f t="shared" si="6"/>
        <v>7.1038249999999997E-2</v>
      </c>
      <c r="AK10">
        <v>7.1038249999999997E-2</v>
      </c>
      <c r="AL10">
        <v>9.7587720000000003E-2</v>
      </c>
      <c r="AM10">
        <v>0.12068965</v>
      </c>
      <c r="AN10">
        <v>0.122677594</v>
      </c>
      <c r="AO10">
        <v>92.896174999999999</v>
      </c>
      <c r="AP10">
        <v>90.241228000000007</v>
      </c>
      <c r="AQ10">
        <v>87.931034999999994</v>
      </c>
      <c r="AR10">
        <v>87.732240599999997</v>
      </c>
      <c r="AS10" t="b">
        <v>1</v>
      </c>
      <c r="AT10" t="b">
        <v>0</v>
      </c>
      <c r="AU10" t="s">
        <v>77</v>
      </c>
      <c r="AV10" t="s">
        <v>77</v>
      </c>
      <c r="AW10" t="s">
        <v>79</v>
      </c>
      <c r="AX10" t="s">
        <v>80</v>
      </c>
      <c r="AY10" t="s">
        <v>115</v>
      </c>
      <c r="AZ10" t="s">
        <v>109</v>
      </c>
      <c r="BA10">
        <v>2</v>
      </c>
      <c r="BB10">
        <v>0.4</v>
      </c>
      <c r="BC10">
        <v>7.7070764999999999E-2</v>
      </c>
      <c r="BD10">
        <v>1.90190515067399E-3</v>
      </c>
      <c r="BE10">
        <v>7.8972670150673996E-2</v>
      </c>
      <c r="BF10">
        <f>IF(AK10&lt;BE10,1,0)</f>
        <v>1</v>
      </c>
      <c r="BG10">
        <f>IF(AK10&lt;BC10,1,0)</f>
        <v>1</v>
      </c>
      <c r="BH10">
        <f>VLOOKUP($B10,[1]Data_Peer_with_peerVars!$B$2:$Z$1050,20,FALSE)</f>
        <v>2</v>
      </c>
      <c r="BI10">
        <f>VLOOKUP($B10,[1]Data_Peer_with_peerVars!$B$2:$Z$1050,21,FALSE)</f>
        <v>1</v>
      </c>
      <c r="BJ10">
        <f>VLOOKUP($B10,[1]Data_Peer_with_peerVars!$B$2:$Z$1050,22,FALSE)</f>
        <v>0.5</v>
      </c>
      <c r="BK10">
        <f>VLOOKUP($B10,[1]Data_Peer_with_peerVars!$B$2:$Z$1050,23,FALSE)</f>
        <v>31</v>
      </c>
      <c r="BL10">
        <f>VLOOKUP($B10,[1]Data_Peer_with_peerVars!$B$2:$Z$1050,24,FALSE)</f>
        <v>18</v>
      </c>
      <c r="BM10">
        <f>VLOOKUP($B10,[1]Data_Peer_with_peerVars!$B$2:$Z$1050,25,FALSE)</f>
        <v>0.58064516099999997</v>
      </c>
    </row>
    <row r="11" spans="1:65" x14ac:dyDescent="0.2">
      <c r="A11">
        <v>1</v>
      </c>
      <c r="B11" t="s">
        <v>121</v>
      </c>
      <c r="C11">
        <v>6</v>
      </c>
      <c r="D11" t="s">
        <v>68</v>
      </c>
      <c r="E11">
        <v>0</v>
      </c>
      <c r="F11">
        <v>214</v>
      </c>
      <c r="G11" t="s">
        <v>119</v>
      </c>
      <c r="H11" s="1">
        <v>7</v>
      </c>
      <c r="I11" t="s">
        <v>87</v>
      </c>
      <c r="J11" t="s">
        <v>111</v>
      </c>
      <c r="K11" t="s">
        <v>109</v>
      </c>
      <c r="L11">
        <v>1</v>
      </c>
      <c r="M11">
        <v>1</v>
      </c>
      <c r="N11">
        <v>0</v>
      </c>
      <c r="O11">
        <v>1</v>
      </c>
      <c r="P11">
        <v>0</v>
      </c>
      <c r="Q11">
        <v>0</v>
      </c>
      <c r="R11">
        <v>0</v>
      </c>
      <c r="S11">
        <v>0</v>
      </c>
      <c r="T11">
        <v>0</v>
      </c>
      <c r="U11">
        <v>0</v>
      </c>
      <c r="V11">
        <f t="shared" si="0"/>
        <v>1</v>
      </c>
      <c r="W11">
        <v>1</v>
      </c>
      <c r="X11">
        <v>1</v>
      </c>
      <c r="Y11">
        <v>1</v>
      </c>
      <c r="Z11" t="s">
        <v>73</v>
      </c>
      <c r="AA11" s="5" t="s">
        <v>73</v>
      </c>
      <c r="AB11" s="5" t="s">
        <v>73</v>
      </c>
      <c r="AC11" t="s">
        <v>73</v>
      </c>
      <c r="AD11" t="s">
        <v>94</v>
      </c>
      <c r="AE11" s="5" t="s">
        <v>94</v>
      </c>
      <c r="AF11" t="s">
        <v>75</v>
      </c>
      <c r="AG11" t="s">
        <v>95</v>
      </c>
      <c r="AH11">
        <f t="shared" si="8"/>
        <v>6.0076459999999998E-2</v>
      </c>
      <c r="AI11">
        <f t="shared" si="9"/>
        <v>6.0076459999999998E-2</v>
      </c>
      <c r="AJ11">
        <f t="shared" si="6"/>
        <v>6.0076459999999998E-2</v>
      </c>
      <c r="AK11">
        <v>6.0076459999999998E-2</v>
      </c>
      <c r="AL11">
        <v>0.11946419</v>
      </c>
      <c r="AM11">
        <v>0.13150685000000001</v>
      </c>
      <c r="AN11">
        <v>0.13902571999999999</v>
      </c>
      <c r="AO11">
        <v>93.992354000000006</v>
      </c>
      <c r="AP11">
        <v>88.053580999999994</v>
      </c>
      <c r="AQ11">
        <v>86.849315000000004</v>
      </c>
      <c r="AR11">
        <v>86.097427999999994</v>
      </c>
      <c r="AS11" t="b">
        <v>1</v>
      </c>
      <c r="AT11" t="b">
        <v>0</v>
      </c>
      <c r="AU11" t="s">
        <v>77</v>
      </c>
      <c r="AV11" t="s">
        <v>78</v>
      </c>
      <c r="AW11" t="s">
        <v>79</v>
      </c>
      <c r="AX11" t="s">
        <v>80</v>
      </c>
      <c r="AY11" t="s">
        <v>115</v>
      </c>
      <c r="AZ11" t="s">
        <v>109</v>
      </c>
      <c r="BA11">
        <v>2</v>
      </c>
      <c r="BB11">
        <v>0.2</v>
      </c>
      <c r="BC11">
        <v>4.1163553999999996E-3</v>
      </c>
      <c r="BD11">
        <v>1.4279989108178799E-4</v>
      </c>
      <c r="BE11">
        <v>4.2591552910817903E-3</v>
      </c>
      <c r="BF11">
        <f>IF(AK11&lt;BE11,1,0)</f>
        <v>0</v>
      </c>
      <c r="BG11">
        <f>IF(AK11&lt;BC11,1,0)</f>
        <v>0</v>
      </c>
      <c r="BH11">
        <f>VLOOKUP($B11,[1]Data_Peer_with_peerVars!$B$2:$Z$1050,20,FALSE)</f>
        <v>2</v>
      </c>
      <c r="BI11">
        <f>VLOOKUP($B11,[1]Data_Peer_with_peerVars!$B$2:$Z$1050,21,FALSE)</f>
        <v>1</v>
      </c>
      <c r="BJ11">
        <f>VLOOKUP($B11,[1]Data_Peer_with_peerVars!$B$2:$Z$1050,22,FALSE)</f>
        <v>0.5</v>
      </c>
      <c r="BK11">
        <f>VLOOKUP($B11,[1]Data_Peer_with_peerVars!$B$2:$Z$1050,23,FALSE)</f>
        <v>31</v>
      </c>
      <c r="BL11">
        <f>VLOOKUP($B11,[1]Data_Peer_with_peerVars!$B$2:$Z$1050,24,FALSE)</f>
        <v>18</v>
      </c>
      <c r="BM11">
        <f>VLOOKUP($B11,[1]Data_Peer_with_peerVars!$B$2:$Z$1050,25,FALSE)</f>
        <v>0.58064516099999997</v>
      </c>
    </row>
    <row r="12" spans="1:65" x14ac:dyDescent="0.2">
      <c r="A12">
        <v>1</v>
      </c>
      <c r="B12" t="s">
        <v>122</v>
      </c>
      <c r="C12">
        <v>6</v>
      </c>
      <c r="D12" t="s">
        <v>68</v>
      </c>
      <c r="E12">
        <v>0</v>
      </c>
      <c r="F12">
        <v>214</v>
      </c>
      <c r="G12" t="s">
        <v>119</v>
      </c>
      <c r="H12" s="1">
        <v>7</v>
      </c>
      <c r="I12" t="s">
        <v>87</v>
      </c>
      <c r="J12" t="s">
        <v>111</v>
      </c>
      <c r="K12" t="s">
        <v>109</v>
      </c>
      <c r="L12">
        <v>1</v>
      </c>
      <c r="M12">
        <v>1</v>
      </c>
      <c r="N12">
        <v>0</v>
      </c>
      <c r="O12">
        <v>1</v>
      </c>
      <c r="P12">
        <v>0</v>
      </c>
      <c r="Q12">
        <v>0</v>
      </c>
      <c r="R12">
        <v>0</v>
      </c>
      <c r="S12">
        <v>0</v>
      </c>
      <c r="T12">
        <v>1</v>
      </c>
      <c r="U12">
        <v>1</v>
      </c>
      <c r="V12">
        <f t="shared" si="0"/>
        <v>1</v>
      </c>
      <c r="W12">
        <v>1</v>
      </c>
      <c r="X12">
        <v>1</v>
      </c>
      <c r="Y12">
        <v>1</v>
      </c>
      <c r="Z12" t="s">
        <v>94</v>
      </c>
      <c r="AA12" s="5" t="s">
        <v>94</v>
      </c>
      <c r="AB12" s="5" t="s">
        <v>94</v>
      </c>
      <c r="AC12" t="s">
        <v>94</v>
      </c>
      <c r="AD12" t="s">
        <v>95</v>
      </c>
      <c r="AE12" s="5" t="s">
        <v>95</v>
      </c>
      <c r="AF12" t="s">
        <v>107</v>
      </c>
      <c r="AG12" t="s">
        <v>74</v>
      </c>
      <c r="AH12">
        <f t="shared" si="8"/>
        <v>1.5068493000000001E-2</v>
      </c>
      <c r="AI12">
        <f t="shared" si="9"/>
        <v>1.5068493000000001E-2</v>
      </c>
      <c r="AJ12">
        <f t="shared" si="6"/>
        <v>1.5068493000000001E-2</v>
      </c>
      <c r="AK12">
        <v>1.5068493000000001E-2</v>
      </c>
      <c r="AL12">
        <v>0.10784852</v>
      </c>
      <c r="AM12">
        <v>0.11111111</v>
      </c>
      <c r="AN12">
        <v>0.12706271</v>
      </c>
      <c r="AO12">
        <v>98.493150700000001</v>
      </c>
      <c r="AP12">
        <v>89.215147999999999</v>
      </c>
      <c r="AQ12">
        <v>88.888889000000006</v>
      </c>
      <c r="AR12">
        <v>87.293728999999999</v>
      </c>
      <c r="AS12" t="b">
        <v>1</v>
      </c>
      <c r="AT12" t="b">
        <v>0</v>
      </c>
      <c r="AU12" t="s">
        <v>77</v>
      </c>
      <c r="AV12" t="s">
        <v>78</v>
      </c>
      <c r="AW12" t="s">
        <v>79</v>
      </c>
      <c r="AX12" t="s">
        <v>80</v>
      </c>
      <c r="AY12" t="s">
        <v>115</v>
      </c>
      <c r="AZ12" t="s">
        <v>109</v>
      </c>
      <c r="BA12">
        <v>2</v>
      </c>
      <c r="BB12">
        <v>0.4</v>
      </c>
      <c r="BC12">
        <v>1.6447369E-2</v>
      </c>
      <c r="BD12">
        <v>4.2236161269162102E-4</v>
      </c>
      <c r="BE12">
        <v>1.6869730612691598E-2</v>
      </c>
      <c r="BF12">
        <f>IF(AK12&lt;BE12,1,0)</f>
        <v>1</v>
      </c>
      <c r="BG12">
        <f>IF(AK12&lt;BC12,1,0)</f>
        <v>1</v>
      </c>
      <c r="BH12">
        <f>VLOOKUP($B12,[1]Data_Peer_with_peerVars!$B$2:$Z$1050,20,FALSE)</f>
        <v>2</v>
      </c>
      <c r="BI12">
        <f>VLOOKUP($B12,[1]Data_Peer_with_peerVars!$B$2:$Z$1050,21,FALSE)</f>
        <v>1</v>
      </c>
      <c r="BJ12">
        <f>VLOOKUP($B12,[1]Data_Peer_with_peerVars!$B$2:$Z$1050,22,FALSE)</f>
        <v>0.5</v>
      </c>
      <c r="BK12">
        <f>VLOOKUP($B12,[1]Data_Peer_with_peerVars!$B$2:$Z$1050,23,FALSE)</f>
        <v>31</v>
      </c>
      <c r="BL12">
        <f>VLOOKUP($B12,[1]Data_Peer_with_peerVars!$B$2:$Z$1050,24,FALSE)</f>
        <v>18</v>
      </c>
      <c r="BM12">
        <f>VLOOKUP($B12,[1]Data_Peer_with_peerVars!$B$2:$Z$1050,25,FALSE)</f>
        <v>0.58064516099999997</v>
      </c>
    </row>
    <row r="13" spans="1:65" x14ac:dyDescent="0.2">
      <c r="A13">
        <v>1</v>
      </c>
      <c r="B13" t="s">
        <v>123</v>
      </c>
      <c r="C13">
        <v>7</v>
      </c>
      <c r="D13" t="s">
        <v>68</v>
      </c>
      <c r="E13">
        <v>0</v>
      </c>
      <c r="F13">
        <v>224</v>
      </c>
      <c r="G13" t="s">
        <v>119</v>
      </c>
      <c r="H13" s="1">
        <v>7</v>
      </c>
      <c r="I13" t="s">
        <v>87</v>
      </c>
      <c r="J13" t="s">
        <v>124</v>
      </c>
      <c r="K13" t="s">
        <v>72</v>
      </c>
      <c r="L13">
        <v>1</v>
      </c>
      <c r="M13">
        <v>0</v>
      </c>
      <c r="N13">
        <v>0</v>
      </c>
      <c r="O13">
        <v>1</v>
      </c>
      <c r="P13">
        <v>1</v>
      </c>
      <c r="Q13">
        <v>16</v>
      </c>
      <c r="R13">
        <v>0</v>
      </c>
      <c r="S13">
        <v>0</v>
      </c>
      <c r="T13">
        <v>1</v>
      </c>
      <c r="U13">
        <v>1</v>
      </c>
      <c r="V13">
        <f t="shared" si="0"/>
        <v>1</v>
      </c>
      <c r="W13">
        <v>1</v>
      </c>
      <c r="X13">
        <v>1</v>
      </c>
      <c r="Y13">
        <v>1</v>
      </c>
      <c r="Z13" t="s">
        <v>73</v>
      </c>
      <c r="AA13" s="5" t="s">
        <v>73</v>
      </c>
      <c r="AB13" s="5" t="s">
        <v>73</v>
      </c>
      <c r="AC13" t="s">
        <v>73</v>
      </c>
      <c r="AD13" t="s">
        <v>94</v>
      </c>
      <c r="AE13" s="5" t="s">
        <v>106</v>
      </c>
      <c r="AF13" t="s">
        <v>107</v>
      </c>
      <c r="AG13" t="s">
        <v>95</v>
      </c>
      <c r="AH13">
        <f t="shared" si="8"/>
        <v>4.1254126000000004E-3</v>
      </c>
      <c r="AI13">
        <f t="shared" si="9"/>
        <v>4.1254126000000004E-3</v>
      </c>
      <c r="AJ13">
        <f t="shared" si="6"/>
        <v>4.1254126000000004E-3</v>
      </c>
      <c r="AK13">
        <v>4.1254126000000004E-3</v>
      </c>
      <c r="AL13">
        <v>0.13092613</v>
      </c>
      <c r="AM13">
        <v>0.13661503999999999</v>
      </c>
      <c r="AN13">
        <v>0.13934879</v>
      </c>
      <c r="AO13">
        <v>99.587458740000002</v>
      </c>
      <c r="AP13">
        <v>86.907387</v>
      </c>
      <c r="AQ13">
        <v>86.338496000000006</v>
      </c>
      <c r="AR13">
        <v>86.065121000000005</v>
      </c>
      <c r="AS13" t="b">
        <v>1</v>
      </c>
      <c r="AT13" t="b">
        <v>0</v>
      </c>
      <c r="AU13" t="s">
        <v>77</v>
      </c>
      <c r="AV13" t="s">
        <v>108</v>
      </c>
      <c r="AW13" t="s">
        <v>79</v>
      </c>
      <c r="AX13" t="s">
        <v>80</v>
      </c>
      <c r="AY13" t="s">
        <v>115</v>
      </c>
      <c r="AZ13" t="s">
        <v>72</v>
      </c>
      <c r="BA13" t="s">
        <v>82</v>
      </c>
      <c r="BB13">
        <v>1</v>
      </c>
      <c r="BC13">
        <v>4.1163553999999996E-3</v>
      </c>
      <c r="BD13">
        <v>1.4279989108178799E-4</v>
      </c>
      <c r="BE13">
        <v>4.2591552910817903E-3</v>
      </c>
      <c r="BF13">
        <f>IF(AK13&lt;BE13,1,0)</f>
        <v>1</v>
      </c>
      <c r="BG13">
        <f>IF(AK13&lt;BC13,1,0)</f>
        <v>0</v>
      </c>
      <c r="BH13">
        <f>VLOOKUP($B13,[1]Data_Peer_with_peerVars!$B$2:$Z$1050,20,FALSE)</f>
        <v>0</v>
      </c>
      <c r="BI13">
        <f>VLOOKUP($B13,[1]Data_Peer_with_peerVars!$B$2:$Z$1050,21,FALSE)</f>
        <v>0</v>
      </c>
      <c r="BJ13">
        <v>0</v>
      </c>
      <c r="BK13">
        <f>VLOOKUP($B13,[1]Data_Peer_with_peerVars!$B$2:$Z$1050,23,FALSE)</f>
        <v>15</v>
      </c>
      <c r="BL13">
        <f>VLOOKUP($B13,[1]Data_Peer_with_peerVars!$B$2:$Z$1050,24,FALSE)</f>
        <v>10</v>
      </c>
      <c r="BM13">
        <f>VLOOKUP($B13,[1]Data_Peer_with_peerVars!$B$2:$Z$1050,25,FALSE)</f>
        <v>0.66666666699999999</v>
      </c>
    </row>
    <row r="14" spans="1:65" x14ac:dyDescent="0.2">
      <c r="A14">
        <v>1</v>
      </c>
      <c r="B14" t="s">
        <v>125</v>
      </c>
      <c r="C14">
        <v>7</v>
      </c>
      <c r="D14" t="s">
        <v>68</v>
      </c>
      <c r="E14">
        <v>0</v>
      </c>
      <c r="F14">
        <v>224</v>
      </c>
      <c r="G14" t="s">
        <v>119</v>
      </c>
      <c r="H14" s="1">
        <v>7</v>
      </c>
      <c r="I14" t="s">
        <v>87</v>
      </c>
      <c r="J14" t="s">
        <v>124</v>
      </c>
      <c r="K14" t="s">
        <v>72</v>
      </c>
      <c r="L14">
        <v>1</v>
      </c>
      <c r="M14">
        <v>0</v>
      </c>
      <c r="N14">
        <v>0</v>
      </c>
      <c r="O14">
        <v>1</v>
      </c>
      <c r="P14">
        <v>1</v>
      </c>
      <c r="Q14">
        <v>16</v>
      </c>
      <c r="R14">
        <v>0</v>
      </c>
      <c r="S14">
        <v>0</v>
      </c>
      <c r="T14">
        <v>0</v>
      </c>
      <c r="U14">
        <v>0</v>
      </c>
      <c r="V14">
        <f t="shared" si="0"/>
        <v>0</v>
      </c>
      <c r="W14">
        <f t="shared" si="1"/>
        <v>1</v>
      </c>
      <c r="X14">
        <v>1</v>
      </c>
      <c r="Y14">
        <v>1</v>
      </c>
      <c r="Z14" t="s">
        <v>76</v>
      </c>
      <c r="AA14" s="5" t="s">
        <v>76</v>
      </c>
      <c r="AB14" s="5" t="s">
        <v>76</v>
      </c>
      <c r="AC14" t="s">
        <v>74</v>
      </c>
      <c r="AD14" t="s">
        <v>76</v>
      </c>
      <c r="AE14" s="5" t="s">
        <v>76</v>
      </c>
      <c r="AF14" t="s">
        <v>84</v>
      </c>
      <c r="AG14" t="s">
        <v>75</v>
      </c>
      <c r="AH14">
        <f t="shared" si="8"/>
        <v>7.9539225000000005E-2</v>
      </c>
      <c r="AI14">
        <f>AJ14</f>
        <v>7.9539225000000005E-2</v>
      </c>
      <c r="AJ14">
        <f>AL14</f>
        <v>7.9539225000000005E-2</v>
      </c>
      <c r="AK14">
        <v>6.5181515999999995E-2</v>
      </c>
      <c r="AL14">
        <v>7.9539225000000005E-2</v>
      </c>
      <c r="AM14">
        <v>0.10722160999999999</v>
      </c>
      <c r="AN14">
        <v>0.10879121</v>
      </c>
      <c r="AO14">
        <v>93.481848400000004</v>
      </c>
      <c r="AP14">
        <v>92.046077499999996</v>
      </c>
      <c r="AQ14">
        <v>89.277839</v>
      </c>
      <c r="AR14">
        <v>89.120879000000002</v>
      </c>
      <c r="AS14" t="b">
        <v>0</v>
      </c>
      <c r="AT14" t="b">
        <v>1</v>
      </c>
      <c r="AU14" t="s">
        <v>77</v>
      </c>
      <c r="AV14" t="s">
        <v>77</v>
      </c>
      <c r="AW14" t="s">
        <v>79</v>
      </c>
      <c r="AX14" t="s">
        <v>80</v>
      </c>
      <c r="AY14" t="s">
        <v>115</v>
      </c>
      <c r="AZ14" t="s">
        <v>72</v>
      </c>
      <c r="BA14" t="s">
        <v>82</v>
      </c>
      <c r="BB14">
        <v>0.2</v>
      </c>
      <c r="BC14">
        <v>2.4738868000000001E-3</v>
      </c>
      <c r="BD14">
        <v>1.4256942275279999E-4</v>
      </c>
      <c r="BE14">
        <v>2.6164562227527998E-3</v>
      </c>
      <c r="BF14">
        <f>IF(AK14&lt;BE14,1,0)</f>
        <v>0</v>
      </c>
      <c r="BG14">
        <f>IF(AK14&lt;BC14,1,0)</f>
        <v>0</v>
      </c>
      <c r="BH14">
        <f>VLOOKUP($B14,[1]Data_Peer_with_peerVars!$B$2:$Z$1050,20,FALSE)</f>
        <v>0</v>
      </c>
      <c r="BI14">
        <f>VLOOKUP($B14,[1]Data_Peer_with_peerVars!$B$2:$Z$1050,21,FALSE)</f>
        <v>0</v>
      </c>
      <c r="BJ14">
        <v>0</v>
      </c>
      <c r="BK14">
        <f>VLOOKUP($B14,[1]Data_Peer_with_peerVars!$B$2:$Z$1050,23,FALSE)</f>
        <v>15</v>
      </c>
      <c r="BL14">
        <f>VLOOKUP($B14,[1]Data_Peer_with_peerVars!$B$2:$Z$1050,24,FALSE)</f>
        <v>10</v>
      </c>
      <c r="BM14">
        <f>VLOOKUP($B14,[1]Data_Peer_with_peerVars!$B$2:$Z$1050,25,FALSE)</f>
        <v>0.66666666699999999</v>
      </c>
    </row>
    <row r="15" spans="1:65" x14ac:dyDescent="0.2">
      <c r="A15">
        <v>1</v>
      </c>
      <c r="B15" t="s">
        <v>126</v>
      </c>
      <c r="C15">
        <v>8</v>
      </c>
      <c r="D15" t="s">
        <v>68</v>
      </c>
      <c r="E15">
        <v>0</v>
      </c>
      <c r="F15">
        <v>245</v>
      </c>
      <c r="G15" t="s">
        <v>119</v>
      </c>
      <c r="H15" s="1">
        <v>6</v>
      </c>
      <c r="I15" t="s">
        <v>87</v>
      </c>
      <c r="J15" t="s">
        <v>111</v>
      </c>
      <c r="K15" t="s">
        <v>109</v>
      </c>
      <c r="L15">
        <v>1</v>
      </c>
      <c r="M15">
        <v>0</v>
      </c>
      <c r="N15">
        <v>0</v>
      </c>
      <c r="O15">
        <v>0</v>
      </c>
      <c r="P15">
        <v>0</v>
      </c>
      <c r="Q15">
        <v>6</v>
      </c>
      <c r="R15">
        <v>0</v>
      </c>
      <c r="S15">
        <v>0</v>
      </c>
      <c r="T15">
        <v>1</v>
      </c>
      <c r="U15">
        <v>1</v>
      </c>
      <c r="V15">
        <f t="shared" si="0"/>
        <v>1</v>
      </c>
      <c r="W15">
        <v>1</v>
      </c>
      <c r="X15">
        <v>1</v>
      </c>
      <c r="Y15">
        <v>1</v>
      </c>
      <c r="Z15" t="s">
        <v>94</v>
      </c>
      <c r="AA15" s="5" t="s">
        <v>94</v>
      </c>
      <c r="AB15" s="5" t="s">
        <v>94</v>
      </c>
      <c r="AC15" t="s">
        <v>94</v>
      </c>
      <c r="AD15" t="s">
        <v>95</v>
      </c>
      <c r="AE15" s="5" t="s">
        <v>95</v>
      </c>
      <c r="AF15" t="s">
        <v>107</v>
      </c>
      <c r="AG15" t="s">
        <v>74</v>
      </c>
      <c r="AH15">
        <f t="shared" si="8"/>
        <v>1.6111415E-2</v>
      </c>
      <c r="AI15">
        <f t="shared" ref="AI15:AI16" si="10">AJ15</f>
        <v>1.6111415E-2</v>
      </c>
      <c r="AJ15">
        <f t="shared" si="6"/>
        <v>1.6111415E-2</v>
      </c>
      <c r="AK15">
        <v>1.6111415E-2</v>
      </c>
      <c r="AL15">
        <v>0.10782704</v>
      </c>
      <c r="AM15">
        <v>0.110471494</v>
      </c>
      <c r="AN15">
        <v>0.12561712</v>
      </c>
      <c r="AO15">
        <v>98.388858499999998</v>
      </c>
      <c r="AP15">
        <v>89.217296000000005</v>
      </c>
      <c r="AQ15">
        <v>88.952850600000005</v>
      </c>
      <c r="AR15">
        <v>87.438288</v>
      </c>
      <c r="AS15" t="b">
        <v>1</v>
      </c>
      <c r="AT15" t="b">
        <v>0</v>
      </c>
      <c r="AU15" t="s">
        <v>77</v>
      </c>
      <c r="AV15" t="s">
        <v>78</v>
      </c>
      <c r="AW15" t="s">
        <v>79</v>
      </c>
      <c r="AX15" t="s">
        <v>80</v>
      </c>
      <c r="AY15" t="s">
        <v>115</v>
      </c>
      <c r="AZ15" t="s">
        <v>109</v>
      </c>
      <c r="BA15">
        <v>6</v>
      </c>
      <c r="BB15">
        <v>0.15</v>
      </c>
      <c r="BC15">
        <v>1.6447369E-2</v>
      </c>
      <c r="BD15">
        <v>4.2236161269162102E-4</v>
      </c>
      <c r="BE15">
        <v>1.6869730612691598E-2</v>
      </c>
      <c r="BF15">
        <f>IF(AK15&lt;BE15,1,0)</f>
        <v>1</v>
      </c>
      <c r="BG15">
        <f>IF(AK15&lt;BC15,1,0)</f>
        <v>1</v>
      </c>
      <c r="BH15">
        <f>VLOOKUP($B15,[1]Data_Peer_with_peerVars!$B$2:$Z$1050,20,FALSE)</f>
        <v>9</v>
      </c>
      <c r="BI15">
        <f>VLOOKUP($B15,[1]Data_Peer_with_peerVars!$B$2:$Z$1050,21,FALSE)</f>
        <v>5</v>
      </c>
      <c r="BJ15">
        <f>VLOOKUP($B15,[1]Data_Peer_with_peerVars!$B$2:$Z$1050,22,FALSE)</f>
        <v>0.55555555599999995</v>
      </c>
      <c r="BK15">
        <f>VLOOKUP($B15,[1]Data_Peer_with_peerVars!$B$2:$Z$1050,23,FALSE)</f>
        <v>18</v>
      </c>
      <c r="BL15">
        <f>VLOOKUP($B15,[1]Data_Peer_with_peerVars!$B$2:$Z$1050,24,FALSE)</f>
        <v>11</v>
      </c>
      <c r="BM15">
        <f>VLOOKUP($B15,[1]Data_Peer_with_peerVars!$B$2:$Z$1050,25,FALSE)</f>
        <v>0.61111111100000004</v>
      </c>
    </row>
    <row r="16" spans="1:65" x14ac:dyDescent="0.2">
      <c r="A16">
        <v>1</v>
      </c>
      <c r="B16" t="s">
        <v>127</v>
      </c>
      <c r="C16">
        <v>8</v>
      </c>
      <c r="D16" t="s">
        <v>68</v>
      </c>
      <c r="E16">
        <v>0</v>
      </c>
      <c r="F16">
        <v>245</v>
      </c>
      <c r="G16" t="s">
        <v>119</v>
      </c>
      <c r="H16" s="1">
        <v>6</v>
      </c>
      <c r="I16" t="s">
        <v>87</v>
      </c>
      <c r="J16" t="s">
        <v>111</v>
      </c>
      <c r="K16" t="s">
        <v>109</v>
      </c>
      <c r="L16">
        <v>1</v>
      </c>
      <c r="M16">
        <v>0</v>
      </c>
      <c r="N16">
        <v>0</v>
      </c>
      <c r="O16">
        <v>0</v>
      </c>
      <c r="P16">
        <v>0</v>
      </c>
      <c r="Q16">
        <v>6</v>
      </c>
      <c r="R16">
        <v>0</v>
      </c>
      <c r="S16">
        <v>0</v>
      </c>
      <c r="T16">
        <v>1</v>
      </c>
      <c r="U16">
        <v>1</v>
      </c>
      <c r="V16">
        <f t="shared" si="0"/>
        <v>1</v>
      </c>
      <c r="W16">
        <v>1</v>
      </c>
      <c r="X16">
        <v>1</v>
      </c>
      <c r="Y16">
        <v>1</v>
      </c>
      <c r="Z16" t="s">
        <v>73</v>
      </c>
      <c r="AA16" s="5" t="s">
        <v>73</v>
      </c>
      <c r="AB16" s="5" t="s">
        <v>73</v>
      </c>
      <c r="AC16" t="s">
        <v>73</v>
      </c>
      <c r="AD16" t="s">
        <v>94</v>
      </c>
      <c r="AE16" s="5" t="s">
        <v>106</v>
      </c>
      <c r="AF16" t="s">
        <v>107</v>
      </c>
      <c r="AG16" t="s">
        <v>95</v>
      </c>
      <c r="AH16">
        <f t="shared" si="8"/>
        <v>3.8188760000000001E-3</v>
      </c>
      <c r="AI16">
        <f t="shared" si="10"/>
        <v>3.8188760000000001E-3</v>
      </c>
      <c r="AJ16">
        <f t="shared" si="6"/>
        <v>3.8188760000000001E-3</v>
      </c>
      <c r="AK16">
        <v>3.8188760000000001E-3</v>
      </c>
      <c r="AL16">
        <v>0.13203936999999999</v>
      </c>
      <c r="AM16">
        <v>0.13651315999999999</v>
      </c>
      <c r="AN16">
        <v>0.13894967999999999</v>
      </c>
      <c r="AO16">
        <v>99.618112400000001</v>
      </c>
      <c r="AP16">
        <v>86.796063000000004</v>
      </c>
      <c r="AQ16">
        <v>86.348684000000006</v>
      </c>
      <c r="AR16">
        <v>86.105031999999994</v>
      </c>
      <c r="AS16" t="b">
        <v>1</v>
      </c>
      <c r="AT16" t="b">
        <v>0</v>
      </c>
      <c r="AU16" t="s">
        <v>77</v>
      </c>
      <c r="AV16" t="s">
        <v>108</v>
      </c>
      <c r="AW16" t="s">
        <v>79</v>
      </c>
      <c r="AX16" t="s">
        <v>80</v>
      </c>
      <c r="AY16" t="s">
        <v>115</v>
      </c>
      <c r="AZ16" t="s">
        <v>109</v>
      </c>
      <c r="BA16">
        <v>6</v>
      </c>
      <c r="BB16">
        <v>0.15</v>
      </c>
      <c r="BC16">
        <v>4.1163553999999996E-3</v>
      </c>
      <c r="BD16">
        <v>1.4279989108178799E-4</v>
      </c>
      <c r="BE16">
        <v>4.2591552910817903E-3</v>
      </c>
      <c r="BF16">
        <f>IF(AK16&lt;BE16,1,0)</f>
        <v>1</v>
      </c>
      <c r="BG16">
        <f>IF(AK16&lt;BC16,1,0)</f>
        <v>1</v>
      </c>
      <c r="BH16">
        <f>VLOOKUP($B16,[1]Data_Peer_with_peerVars!$B$2:$Z$1050,20,FALSE)</f>
        <v>9</v>
      </c>
      <c r="BI16">
        <f>VLOOKUP($B16,[1]Data_Peer_with_peerVars!$B$2:$Z$1050,21,FALSE)</f>
        <v>5</v>
      </c>
      <c r="BJ16">
        <f>VLOOKUP($B16,[1]Data_Peer_with_peerVars!$B$2:$Z$1050,22,FALSE)</f>
        <v>0.55555555599999995</v>
      </c>
      <c r="BK16">
        <f>VLOOKUP($B16,[1]Data_Peer_with_peerVars!$B$2:$Z$1050,23,FALSE)</f>
        <v>18</v>
      </c>
      <c r="BL16">
        <f>VLOOKUP($B16,[1]Data_Peer_with_peerVars!$B$2:$Z$1050,24,FALSE)</f>
        <v>11</v>
      </c>
      <c r="BM16">
        <f>VLOOKUP($B16,[1]Data_Peer_with_peerVars!$B$2:$Z$1050,25,FALSE)</f>
        <v>0.61111111100000004</v>
      </c>
    </row>
    <row r="17" spans="1:65" x14ac:dyDescent="0.2">
      <c r="A17">
        <v>1</v>
      </c>
      <c r="B17" t="s">
        <v>128</v>
      </c>
      <c r="C17">
        <v>9</v>
      </c>
      <c r="D17" t="s">
        <v>68</v>
      </c>
      <c r="E17">
        <v>0</v>
      </c>
      <c r="F17">
        <v>246</v>
      </c>
      <c r="G17" t="s">
        <v>119</v>
      </c>
      <c r="H17" s="1">
        <v>7</v>
      </c>
      <c r="I17" t="s">
        <v>87</v>
      </c>
      <c r="J17" t="s">
        <v>111</v>
      </c>
      <c r="K17" t="s">
        <v>109</v>
      </c>
      <c r="L17">
        <v>1</v>
      </c>
      <c r="M17">
        <v>0</v>
      </c>
      <c r="N17">
        <v>0</v>
      </c>
      <c r="O17">
        <v>0</v>
      </c>
      <c r="P17">
        <v>0</v>
      </c>
      <c r="Q17">
        <v>0</v>
      </c>
      <c r="R17">
        <v>0</v>
      </c>
      <c r="S17">
        <v>0</v>
      </c>
      <c r="T17">
        <v>0</v>
      </c>
      <c r="U17">
        <v>0</v>
      </c>
      <c r="V17">
        <f t="shared" si="0"/>
        <v>0</v>
      </c>
      <c r="W17">
        <f t="shared" si="1"/>
        <v>1</v>
      </c>
      <c r="X17">
        <v>1</v>
      </c>
      <c r="Y17">
        <v>1</v>
      </c>
      <c r="Z17" t="s">
        <v>76</v>
      </c>
      <c r="AA17" s="5" t="s">
        <v>76</v>
      </c>
      <c r="AB17" s="5" t="s">
        <v>76</v>
      </c>
      <c r="AC17" t="s">
        <v>74</v>
      </c>
      <c r="AD17" t="s">
        <v>76</v>
      </c>
      <c r="AE17" s="5" t="s">
        <v>76</v>
      </c>
      <c r="AF17" t="s">
        <v>75</v>
      </c>
      <c r="AG17" t="s">
        <v>120</v>
      </c>
      <c r="AH17">
        <f t="shared" si="8"/>
        <v>7.7217969999999997E-2</v>
      </c>
      <c r="AI17">
        <f>AJ17</f>
        <v>7.7217969999999997E-2</v>
      </c>
      <c r="AJ17">
        <f>AL17</f>
        <v>7.7217969999999997E-2</v>
      </c>
      <c r="AK17">
        <v>3.2381997000000003E-2</v>
      </c>
      <c r="AL17">
        <v>7.7217969999999997E-2</v>
      </c>
      <c r="AM17">
        <v>9.4401754000000004E-2</v>
      </c>
      <c r="AN17">
        <v>9.9726029999999993E-2</v>
      </c>
      <c r="AO17">
        <v>96.761800300000004</v>
      </c>
      <c r="AP17">
        <v>92.278203000000005</v>
      </c>
      <c r="AQ17">
        <v>90.559824599999999</v>
      </c>
      <c r="AR17">
        <v>90.027396999999993</v>
      </c>
      <c r="AS17" t="b">
        <v>0</v>
      </c>
      <c r="AT17" t="b">
        <v>1</v>
      </c>
      <c r="AU17" t="s">
        <v>77</v>
      </c>
      <c r="AV17" t="s">
        <v>77</v>
      </c>
      <c r="AW17" t="s">
        <v>79</v>
      </c>
      <c r="AX17" t="s">
        <v>129</v>
      </c>
      <c r="AY17" t="s">
        <v>115</v>
      </c>
      <c r="AZ17" t="s">
        <v>109</v>
      </c>
      <c r="BA17">
        <v>100</v>
      </c>
      <c r="BB17">
        <v>2.1</v>
      </c>
      <c r="BC17">
        <v>2.4738868000000001E-3</v>
      </c>
      <c r="BD17">
        <v>1.4256942275279999E-4</v>
      </c>
      <c r="BE17">
        <v>2.6164562227527998E-3</v>
      </c>
      <c r="BF17">
        <f>IF(AK17&lt;BE17,1,0)</f>
        <v>0</v>
      </c>
      <c r="BG17">
        <f>IF(AK17&lt;BC17,1,0)</f>
        <v>0</v>
      </c>
      <c r="BH17">
        <f>VLOOKUP($B17,[1]Data_Peer_with_peerVars!$B$2:$Z$1050,20,FALSE)</f>
        <v>0</v>
      </c>
      <c r="BI17">
        <f>VLOOKUP($B17,[1]Data_Peer_with_peerVars!$B$2:$Z$1050,21,FALSE)</f>
        <v>0</v>
      </c>
      <c r="BJ17">
        <v>0</v>
      </c>
      <c r="BK17">
        <f>VLOOKUP($B17,[1]Data_Peer_with_peerVars!$B$2:$Z$1050,23,FALSE)</f>
        <v>17</v>
      </c>
      <c r="BL17">
        <f>VLOOKUP($B17,[1]Data_Peer_with_peerVars!$B$2:$Z$1050,24,FALSE)</f>
        <v>15</v>
      </c>
      <c r="BM17">
        <f>VLOOKUP($B17,[1]Data_Peer_with_peerVars!$B$2:$Z$1050,25,FALSE)</f>
        <v>0.88235294099999995</v>
      </c>
    </row>
    <row r="18" spans="1:65" x14ac:dyDescent="0.2">
      <c r="A18">
        <v>1</v>
      </c>
      <c r="B18" t="s">
        <v>130</v>
      </c>
      <c r="C18">
        <v>10</v>
      </c>
      <c r="D18" t="s">
        <v>68</v>
      </c>
      <c r="E18">
        <v>0</v>
      </c>
      <c r="F18">
        <v>256</v>
      </c>
      <c r="G18" t="s">
        <v>97</v>
      </c>
      <c r="H18" s="1">
        <v>6</v>
      </c>
      <c r="I18" t="s">
        <v>70</v>
      </c>
      <c r="J18" t="s">
        <v>71</v>
      </c>
      <c r="K18" t="s">
        <v>72</v>
      </c>
      <c r="L18">
        <v>1</v>
      </c>
      <c r="M18">
        <v>0</v>
      </c>
      <c r="N18">
        <v>1</v>
      </c>
      <c r="O18">
        <v>1</v>
      </c>
      <c r="P18">
        <v>1</v>
      </c>
      <c r="Q18">
        <v>3</v>
      </c>
      <c r="R18">
        <v>0</v>
      </c>
      <c r="S18">
        <v>0</v>
      </c>
      <c r="T18">
        <v>0</v>
      </c>
      <c r="U18">
        <v>0</v>
      </c>
      <c r="V18">
        <f t="shared" si="0"/>
        <v>1</v>
      </c>
      <c r="W18">
        <v>1</v>
      </c>
      <c r="X18">
        <v>1</v>
      </c>
      <c r="Y18">
        <v>1</v>
      </c>
      <c r="Z18" t="s">
        <v>76</v>
      </c>
      <c r="AA18" s="5" t="s">
        <v>76</v>
      </c>
      <c r="AB18" s="5" t="s">
        <v>76</v>
      </c>
      <c r="AC18" t="s">
        <v>76</v>
      </c>
      <c r="AD18" t="s">
        <v>74</v>
      </c>
      <c r="AE18" s="5" t="s">
        <v>74</v>
      </c>
      <c r="AF18" t="s">
        <v>75</v>
      </c>
      <c r="AG18" t="s">
        <v>120</v>
      </c>
      <c r="AH18">
        <f t="shared" si="8"/>
        <v>7.8731544000000001E-2</v>
      </c>
      <c r="AI18">
        <f t="shared" ref="AI18:AI19" si="11">AJ18</f>
        <v>7.8731544000000001E-2</v>
      </c>
      <c r="AJ18">
        <f t="shared" si="6"/>
        <v>7.8731544000000001E-2</v>
      </c>
      <c r="AK18">
        <v>7.8731544000000001E-2</v>
      </c>
      <c r="AL18">
        <v>8.7767415000000001E-2</v>
      </c>
      <c r="AM18">
        <v>0.11692224</v>
      </c>
      <c r="AN18">
        <v>0.11700383</v>
      </c>
      <c r="AO18">
        <v>92.126845599999996</v>
      </c>
      <c r="AP18">
        <v>91.2232585</v>
      </c>
      <c r="AQ18">
        <v>88.307776000000004</v>
      </c>
      <c r="AR18">
        <v>88.299616999999998</v>
      </c>
      <c r="AS18" t="b">
        <v>1</v>
      </c>
      <c r="AT18" t="b">
        <v>0</v>
      </c>
      <c r="AU18" t="s">
        <v>77</v>
      </c>
      <c r="AV18" t="s">
        <v>77</v>
      </c>
      <c r="AW18" t="s">
        <v>79</v>
      </c>
      <c r="AX18" t="s">
        <v>129</v>
      </c>
      <c r="AY18" t="s">
        <v>131</v>
      </c>
      <c r="AZ18" t="s">
        <v>72</v>
      </c>
      <c r="BA18" t="s">
        <v>82</v>
      </c>
      <c r="BB18">
        <v>1</v>
      </c>
      <c r="BC18">
        <v>7.7070764999999999E-2</v>
      </c>
      <c r="BD18">
        <v>1.90190515067399E-3</v>
      </c>
      <c r="BE18">
        <v>7.8972670150673996E-2</v>
      </c>
      <c r="BF18">
        <f>IF(AK18&lt;BE18,1,0)</f>
        <v>1</v>
      </c>
      <c r="BG18">
        <f>IF(AK18&lt;BC18,1,0)</f>
        <v>0</v>
      </c>
    </row>
    <row r="19" spans="1:65" x14ac:dyDescent="0.2">
      <c r="A19">
        <v>1</v>
      </c>
      <c r="B19" t="s">
        <v>132</v>
      </c>
      <c r="C19">
        <v>10</v>
      </c>
      <c r="D19" t="s">
        <v>68</v>
      </c>
      <c r="E19">
        <v>0</v>
      </c>
      <c r="F19">
        <v>256</v>
      </c>
      <c r="G19" t="s">
        <v>97</v>
      </c>
      <c r="H19" s="1">
        <v>6</v>
      </c>
      <c r="I19" t="s">
        <v>70</v>
      </c>
      <c r="J19" t="s">
        <v>71</v>
      </c>
      <c r="K19" t="s">
        <v>72</v>
      </c>
      <c r="L19">
        <v>1</v>
      </c>
      <c r="M19">
        <v>0</v>
      </c>
      <c r="N19">
        <v>1</v>
      </c>
      <c r="O19">
        <v>1</v>
      </c>
      <c r="P19">
        <v>1</v>
      </c>
      <c r="Q19">
        <v>3</v>
      </c>
      <c r="R19">
        <v>0</v>
      </c>
      <c r="S19">
        <v>0</v>
      </c>
      <c r="T19">
        <v>1</v>
      </c>
      <c r="U19">
        <v>1</v>
      </c>
      <c r="V19">
        <f t="shared" si="0"/>
        <v>1</v>
      </c>
      <c r="W19">
        <v>1</v>
      </c>
      <c r="X19">
        <v>1</v>
      </c>
      <c r="Y19">
        <v>1</v>
      </c>
      <c r="Z19" t="s">
        <v>73</v>
      </c>
      <c r="AA19" s="5" t="s">
        <v>73</v>
      </c>
      <c r="AB19" s="5" t="s">
        <v>73</v>
      </c>
      <c r="AC19" t="s">
        <v>73</v>
      </c>
      <c r="AD19" t="s">
        <v>94</v>
      </c>
      <c r="AE19" s="5" t="s">
        <v>106</v>
      </c>
      <c r="AF19" t="s">
        <v>107</v>
      </c>
      <c r="AG19" t="s">
        <v>95</v>
      </c>
      <c r="AH19">
        <f t="shared" si="8"/>
        <v>3.8188760000000001E-3</v>
      </c>
      <c r="AI19">
        <f t="shared" si="11"/>
        <v>3.8188760000000001E-3</v>
      </c>
      <c r="AJ19">
        <f t="shared" si="6"/>
        <v>3.8188760000000001E-3</v>
      </c>
      <c r="AK19">
        <v>3.8188760000000001E-3</v>
      </c>
      <c r="AL19">
        <v>0.13121923999999999</v>
      </c>
      <c r="AM19">
        <v>0.13658803999999999</v>
      </c>
      <c r="AN19">
        <v>0.13910185999999999</v>
      </c>
      <c r="AO19">
        <v>99.618112400000001</v>
      </c>
      <c r="AP19">
        <v>86.878075999999993</v>
      </c>
      <c r="AQ19">
        <v>86.341195999999997</v>
      </c>
      <c r="AR19">
        <v>86.089814000000004</v>
      </c>
      <c r="AS19" t="b">
        <v>1</v>
      </c>
      <c r="AT19" t="b">
        <v>0</v>
      </c>
      <c r="AU19" t="s">
        <v>77</v>
      </c>
      <c r="AV19" t="s">
        <v>108</v>
      </c>
      <c r="AW19" t="s">
        <v>79</v>
      </c>
      <c r="AX19" t="s">
        <v>129</v>
      </c>
      <c r="AY19" t="s">
        <v>131</v>
      </c>
      <c r="AZ19" t="s">
        <v>72</v>
      </c>
      <c r="BA19" t="s">
        <v>82</v>
      </c>
      <c r="BB19">
        <v>1</v>
      </c>
      <c r="BC19">
        <v>4.1163553999999996E-3</v>
      </c>
      <c r="BD19">
        <v>1.4279989108178799E-4</v>
      </c>
      <c r="BE19">
        <v>4.2591552910817903E-3</v>
      </c>
      <c r="BF19">
        <f>IF(AK19&lt;BE19,1,0)</f>
        <v>1</v>
      </c>
      <c r="BG19">
        <f>IF(AK19&lt;BC19,1,0)</f>
        <v>1</v>
      </c>
    </row>
    <row r="20" spans="1:65" x14ac:dyDescent="0.2">
      <c r="A20">
        <v>1</v>
      </c>
      <c r="B20" t="s">
        <v>133</v>
      </c>
      <c r="C20">
        <v>11</v>
      </c>
      <c r="D20" t="s">
        <v>68</v>
      </c>
      <c r="E20">
        <v>0</v>
      </c>
      <c r="F20">
        <v>284</v>
      </c>
      <c r="G20" t="s">
        <v>97</v>
      </c>
      <c r="H20" s="1">
        <v>7</v>
      </c>
      <c r="I20" t="s">
        <v>87</v>
      </c>
      <c r="J20" t="s">
        <v>111</v>
      </c>
      <c r="K20" t="s">
        <v>109</v>
      </c>
      <c r="L20">
        <v>1</v>
      </c>
      <c r="M20">
        <v>0</v>
      </c>
      <c r="N20">
        <v>0</v>
      </c>
      <c r="O20">
        <v>1</v>
      </c>
      <c r="P20">
        <v>0</v>
      </c>
      <c r="Q20">
        <v>6</v>
      </c>
      <c r="R20">
        <v>0</v>
      </c>
      <c r="S20">
        <v>0</v>
      </c>
      <c r="T20">
        <v>0</v>
      </c>
      <c r="U20">
        <v>0</v>
      </c>
      <c r="V20">
        <f t="shared" si="0"/>
        <v>0</v>
      </c>
      <c r="W20">
        <f t="shared" si="1"/>
        <v>0</v>
      </c>
      <c r="X20">
        <f t="shared" si="3"/>
        <v>0</v>
      </c>
      <c r="Y20">
        <f t="shared" si="4"/>
        <v>0</v>
      </c>
      <c r="Z20" t="s">
        <v>114</v>
      </c>
      <c r="AA20" s="5" t="s">
        <v>114</v>
      </c>
      <c r="AB20" s="5" t="s">
        <v>134</v>
      </c>
      <c r="AC20" t="s">
        <v>99</v>
      </c>
      <c r="AD20" t="s">
        <v>101</v>
      </c>
      <c r="AE20" s="5" t="s">
        <v>101</v>
      </c>
      <c r="AF20" t="s">
        <v>103</v>
      </c>
      <c r="AG20" t="s">
        <v>102</v>
      </c>
      <c r="AH20">
        <f>AI20</f>
        <v>4.2770420000000003E-2</v>
      </c>
      <c r="AI20">
        <f>AJ20</f>
        <v>4.2770420000000003E-2</v>
      </c>
      <c r="AJ20">
        <f t="shared" si="6"/>
        <v>4.2770420000000003E-2</v>
      </c>
      <c r="AK20">
        <v>4.2770420000000003E-2</v>
      </c>
      <c r="AL20">
        <v>4.7802200000000003E-2</v>
      </c>
      <c r="AM20">
        <v>9.4198900000000002E-2</v>
      </c>
      <c r="AN20">
        <v>0.10366520999999999</v>
      </c>
      <c r="AO20">
        <v>95.722958000000006</v>
      </c>
      <c r="AP20">
        <v>95.21978</v>
      </c>
      <c r="AQ20">
        <v>90.580110000000005</v>
      </c>
      <c r="AR20">
        <v>89.633478999999994</v>
      </c>
      <c r="AS20" t="b">
        <v>0</v>
      </c>
      <c r="AT20" t="b">
        <v>0</v>
      </c>
      <c r="AU20" t="s">
        <v>77</v>
      </c>
      <c r="AV20" t="s">
        <v>77</v>
      </c>
      <c r="AW20" t="s">
        <v>79</v>
      </c>
      <c r="AX20" t="s">
        <v>129</v>
      </c>
      <c r="AY20" t="s">
        <v>131</v>
      </c>
      <c r="AZ20" t="s">
        <v>109</v>
      </c>
      <c r="BA20">
        <v>10</v>
      </c>
      <c r="BB20">
        <v>1</v>
      </c>
      <c r="BC20">
        <v>2.4711695999999998E-2</v>
      </c>
      <c r="BD20">
        <v>1.72884756304863E-3</v>
      </c>
      <c r="BE20">
        <v>2.6440543563048601E-2</v>
      </c>
      <c r="BF20">
        <f>IF(AK20&lt;BE20,1,0)</f>
        <v>0</v>
      </c>
      <c r="BG20">
        <f>IF(AK20&lt;BC20,1,0)</f>
        <v>0</v>
      </c>
      <c r="BH20">
        <f>VLOOKUP($B20,[1]Data_Peer_with_peerVars!$B$2:$Z$1050,20,FALSE)</f>
        <v>0</v>
      </c>
      <c r="BI20">
        <f>VLOOKUP($B20,[1]Data_Peer_with_peerVars!$B$2:$Z$1050,21,FALSE)</f>
        <v>0</v>
      </c>
      <c r="BJ20">
        <v>0</v>
      </c>
      <c r="BK20">
        <f>VLOOKUP($B20,[1]Data_Peer_with_peerVars!$B$2:$Z$1050,23,FALSE)</f>
        <v>14</v>
      </c>
      <c r="BL20">
        <f>VLOOKUP($B20,[1]Data_Peer_with_peerVars!$B$2:$Z$1050,24,FALSE)</f>
        <v>9</v>
      </c>
      <c r="BM20">
        <f>VLOOKUP($B20,[1]Data_Peer_with_peerVars!$B$2:$Z$1050,25,FALSE)</f>
        <v>0.64285714299999996</v>
      </c>
    </row>
    <row r="21" spans="1:65" x14ac:dyDescent="0.2">
      <c r="A21">
        <v>1</v>
      </c>
      <c r="B21" t="s">
        <v>135</v>
      </c>
      <c r="C21">
        <v>11</v>
      </c>
      <c r="D21" t="s">
        <v>68</v>
      </c>
      <c r="E21">
        <v>0</v>
      </c>
      <c r="F21">
        <v>284</v>
      </c>
      <c r="G21" t="s">
        <v>97</v>
      </c>
      <c r="H21" s="1">
        <v>7</v>
      </c>
      <c r="I21" t="s">
        <v>87</v>
      </c>
      <c r="J21" t="s">
        <v>111</v>
      </c>
      <c r="K21" t="s">
        <v>109</v>
      </c>
      <c r="L21">
        <v>1</v>
      </c>
      <c r="M21">
        <v>0</v>
      </c>
      <c r="N21">
        <v>0</v>
      </c>
      <c r="O21">
        <v>1</v>
      </c>
      <c r="P21">
        <v>0</v>
      </c>
      <c r="Q21">
        <v>6</v>
      </c>
      <c r="R21">
        <v>0</v>
      </c>
      <c r="S21">
        <v>0</v>
      </c>
      <c r="T21">
        <v>0</v>
      </c>
      <c r="U21">
        <v>0</v>
      </c>
      <c r="V21">
        <v>1</v>
      </c>
      <c r="W21">
        <v>1</v>
      </c>
      <c r="X21">
        <v>1</v>
      </c>
      <c r="Y21">
        <v>1</v>
      </c>
      <c r="Z21" t="s">
        <v>98</v>
      </c>
      <c r="AA21" s="5" t="s">
        <v>99</v>
      </c>
      <c r="AB21" s="5" t="s">
        <v>100</v>
      </c>
      <c r="AC21" t="s">
        <v>99</v>
      </c>
      <c r="AD21" t="s">
        <v>101</v>
      </c>
      <c r="AE21" s="5" t="s">
        <v>101</v>
      </c>
      <c r="AF21" t="s">
        <v>102</v>
      </c>
      <c r="AG21" t="s">
        <v>103</v>
      </c>
      <c r="AH21">
        <f>AI21</f>
        <v>4.2975206000000002E-2</v>
      </c>
      <c r="AI21">
        <f>AJ21</f>
        <v>4.2975206000000002E-2</v>
      </c>
      <c r="AJ21">
        <f t="shared" si="6"/>
        <v>4.2975206000000002E-2</v>
      </c>
      <c r="AK21">
        <v>4.2975206000000002E-2</v>
      </c>
      <c r="AL21">
        <v>8.6765510000000004E-2</v>
      </c>
      <c r="AM21">
        <v>0.11599345</v>
      </c>
      <c r="AN21">
        <v>0.1176957</v>
      </c>
      <c r="AO21">
        <v>95.702479400000001</v>
      </c>
      <c r="AP21">
        <v>91.323448999999997</v>
      </c>
      <c r="AQ21">
        <v>88.400655</v>
      </c>
      <c r="AR21">
        <v>88.230429999999998</v>
      </c>
      <c r="AS21" t="b">
        <v>1</v>
      </c>
      <c r="AT21" t="b">
        <v>0</v>
      </c>
      <c r="AU21" t="s">
        <v>77</v>
      </c>
      <c r="AV21" t="s">
        <v>77</v>
      </c>
      <c r="AW21" t="s">
        <v>79</v>
      </c>
      <c r="AX21" t="s">
        <v>129</v>
      </c>
      <c r="AY21" t="s">
        <v>131</v>
      </c>
      <c r="AZ21" t="s">
        <v>109</v>
      </c>
      <c r="BA21">
        <v>100</v>
      </c>
      <c r="BB21">
        <v>3</v>
      </c>
      <c r="BC21">
        <v>2.4711695999999998E-2</v>
      </c>
      <c r="BD21">
        <v>1.72884756304863E-3</v>
      </c>
      <c r="BE21">
        <v>2.6440543563048601E-2</v>
      </c>
      <c r="BF21">
        <f>IF(AK21&lt;BE21,1,0)</f>
        <v>0</v>
      </c>
      <c r="BG21">
        <f>IF(AK21&lt;BC21,1,0)</f>
        <v>0</v>
      </c>
      <c r="BH21">
        <f>VLOOKUP($B21,[1]Data_Peer_with_peerVars!$B$2:$Z$1050,20,FALSE)</f>
        <v>0</v>
      </c>
      <c r="BI21">
        <f>VLOOKUP($B21,[1]Data_Peer_with_peerVars!$B$2:$Z$1050,21,FALSE)</f>
        <v>0</v>
      </c>
      <c r="BJ21">
        <v>0</v>
      </c>
      <c r="BK21">
        <f>VLOOKUP($B21,[1]Data_Peer_with_peerVars!$B$2:$Z$1050,23,FALSE)</f>
        <v>14</v>
      </c>
      <c r="BL21">
        <f>VLOOKUP($B21,[1]Data_Peer_with_peerVars!$B$2:$Z$1050,24,FALSE)</f>
        <v>9</v>
      </c>
      <c r="BM21">
        <f>VLOOKUP($B21,[1]Data_Peer_with_peerVars!$B$2:$Z$1050,25,FALSE)</f>
        <v>0.64285714299999996</v>
      </c>
    </row>
    <row r="22" spans="1:65" x14ac:dyDescent="0.2">
      <c r="A22">
        <v>1</v>
      </c>
      <c r="B22" t="s">
        <v>136</v>
      </c>
      <c r="C22">
        <v>12</v>
      </c>
      <c r="D22" t="s">
        <v>68</v>
      </c>
      <c r="E22">
        <v>1</v>
      </c>
      <c r="F22">
        <v>285</v>
      </c>
      <c r="G22" t="s">
        <v>86</v>
      </c>
      <c r="H22" s="1">
        <v>7</v>
      </c>
      <c r="I22" t="s">
        <v>87</v>
      </c>
      <c r="J22" t="s">
        <v>111</v>
      </c>
      <c r="K22" t="s">
        <v>109</v>
      </c>
      <c r="L22">
        <v>1</v>
      </c>
      <c r="M22">
        <v>0</v>
      </c>
      <c r="N22">
        <v>1</v>
      </c>
      <c r="O22">
        <v>1</v>
      </c>
      <c r="P22">
        <v>0</v>
      </c>
      <c r="Q22">
        <v>6</v>
      </c>
      <c r="R22">
        <v>0</v>
      </c>
      <c r="S22">
        <v>0</v>
      </c>
      <c r="T22">
        <v>1</v>
      </c>
      <c r="U22">
        <v>1</v>
      </c>
      <c r="V22">
        <f t="shared" si="0"/>
        <v>0</v>
      </c>
      <c r="W22">
        <f t="shared" si="1"/>
        <v>0</v>
      </c>
      <c r="X22">
        <f t="shared" si="3"/>
        <v>0</v>
      </c>
      <c r="Y22">
        <f t="shared" si="4"/>
        <v>0</v>
      </c>
      <c r="Z22" t="s">
        <v>137</v>
      </c>
      <c r="AA22" s="5" t="s">
        <v>137</v>
      </c>
      <c r="AB22" s="5" t="s">
        <v>138</v>
      </c>
      <c r="AC22" t="s">
        <v>94</v>
      </c>
      <c r="AD22" t="s">
        <v>95</v>
      </c>
      <c r="AE22" s="5" t="s">
        <v>95</v>
      </c>
      <c r="AF22" t="s">
        <v>107</v>
      </c>
      <c r="AG22" t="s">
        <v>73</v>
      </c>
      <c r="AH22">
        <f>AI22</f>
        <v>1.5019115E-2</v>
      </c>
      <c r="AI22">
        <f t="shared" ref="AI22:AI26" si="12">AJ22</f>
        <v>1.5019115E-2</v>
      </c>
      <c r="AJ22">
        <f t="shared" si="6"/>
        <v>1.5019115E-2</v>
      </c>
      <c r="AK22">
        <v>1.5019115E-2</v>
      </c>
      <c r="AL22">
        <v>0.11378555999999999</v>
      </c>
      <c r="AM22">
        <v>0.11732455999999999</v>
      </c>
      <c r="AN22">
        <v>0.13100435999999999</v>
      </c>
      <c r="AO22">
        <v>98.498088499999994</v>
      </c>
      <c r="AP22">
        <v>88.621443999999997</v>
      </c>
      <c r="AQ22">
        <v>88.267544000000001</v>
      </c>
      <c r="AR22">
        <v>86.899563999999998</v>
      </c>
      <c r="AS22" t="b">
        <v>0</v>
      </c>
      <c r="AT22" t="b">
        <v>0</v>
      </c>
      <c r="AU22" t="s">
        <v>77</v>
      </c>
      <c r="AV22" t="s">
        <v>78</v>
      </c>
      <c r="AW22" t="s">
        <v>79</v>
      </c>
      <c r="AX22" t="s">
        <v>129</v>
      </c>
      <c r="AY22" t="s">
        <v>131</v>
      </c>
      <c r="AZ22" t="s">
        <v>109</v>
      </c>
      <c r="BA22">
        <v>4</v>
      </c>
      <c r="BB22">
        <v>1</v>
      </c>
      <c r="BC22">
        <v>1.6447369E-2</v>
      </c>
      <c r="BD22">
        <v>4.2236161269162102E-4</v>
      </c>
      <c r="BE22">
        <v>1.6869730612691598E-2</v>
      </c>
      <c r="BF22">
        <f>IF(AK22&lt;BE22,1,0)</f>
        <v>1</v>
      </c>
      <c r="BG22">
        <f>IF(AK22&lt;BC22,1,0)</f>
        <v>1</v>
      </c>
      <c r="BH22">
        <f>VLOOKUP($B22,[1]Data_Peer_with_peerVars!$B$2:$Z$1050,20,FALSE)</f>
        <v>12</v>
      </c>
      <c r="BI22">
        <f>VLOOKUP($B22,[1]Data_Peer_with_peerVars!$B$2:$Z$1050,21,FALSE)</f>
        <v>6</v>
      </c>
      <c r="BJ22">
        <f>VLOOKUP($B22,[1]Data_Peer_with_peerVars!$B$2:$Z$1050,22,FALSE)</f>
        <v>0.5</v>
      </c>
      <c r="BK22">
        <f>VLOOKUP($B22,[1]Data_Peer_with_peerVars!$B$2:$Z$1050,23,FALSE)</f>
        <v>57</v>
      </c>
      <c r="BL22">
        <f>VLOOKUP($B22,[1]Data_Peer_with_peerVars!$B$2:$Z$1050,24,FALSE)</f>
        <v>32</v>
      </c>
      <c r="BM22">
        <f>VLOOKUP($B22,[1]Data_Peer_with_peerVars!$B$2:$Z$1050,25,FALSE)</f>
        <v>0.56140350900000002</v>
      </c>
    </row>
    <row r="23" spans="1:65" x14ac:dyDescent="0.2">
      <c r="A23">
        <v>1</v>
      </c>
      <c r="B23" t="s">
        <v>139</v>
      </c>
      <c r="C23">
        <v>12</v>
      </c>
      <c r="D23" t="s">
        <v>68</v>
      </c>
      <c r="E23">
        <v>1</v>
      </c>
      <c r="F23">
        <v>285</v>
      </c>
      <c r="G23" t="s">
        <v>86</v>
      </c>
      <c r="H23" s="1">
        <v>7</v>
      </c>
      <c r="I23" t="s">
        <v>87</v>
      </c>
      <c r="J23" t="s">
        <v>111</v>
      </c>
      <c r="K23" t="s">
        <v>109</v>
      </c>
      <c r="L23">
        <v>1</v>
      </c>
      <c r="M23">
        <v>0</v>
      </c>
      <c r="N23">
        <v>1</v>
      </c>
      <c r="O23">
        <v>1</v>
      </c>
      <c r="P23">
        <v>0</v>
      </c>
      <c r="Q23">
        <v>6</v>
      </c>
      <c r="R23">
        <v>0</v>
      </c>
      <c r="S23">
        <v>0</v>
      </c>
      <c r="T23">
        <v>0</v>
      </c>
      <c r="U23">
        <v>0</v>
      </c>
      <c r="V23">
        <f t="shared" si="0"/>
        <v>0</v>
      </c>
      <c r="W23">
        <f t="shared" si="1"/>
        <v>1</v>
      </c>
      <c r="X23">
        <v>1</v>
      </c>
      <c r="Y23">
        <v>1</v>
      </c>
      <c r="Z23" t="s">
        <v>76</v>
      </c>
      <c r="AA23" s="5" t="s">
        <v>76</v>
      </c>
      <c r="AB23" s="5" t="s">
        <v>76</v>
      </c>
      <c r="AC23" t="s">
        <v>74</v>
      </c>
      <c r="AD23" t="s">
        <v>76</v>
      </c>
      <c r="AE23" s="5" t="s">
        <v>76</v>
      </c>
      <c r="AF23" t="s">
        <v>84</v>
      </c>
      <c r="AG23" t="s">
        <v>75</v>
      </c>
      <c r="AH23">
        <f>AI23</f>
        <v>7.170224E-2</v>
      </c>
      <c r="AI23">
        <f t="shared" si="12"/>
        <v>7.170224E-2</v>
      </c>
      <c r="AJ23">
        <f>AL23</f>
        <v>7.170224E-2</v>
      </c>
      <c r="AK23">
        <v>5.708013E-2</v>
      </c>
      <c r="AL23">
        <v>7.170224E-2</v>
      </c>
      <c r="AM23">
        <v>0.10307861</v>
      </c>
      <c r="AN23">
        <v>0.106027395</v>
      </c>
      <c r="AO23">
        <v>94.291987000000006</v>
      </c>
      <c r="AP23">
        <v>92.829775999999995</v>
      </c>
      <c r="AQ23">
        <v>89.692138999999997</v>
      </c>
      <c r="AR23">
        <v>89.397260500000002</v>
      </c>
      <c r="AS23" t="b">
        <v>0</v>
      </c>
      <c r="AT23" t="b">
        <v>1</v>
      </c>
      <c r="AU23" t="s">
        <v>77</v>
      </c>
      <c r="AV23" t="s">
        <v>77</v>
      </c>
      <c r="AW23" t="s">
        <v>79</v>
      </c>
      <c r="AX23" t="s">
        <v>129</v>
      </c>
      <c r="AY23" t="s">
        <v>131</v>
      </c>
      <c r="AZ23" t="s">
        <v>72</v>
      </c>
      <c r="BA23" t="s">
        <v>82</v>
      </c>
      <c r="BB23">
        <v>6</v>
      </c>
      <c r="BC23">
        <v>2.4738868000000001E-3</v>
      </c>
      <c r="BD23">
        <v>1.4256942275279999E-4</v>
      </c>
      <c r="BE23">
        <v>2.6164562227527998E-3</v>
      </c>
      <c r="BF23">
        <f>IF(AK23&lt;BE23,1,0)</f>
        <v>0</v>
      </c>
      <c r="BG23">
        <f>IF(AK23&lt;BC23,1,0)</f>
        <v>0</v>
      </c>
      <c r="BH23">
        <f>VLOOKUP($B23,[1]Data_Peer_with_peerVars!$B$2:$Z$1050,20,FALSE)</f>
        <v>12</v>
      </c>
      <c r="BI23">
        <f>VLOOKUP($B23,[1]Data_Peer_with_peerVars!$B$2:$Z$1050,21,FALSE)</f>
        <v>6</v>
      </c>
      <c r="BJ23">
        <f>VLOOKUP($B23,[1]Data_Peer_with_peerVars!$B$2:$Z$1050,22,FALSE)</f>
        <v>0.5</v>
      </c>
      <c r="BK23">
        <f>VLOOKUP($B23,[1]Data_Peer_with_peerVars!$B$2:$Z$1050,23,FALSE)</f>
        <v>57</v>
      </c>
      <c r="BL23">
        <f>VLOOKUP($B23,[1]Data_Peer_with_peerVars!$B$2:$Z$1050,24,FALSE)</f>
        <v>32</v>
      </c>
      <c r="BM23">
        <f>VLOOKUP($B23,[1]Data_Peer_with_peerVars!$B$2:$Z$1050,25,FALSE)</f>
        <v>0.56140350900000002</v>
      </c>
    </row>
    <row r="24" spans="1:65" x14ac:dyDescent="0.2">
      <c r="A24">
        <v>1</v>
      </c>
      <c r="B24" t="s">
        <v>140</v>
      </c>
      <c r="C24">
        <v>13</v>
      </c>
      <c r="D24" t="s">
        <v>68</v>
      </c>
      <c r="E24">
        <v>1</v>
      </c>
      <c r="F24">
        <v>287</v>
      </c>
      <c r="G24" t="s">
        <v>86</v>
      </c>
      <c r="H24" s="1">
        <v>5.5</v>
      </c>
      <c r="I24" t="s">
        <v>87</v>
      </c>
      <c r="J24" t="s">
        <v>111</v>
      </c>
      <c r="K24" t="s">
        <v>109</v>
      </c>
      <c r="L24">
        <v>1</v>
      </c>
      <c r="M24">
        <v>0</v>
      </c>
      <c r="N24">
        <v>1</v>
      </c>
      <c r="O24">
        <v>1</v>
      </c>
      <c r="P24">
        <v>1</v>
      </c>
      <c r="Q24">
        <v>6</v>
      </c>
      <c r="R24">
        <v>0</v>
      </c>
      <c r="S24">
        <v>0</v>
      </c>
      <c r="T24">
        <v>0</v>
      </c>
      <c r="U24">
        <v>0</v>
      </c>
      <c r="V24">
        <f t="shared" si="0"/>
        <v>0</v>
      </c>
      <c r="W24">
        <f t="shared" si="1"/>
        <v>0</v>
      </c>
      <c r="X24">
        <f t="shared" si="3"/>
        <v>0</v>
      </c>
      <c r="Y24">
        <f t="shared" si="4"/>
        <v>0</v>
      </c>
      <c r="Z24" t="s">
        <v>98</v>
      </c>
      <c r="AA24" s="5" t="s">
        <v>141</v>
      </c>
      <c r="AB24" s="5" t="s">
        <v>141</v>
      </c>
      <c r="AC24" t="s">
        <v>76</v>
      </c>
      <c r="AD24" t="s">
        <v>74</v>
      </c>
      <c r="AE24" s="5" t="s">
        <v>142</v>
      </c>
      <c r="AF24" t="s">
        <v>120</v>
      </c>
      <c r="AG24" t="s">
        <v>75</v>
      </c>
      <c r="AH24">
        <f>AI24</f>
        <v>9.4912469999999999E-2</v>
      </c>
      <c r="AI24">
        <f t="shared" si="12"/>
        <v>9.4912469999999999E-2</v>
      </c>
      <c r="AJ24">
        <f t="shared" si="6"/>
        <v>9.4912469999999999E-2</v>
      </c>
      <c r="AK24">
        <v>9.4912469999999999E-2</v>
      </c>
      <c r="AL24">
        <v>9.7420419999999994E-2</v>
      </c>
      <c r="AM24">
        <v>0.12609408999999999</v>
      </c>
      <c r="AN24">
        <v>0.12931506000000001</v>
      </c>
      <c r="AO24">
        <v>90.508752999999999</v>
      </c>
      <c r="AP24">
        <v>90.257958000000002</v>
      </c>
      <c r="AQ24">
        <v>87.390591000000001</v>
      </c>
      <c r="AR24">
        <v>87.068494000000001</v>
      </c>
      <c r="AS24" t="b">
        <v>0</v>
      </c>
      <c r="AT24" t="b">
        <v>0</v>
      </c>
      <c r="AU24" t="s">
        <v>108</v>
      </c>
      <c r="AV24" t="s">
        <v>108</v>
      </c>
      <c r="AW24" t="s">
        <v>79</v>
      </c>
      <c r="AX24" t="s">
        <v>129</v>
      </c>
      <c r="AY24" t="s">
        <v>131</v>
      </c>
      <c r="AZ24" t="s">
        <v>109</v>
      </c>
      <c r="BA24">
        <v>2</v>
      </c>
      <c r="BB24">
        <v>1</v>
      </c>
      <c r="BC24">
        <v>7.7070764999999999E-2</v>
      </c>
      <c r="BD24">
        <v>1.90190515067399E-3</v>
      </c>
      <c r="BE24">
        <v>7.8972670150673996E-2</v>
      </c>
      <c r="BF24">
        <f>IF(AK24&lt;BE24,1,0)</f>
        <v>0</v>
      </c>
      <c r="BG24">
        <f>IF(AK24&lt;BC24,1,0)</f>
        <v>0</v>
      </c>
    </row>
    <row r="25" spans="1:65" x14ac:dyDescent="0.2">
      <c r="A25">
        <v>1</v>
      </c>
      <c r="B25" t="s">
        <v>143</v>
      </c>
      <c r="C25">
        <v>13</v>
      </c>
      <c r="D25" t="s">
        <v>68</v>
      </c>
      <c r="E25">
        <v>1</v>
      </c>
      <c r="F25">
        <v>287</v>
      </c>
      <c r="G25" t="s">
        <v>86</v>
      </c>
      <c r="H25" s="1">
        <v>5.5</v>
      </c>
      <c r="I25" t="s">
        <v>87</v>
      </c>
      <c r="J25" t="s">
        <v>111</v>
      </c>
      <c r="K25" t="s">
        <v>109</v>
      </c>
      <c r="L25">
        <v>1</v>
      </c>
      <c r="M25">
        <v>0</v>
      </c>
      <c r="N25">
        <v>1</v>
      </c>
      <c r="O25">
        <v>1</v>
      </c>
      <c r="P25">
        <v>1</v>
      </c>
      <c r="Q25">
        <v>6</v>
      </c>
      <c r="R25">
        <v>0</v>
      </c>
      <c r="S25">
        <v>0</v>
      </c>
      <c r="T25">
        <v>0</v>
      </c>
      <c r="U25">
        <v>0</v>
      </c>
      <c r="V25">
        <f t="shared" si="0"/>
        <v>1</v>
      </c>
      <c r="W25">
        <v>1</v>
      </c>
      <c r="X25">
        <v>1</v>
      </c>
      <c r="Y25">
        <v>1</v>
      </c>
      <c r="Z25" t="s">
        <v>73</v>
      </c>
      <c r="AA25" s="5" t="s">
        <v>73</v>
      </c>
      <c r="AB25" s="5" t="s">
        <v>73</v>
      </c>
      <c r="AC25" t="s">
        <v>73</v>
      </c>
      <c r="AD25" t="s">
        <v>94</v>
      </c>
      <c r="AE25" s="5" t="s">
        <v>94</v>
      </c>
      <c r="AF25" t="s">
        <v>75</v>
      </c>
      <c r="AG25" t="s">
        <v>95</v>
      </c>
      <c r="AH25">
        <f t="shared" ref="AH25:AH26" si="13">AI25</f>
        <v>6.7745479999999997E-2</v>
      </c>
      <c r="AI25">
        <f t="shared" si="12"/>
        <v>6.7745479999999997E-2</v>
      </c>
      <c r="AJ25">
        <f t="shared" si="6"/>
        <v>6.7745479999999997E-2</v>
      </c>
      <c r="AK25">
        <v>6.7745479999999997E-2</v>
      </c>
      <c r="AL25">
        <v>0.11806700000000001</v>
      </c>
      <c r="AM25">
        <v>0.12905887999999999</v>
      </c>
      <c r="AN25">
        <v>0.14128642</v>
      </c>
      <c r="AO25">
        <v>93.225452000000004</v>
      </c>
      <c r="AP25">
        <v>88.193299999999994</v>
      </c>
      <c r="AQ25">
        <v>87.094111999999996</v>
      </c>
      <c r="AR25">
        <v>85.871358000000001</v>
      </c>
      <c r="AS25" t="b">
        <v>1</v>
      </c>
      <c r="AT25" t="b">
        <v>0</v>
      </c>
      <c r="AU25" t="s">
        <v>77</v>
      </c>
      <c r="AV25" t="s">
        <v>78</v>
      </c>
      <c r="AW25" t="s">
        <v>79</v>
      </c>
      <c r="AX25" t="s">
        <v>129</v>
      </c>
      <c r="AY25" t="s">
        <v>131</v>
      </c>
      <c r="AZ25" t="s">
        <v>109</v>
      </c>
      <c r="BA25">
        <v>4</v>
      </c>
      <c r="BB25">
        <v>1</v>
      </c>
      <c r="BC25">
        <v>4.1163553999999996E-3</v>
      </c>
      <c r="BD25">
        <v>1.4279989108178799E-4</v>
      </c>
      <c r="BE25">
        <v>4.2591552910817903E-3</v>
      </c>
      <c r="BF25">
        <f>IF(AK25&lt;BE25,1,0)</f>
        <v>0</v>
      </c>
      <c r="BG25">
        <f>IF(AK25&lt;BC25,1,0)</f>
        <v>0</v>
      </c>
    </row>
    <row r="26" spans="1:65" x14ac:dyDescent="0.2">
      <c r="A26">
        <v>1</v>
      </c>
      <c r="B26" t="s">
        <v>144</v>
      </c>
      <c r="C26">
        <v>14</v>
      </c>
      <c r="D26" t="s">
        <v>68</v>
      </c>
      <c r="E26">
        <v>1</v>
      </c>
      <c r="F26">
        <v>288</v>
      </c>
      <c r="G26" t="s">
        <v>119</v>
      </c>
      <c r="H26" s="1">
        <v>7</v>
      </c>
      <c r="I26" t="s">
        <v>70</v>
      </c>
      <c r="J26" t="s">
        <v>71</v>
      </c>
      <c r="K26" t="s">
        <v>72</v>
      </c>
      <c r="L26">
        <v>1</v>
      </c>
      <c r="M26">
        <v>0</v>
      </c>
      <c r="N26">
        <v>1</v>
      </c>
      <c r="O26">
        <v>0</v>
      </c>
      <c r="P26">
        <v>0</v>
      </c>
      <c r="Q26">
        <v>6</v>
      </c>
      <c r="R26">
        <v>0</v>
      </c>
      <c r="S26">
        <v>0</v>
      </c>
      <c r="T26">
        <v>0</v>
      </c>
      <c r="U26">
        <v>0</v>
      </c>
      <c r="V26">
        <f t="shared" si="0"/>
        <v>1</v>
      </c>
      <c r="W26">
        <v>1</v>
      </c>
      <c r="X26">
        <v>1</v>
      </c>
      <c r="Y26">
        <v>1</v>
      </c>
      <c r="Z26" t="s">
        <v>73</v>
      </c>
      <c r="AA26" s="5" t="s">
        <v>73</v>
      </c>
      <c r="AB26" s="5" t="s">
        <v>73</v>
      </c>
      <c r="AC26" t="s">
        <v>73</v>
      </c>
      <c r="AD26" t="s">
        <v>94</v>
      </c>
      <c r="AE26" s="5" t="s">
        <v>94</v>
      </c>
      <c r="AF26" t="s">
        <v>75</v>
      </c>
      <c r="AG26" t="s">
        <v>95</v>
      </c>
      <c r="AH26">
        <f t="shared" si="13"/>
        <v>6.8268709999999996E-2</v>
      </c>
      <c r="AI26">
        <f t="shared" si="12"/>
        <v>6.8268709999999996E-2</v>
      </c>
      <c r="AJ26">
        <f t="shared" si="6"/>
        <v>6.8268709999999996E-2</v>
      </c>
      <c r="AK26">
        <v>6.8268709999999996E-2</v>
      </c>
      <c r="AL26">
        <v>0.11864406600000001</v>
      </c>
      <c r="AM26">
        <v>0.12876712000000001</v>
      </c>
      <c r="AN26">
        <v>0.14203613000000001</v>
      </c>
      <c r="AO26">
        <v>93.173129000000003</v>
      </c>
      <c r="AP26">
        <v>88.135593400000005</v>
      </c>
      <c r="AQ26">
        <v>87.123288000000002</v>
      </c>
      <c r="AR26">
        <v>85.796386999999996</v>
      </c>
      <c r="AS26" t="b">
        <v>1</v>
      </c>
      <c r="AT26" t="b">
        <v>0</v>
      </c>
      <c r="AU26" t="s">
        <v>77</v>
      </c>
      <c r="AV26" t="s">
        <v>78</v>
      </c>
      <c r="AW26" t="s">
        <v>79</v>
      </c>
      <c r="AX26" t="s">
        <v>129</v>
      </c>
      <c r="AY26" t="s">
        <v>131</v>
      </c>
      <c r="AZ26" t="s">
        <v>72</v>
      </c>
      <c r="BA26" t="s">
        <v>82</v>
      </c>
      <c r="BB26">
        <v>0.7</v>
      </c>
      <c r="BC26">
        <v>4.1163553999999996E-3</v>
      </c>
      <c r="BD26">
        <v>1.4279989108178799E-4</v>
      </c>
      <c r="BE26">
        <v>4.2591552910817903E-3</v>
      </c>
      <c r="BF26">
        <f>IF(AK26&lt;BE26,1,0)</f>
        <v>0</v>
      </c>
      <c r="BG26">
        <f>IF(AK26&lt;BC26,1,0)</f>
        <v>0</v>
      </c>
      <c r="BH26">
        <f>VLOOKUP($B26,[1]Data_Peer_with_peerVars!$B$2:$Z$1050,20,FALSE)</f>
        <v>5</v>
      </c>
      <c r="BI26">
        <f>VLOOKUP($B26,[1]Data_Peer_with_peerVars!$B$2:$Z$1050,21,FALSE)</f>
        <v>3</v>
      </c>
      <c r="BJ26">
        <f>VLOOKUP($B26,[1]Data_Peer_with_peerVars!$B$2:$Z$1050,22,FALSE)</f>
        <v>0.6</v>
      </c>
      <c r="BK26">
        <f>VLOOKUP($B26,[1]Data_Peer_with_peerVars!$B$2:$Z$1050,23,FALSE)</f>
        <v>51</v>
      </c>
      <c r="BL26">
        <f>VLOOKUP($B26,[1]Data_Peer_with_peerVars!$B$2:$Z$1050,24,FALSE)</f>
        <v>30</v>
      </c>
      <c r="BM26">
        <f>VLOOKUP($B26,[1]Data_Peer_with_peerVars!$B$2:$Z$1050,25,FALSE)</f>
        <v>0.58823529399999996</v>
      </c>
    </row>
    <row r="27" spans="1:65" x14ac:dyDescent="0.2">
      <c r="A27">
        <v>1</v>
      </c>
      <c r="B27" t="s">
        <v>145</v>
      </c>
      <c r="C27">
        <v>14</v>
      </c>
      <c r="D27" t="s">
        <v>68</v>
      </c>
      <c r="E27">
        <v>1</v>
      </c>
      <c r="F27">
        <v>288</v>
      </c>
      <c r="G27" t="s">
        <v>119</v>
      </c>
      <c r="H27" s="1">
        <v>7</v>
      </c>
      <c r="I27" t="s">
        <v>70</v>
      </c>
      <c r="J27" t="s">
        <v>71</v>
      </c>
      <c r="K27" t="s">
        <v>72</v>
      </c>
      <c r="L27">
        <v>1</v>
      </c>
      <c r="M27">
        <v>0</v>
      </c>
      <c r="N27">
        <v>1</v>
      </c>
      <c r="O27">
        <v>0</v>
      </c>
      <c r="P27">
        <v>0</v>
      </c>
      <c r="Q27">
        <v>6</v>
      </c>
      <c r="R27">
        <v>0</v>
      </c>
      <c r="S27">
        <v>0</v>
      </c>
      <c r="T27">
        <v>0</v>
      </c>
      <c r="U27">
        <v>0</v>
      </c>
      <c r="V27">
        <f t="shared" si="0"/>
        <v>0</v>
      </c>
      <c r="W27">
        <f t="shared" si="1"/>
        <v>0</v>
      </c>
      <c r="X27">
        <f t="shared" si="3"/>
        <v>0</v>
      </c>
      <c r="Y27">
        <f t="shared" si="4"/>
        <v>0</v>
      </c>
      <c r="Z27" t="s">
        <v>98</v>
      </c>
      <c r="AA27" s="5" t="s">
        <v>99</v>
      </c>
      <c r="AB27" s="5" t="s">
        <v>146</v>
      </c>
      <c r="AC27" t="s">
        <v>73</v>
      </c>
      <c r="AD27" t="s">
        <v>137</v>
      </c>
      <c r="AE27" s="5" t="s">
        <v>137</v>
      </c>
      <c r="AF27" t="s">
        <v>103</v>
      </c>
      <c r="AG27" t="s">
        <v>113</v>
      </c>
      <c r="AH27">
        <f>AI27</f>
        <v>9.1653029999999996E-2</v>
      </c>
      <c r="AI27">
        <f t="shared" ref="AI27:AI33" si="14">AJ27</f>
        <v>9.1653029999999996E-2</v>
      </c>
      <c r="AJ27">
        <f t="shared" si="6"/>
        <v>9.1653029999999996E-2</v>
      </c>
      <c r="AK27">
        <v>9.1653029999999996E-2</v>
      </c>
      <c r="AL27">
        <v>0.13442624</v>
      </c>
      <c r="AM27">
        <v>0.14049586999999999</v>
      </c>
      <c r="AN27">
        <v>0.1412088</v>
      </c>
      <c r="AO27">
        <v>90.834697000000006</v>
      </c>
      <c r="AP27">
        <v>86.557376000000005</v>
      </c>
      <c r="AQ27">
        <v>85.950412999999998</v>
      </c>
      <c r="AR27">
        <v>85.87912</v>
      </c>
      <c r="AS27" t="b">
        <v>0</v>
      </c>
      <c r="AT27" t="b">
        <v>0</v>
      </c>
      <c r="AU27" t="s">
        <v>77</v>
      </c>
      <c r="AV27" t="s">
        <v>78</v>
      </c>
      <c r="AW27" t="s">
        <v>79</v>
      </c>
      <c r="AX27" t="s">
        <v>129</v>
      </c>
      <c r="AY27" t="s">
        <v>131</v>
      </c>
      <c r="AZ27" t="s">
        <v>72</v>
      </c>
      <c r="BA27" t="s">
        <v>82</v>
      </c>
      <c r="BB27">
        <v>0.05</v>
      </c>
      <c r="BC27">
        <v>4.1163553999999996E-3</v>
      </c>
      <c r="BD27">
        <v>1.4279989108178799E-4</v>
      </c>
      <c r="BE27">
        <v>4.2591552910817903E-3</v>
      </c>
      <c r="BF27">
        <f>IF(AK27&lt;BE27,1,0)</f>
        <v>0</v>
      </c>
      <c r="BG27">
        <f>IF(AK27&lt;BC27,1,0)</f>
        <v>0</v>
      </c>
      <c r="BH27">
        <f>VLOOKUP($B27,[1]Data_Peer_with_peerVars!$B$2:$Z$1050,20,FALSE)</f>
        <v>5</v>
      </c>
      <c r="BI27">
        <f>VLOOKUP($B27,[1]Data_Peer_with_peerVars!$B$2:$Z$1050,21,FALSE)</f>
        <v>3</v>
      </c>
      <c r="BJ27">
        <f>VLOOKUP($B27,[1]Data_Peer_with_peerVars!$B$2:$Z$1050,22,FALSE)</f>
        <v>0.6</v>
      </c>
      <c r="BK27">
        <f>VLOOKUP($B27,[1]Data_Peer_with_peerVars!$B$2:$Z$1050,23,FALSE)</f>
        <v>51</v>
      </c>
      <c r="BL27">
        <f>VLOOKUP($B27,[1]Data_Peer_with_peerVars!$B$2:$Z$1050,24,FALSE)</f>
        <v>30</v>
      </c>
      <c r="BM27">
        <f>VLOOKUP($B27,[1]Data_Peer_with_peerVars!$B$2:$Z$1050,25,FALSE)</f>
        <v>0.58823529399999996</v>
      </c>
    </row>
    <row r="28" spans="1:65" x14ac:dyDescent="0.2">
      <c r="A28">
        <v>1</v>
      </c>
      <c r="B28" t="s">
        <v>147</v>
      </c>
      <c r="C28">
        <v>15</v>
      </c>
      <c r="D28" t="s">
        <v>68</v>
      </c>
      <c r="E28">
        <v>1</v>
      </c>
      <c r="F28">
        <v>289</v>
      </c>
      <c r="G28" t="s">
        <v>69</v>
      </c>
      <c r="H28" s="1">
        <v>7</v>
      </c>
      <c r="I28" t="s">
        <v>70</v>
      </c>
      <c r="J28" t="s">
        <v>71</v>
      </c>
      <c r="K28" t="s">
        <v>72</v>
      </c>
      <c r="L28">
        <v>1</v>
      </c>
      <c r="M28">
        <v>1</v>
      </c>
      <c r="N28">
        <v>1</v>
      </c>
      <c r="O28">
        <v>1</v>
      </c>
      <c r="P28">
        <v>0</v>
      </c>
      <c r="Q28">
        <v>6</v>
      </c>
      <c r="R28">
        <v>0</v>
      </c>
      <c r="S28">
        <v>0</v>
      </c>
      <c r="T28">
        <v>0</v>
      </c>
      <c r="U28">
        <v>0</v>
      </c>
      <c r="V28">
        <f t="shared" si="0"/>
        <v>0</v>
      </c>
      <c r="W28">
        <f t="shared" si="1"/>
        <v>1</v>
      </c>
      <c r="X28">
        <v>1</v>
      </c>
      <c r="Y28">
        <v>1</v>
      </c>
      <c r="Z28" t="s">
        <v>76</v>
      </c>
      <c r="AA28" s="5" t="s">
        <v>76</v>
      </c>
      <c r="AB28" s="5" t="s">
        <v>76</v>
      </c>
      <c r="AC28" t="s">
        <v>74</v>
      </c>
      <c r="AD28" t="s">
        <v>76</v>
      </c>
      <c r="AE28" s="5" t="s">
        <v>76</v>
      </c>
      <c r="AF28" t="s">
        <v>75</v>
      </c>
      <c r="AG28" t="s">
        <v>120</v>
      </c>
      <c r="AH28">
        <f t="shared" ref="AH28:AH34" si="15">AI28</f>
        <v>8.4107050000000003E-2</v>
      </c>
      <c r="AI28">
        <f t="shared" si="14"/>
        <v>8.4107050000000003E-2</v>
      </c>
      <c r="AJ28">
        <f>AL28</f>
        <v>8.4107050000000003E-2</v>
      </c>
      <c r="AK28">
        <v>6.5479449999999995E-2</v>
      </c>
      <c r="AL28">
        <v>8.4107050000000003E-2</v>
      </c>
      <c r="AM28">
        <v>0.10886215</v>
      </c>
      <c r="AN28">
        <v>0.11114145</v>
      </c>
      <c r="AO28">
        <v>93.452055000000001</v>
      </c>
      <c r="AP28">
        <v>91.589295000000007</v>
      </c>
      <c r="AQ28">
        <v>89.113784999999993</v>
      </c>
      <c r="AR28">
        <v>88.885855000000006</v>
      </c>
      <c r="AS28" t="b">
        <v>0</v>
      </c>
      <c r="AT28" t="b">
        <v>1</v>
      </c>
      <c r="AU28" t="s">
        <v>77</v>
      </c>
      <c r="AV28" t="s">
        <v>77</v>
      </c>
      <c r="AW28" t="s">
        <v>79</v>
      </c>
      <c r="AX28" t="s">
        <v>129</v>
      </c>
      <c r="AY28" t="s">
        <v>131</v>
      </c>
      <c r="AZ28" t="s">
        <v>72</v>
      </c>
      <c r="BA28" t="s">
        <v>82</v>
      </c>
      <c r="BB28">
        <v>2.5</v>
      </c>
      <c r="BC28">
        <v>2.4738868000000001E-3</v>
      </c>
      <c r="BD28">
        <v>1.4256942275279999E-4</v>
      </c>
      <c r="BE28">
        <v>2.6164562227527998E-3</v>
      </c>
      <c r="BF28">
        <f>IF(AK28&lt;BE28,1,0)</f>
        <v>0</v>
      </c>
      <c r="BG28">
        <f>IF(AK28&lt;BC28,1,0)</f>
        <v>0</v>
      </c>
    </row>
    <row r="29" spans="1:65" x14ac:dyDescent="0.2">
      <c r="A29">
        <v>1</v>
      </c>
      <c r="B29" t="s">
        <v>148</v>
      </c>
      <c r="C29">
        <v>15</v>
      </c>
      <c r="D29" t="s">
        <v>68</v>
      </c>
      <c r="E29">
        <v>1</v>
      </c>
      <c r="F29">
        <v>289</v>
      </c>
      <c r="G29" t="s">
        <v>69</v>
      </c>
      <c r="H29" s="1">
        <v>7</v>
      </c>
      <c r="I29" t="s">
        <v>70</v>
      </c>
      <c r="J29" t="s">
        <v>71</v>
      </c>
      <c r="K29" t="s">
        <v>72</v>
      </c>
      <c r="L29">
        <v>1</v>
      </c>
      <c r="M29">
        <v>1</v>
      </c>
      <c r="N29">
        <v>1</v>
      </c>
      <c r="O29">
        <v>1</v>
      </c>
      <c r="P29">
        <v>0</v>
      </c>
      <c r="Q29">
        <v>6</v>
      </c>
      <c r="R29">
        <v>0</v>
      </c>
      <c r="S29">
        <v>0</v>
      </c>
      <c r="T29">
        <v>0</v>
      </c>
      <c r="U29">
        <v>1</v>
      </c>
      <c r="V29">
        <f t="shared" si="0"/>
        <v>1</v>
      </c>
      <c r="W29">
        <v>1</v>
      </c>
      <c r="X29">
        <v>1</v>
      </c>
      <c r="Y29">
        <v>1</v>
      </c>
      <c r="Z29" t="s">
        <v>73</v>
      </c>
      <c r="AA29" s="5" t="s">
        <v>73</v>
      </c>
      <c r="AB29" s="5" t="s">
        <v>73</v>
      </c>
      <c r="AC29" t="s">
        <v>73</v>
      </c>
      <c r="AD29" t="s">
        <v>94</v>
      </c>
      <c r="AE29" s="5" t="s">
        <v>94</v>
      </c>
      <c r="AF29" t="s">
        <v>95</v>
      </c>
      <c r="AG29" t="s">
        <v>107</v>
      </c>
      <c r="AH29">
        <f t="shared" si="15"/>
        <v>9.323882E-2</v>
      </c>
      <c r="AI29">
        <f t="shared" si="14"/>
        <v>9.323882E-2</v>
      </c>
      <c r="AJ29">
        <f t="shared" si="6"/>
        <v>9.323882E-2</v>
      </c>
      <c r="AK29">
        <v>9.323882E-2</v>
      </c>
      <c r="AL29">
        <v>9.5796939999999997E-2</v>
      </c>
      <c r="AM29">
        <v>0.13333333999999999</v>
      </c>
      <c r="AN29">
        <v>0.13608982</v>
      </c>
      <c r="AO29">
        <v>90.676118000000002</v>
      </c>
      <c r="AP29">
        <v>90.420305999999997</v>
      </c>
      <c r="AQ29">
        <v>86.666666000000006</v>
      </c>
      <c r="AR29">
        <v>86.391018000000003</v>
      </c>
      <c r="AS29" t="b">
        <v>1</v>
      </c>
      <c r="AT29" t="b">
        <v>0</v>
      </c>
      <c r="AU29" t="s">
        <v>77</v>
      </c>
      <c r="AV29" t="s">
        <v>77</v>
      </c>
      <c r="AW29" t="s">
        <v>79</v>
      </c>
      <c r="AX29" t="s">
        <v>129</v>
      </c>
      <c r="AY29" t="s">
        <v>131</v>
      </c>
      <c r="AZ29" t="s">
        <v>72</v>
      </c>
      <c r="BA29" t="s">
        <v>82</v>
      </c>
      <c r="BB29" t="s">
        <v>82</v>
      </c>
      <c r="BC29">
        <v>4.1163553999999996E-3</v>
      </c>
      <c r="BD29">
        <v>1.4279989108178799E-4</v>
      </c>
      <c r="BE29">
        <v>4.2591552910817903E-3</v>
      </c>
      <c r="BF29">
        <f>IF(AK29&lt;BE29,1,0)</f>
        <v>0</v>
      </c>
      <c r="BG29">
        <f>IF(AK29&lt;BC29,1,0)</f>
        <v>0</v>
      </c>
    </row>
    <row r="30" spans="1:65" x14ac:dyDescent="0.2">
      <c r="A30">
        <v>1</v>
      </c>
      <c r="B30" t="s">
        <v>149</v>
      </c>
      <c r="C30">
        <v>16</v>
      </c>
      <c r="D30" t="s">
        <v>68</v>
      </c>
      <c r="E30">
        <v>0</v>
      </c>
      <c r="F30">
        <v>290</v>
      </c>
      <c r="G30" t="s">
        <v>97</v>
      </c>
      <c r="H30" s="1">
        <v>7</v>
      </c>
      <c r="I30" t="s">
        <v>87</v>
      </c>
      <c r="J30" t="s">
        <v>150</v>
      </c>
      <c r="K30" t="s">
        <v>72</v>
      </c>
      <c r="L30">
        <v>1</v>
      </c>
      <c r="M30">
        <v>0</v>
      </c>
      <c r="N30">
        <v>1</v>
      </c>
      <c r="O30">
        <v>1</v>
      </c>
      <c r="P30">
        <v>0</v>
      </c>
      <c r="Q30">
        <v>6</v>
      </c>
      <c r="R30">
        <v>0</v>
      </c>
      <c r="S30">
        <v>0</v>
      </c>
      <c r="T30">
        <v>1</v>
      </c>
      <c r="U30">
        <v>1</v>
      </c>
      <c r="V30">
        <f t="shared" si="0"/>
        <v>1</v>
      </c>
      <c r="W30">
        <v>1</v>
      </c>
      <c r="X30">
        <v>1</v>
      </c>
      <c r="Y30">
        <v>1</v>
      </c>
      <c r="Z30" t="s">
        <v>94</v>
      </c>
      <c r="AA30" s="5" t="s">
        <v>94</v>
      </c>
      <c r="AB30" s="5" t="s">
        <v>94</v>
      </c>
      <c r="AC30" t="s">
        <v>94</v>
      </c>
      <c r="AD30" t="s">
        <v>95</v>
      </c>
      <c r="AE30" s="5" t="s">
        <v>151</v>
      </c>
      <c r="AF30" t="s">
        <v>107</v>
      </c>
      <c r="AG30" t="s">
        <v>74</v>
      </c>
      <c r="AH30">
        <f t="shared" si="15"/>
        <v>1.5010917E-2</v>
      </c>
      <c r="AI30">
        <f t="shared" si="14"/>
        <v>1.5010917E-2</v>
      </c>
      <c r="AJ30">
        <f t="shared" si="6"/>
        <v>1.5010917E-2</v>
      </c>
      <c r="AK30">
        <v>1.5010917E-2</v>
      </c>
      <c r="AL30">
        <v>0.108802624</v>
      </c>
      <c r="AM30">
        <v>0.10986301</v>
      </c>
      <c r="AN30">
        <v>0.12739724999999999</v>
      </c>
      <c r="AO30">
        <v>98.498908299999997</v>
      </c>
      <c r="AP30">
        <v>89.119737599999993</v>
      </c>
      <c r="AQ30">
        <v>89.013699000000003</v>
      </c>
      <c r="AR30">
        <v>87.260274999999993</v>
      </c>
      <c r="AS30" t="b">
        <v>1</v>
      </c>
      <c r="AT30" t="b">
        <v>0</v>
      </c>
      <c r="AU30" t="s">
        <v>77</v>
      </c>
      <c r="AV30" t="s">
        <v>108</v>
      </c>
      <c r="AW30" t="s">
        <v>79</v>
      </c>
      <c r="AX30" t="s">
        <v>129</v>
      </c>
      <c r="AY30" t="s">
        <v>152</v>
      </c>
      <c r="AZ30" t="s">
        <v>72</v>
      </c>
      <c r="BA30" t="s">
        <v>82</v>
      </c>
      <c r="BB30">
        <v>2</v>
      </c>
      <c r="BC30">
        <v>1.6447369E-2</v>
      </c>
      <c r="BD30">
        <v>4.2236161269162102E-4</v>
      </c>
      <c r="BE30">
        <v>1.6869730612691598E-2</v>
      </c>
      <c r="BF30">
        <f>IF(AK30&lt;BE30,1,0)</f>
        <v>1</v>
      </c>
      <c r="BG30">
        <f>IF(AK30&lt;BC30,1,0)</f>
        <v>1</v>
      </c>
      <c r="BH30">
        <f>VLOOKUP($B30,[1]Data_Peer_with_peerVars!$B$2:$Z$1050,20,FALSE)</f>
        <v>0</v>
      </c>
      <c r="BI30">
        <f>VLOOKUP($B30,[1]Data_Peer_with_peerVars!$B$2:$Z$1050,21,FALSE)</f>
        <v>0</v>
      </c>
      <c r="BJ30">
        <v>0</v>
      </c>
      <c r="BK30">
        <f>VLOOKUP($B30,[1]Data_Peer_with_peerVars!$B$2:$Z$1050,23,FALSE)</f>
        <v>4</v>
      </c>
      <c r="BL30">
        <f>VLOOKUP($B30,[1]Data_Peer_with_peerVars!$B$2:$Z$1050,24,FALSE)</f>
        <v>4</v>
      </c>
      <c r="BM30">
        <f>VLOOKUP($B30,[1]Data_Peer_with_peerVars!$B$2:$Z$1050,25,FALSE)</f>
        <v>1</v>
      </c>
    </row>
    <row r="31" spans="1:65" x14ac:dyDescent="0.2">
      <c r="A31">
        <v>1</v>
      </c>
      <c r="B31" t="s">
        <v>153</v>
      </c>
      <c r="C31">
        <v>16</v>
      </c>
      <c r="D31" t="s">
        <v>68</v>
      </c>
      <c r="E31">
        <v>0</v>
      </c>
      <c r="F31">
        <v>290</v>
      </c>
      <c r="G31" t="s">
        <v>97</v>
      </c>
      <c r="H31" s="1">
        <v>7</v>
      </c>
      <c r="I31" t="s">
        <v>87</v>
      </c>
      <c r="J31" t="s">
        <v>150</v>
      </c>
      <c r="K31" t="s">
        <v>72</v>
      </c>
      <c r="L31">
        <v>1</v>
      </c>
      <c r="M31">
        <v>0</v>
      </c>
      <c r="N31">
        <v>1</v>
      </c>
      <c r="O31">
        <v>1</v>
      </c>
      <c r="P31">
        <v>0</v>
      </c>
      <c r="Q31">
        <v>6</v>
      </c>
      <c r="R31">
        <v>0</v>
      </c>
      <c r="S31">
        <v>0</v>
      </c>
      <c r="T31">
        <v>0</v>
      </c>
      <c r="U31">
        <v>0</v>
      </c>
      <c r="V31">
        <f t="shared" si="0"/>
        <v>1</v>
      </c>
      <c r="W31">
        <v>1</v>
      </c>
      <c r="X31">
        <v>1</v>
      </c>
      <c r="Y31">
        <v>1</v>
      </c>
      <c r="Z31" t="s">
        <v>73</v>
      </c>
      <c r="AA31" s="5" t="s">
        <v>73</v>
      </c>
      <c r="AB31" s="5" t="s">
        <v>73</v>
      </c>
      <c r="AC31" t="s">
        <v>73</v>
      </c>
      <c r="AD31" t="s">
        <v>94</v>
      </c>
      <c r="AE31" s="5" t="s">
        <v>94</v>
      </c>
      <c r="AF31" t="s">
        <v>75</v>
      </c>
      <c r="AG31" t="s">
        <v>95</v>
      </c>
      <c r="AH31">
        <f t="shared" si="15"/>
        <v>6.1068702000000002E-2</v>
      </c>
      <c r="AI31">
        <f t="shared" si="14"/>
        <v>6.1068702000000002E-2</v>
      </c>
      <c r="AJ31">
        <f t="shared" si="6"/>
        <v>6.1068702000000002E-2</v>
      </c>
      <c r="AK31">
        <v>6.1068702000000002E-2</v>
      </c>
      <c r="AL31">
        <v>0.11981441</v>
      </c>
      <c r="AM31">
        <v>0.12992342000000001</v>
      </c>
      <c r="AN31">
        <v>0.13989072</v>
      </c>
      <c r="AO31">
        <v>93.893129799999997</v>
      </c>
      <c r="AP31">
        <v>88.018558999999996</v>
      </c>
      <c r="AQ31">
        <v>87.007658000000006</v>
      </c>
      <c r="AR31">
        <v>86.010928000000007</v>
      </c>
      <c r="AS31" t="b">
        <v>1</v>
      </c>
      <c r="AT31" t="b">
        <v>0</v>
      </c>
      <c r="AU31" t="s">
        <v>77</v>
      </c>
      <c r="AV31" t="s">
        <v>78</v>
      </c>
      <c r="AW31" t="s">
        <v>79</v>
      </c>
      <c r="AX31" t="s">
        <v>129</v>
      </c>
      <c r="AY31" t="s">
        <v>152</v>
      </c>
      <c r="AZ31" t="s">
        <v>109</v>
      </c>
      <c r="BA31">
        <v>2</v>
      </c>
      <c r="BB31">
        <v>3</v>
      </c>
      <c r="BC31">
        <v>4.1163553999999996E-3</v>
      </c>
      <c r="BD31">
        <v>1.4279989108178799E-4</v>
      </c>
      <c r="BE31">
        <v>4.2591552910817903E-3</v>
      </c>
      <c r="BF31">
        <f>IF(AK31&lt;BE31,1,0)</f>
        <v>0</v>
      </c>
      <c r="BG31">
        <f>IF(AK31&lt;BC31,1,0)</f>
        <v>0</v>
      </c>
      <c r="BH31">
        <f>VLOOKUP($B31,[1]Data_Peer_with_peerVars!$B$2:$Z$1050,20,FALSE)</f>
        <v>0</v>
      </c>
      <c r="BI31">
        <f>VLOOKUP($B31,[1]Data_Peer_with_peerVars!$B$2:$Z$1050,21,FALSE)</f>
        <v>0</v>
      </c>
      <c r="BJ31">
        <v>0</v>
      </c>
      <c r="BK31">
        <f>VLOOKUP($B31,[1]Data_Peer_with_peerVars!$B$2:$Z$1050,23,FALSE)</f>
        <v>4</v>
      </c>
      <c r="BL31">
        <f>VLOOKUP($B31,[1]Data_Peer_with_peerVars!$B$2:$Z$1050,24,FALSE)</f>
        <v>4</v>
      </c>
      <c r="BM31">
        <f>VLOOKUP($B31,[1]Data_Peer_with_peerVars!$B$2:$Z$1050,25,FALSE)</f>
        <v>1</v>
      </c>
    </row>
    <row r="32" spans="1:65" x14ac:dyDescent="0.2">
      <c r="A32">
        <v>1</v>
      </c>
      <c r="B32" t="s">
        <v>154</v>
      </c>
      <c r="C32">
        <v>17</v>
      </c>
      <c r="D32" t="s">
        <v>155</v>
      </c>
      <c r="E32">
        <v>0</v>
      </c>
      <c r="F32" s="14" t="s">
        <v>82</v>
      </c>
      <c r="G32" s="14" t="s">
        <v>82</v>
      </c>
      <c r="H32" s="1">
        <v>6</v>
      </c>
      <c r="M32">
        <v>1</v>
      </c>
      <c r="N32">
        <v>0</v>
      </c>
      <c r="R32">
        <v>0</v>
      </c>
      <c r="S32">
        <v>0</v>
      </c>
      <c r="T32">
        <v>0</v>
      </c>
      <c r="U32">
        <v>0</v>
      </c>
      <c r="V32">
        <f t="shared" si="0"/>
        <v>1</v>
      </c>
      <c r="W32">
        <v>1</v>
      </c>
      <c r="X32">
        <v>1</v>
      </c>
      <c r="Y32">
        <v>1</v>
      </c>
      <c r="Z32" t="s">
        <v>76</v>
      </c>
      <c r="AA32" s="5" t="s">
        <v>76</v>
      </c>
      <c r="AB32" s="5" t="s">
        <v>76</v>
      </c>
      <c r="AC32" t="s">
        <v>76</v>
      </c>
      <c r="AD32" t="s">
        <v>74</v>
      </c>
      <c r="AE32" s="5" t="s">
        <v>74</v>
      </c>
      <c r="AF32" t="s">
        <v>75</v>
      </c>
      <c r="AG32" t="s">
        <v>120</v>
      </c>
      <c r="AH32">
        <f t="shared" si="15"/>
        <v>7.1077089999999996E-2</v>
      </c>
      <c r="AI32">
        <f t="shared" si="14"/>
        <v>7.1077089999999996E-2</v>
      </c>
      <c r="AJ32">
        <f t="shared" si="6"/>
        <v>7.1077089999999996E-2</v>
      </c>
      <c r="AK32">
        <v>7.1077089999999996E-2</v>
      </c>
      <c r="AL32">
        <v>8.557323E-2</v>
      </c>
      <c r="AM32">
        <v>0.11500547999999999</v>
      </c>
      <c r="AN32">
        <v>0.12110443</v>
      </c>
      <c r="AO32">
        <v>92.892291</v>
      </c>
      <c r="AP32">
        <v>91.442677000000003</v>
      </c>
      <c r="AQ32">
        <v>88.499452000000005</v>
      </c>
      <c r="AR32">
        <v>87.889556999999996</v>
      </c>
      <c r="AS32" t="b">
        <v>1</v>
      </c>
      <c r="AT32" t="b">
        <v>0</v>
      </c>
      <c r="AU32" t="s">
        <v>77</v>
      </c>
      <c r="AV32" t="s">
        <v>77</v>
      </c>
      <c r="AW32" t="s">
        <v>79</v>
      </c>
      <c r="AX32" t="s">
        <v>80</v>
      </c>
      <c r="AY32" t="s">
        <v>156</v>
      </c>
      <c r="AZ32" t="s">
        <v>109</v>
      </c>
      <c r="BA32">
        <v>12</v>
      </c>
      <c r="BB32">
        <v>1.4</v>
      </c>
      <c r="BC32">
        <v>7.7070764999999999E-2</v>
      </c>
      <c r="BD32">
        <v>1.90190515067399E-3</v>
      </c>
      <c r="BE32">
        <v>7.8972670150673996E-2</v>
      </c>
      <c r="BF32">
        <f>IF(AK32&lt;BE32,1,0)</f>
        <v>1</v>
      </c>
      <c r="BG32">
        <f>IF(AK32&lt;BC32,1,0)</f>
        <v>1</v>
      </c>
    </row>
    <row r="33" spans="1:65" x14ac:dyDescent="0.2">
      <c r="A33">
        <v>1</v>
      </c>
      <c r="B33" t="s">
        <v>157</v>
      </c>
      <c r="C33">
        <v>17</v>
      </c>
      <c r="D33" t="s">
        <v>155</v>
      </c>
      <c r="E33">
        <v>0</v>
      </c>
      <c r="F33" s="14" t="s">
        <v>82</v>
      </c>
      <c r="G33" s="14" t="s">
        <v>82</v>
      </c>
      <c r="H33" s="1">
        <v>6</v>
      </c>
      <c r="M33">
        <v>1</v>
      </c>
      <c r="N33">
        <v>0</v>
      </c>
      <c r="R33">
        <v>0</v>
      </c>
      <c r="S33">
        <v>0</v>
      </c>
      <c r="T33">
        <v>0</v>
      </c>
      <c r="U33">
        <v>0</v>
      </c>
      <c r="V33">
        <f t="shared" si="0"/>
        <v>1</v>
      </c>
      <c r="W33">
        <v>1</v>
      </c>
      <c r="X33">
        <v>1</v>
      </c>
      <c r="Y33">
        <v>1</v>
      </c>
      <c r="Z33" t="s">
        <v>73</v>
      </c>
      <c r="AA33" s="5" t="s">
        <v>73</v>
      </c>
      <c r="AB33" s="5" t="s">
        <v>158</v>
      </c>
      <c r="AC33" t="s">
        <v>73</v>
      </c>
      <c r="AD33" t="s">
        <v>94</v>
      </c>
      <c r="AE33" s="5" t="s">
        <v>94</v>
      </c>
      <c r="AF33" t="s">
        <v>75</v>
      </c>
      <c r="AG33" t="s">
        <v>95</v>
      </c>
      <c r="AH33">
        <f t="shared" si="15"/>
        <v>6.9520175000000003E-2</v>
      </c>
      <c r="AI33">
        <f t="shared" si="14"/>
        <v>6.9520175000000003E-2</v>
      </c>
      <c r="AJ33">
        <f t="shared" si="6"/>
        <v>6.9520175000000003E-2</v>
      </c>
      <c r="AK33">
        <v>6.9520175000000003E-2</v>
      </c>
      <c r="AL33">
        <v>0.118449785</v>
      </c>
      <c r="AM33">
        <v>0.1291735</v>
      </c>
      <c r="AN33">
        <v>0.1429743</v>
      </c>
      <c r="AO33">
        <v>93.047982500000003</v>
      </c>
      <c r="AP33">
        <v>88.155021500000004</v>
      </c>
      <c r="AQ33">
        <v>87.082650000000001</v>
      </c>
      <c r="AR33">
        <v>85.702569999999994</v>
      </c>
      <c r="AS33" t="b">
        <v>1</v>
      </c>
      <c r="AT33" t="b">
        <v>0</v>
      </c>
      <c r="AU33" t="s">
        <v>77</v>
      </c>
      <c r="AV33" t="s">
        <v>78</v>
      </c>
      <c r="AW33" t="s">
        <v>79</v>
      </c>
      <c r="AX33" t="s">
        <v>80</v>
      </c>
      <c r="AY33" t="s">
        <v>156</v>
      </c>
      <c r="AZ33" t="s">
        <v>109</v>
      </c>
      <c r="BA33">
        <v>12</v>
      </c>
      <c r="BB33">
        <v>1.4</v>
      </c>
      <c r="BC33">
        <v>4.1163553999999996E-3</v>
      </c>
      <c r="BD33">
        <v>1.4279989108178799E-4</v>
      </c>
      <c r="BE33">
        <v>4.2591552910817903E-3</v>
      </c>
      <c r="BF33">
        <f>IF(AK33&lt;BE33,1,0)</f>
        <v>0</v>
      </c>
      <c r="BG33">
        <f>IF(AK33&lt;BC33,1,0)</f>
        <v>0</v>
      </c>
    </row>
    <row r="34" spans="1:65" x14ac:dyDescent="0.2">
      <c r="A34">
        <v>1</v>
      </c>
      <c r="B34" t="s">
        <v>159</v>
      </c>
      <c r="C34">
        <v>18</v>
      </c>
      <c r="D34" t="s">
        <v>155</v>
      </c>
      <c r="E34">
        <v>0</v>
      </c>
      <c r="F34" s="14" t="s">
        <v>82</v>
      </c>
      <c r="G34" s="14" t="s">
        <v>82</v>
      </c>
      <c r="H34">
        <v>2.5</v>
      </c>
      <c r="M34">
        <v>1</v>
      </c>
      <c r="N34">
        <v>0</v>
      </c>
      <c r="R34">
        <v>0</v>
      </c>
      <c r="S34">
        <v>0</v>
      </c>
      <c r="T34">
        <v>0</v>
      </c>
      <c r="U34">
        <v>0</v>
      </c>
      <c r="V34">
        <f t="shared" si="0"/>
        <v>0</v>
      </c>
      <c r="W34">
        <f t="shared" si="1"/>
        <v>1</v>
      </c>
      <c r="X34">
        <v>1</v>
      </c>
      <c r="Y34">
        <v>1</v>
      </c>
      <c r="Z34" t="s">
        <v>74</v>
      </c>
      <c r="AA34" s="5" t="s">
        <v>74</v>
      </c>
      <c r="AB34" s="5" t="s">
        <v>74</v>
      </c>
      <c r="AC34" t="s">
        <v>94</v>
      </c>
      <c r="AD34" t="s">
        <v>74</v>
      </c>
      <c r="AE34" s="5" t="s">
        <v>74</v>
      </c>
      <c r="AF34" t="s">
        <v>76</v>
      </c>
      <c r="AG34" t="s">
        <v>120</v>
      </c>
      <c r="AH34">
        <f t="shared" si="15"/>
        <v>9.0684929999999997E-2</v>
      </c>
      <c r="AI34">
        <f t="shared" ref="AI34:AI37" si="16">AJ34</f>
        <v>9.0684929999999997E-2</v>
      </c>
      <c r="AJ34">
        <f>AL34</f>
        <v>9.0684929999999997E-2</v>
      </c>
      <c r="AK34">
        <v>8.706332E-2</v>
      </c>
      <c r="AL34">
        <v>9.0684929999999997E-2</v>
      </c>
      <c r="AM34">
        <v>0.12015292</v>
      </c>
      <c r="AN34">
        <v>0.12342982</v>
      </c>
      <c r="AO34">
        <v>91.293667999999997</v>
      </c>
      <c r="AP34">
        <v>90.931506999999996</v>
      </c>
      <c r="AQ34">
        <v>87.984707999999998</v>
      </c>
      <c r="AR34">
        <v>87.657017999999994</v>
      </c>
      <c r="AS34" t="b">
        <v>0</v>
      </c>
      <c r="AT34" t="b">
        <v>1</v>
      </c>
      <c r="AU34" t="s">
        <v>77</v>
      </c>
      <c r="AV34" t="s">
        <v>77</v>
      </c>
      <c r="AW34" t="s">
        <v>79</v>
      </c>
      <c r="AX34" t="s">
        <v>80</v>
      </c>
      <c r="AY34" t="s">
        <v>156</v>
      </c>
      <c r="AZ34" t="s">
        <v>109</v>
      </c>
      <c r="BA34">
        <v>5</v>
      </c>
      <c r="BB34">
        <v>0.7</v>
      </c>
      <c r="BC34">
        <v>1.6447369E-2</v>
      </c>
      <c r="BD34">
        <v>4.2236161269162102E-4</v>
      </c>
      <c r="BE34">
        <v>1.6869730612691598E-2</v>
      </c>
      <c r="BF34">
        <f>IF(AK34&lt;BE34,1,0)</f>
        <v>0</v>
      </c>
      <c r="BG34">
        <f>IF(AK34&lt;BC34,1,0)</f>
        <v>0</v>
      </c>
    </row>
    <row r="35" spans="1:65" x14ac:dyDescent="0.2">
      <c r="A35">
        <v>1</v>
      </c>
      <c r="B35" t="s">
        <v>160</v>
      </c>
      <c r="C35">
        <v>18</v>
      </c>
      <c r="D35" t="s">
        <v>155</v>
      </c>
      <c r="E35">
        <v>0</v>
      </c>
      <c r="F35" s="14" t="s">
        <v>82</v>
      </c>
      <c r="G35" s="14" t="s">
        <v>82</v>
      </c>
      <c r="H35">
        <v>2.5</v>
      </c>
      <c r="M35">
        <v>1</v>
      </c>
      <c r="N35">
        <v>0</v>
      </c>
      <c r="R35">
        <v>0</v>
      </c>
      <c r="S35">
        <v>0</v>
      </c>
      <c r="T35">
        <v>1</v>
      </c>
      <c r="U35">
        <v>1</v>
      </c>
      <c r="V35">
        <f t="shared" si="0"/>
        <v>0</v>
      </c>
      <c r="W35">
        <f t="shared" si="1"/>
        <v>0</v>
      </c>
      <c r="X35">
        <f t="shared" si="3"/>
        <v>0</v>
      </c>
      <c r="Y35">
        <f t="shared" si="4"/>
        <v>0</v>
      </c>
      <c r="Z35" t="s">
        <v>89</v>
      </c>
      <c r="AA35" s="5" t="s">
        <v>82</v>
      </c>
      <c r="AB35" s="5" t="s">
        <v>82</v>
      </c>
      <c r="AC35" t="s">
        <v>73</v>
      </c>
      <c r="AD35" t="s">
        <v>94</v>
      </c>
      <c r="AE35" s="5" t="s">
        <v>106</v>
      </c>
      <c r="AF35" t="s">
        <v>107</v>
      </c>
      <c r="AG35" t="s">
        <v>95</v>
      </c>
      <c r="AH35">
        <f>AI35</f>
        <v>4.0894219999999997E-3</v>
      </c>
      <c r="AI35">
        <f t="shared" si="16"/>
        <v>4.0894219999999997E-3</v>
      </c>
      <c r="AJ35">
        <f t="shared" si="6"/>
        <v>4.0894219999999997E-3</v>
      </c>
      <c r="AK35">
        <v>4.0894219999999997E-3</v>
      </c>
      <c r="AL35">
        <v>0.13196722</v>
      </c>
      <c r="AM35">
        <v>0.13623904000000001</v>
      </c>
      <c r="AN35">
        <v>0.13894967999999999</v>
      </c>
      <c r="AO35">
        <v>99.591057800000002</v>
      </c>
      <c r="AP35">
        <v>86.803278000000006</v>
      </c>
      <c r="AQ35">
        <v>86.376096000000004</v>
      </c>
      <c r="AR35">
        <v>86.105031999999994</v>
      </c>
      <c r="AS35" t="b">
        <v>0</v>
      </c>
      <c r="AT35" t="b">
        <v>0</v>
      </c>
      <c r="AU35" t="s">
        <v>108</v>
      </c>
      <c r="AV35" t="s">
        <v>108</v>
      </c>
      <c r="AW35" t="s">
        <v>79</v>
      </c>
      <c r="AX35" t="s">
        <v>80</v>
      </c>
      <c r="AY35" t="s">
        <v>156</v>
      </c>
      <c r="AZ35" t="s">
        <v>82</v>
      </c>
      <c r="BA35" t="s">
        <v>82</v>
      </c>
      <c r="BB35" t="s">
        <v>82</v>
      </c>
      <c r="BC35">
        <v>4.1163553999999996E-3</v>
      </c>
      <c r="BD35">
        <v>1.4279989108178799E-4</v>
      </c>
      <c r="BE35">
        <v>4.2591552910817903E-3</v>
      </c>
      <c r="BF35">
        <f>IF(AK35&lt;BE35,1,0)</f>
        <v>1</v>
      </c>
      <c r="BG35">
        <f>IF(AK35&lt;BC35,1,0)</f>
        <v>1</v>
      </c>
    </row>
    <row r="36" spans="1:65" x14ac:dyDescent="0.2">
      <c r="A36">
        <v>1</v>
      </c>
      <c r="B36" t="s">
        <v>161</v>
      </c>
      <c r="C36">
        <v>19</v>
      </c>
      <c r="D36" t="s">
        <v>155</v>
      </c>
      <c r="E36">
        <v>0</v>
      </c>
      <c r="F36" s="14" t="s">
        <v>82</v>
      </c>
      <c r="G36" s="14" t="s">
        <v>82</v>
      </c>
      <c r="H36" s="1">
        <v>7</v>
      </c>
      <c r="M36">
        <v>1</v>
      </c>
      <c r="N36">
        <v>0</v>
      </c>
      <c r="R36">
        <v>0</v>
      </c>
      <c r="S36">
        <v>0</v>
      </c>
      <c r="T36">
        <v>1</v>
      </c>
      <c r="U36">
        <v>1</v>
      </c>
      <c r="V36">
        <f t="shared" si="0"/>
        <v>1</v>
      </c>
      <c r="W36">
        <v>1</v>
      </c>
      <c r="X36">
        <v>1</v>
      </c>
      <c r="Y36">
        <v>1</v>
      </c>
      <c r="Z36" t="s">
        <v>73</v>
      </c>
      <c r="AA36" s="5" t="s">
        <v>73</v>
      </c>
      <c r="AB36" s="5" t="s">
        <v>158</v>
      </c>
      <c r="AC36" t="s">
        <v>73</v>
      </c>
      <c r="AD36" t="s">
        <v>94</v>
      </c>
      <c r="AE36" s="5" t="s">
        <v>106</v>
      </c>
      <c r="AF36" t="s">
        <v>107</v>
      </c>
      <c r="AG36" t="s">
        <v>95</v>
      </c>
      <c r="AH36">
        <f t="shared" ref="AH36:AH38" si="17">AI36</f>
        <v>3.8167940000000001E-3</v>
      </c>
      <c r="AI36">
        <f t="shared" si="16"/>
        <v>3.8167940000000001E-3</v>
      </c>
      <c r="AJ36">
        <f t="shared" si="6"/>
        <v>3.8167940000000001E-3</v>
      </c>
      <c r="AK36">
        <v>3.8167940000000001E-3</v>
      </c>
      <c r="AL36">
        <v>0.13169399000000001</v>
      </c>
      <c r="AM36">
        <v>0.13623904000000001</v>
      </c>
      <c r="AN36">
        <v>0.13867615</v>
      </c>
      <c r="AO36">
        <v>99.618320600000004</v>
      </c>
      <c r="AP36">
        <v>86.830601000000001</v>
      </c>
      <c r="AQ36">
        <v>86.376096000000004</v>
      </c>
      <c r="AR36">
        <v>86.132384999999999</v>
      </c>
      <c r="AS36" t="b">
        <v>1</v>
      </c>
      <c r="AT36" t="b">
        <v>0</v>
      </c>
      <c r="AU36" t="s">
        <v>77</v>
      </c>
      <c r="AV36" t="s">
        <v>108</v>
      </c>
      <c r="AW36" t="s">
        <v>79</v>
      </c>
      <c r="AX36" t="s">
        <v>80</v>
      </c>
      <c r="AY36" t="s">
        <v>162</v>
      </c>
      <c r="AZ36" t="s">
        <v>72</v>
      </c>
      <c r="BA36" t="s">
        <v>82</v>
      </c>
      <c r="BB36">
        <v>2</v>
      </c>
      <c r="BC36">
        <v>4.1163553999999996E-3</v>
      </c>
      <c r="BD36">
        <v>1.4279989108178799E-4</v>
      </c>
      <c r="BE36">
        <v>4.2591552910817903E-3</v>
      </c>
      <c r="BF36">
        <f>IF(AK36&lt;BE36,1,0)</f>
        <v>1</v>
      </c>
      <c r="BG36">
        <f>IF(AK36&lt;BC36,1,0)</f>
        <v>1</v>
      </c>
    </row>
    <row r="37" spans="1:65" x14ac:dyDescent="0.2">
      <c r="A37">
        <v>1</v>
      </c>
      <c r="B37" t="s">
        <v>163</v>
      </c>
      <c r="C37">
        <v>20</v>
      </c>
      <c r="D37" t="s">
        <v>155</v>
      </c>
      <c r="E37">
        <v>0</v>
      </c>
      <c r="F37" s="14" t="s">
        <v>82</v>
      </c>
      <c r="G37" s="14" t="s">
        <v>82</v>
      </c>
      <c r="H37" s="1">
        <v>7</v>
      </c>
      <c r="M37">
        <v>1</v>
      </c>
      <c r="N37">
        <v>0</v>
      </c>
      <c r="R37">
        <v>0</v>
      </c>
      <c r="S37">
        <v>0</v>
      </c>
      <c r="T37">
        <v>1</v>
      </c>
      <c r="U37">
        <v>1</v>
      </c>
      <c r="V37">
        <f t="shared" si="0"/>
        <v>1</v>
      </c>
      <c r="W37">
        <v>1</v>
      </c>
      <c r="X37">
        <v>1</v>
      </c>
      <c r="Y37">
        <v>1</v>
      </c>
      <c r="Z37" t="s">
        <v>73</v>
      </c>
      <c r="AA37" s="5" t="s">
        <v>73</v>
      </c>
      <c r="AB37" s="5" t="s">
        <v>73</v>
      </c>
      <c r="AC37" t="s">
        <v>73</v>
      </c>
      <c r="AD37" t="s">
        <v>94</v>
      </c>
      <c r="AE37" s="5" t="s">
        <v>106</v>
      </c>
      <c r="AF37" t="s">
        <v>107</v>
      </c>
      <c r="AG37" t="s">
        <v>95</v>
      </c>
      <c r="AH37">
        <f t="shared" si="17"/>
        <v>3.8209606000000002E-3</v>
      </c>
      <c r="AI37">
        <f t="shared" si="16"/>
        <v>3.8209606000000002E-3</v>
      </c>
      <c r="AJ37">
        <f t="shared" si="6"/>
        <v>3.8209606000000002E-3</v>
      </c>
      <c r="AK37">
        <v>3.8209606000000002E-3</v>
      </c>
      <c r="AL37">
        <v>0.13183807</v>
      </c>
      <c r="AM37">
        <v>0.13638858000000001</v>
      </c>
      <c r="AN37">
        <v>0.13828039</v>
      </c>
      <c r="AO37">
        <v>99.617903940000005</v>
      </c>
      <c r="AP37">
        <v>86.816192999999998</v>
      </c>
      <c r="AQ37">
        <v>86.361142000000001</v>
      </c>
      <c r="AR37">
        <v>86.171960999999996</v>
      </c>
      <c r="AS37" t="b">
        <v>1</v>
      </c>
      <c r="AT37" t="b">
        <v>0</v>
      </c>
      <c r="AU37" t="s">
        <v>77</v>
      </c>
      <c r="AV37" t="s">
        <v>108</v>
      </c>
      <c r="AW37" t="s">
        <v>79</v>
      </c>
      <c r="AX37" t="s">
        <v>80</v>
      </c>
      <c r="AY37" t="s">
        <v>164</v>
      </c>
      <c r="AZ37" t="s">
        <v>72</v>
      </c>
      <c r="BA37" t="s">
        <v>82</v>
      </c>
      <c r="BB37" t="s">
        <v>82</v>
      </c>
      <c r="BC37">
        <v>4.1163553999999996E-3</v>
      </c>
      <c r="BD37">
        <v>1.4279989108178799E-4</v>
      </c>
      <c r="BE37">
        <v>4.2591552910817903E-3</v>
      </c>
      <c r="BF37">
        <f>IF(AK37&lt;BE37,1,0)</f>
        <v>1</v>
      </c>
      <c r="BG37">
        <f>IF(AK37&lt;BC37,1,0)</f>
        <v>1</v>
      </c>
    </row>
    <row r="38" spans="1:65" x14ac:dyDescent="0.2">
      <c r="A38">
        <v>1</v>
      </c>
      <c r="B38" t="s">
        <v>165</v>
      </c>
      <c r="C38">
        <v>21</v>
      </c>
      <c r="D38" t="s">
        <v>155</v>
      </c>
      <c r="E38">
        <v>0</v>
      </c>
      <c r="F38" s="14" t="s">
        <v>82</v>
      </c>
      <c r="G38" s="14" t="s">
        <v>82</v>
      </c>
      <c r="H38" s="1">
        <v>7</v>
      </c>
      <c r="I38" t="s">
        <v>87</v>
      </c>
      <c r="J38" t="s">
        <v>111</v>
      </c>
      <c r="K38" t="s">
        <v>109</v>
      </c>
      <c r="L38">
        <v>1</v>
      </c>
      <c r="M38">
        <v>0</v>
      </c>
      <c r="N38">
        <v>0</v>
      </c>
      <c r="O38">
        <v>1</v>
      </c>
      <c r="P38">
        <v>0</v>
      </c>
      <c r="Q38">
        <v>2</v>
      </c>
      <c r="R38">
        <v>0</v>
      </c>
      <c r="S38">
        <v>0</v>
      </c>
      <c r="T38">
        <v>0</v>
      </c>
      <c r="U38">
        <v>0</v>
      </c>
      <c r="V38">
        <f t="shared" si="0"/>
        <v>0</v>
      </c>
      <c r="W38">
        <f t="shared" si="1"/>
        <v>1</v>
      </c>
      <c r="X38">
        <v>1</v>
      </c>
      <c r="Y38">
        <v>1</v>
      </c>
      <c r="Z38" t="s">
        <v>74</v>
      </c>
      <c r="AA38" s="5" t="s">
        <v>74</v>
      </c>
      <c r="AB38" s="5" t="s">
        <v>74</v>
      </c>
      <c r="AC38" t="s">
        <v>94</v>
      </c>
      <c r="AD38" t="s">
        <v>74</v>
      </c>
      <c r="AE38" s="5" t="s">
        <v>166</v>
      </c>
      <c r="AF38" t="s">
        <v>101</v>
      </c>
      <c r="AG38" t="s">
        <v>167</v>
      </c>
      <c r="AH38">
        <f t="shared" si="17"/>
        <v>0.11780822000000001</v>
      </c>
      <c r="AI38">
        <f t="shared" ref="AI38:AI42" si="18">AJ38</f>
        <v>0.11780822000000001</v>
      </c>
      <c r="AJ38">
        <f>AL38</f>
        <v>0.11780822000000001</v>
      </c>
      <c r="AK38">
        <v>0.11708515</v>
      </c>
      <c r="AL38">
        <v>0.11780822000000001</v>
      </c>
      <c r="AM38">
        <v>0.13254664999999999</v>
      </c>
      <c r="AN38">
        <v>0.13972603</v>
      </c>
      <c r="AO38">
        <v>88.291484999999994</v>
      </c>
      <c r="AP38">
        <v>88.219177999999999</v>
      </c>
      <c r="AQ38">
        <v>86.745334999999997</v>
      </c>
      <c r="AR38">
        <v>86.027396999999993</v>
      </c>
      <c r="AS38" t="b">
        <v>0</v>
      </c>
      <c r="AT38" t="b">
        <v>0</v>
      </c>
      <c r="AU38" t="s">
        <v>108</v>
      </c>
      <c r="AV38" t="s">
        <v>108</v>
      </c>
      <c r="AW38" t="s">
        <v>79</v>
      </c>
      <c r="AX38" t="s">
        <v>80</v>
      </c>
      <c r="AY38" t="s">
        <v>162</v>
      </c>
      <c r="AZ38" t="s">
        <v>109</v>
      </c>
      <c r="BA38">
        <v>2</v>
      </c>
      <c r="BB38">
        <v>0.1</v>
      </c>
      <c r="BC38">
        <v>1.6447369E-2</v>
      </c>
      <c r="BD38">
        <v>4.2236161269162102E-4</v>
      </c>
      <c r="BE38">
        <v>1.6869730612691598E-2</v>
      </c>
      <c r="BF38">
        <f>IF(AK38&lt;BE38,1,0)</f>
        <v>0</v>
      </c>
      <c r="BG38">
        <f>IF(AK38&lt;BC38,1,0)</f>
        <v>0</v>
      </c>
      <c r="BH38">
        <f>VLOOKUP($B38,[1]Data_Peer_with_peerVars!$B$2:$Z$1050,20,FALSE)</f>
        <v>6</v>
      </c>
      <c r="BI38">
        <f>VLOOKUP($B38,[1]Data_Peer_with_peerVars!$B$2:$Z$1050,21,FALSE)</f>
        <v>5</v>
      </c>
      <c r="BJ38">
        <f>VLOOKUP($B38,[1]Data_Peer_with_peerVars!$B$2:$Z$1050,22,FALSE)</f>
        <v>0.83333333300000001</v>
      </c>
      <c r="BK38">
        <f>VLOOKUP($B38,[1]Data_Peer_with_peerVars!$B$2:$Z$1050,23,FALSE)</f>
        <v>41</v>
      </c>
      <c r="BL38">
        <f>VLOOKUP($B38,[1]Data_Peer_with_peerVars!$B$2:$Z$1050,24,FALSE)</f>
        <v>26</v>
      </c>
      <c r="BM38">
        <f>VLOOKUP($B38,[1]Data_Peer_with_peerVars!$B$2:$Z$1050,25,FALSE)</f>
        <v>0.634146341</v>
      </c>
    </row>
    <row r="39" spans="1:65" x14ac:dyDescent="0.2">
      <c r="A39">
        <v>1</v>
      </c>
      <c r="B39" t="s">
        <v>168</v>
      </c>
      <c r="C39">
        <v>21</v>
      </c>
      <c r="D39" t="s">
        <v>155</v>
      </c>
      <c r="E39">
        <v>0</v>
      </c>
      <c r="F39" s="14" t="s">
        <v>82</v>
      </c>
      <c r="G39" s="14" t="s">
        <v>82</v>
      </c>
      <c r="H39" s="1">
        <v>7</v>
      </c>
      <c r="I39" t="s">
        <v>87</v>
      </c>
      <c r="J39" t="s">
        <v>111</v>
      </c>
      <c r="K39" t="s">
        <v>109</v>
      </c>
      <c r="L39">
        <v>1</v>
      </c>
      <c r="M39">
        <v>0</v>
      </c>
      <c r="N39">
        <v>0</v>
      </c>
      <c r="O39">
        <v>1</v>
      </c>
      <c r="P39">
        <v>0</v>
      </c>
      <c r="Q39">
        <v>2</v>
      </c>
      <c r="R39">
        <v>0</v>
      </c>
      <c r="S39">
        <v>0</v>
      </c>
      <c r="T39">
        <v>0</v>
      </c>
      <c r="U39">
        <v>0</v>
      </c>
      <c r="V39">
        <f t="shared" si="0"/>
        <v>0</v>
      </c>
      <c r="W39">
        <f t="shared" si="1"/>
        <v>0</v>
      </c>
      <c r="X39">
        <f t="shared" si="3"/>
        <v>0</v>
      </c>
      <c r="Y39">
        <f t="shared" si="4"/>
        <v>0</v>
      </c>
      <c r="Z39" t="s">
        <v>73</v>
      </c>
      <c r="AA39" s="5" t="s">
        <v>73</v>
      </c>
      <c r="AB39" s="5" t="s">
        <v>73</v>
      </c>
      <c r="AC39" t="s">
        <v>76</v>
      </c>
      <c r="AD39" t="s">
        <v>74</v>
      </c>
      <c r="AE39" s="5" t="s">
        <v>74</v>
      </c>
      <c r="AF39" t="s">
        <v>75</v>
      </c>
      <c r="AG39" t="s">
        <v>120</v>
      </c>
      <c r="AH39">
        <f t="shared" ref="AH39:AH42" si="19">AI39</f>
        <v>7.8961749999999997E-2</v>
      </c>
      <c r="AI39">
        <f t="shared" si="18"/>
        <v>7.8961749999999997E-2</v>
      </c>
      <c r="AJ39">
        <f t="shared" si="6"/>
        <v>7.8961749999999997E-2</v>
      </c>
      <c r="AK39">
        <v>7.8961749999999997E-2</v>
      </c>
      <c r="AL39">
        <v>9.4572365000000005E-2</v>
      </c>
      <c r="AM39">
        <v>0.1182266</v>
      </c>
      <c r="AN39">
        <v>0.12131148</v>
      </c>
      <c r="AO39">
        <v>92.103825000000001</v>
      </c>
      <c r="AP39">
        <v>90.542763500000007</v>
      </c>
      <c r="AQ39">
        <v>88.177340000000001</v>
      </c>
      <c r="AR39">
        <v>87.868852000000004</v>
      </c>
      <c r="AS39" t="b">
        <v>0</v>
      </c>
      <c r="AT39" t="b">
        <v>0</v>
      </c>
      <c r="AU39" t="s">
        <v>77</v>
      </c>
      <c r="AV39" t="s">
        <v>77</v>
      </c>
      <c r="AW39" t="s">
        <v>79</v>
      </c>
      <c r="AX39" t="s">
        <v>80</v>
      </c>
      <c r="AY39" t="s">
        <v>162</v>
      </c>
      <c r="AZ39" t="s">
        <v>109</v>
      </c>
      <c r="BA39">
        <v>2</v>
      </c>
      <c r="BB39">
        <v>0.7</v>
      </c>
      <c r="BC39">
        <v>7.7070764999999999E-2</v>
      </c>
      <c r="BD39">
        <v>1.90190515067399E-3</v>
      </c>
      <c r="BE39">
        <v>7.8972670150673996E-2</v>
      </c>
      <c r="BF39">
        <f>IF(AK39&lt;BE39,1,0)</f>
        <v>1</v>
      </c>
      <c r="BG39">
        <f>IF(AK39&lt;BC39,1,0)</f>
        <v>0</v>
      </c>
      <c r="BH39">
        <f>VLOOKUP($B39,[1]Data_Peer_with_peerVars!$B$2:$Z$1050,20,FALSE)</f>
        <v>6</v>
      </c>
      <c r="BI39">
        <f>VLOOKUP($B39,[1]Data_Peer_with_peerVars!$B$2:$Z$1050,21,FALSE)</f>
        <v>5</v>
      </c>
      <c r="BJ39">
        <f>VLOOKUP($B39,[1]Data_Peer_with_peerVars!$B$2:$Z$1050,22,FALSE)</f>
        <v>0.83333333300000001</v>
      </c>
      <c r="BK39">
        <f>VLOOKUP($B39,[1]Data_Peer_with_peerVars!$B$2:$Z$1050,23,FALSE)</f>
        <v>41</v>
      </c>
      <c r="BL39">
        <f>VLOOKUP($B39,[1]Data_Peer_with_peerVars!$B$2:$Z$1050,24,FALSE)</f>
        <v>26</v>
      </c>
      <c r="BM39">
        <f>VLOOKUP($B39,[1]Data_Peer_with_peerVars!$B$2:$Z$1050,25,FALSE)</f>
        <v>0.634146341</v>
      </c>
    </row>
    <row r="40" spans="1:65" x14ac:dyDescent="0.2">
      <c r="A40">
        <v>1</v>
      </c>
      <c r="B40" t="s">
        <v>169</v>
      </c>
      <c r="C40">
        <v>22</v>
      </c>
      <c r="D40" t="s">
        <v>155</v>
      </c>
      <c r="E40">
        <v>0</v>
      </c>
      <c r="F40" s="14" t="s">
        <v>82</v>
      </c>
      <c r="G40" s="14" t="s">
        <v>82</v>
      </c>
      <c r="H40" s="1">
        <v>7</v>
      </c>
      <c r="I40" t="s">
        <v>70</v>
      </c>
      <c r="J40" t="s">
        <v>71</v>
      </c>
      <c r="K40" t="s">
        <v>72</v>
      </c>
      <c r="L40">
        <v>1</v>
      </c>
      <c r="M40">
        <v>0</v>
      </c>
      <c r="N40">
        <v>0</v>
      </c>
      <c r="O40">
        <v>1</v>
      </c>
      <c r="P40">
        <v>0</v>
      </c>
      <c r="Q40">
        <v>6</v>
      </c>
      <c r="R40">
        <v>0</v>
      </c>
      <c r="S40">
        <v>0</v>
      </c>
      <c r="T40">
        <v>1</v>
      </c>
      <c r="U40">
        <v>1</v>
      </c>
      <c r="V40">
        <f t="shared" si="0"/>
        <v>0</v>
      </c>
      <c r="W40">
        <f t="shared" si="1"/>
        <v>0</v>
      </c>
      <c r="X40">
        <f t="shared" si="3"/>
        <v>0</v>
      </c>
      <c r="Y40">
        <f t="shared" si="4"/>
        <v>0</v>
      </c>
      <c r="Z40" t="s">
        <v>170</v>
      </c>
      <c r="AA40" s="5" t="s">
        <v>170</v>
      </c>
      <c r="AB40" s="5" t="s">
        <v>171</v>
      </c>
      <c r="AC40" t="s">
        <v>94</v>
      </c>
      <c r="AD40" t="s">
        <v>95</v>
      </c>
      <c r="AE40" s="5" t="s">
        <v>95</v>
      </c>
      <c r="AF40" t="s">
        <v>107</v>
      </c>
      <c r="AG40" t="s">
        <v>73</v>
      </c>
      <c r="AH40">
        <f t="shared" si="19"/>
        <v>1.4737992E-2</v>
      </c>
      <c r="AI40">
        <f t="shared" si="18"/>
        <v>1.4737992E-2</v>
      </c>
      <c r="AJ40">
        <f t="shared" si="6"/>
        <v>1.4737992E-2</v>
      </c>
      <c r="AK40">
        <v>1.4737992E-2</v>
      </c>
      <c r="AL40">
        <v>0.10825588</v>
      </c>
      <c r="AM40">
        <v>0.11150685</v>
      </c>
      <c r="AN40">
        <v>0.12711402999999999</v>
      </c>
      <c r="AO40">
        <v>98.526200799999998</v>
      </c>
      <c r="AP40">
        <v>89.174412000000004</v>
      </c>
      <c r="AQ40">
        <v>88.849315000000004</v>
      </c>
      <c r="AR40">
        <v>87.288596999999996</v>
      </c>
      <c r="AS40" t="b">
        <v>0</v>
      </c>
      <c r="AT40" t="b">
        <v>0</v>
      </c>
      <c r="AU40" t="s">
        <v>92</v>
      </c>
      <c r="AV40" t="s">
        <v>92</v>
      </c>
      <c r="AW40" t="s">
        <v>79</v>
      </c>
      <c r="AX40" t="s">
        <v>80</v>
      </c>
      <c r="AY40" t="s">
        <v>164</v>
      </c>
      <c r="AZ40" t="s">
        <v>72</v>
      </c>
      <c r="BA40" t="s">
        <v>82</v>
      </c>
      <c r="BB40">
        <v>7</v>
      </c>
      <c r="BC40">
        <v>1.6447369E-2</v>
      </c>
      <c r="BD40">
        <v>4.2236161269162102E-4</v>
      </c>
      <c r="BE40">
        <v>1.6869730612691598E-2</v>
      </c>
      <c r="BF40">
        <f>IF(AK40&lt;BE40,1,0)</f>
        <v>1</v>
      </c>
      <c r="BG40">
        <f>IF(AK40&lt;BC40,1,0)</f>
        <v>1</v>
      </c>
      <c r="BH40">
        <f>VLOOKUP($B40,[1]Data_Peer_with_peerVars!$B$2:$Z$1050,20,FALSE)</f>
        <v>4</v>
      </c>
      <c r="BI40">
        <f>VLOOKUP($B40,[1]Data_Peer_with_peerVars!$B$2:$Z$1050,21,FALSE)</f>
        <v>4</v>
      </c>
      <c r="BJ40">
        <f>VLOOKUP($B40,[1]Data_Peer_with_peerVars!$B$2:$Z$1050,22,FALSE)</f>
        <v>1</v>
      </c>
      <c r="BK40">
        <f>VLOOKUP($B40,[1]Data_Peer_with_peerVars!$B$2:$Z$1050,23,FALSE)</f>
        <v>35</v>
      </c>
      <c r="BL40">
        <f>VLOOKUP($B40,[1]Data_Peer_with_peerVars!$B$2:$Z$1050,24,FALSE)</f>
        <v>23</v>
      </c>
      <c r="BM40">
        <f>VLOOKUP($B40,[1]Data_Peer_with_peerVars!$B$2:$Z$1050,25,FALSE)</f>
        <v>0.65714285699999997</v>
      </c>
    </row>
    <row r="41" spans="1:65" x14ac:dyDescent="0.2">
      <c r="A41">
        <v>1</v>
      </c>
      <c r="B41" t="s">
        <v>172</v>
      </c>
      <c r="C41">
        <v>23</v>
      </c>
      <c r="D41" t="s">
        <v>68</v>
      </c>
      <c r="E41">
        <v>1</v>
      </c>
      <c r="F41">
        <v>260</v>
      </c>
      <c r="G41" t="s">
        <v>69</v>
      </c>
      <c r="H41" s="1">
        <v>6</v>
      </c>
      <c r="I41" t="s">
        <v>87</v>
      </c>
      <c r="J41" t="s">
        <v>150</v>
      </c>
      <c r="K41" t="s">
        <v>109</v>
      </c>
      <c r="L41">
        <v>1</v>
      </c>
      <c r="M41">
        <v>0</v>
      </c>
      <c r="N41">
        <v>1</v>
      </c>
      <c r="O41">
        <v>0</v>
      </c>
      <c r="P41">
        <v>0</v>
      </c>
      <c r="Q41">
        <v>6</v>
      </c>
      <c r="R41">
        <v>1</v>
      </c>
      <c r="S41">
        <v>1</v>
      </c>
      <c r="T41">
        <v>1</v>
      </c>
      <c r="U41">
        <v>1</v>
      </c>
      <c r="V41">
        <f t="shared" si="0"/>
        <v>0</v>
      </c>
      <c r="W41">
        <f t="shared" si="1"/>
        <v>0</v>
      </c>
      <c r="X41">
        <f t="shared" si="3"/>
        <v>0</v>
      </c>
      <c r="Y41">
        <f t="shared" si="4"/>
        <v>0</v>
      </c>
      <c r="Z41" t="s">
        <v>91</v>
      </c>
      <c r="AA41" s="5" t="s">
        <v>91</v>
      </c>
      <c r="AB41" s="5" t="s">
        <v>105</v>
      </c>
      <c r="AC41" t="s">
        <v>107</v>
      </c>
      <c r="AD41" t="s">
        <v>95</v>
      </c>
      <c r="AE41" s="5" t="s">
        <v>95</v>
      </c>
      <c r="AF41" t="s">
        <v>173</v>
      </c>
      <c r="AG41" t="s">
        <v>174</v>
      </c>
      <c r="AH41">
        <f t="shared" si="19"/>
        <v>9.3099670000000006E-3</v>
      </c>
      <c r="AI41">
        <f t="shared" si="18"/>
        <v>9.3099670000000006E-3</v>
      </c>
      <c r="AJ41">
        <f t="shared" si="6"/>
        <v>9.3099670000000006E-3</v>
      </c>
      <c r="AK41">
        <v>9.3099670000000006E-3</v>
      </c>
      <c r="AL41">
        <v>7.7491779999999996E-2</v>
      </c>
      <c r="AM41">
        <v>9.4040460000000006E-2</v>
      </c>
      <c r="AN41">
        <v>9.7754659999999993E-2</v>
      </c>
      <c r="AO41">
        <v>99.069003300000006</v>
      </c>
      <c r="AP41">
        <v>92.250821999999999</v>
      </c>
      <c r="AQ41">
        <v>90.595954000000006</v>
      </c>
      <c r="AR41">
        <v>90.224534000000006</v>
      </c>
      <c r="AS41" t="b">
        <v>0</v>
      </c>
      <c r="AT41" t="b">
        <v>0</v>
      </c>
      <c r="AU41" t="s">
        <v>77</v>
      </c>
      <c r="AV41" t="s">
        <v>77</v>
      </c>
      <c r="AW41" t="s">
        <v>79</v>
      </c>
      <c r="AX41" t="s">
        <v>129</v>
      </c>
      <c r="AY41" t="s">
        <v>175</v>
      </c>
      <c r="AZ41" t="s">
        <v>109</v>
      </c>
      <c r="BA41">
        <v>100</v>
      </c>
      <c r="BB41">
        <v>3</v>
      </c>
      <c r="BC41">
        <v>2.6475456000000001E-2</v>
      </c>
      <c r="BD41">
        <v>8.8330364056477401E-3</v>
      </c>
      <c r="BE41">
        <v>3.53084924056477E-2</v>
      </c>
      <c r="BF41">
        <f>IF(AK41&lt;BE41,1,0)</f>
        <v>1</v>
      </c>
      <c r="BG41">
        <f>IF(AK41&lt;BC41,1,0)</f>
        <v>1</v>
      </c>
      <c r="BH41">
        <f>VLOOKUP($B41,[1]Data_Peer_with_peerVars!$B$2:$Z$1050,20,FALSE)</f>
        <v>5</v>
      </c>
      <c r="BI41">
        <f>VLOOKUP($B41,[1]Data_Peer_with_peerVars!$B$2:$Z$1050,21,FALSE)</f>
        <v>3</v>
      </c>
      <c r="BJ41">
        <f>VLOOKUP($B41,[1]Data_Peer_with_peerVars!$B$2:$Z$1050,22,FALSE)</f>
        <v>0.6</v>
      </c>
      <c r="BK41">
        <f>VLOOKUP($B41,[1]Data_Peer_with_peerVars!$B$2:$Z$1050,23,FALSE)</f>
        <v>45</v>
      </c>
      <c r="BL41">
        <f>VLOOKUP($B41,[1]Data_Peer_with_peerVars!$B$2:$Z$1050,24,FALSE)</f>
        <v>27</v>
      </c>
      <c r="BM41">
        <f>VLOOKUP($B41,[1]Data_Peer_with_peerVars!$B$2:$Z$1050,25,FALSE)</f>
        <v>0.6</v>
      </c>
    </row>
    <row r="42" spans="1:65" x14ac:dyDescent="0.2">
      <c r="A42">
        <v>1</v>
      </c>
      <c r="B42" t="s">
        <v>176</v>
      </c>
      <c r="C42">
        <v>23</v>
      </c>
      <c r="D42" t="s">
        <v>68</v>
      </c>
      <c r="E42">
        <v>1</v>
      </c>
      <c r="F42">
        <v>260</v>
      </c>
      <c r="G42" t="s">
        <v>69</v>
      </c>
      <c r="H42" s="1">
        <v>6</v>
      </c>
      <c r="I42" t="s">
        <v>87</v>
      </c>
      <c r="J42" t="s">
        <v>150</v>
      </c>
      <c r="K42" t="s">
        <v>109</v>
      </c>
      <c r="L42">
        <v>1</v>
      </c>
      <c r="M42">
        <v>0</v>
      </c>
      <c r="N42">
        <v>1</v>
      </c>
      <c r="O42">
        <v>0</v>
      </c>
      <c r="P42">
        <v>0</v>
      </c>
      <c r="Q42">
        <v>6</v>
      </c>
      <c r="R42">
        <v>0</v>
      </c>
      <c r="S42">
        <v>0</v>
      </c>
      <c r="T42">
        <v>0</v>
      </c>
      <c r="U42">
        <v>0</v>
      </c>
      <c r="V42">
        <f t="shared" si="0"/>
        <v>0</v>
      </c>
      <c r="W42">
        <f t="shared" si="1"/>
        <v>0</v>
      </c>
      <c r="X42">
        <f t="shared" si="3"/>
        <v>0</v>
      </c>
      <c r="Y42">
        <f t="shared" si="4"/>
        <v>0</v>
      </c>
      <c r="Z42" t="s">
        <v>177</v>
      </c>
      <c r="AA42" s="5" t="s">
        <v>107</v>
      </c>
      <c r="AB42" s="5" t="s">
        <v>178</v>
      </c>
      <c r="AC42" t="s">
        <v>73</v>
      </c>
      <c r="AD42" t="s">
        <v>94</v>
      </c>
      <c r="AE42" s="5" t="s">
        <v>94</v>
      </c>
      <c r="AF42" t="s">
        <v>75</v>
      </c>
      <c r="AG42" t="s">
        <v>95</v>
      </c>
      <c r="AH42">
        <f t="shared" si="19"/>
        <v>4.9753963999999998E-2</v>
      </c>
      <c r="AI42">
        <f t="shared" si="18"/>
        <v>4.9753963999999998E-2</v>
      </c>
      <c r="AJ42">
        <f t="shared" si="6"/>
        <v>4.9753963999999998E-2</v>
      </c>
      <c r="AK42">
        <v>4.9753963999999998E-2</v>
      </c>
      <c r="AL42">
        <v>0.12616310999999999</v>
      </c>
      <c r="AM42">
        <v>0.13357104</v>
      </c>
      <c r="AN42">
        <v>0.14520548</v>
      </c>
      <c r="AO42">
        <v>95.024603600000006</v>
      </c>
      <c r="AP42">
        <v>87.383689000000004</v>
      </c>
      <c r="AQ42">
        <v>86.642895999999993</v>
      </c>
      <c r="AR42">
        <v>85.479451999999995</v>
      </c>
      <c r="AS42" t="b">
        <v>0</v>
      </c>
      <c r="AT42" t="b">
        <v>0</v>
      </c>
      <c r="AU42" t="s">
        <v>77</v>
      </c>
      <c r="AV42" t="s">
        <v>78</v>
      </c>
      <c r="AW42" t="s">
        <v>79</v>
      </c>
      <c r="AX42" t="s">
        <v>129</v>
      </c>
      <c r="AY42" t="s">
        <v>175</v>
      </c>
      <c r="AZ42" t="s">
        <v>72</v>
      </c>
      <c r="BA42" t="s">
        <v>82</v>
      </c>
      <c r="BB42">
        <v>2</v>
      </c>
      <c r="BC42">
        <v>4.1163553999999996E-3</v>
      </c>
      <c r="BD42">
        <v>1.4279989108178799E-4</v>
      </c>
      <c r="BE42">
        <v>4.2591552910817903E-3</v>
      </c>
      <c r="BF42">
        <f>IF(AK42&lt;BE42,1,0)</f>
        <v>0</v>
      </c>
      <c r="BG42">
        <f>IF(AK42&lt;BC42,1,0)</f>
        <v>0</v>
      </c>
      <c r="BH42">
        <f>VLOOKUP($B42,[1]Data_Peer_with_peerVars!$B$2:$Z$1050,20,FALSE)</f>
        <v>5</v>
      </c>
      <c r="BI42">
        <f>VLOOKUP($B42,[1]Data_Peer_with_peerVars!$B$2:$Z$1050,21,FALSE)</f>
        <v>3</v>
      </c>
      <c r="BJ42">
        <f>VLOOKUP($B42,[1]Data_Peer_with_peerVars!$B$2:$Z$1050,22,FALSE)</f>
        <v>0.6</v>
      </c>
      <c r="BK42">
        <f>VLOOKUP($B42,[1]Data_Peer_with_peerVars!$B$2:$Z$1050,23,FALSE)</f>
        <v>45</v>
      </c>
      <c r="BL42">
        <f>VLOOKUP($B42,[1]Data_Peer_with_peerVars!$B$2:$Z$1050,24,FALSE)</f>
        <v>27</v>
      </c>
      <c r="BM42">
        <f>VLOOKUP($B42,[1]Data_Peer_with_peerVars!$B$2:$Z$1050,25,FALSE)</f>
        <v>0.6</v>
      </c>
    </row>
    <row r="43" spans="1:65" x14ac:dyDescent="0.2">
      <c r="A43">
        <v>1</v>
      </c>
      <c r="B43" t="s">
        <v>179</v>
      </c>
      <c r="C43">
        <v>24</v>
      </c>
      <c r="D43" t="s">
        <v>68</v>
      </c>
      <c r="E43">
        <v>1</v>
      </c>
      <c r="F43">
        <v>264</v>
      </c>
      <c r="G43" t="s">
        <v>86</v>
      </c>
      <c r="H43" s="1">
        <v>7</v>
      </c>
      <c r="I43" t="s">
        <v>70</v>
      </c>
      <c r="J43" t="s">
        <v>71</v>
      </c>
      <c r="K43" t="s">
        <v>72</v>
      </c>
      <c r="L43">
        <v>1</v>
      </c>
      <c r="M43">
        <v>0</v>
      </c>
      <c r="N43">
        <v>1</v>
      </c>
      <c r="O43">
        <v>0</v>
      </c>
      <c r="P43">
        <v>0</v>
      </c>
      <c r="Q43">
        <v>6</v>
      </c>
      <c r="R43">
        <v>0</v>
      </c>
      <c r="S43">
        <v>0</v>
      </c>
      <c r="T43">
        <v>0</v>
      </c>
      <c r="U43">
        <v>0</v>
      </c>
      <c r="V43">
        <f t="shared" si="0"/>
        <v>1</v>
      </c>
      <c r="W43">
        <v>1</v>
      </c>
      <c r="X43">
        <v>1</v>
      </c>
      <c r="Y43">
        <v>1</v>
      </c>
      <c r="Z43" t="s">
        <v>76</v>
      </c>
      <c r="AA43" s="5" t="s">
        <v>76</v>
      </c>
      <c r="AB43" s="5" t="s">
        <v>76</v>
      </c>
      <c r="AC43" t="s">
        <v>76</v>
      </c>
      <c r="AD43" t="s">
        <v>74</v>
      </c>
      <c r="AE43" s="5" t="s">
        <v>74</v>
      </c>
      <c r="AF43" t="s">
        <v>75</v>
      </c>
      <c r="AG43" t="s">
        <v>120</v>
      </c>
      <c r="AH43">
        <f t="shared" ref="AH43:AI46" si="20">AI43</f>
        <v>7.3617950000000001E-2</v>
      </c>
      <c r="AI43">
        <f t="shared" si="20"/>
        <v>7.3617950000000001E-2</v>
      </c>
      <c r="AJ43">
        <f t="shared" si="6"/>
        <v>7.3617950000000001E-2</v>
      </c>
      <c r="AK43">
        <v>7.3617950000000001E-2</v>
      </c>
      <c r="AL43">
        <v>8.5941790000000004E-2</v>
      </c>
      <c r="AM43">
        <v>0.1189693</v>
      </c>
      <c r="AN43">
        <v>0.12205802</v>
      </c>
      <c r="AO43">
        <v>92.638204999999999</v>
      </c>
      <c r="AP43">
        <v>91.405821000000003</v>
      </c>
      <c r="AQ43">
        <v>88.103070000000002</v>
      </c>
      <c r="AR43">
        <v>87.794197999999994</v>
      </c>
      <c r="AS43" t="b">
        <v>1</v>
      </c>
      <c r="AT43" t="b">
        <v>0</v>
      </c>
      <c r="AU43" t="s">
        <v>77</v>
      </c>
      <c r="AV43" t="s">
        <v>77</v>
      </c>
      <c r="AW43" t="s">
        <v>79</v>
      </c>
      <c r="AX43" t="s">
        <v>129</v>
      </c>
      <c r="AY43" t="s">
        <v>175</v>
      </c>
      <c r="AZ43" t="s">
        <v>72</v>
      </c>
      <c r="BA43" t="s">
        <v>82</v>
      </c>
      <c r="BB43">
        <v>4</v>
      </c>
      <c r="BC43">
        <v>7.7070764999999999E-2</v>
      </c>
      <c r="BD43">
        <v>1.90190515067399E-3</v>
      </c>
      <c r="BE43">
        <v>7.8972670150673996E-2</v>
      </c>
      <c r="BF43">
        <f>IF(AK43&lt;BE43,1,0)</f>
        <v>1</v>
      </c>
      <c r="BG43">
        <f>IF(AK43&lt;BC43,1,0)</f>
        <v>1</v>
      </c>
      <c r="BH43">
        <f>VLOOKUP($B43,[1]Data_Peer_with_peerVars!$B$2:$Z$1050,20,FALSE)</f>
        <v>11</v>
      </c>
      <c r="BI43">
        <f>VLOOKUP($B43,[1]Data_Peer_with_peerVars!$B$2:$Z$1050,21,FALSE)</f>
        <v>8</v>
      </c>
      <c r="BJ43">
        <f>VLOOKUP($B43,[1]Data_Peer_with_peerVars!$B$2:$Z$1050,22,FALSE)</f>
        <v>0.72727272700000001</v>
      </c>
      <c r="BK43">
        <f>VLOOKUP($B43,[1]Data_Peer_with_peerVars!$B$2:$Z$1050,23,FALSE)</f>
        <v>47</v>
      </c>
      <c r="BL43">
        <f>VLOOKUP($B43,[1]Data_Peer_with_peerVars!$B$2:$Z$1050,24,FALSE)</f>
        <v>28</v>
      </c>
      <c r="BM43">
        <f>VLOOKUP($B43,[1]Data_Peer_with_peerVars!$B$2:$Z$1050,25,FALSE)</f>
        <v>0.595744681</v>
      </c>
    </row>
    <row r="44" spans="1:65" x14ac:dyDescent="0.2">
      <c r="A44">
        <v>1</v>
      </c>
      <c r="B44" t="s">
        <v>180</v>
      </c>
      <c r="C44">
        <v>24</v>
      </c>
      <c r="D44" t="s">
        <v>68</v>
      </c>
      <c r="E44">
        <v>1</v>
      </c>
      <c r="F44">
        <v>264</v>
      </c>
      <c r="G44" t="s">
        <v>86</v>
      </c>
      <c r="H44" s="1">
        <v>7</v>
      </c>
      <c r="I44" t="s">
        <v>70</v>
      </c>
      <c r="J44" t="s">
        <v>71</v>
      </c>
      <c r="K44" t="s">
        <v>72</v>
      </c>
      <c r="L44">
        <v>1</v>
      </c>
      <c r="M44">
        <v>0</v>
      </c>
      <c r="N44">
        <v>1</v>
      </c>
      <c r="O44">
        <v>0</v>
      </c>
      <c r="P44">
        <v>0</v>
      </c>
      <c r="Q44">
        <v>6</v>
      </c>
      <c r="R44">
        <v>0</v>
      </c>
      <c r="S44">
        <v>0</v>
      </c>
      <c r="T44">
        <v>0</v>
      </c>
      <c r="U44">
        <v>0</v>
      </c>
      <c r="V44">
        <f t="shared" si="0"/>
        <v>0</v>
      </c>
      <c r="W44">
        <f t="shared" si="1"/>
        <v>0</v>
      </c>
      <c r="X44">
        <f t="shared" si="3"/>
        <v>0</v>
      </c>
      <c r="Y44">
        <f t="shared" si="4"/>
        <v>0</v>
      </c>
      <c r="Z44" t="s">
        <v>73</v>
      </c>
      <c r="AA44" s="5" t="s">
        <v>73</v>
      </c>
      <c r="AB44" s="5" t="s">
        <v>73</v>
      </c>
      <c r="AC44" t="s">
        <v>76</v>
      </c>
      <c r="AD44" t="s">
        <v>74</v>
      </c>
      <c r="AE44" s="5" t="s">
        <v>74</v>
      </c>
      <c r="AF44" t="s">
        <v>120</v>
      </c>
      <c r="AG44" t="s">
        <v>75</v>
      </c>
      <c r="AH44">
        <f t="shared" si="20"/>
        <v>7.6229505000000003E-2</v>
      </c>
      <c r="AI44">
        <f t="shared" si="20"/>
        <v>7.6229505000000003E-2</v>
      </c>
      <c r="AJ44">
        <f t="shared" si="6"/>
        <v>7.6229505000000003E-2</v>
      </c>
      <c r="AK44">
        <v>7.6229505000000003E-2</v>
      </c>
      <c r="AL44">
        <v>8.2510959999999994E-2</v>
      </c>
      <c r="AM44">
        <v>0.11857924</v>
      </c>
      <c r="AN44">
        <v>0.11959496</v>
      </c>
      <c r="AO44">
        <v>92.377049499999998</v>
      </c>
      <c r="AP44">
        <v>91.748903999999996</v>
      </c>
      <c r="AQ44">
        <v>88.142076000000003</v>
      </c>
      <c r="AR44">
        <v>88.040503999999999</v>
      </c>
      <c r="AS44" t="b">
        <v>0</v>
      </c>
      <c r="AT44" t="b">
        <v>0</v>
      </c>
      <c r="AU44" t="s">
        <v>77</v>
      </c>
      <c r="AV44" t="s">
        <v>77</v>
      </c>
      <c r="AW44" t="s">
        <v>79</v>
      </c>
      <c r="AX44" t="s">
        <v>129</v>
      </c>
      <c r="AY44" t="s">
        <v>175</v>
      </c>
      <c r="AZ44" t="s">
        <v>72</v>
      </c>
      <c r="BA44" t="s">
        <v>82</v>
      </c>
      <c r="BB44">
        <v>7</v>
      </c>
      <c r="BC44">
        <v>7.7070764999999999E-2</v>
      </c>
      <c r="BD44">
        <v>1.90190515067399E-3</v>
      </c>
      <c r="BE44">
        <v>7.8972670150673996E-2</v>
      </c>
      <c r="BF44">
        <f>IF(AK44&lt;BE44,1,0)</f>
        <v>1</v>
      </c>
      <c r="BG44">
        <f>IF(AK44&lt;BC44,1,0)</f>
        <v>1</v>
      </c>
      <c r="BH44">
        <f>VLOOKUP($B44,[1]Data_Peer_with_peerVars!$B$2:$Z$1050,20,FALSE)</f>
        <v>11</v>
      </c>
      <c r="BI44">
        <f>VLOOKUP($B44,[1]Data_Peer_with_peerVars!$B$2:$Z$1050,21,FALSE)</f>
        <v>8</v>
      </c>
      <c r="BJ44">
        <f>VLOOKUP($B44,[1]Data_Peer_with_peerVars!$B$2:$Z$1050,22,FALSE)</f>
        <v>0.72727272700000001</v>
      </c>
      <c r="BK44">
        <f>VLOOKUP($B44,[1]Data_Peer_with_peerVars!$B$2:$Z$1050,23,FALSE)</f>
        <v>47</v>
      </c>
      <c r="BL44">
        <f>VLOOKUP($B44,[1]Data_Peer_with_peerVars!$B$2:$Z$1050,24,FALSE)</f>
        <v>28</v>
      </c>
      <c r="BM44">
        <f>VLOOKUP($B44,[1]Data_Peer_with_peerVars!$B$2:$Z$1050,25,FALSE)</f>
        <v>0.595744681</v>
      </c>
    </row>
    <row r="45" spans="1:65" x14ac:dyDescent="0.2">
      <c r="A45">
        <v>1</v>
      </c>
      <c r="B45" t="s">
        <v>181</v>
      </c>
      <c r="C45">
        <v>25</v>
      </c>
      <c r="D45" t="s">
        <v>68</v>
      </c>
      <c r="E45">
        <v>1</v>
      </c>
      <c r="F45">
        <v>277</v>
      </c>
      <c r="G45" t="s">
        <v>69</v>
      </c>
      <c r="H45" s="1">
        <v>6</v>
      </c>
      <c r="I45" t="s">
        <v>70</v>
      </c>
      <c r="J45" t="s">
        <v>71</v>
      </c>
      <c r="K45" t="s">
        <v>72</v>
      </c>
      <c r="L45">
        <v>1</v>
      </c>
      <c r="M45">
        <v>0</v>
      </c>
      <c r="N45">
        <v>1</v>
      </c>
      <c r="O45">
        <v>0</v>
      </c>
      <c r="P45">
        <v>1</v>
      </c>
      <c r="Q45">
        <v>9</v>
      </c>
      <c r="R45">
        <v>0</v>
      </c>
      <c r="S45">
        <v>0</v>
      </c>
      <c r="T45">
        <v>1</v>
      </c>
      <c r="U45">
        <v>1</v>
      </c>
      <c r="V45">
        <f t="shared" si="0"/>
        <v>1</v>
      </c>
      <c r="W45">
        <v>1</v>
      </c>
      <c r="X45">
        <v>1</v>
      </c>
      <c r="Y45">
        <v>1</v>
      </c>
      <c r="Z45" t="s">
        <v>73</v>
      </c>
      <c r="AA45" s="5" t="s">
        <v>73</v>
      </c>
      <c r="AB45" s="5" t="s">
        <v>73</v>
      </c>
      <c r="AC45" t="s">
        <v>73</v>
      </c>
      <c r="AD45" t="s">
        <v>94</v>
      </c>
      <c r="AE45" s="5" t="s">
        <v>106</v>
      </c>
      <c r="AF45" t="s">
        <v>107</v>
      </c>
      <c r="AG45" t="s">
        <v>75</v>
      </c>
      <c r="AH45">
        <f t="shared" si="20"/>
        <v>1.9639935000000001E-2</v>
      </c>
      <c r="AI45">
        <f t="shared" si="20"/>
        <v>1.9639935000000001E-2</v>
      </c>
      <c r="AJ45">
        <f t="shared" si="6"/>
        <v>1.9639935000000001E-2</v>
      </c>
      <c r="AK45">
        <v>1.9639935000000001E-2</v>
      </c>
      <c r="AL45">
        <v>0.12650274</v>
      </c>
      <c r="AM45">
        <v>0.13835616000000001</v>
      </c>
      <c r="AN45">
        <v>0.13964951</v>
      </c>
      <c r="AO45">
        <v>98.036006499999999</v>
      </c>
      <c r="AP45">
        <v>87.349726000000004</v>
      </c>
      <c r="AQ45">
        <v>86.164383999999998</v>
      </c>
      <c r="AR45">
        <v>86.035049000000001</v>
      </c>
      <c r="AS45" t="b">
        <v>1</v>
      </c>
      <c r="AT45" t="b">
        <v>0</v>
      </c>
      <c r="AU45" t="s">
        <v>77</v>
      </c>
      <c r="AV45" t="s">
        <v>108</v>
      </c>
      <c r="AW45" t="s">
        <v>79</v>
      </c>
      <c r="AX45" t="s">
        <v>129</v>
      </c>
      <c r="AY45" t="s">
        <v>175</v>
      </c>
      <c r="AZ45" t="s">
        <v>72</v>
      </c>
      <c r="BA45" t="s">
        <v>82</v>
      </c>
      <c r="BB45">
        <v>3</v>
      </c>
      <c r="BC45">
        <v>4.1163553999999996E-3</v>
      </c>
      <c r="BD45">
        <v>1.4279989108178799E-4</v>
      </c>
      <c r="BE45">
        <v>4.2591552910817903E-3</v>
      </c>
      <c r="BF45">
        <f>IF(AK45&lt;BE45,1,0)</f>
        <v>0</v>
      </c>
      <c r="BG45">
        <f>IF(AK45&lt;BC45,1,0)</f>
        <v>0</v>
      </c>
      <c r="BH45">
        <f>VLOOKUP($B45,[1]Data_Peer_with_peerVars!$B$2:$Z$1050,20,FALSE)</f>
        <v>1</v>
      </c>
      <c r="BI45">
        <f>VLOOKUP($B45,[1]Data_Peer_with_peerVars!$B$2:$Z$1050,21,FALSE)</f>
        <v>0</v>
      </c>
      <c r="BJ45">
        <f>VLOOKUP($B45,[1]Data_Peer_with_peerVars!$B$2:$Z$1050,22,FALSE)</f>
        <v>0</v>
      </c>
      <c r="BK45">
        <f>VLOOKUP($B45,[1]Data_Peer_with_peerVars!$B$2:$Z$1050,23,FALSE)</f>
        <v>41</v>
      </c>
      <c r="BL45">
        <f>VLOOKUP($B45,[1]Data_Peer_with_peerVars!$B$2:$Z$1050,24,FALSE)</f>
        <v>25</v>
      </c>
      <c r="BM45">
        <f>VLOOKUP($B45,[1]Data_Peer_with_peerVars!$B$2:$Z$1050,25,FALSE)</f>
        <v>0.60975609799999997</v>
      </c>
    </row>
    <row r="46" spans="1:65" x14ac:dyDescent="0.2">
      <c r="A46">
        <v>1</v>
      </c>
      <c r="B46" t="s">
        <v>182</v>
      </c>
      <c r="C46">
        <v>25</v>
      </c>
      <c r="D46" t="s">
        <v>68</v>
      </c>
      <c r="E46">
        <v>1</v>
      </c>
      <c r="F46">
        <v>277</v>
      </c>
      <c r="G46" t="s">
        <v>69</v>
      </c>
      <c r="H46" s="1">
        <v>6</v>
      </c>
      <c r="I46" t="s">
        <v>70</v>
      </c>
      <c r="J46" t="s">
        <v>71</v>
      </c>
      <c r="K46" t="s">
        <v>72</v>
      </c>
      <c r="L46">
        <v>1</v>
      </c>
      <c r="M46">
        <v>0</v>
      </c>
      <c r="N46">
        <v>1</v>
      </c>
      <c r="O46">
        <v>0</v>
      </c>
      <c r="P46">
        <v>1</v>
      </c>
      <c r="Q46">
        <v>9</v>
      </c>
      <c r="R46">
        <v>0</v>
      </c>
      <c r="S46">
        <v>0</v>
      </c>
      <c r="T46">
        <v>0</v>
      </c>
      <c r="U46">
        <v>1</v>
      </c>
      <c r="V46">
        <f t="shared" si="0"/>
        <v>0</v>
      </c>
      <c r="W46">
        <f t="shared" si="1"/>
        <v>0</v>
      </c>
      <c r="X46">
        <f t="shared" si="3"/>
        <v>0</v>
      </c>
      <c r="Y46">
        <f t="shared" si="4"/>
        <v>0</v>
      </c>
      <c r="Z46" t="s">
        <v>177</v>
      </c>
      <c r="AA46" s="5" t="s">
        <v>170</v>
      </c>
      <c r="AB46" s="5" t="s">
        <v>183</v>
      </c>
      <c r="AC46" t="s">
        <v>73</v>
      </c>
      <c r="AD46" t="s">
        <v>94</v>
      </c>
      <c r="AE46" s="5" t="s">
        <v>94</v>
      </c>
      <c r="AF46" t="s">
        <v>95</v>
      </c>
      <c r="AG46" t="s">
        <v>107</v>
      </c>
      <c r="AH46">
        <f t="shared" si="20"/>
        <v>6.5193669999999995E-2</v>
      </c>
      <c r="AI46">
        <f t="shared" si="20"/>
        <v>6.5193669999999995E-2</v>
      </c>
      <c r="AJ46">
        <f t="shared" si="6"/>
        <v>6.5193669999999995E-2</v>
      </c>
      <c r="AK46">
        <v>6.5193669999999995E-2</v>
      </c>
      <c r="AL46">
        <v>7.4276350000000005E-2</v>
      </c>
      <c r="AM46">
        <v>0.12417942999999999</v>
      </c>
      <c r="AN46">
        <v>0.12541073999999999</v>
      </c>
      <c r="AO46">
        <v>93.480632999999997</v>
      </c>
      <c r="AP46">
        <v>92.572365000000005</v>
      </c>
      <c r="AQ46">
        <v>87.582057000000006</v>
      </c>
      <c r="AR46">
        <v>87.458926000000005</v>
      </c>
      <c r="AS46" t="b">
        <v>0</v>
      </c>
      <c r="AT46" t="b">
        <v>0</v>
      </c>
      <c r="AU46" t="s">
        <v>92</v>
      </c>
      <c r="AV46" t="s">
        <v>92</v>
      </c>
      <c r="AW46" t="s">
        <v>79</v>
      </c>
      <c r="AX46" t="s">
        <v>129</v>
      </c>
      <c r="AY46" t="s">
        <v>175</v>
      </c>
      <c r="AZ46" t="s">
        <v>109</v>
      </c>
      <c r="BA46">
        <v>4</v>
      </c>
      <c r="BB46">
        <v>2</v>
      </c>
      <c r="BC46">
        <v>4.1163553999999996E-3</v>
      </c>
      <c r="BD46">
        <v>1.4279989108178799E-4</v>
      </c>
      <c r="BE46">
        <v>4.2591552910817903E-3</v>
      </c>
      <c r="BF46">
        <f>IF(AK46&lt;BE46,1,0)</f>
        <v>0</v>
      </c>
      <c r="BG46">
        <f>IF(AK46&lt;BC46,1,0)</f>
        <v>0</v>
      </c>
      <c r="BH46">
        <f>VLOOKUP($B46,[1]Data_Peer_with_peerVars!$B$2:$Z$1050,20,FALSE)</f>
        <v>1</v>
      </c>
      <c r="BI46">
        <f>VLOOKUP($B46,[1]Data_Peer_with_peerVars!$B$2:$Z$1050,21,FALSE)</f>
        <v>0</v>
      </c>
      <c r="BJ46">
        <f>VLOOKUP($B46,[1]Data_Peer_with_peerVars!$B$2:$Z$1050,22,FALSE)</f>
        <v>0</v>
      </c>
      <c r="BK46">
        <f>VLOOKUP($B46,[1]Data_Peer_with_peerVars!$B$2:$Z$1050,23,FALSE)</f>
        <v>41</v>
      </c>
      <c r="BL46">
        <f>VLOOKUP($B46,[1]Data_Peer_with_peerVars!$B$2:$Z$1050,24,FALSE)</f>
        <v>25</v>
      </c>
      <c r="BM46">
        <f>VLOOKUP($B46,[1]Data_Peer_with_peerVars!$B$2:$Z$1050,25,FALSE)</f>
        <v>0.60975609799999997</v>
      </c>
    </row>
    <row r="47" spans="1:65" x14ac:dyDescent="0.2">
      <c r="A47">
        <v>1</v>
      </c>
      <c r="B47" t="s">
        <v>184</v>
      </c>
      <c r="C47">
        <v>25</v>
      </c>
      <c r="D47" t="s">
        <v>68</v>
      </c>
      <c r="E47">
        <v>1</v>
      </c>
      <c r="F47">
        <v>277</v>
      </c>
      <c r="G47" t="s">
        <v>69</v>
      </c>
      <c r="H47" s="1">
        <v>6</v>
      </c>
      <c r="I47" t="s">
        <v>70</v>
      </c>
      <c r="J47" t="s">
        <v>71</v>
      </c>
      <c r="K47" t="s">
        <v>72</v>
      </c>
      <c r="L47">
        <v>1</v>
      </c>
      <c r="M47">
        <v>0</v>
      </c>
      <c r="N47">
        <v>1</v>
      </c>
      <c r="O47">
        <v>0</v>
      </c>
      <c r="P47">
        <v>1</v>
      </c>
      <c r="Q47">
        <v>9</v>
      </c>
      <c r="R47">
        <v>0</v>
      </c>
      <c r="S47">
        <v>0</v>
      </c>
      <c r="T47">
        <v>0</v>
      </c>
      <c r="U47">
        <v>0</v>
      </c>
      <c r="V47">
        <f t="shared" si="0"/>
        <v>1</v>
      </c>
      <c r="W47">
        <v>1</v>
      </c>
      <c r="X47">
        <v>1</v>
      </c>
      <c r="Y47">
        <v>1</v>
      </c>
      <c r="Z47" t="s">
        <v>103</v>
      </c>
      <c r="AA47" s="5" t="s">
        <v>170</v>
      </c>
      <c r="AB47" s="5" t="s">
        <v>185</v>
      </c>
      <c r="AC47" t="s">
        <v>103</v>
      </c>
      <c r="AD47" t="s">
        <v>101</v>
      </c>
      <c r="AE47" s="5" t="s">
        <v>101</v>
      </c>
      <c r="AF47" t="s">
        <v>99</v>
      </c>
      <c r="AG47" t="s">
        <v>137</v>
      </c>
      <c r="AH47">
        <f t="shared" ref="AH47:AH50" si="21">AI47</f>
        <v>1.6519823999999999E-2</v>
      </c>
      <c r="AI47">
        <f t="shared" ref="AI47:AI50" si="22">AJ47</f>
        <v>1.6519823999999999E-2</v>
      </c>
      <c r="AJ47">
        <f t="shared" si="6"/>
        <v>1.6519823999999999E-2</v>
      </c>
      <c r="AK47">
        <v>1.6519823999999999E-2</v>
      </c>
      <c r="AL47">
        <v>8.0724879999999999E-2</v>
      </c>
      <c r="AM47">
        <v>0.11279647</v>
      </c>
      <c r="AN47">
        <v>0.12704918000000001</v>
      </c>
      <c r="AO47">
        <v>98.348017600000006</v>
      </c>
      <c r="AP47">
        <v>91.927511999999993</v>
      </c>
      <c r="AQ47">
        <v>88.720353000000003</v>
      </c>
      <c r="AR47">
        <v>87.295081999999994</v>
      </c>
      <c r="AS47" t="b">
        <v>0</v>
      </c>
      <c r="AT47" t="b">
        <v>0</v>
      </c>
      <c r="AU47" t="s">
        <v>92</v>
      </c>
      <c r="AV47" t="s">
        <v>92</v>
      </c>
      <c r="AW47" t="s">
        <v>79</v>
      </c>
      <c r="AX47" t="s">
        <v>129</v>
      </c>
      <c r="AY47" t="s">
        <v>175</v>
      </c>
      <c r="AZ47" t="s">
        <v>109</v>
      </c>
      <c r="BA47">
        <v>7</v>
      </c>
      <c r="BB47">
        <v>1</v>
      </c>
      <c r="BC47">
        <v>1.8406593999999998E-2</v>
      </c>
      <c r="BD47">
        <v>3.30705390234067E-4</v>
      </c>
      <c r="BE47">
        <v>1.8737299390234101E-2</v>
      </c>
      <c r="BF47">
        <f>IF(AK47&lt;BE47,1,0)</f>
        <v>1</v>
      </c>
      <c r="BG47">
        <f>IF(AK47&lt;BC47,1,0)</f>
        <v>1</v>
      </c>
      <c r="BH47">
        <f>VLOOKUP($B47,[1]Data_Peer_with_peerVars!$B$2:$Z$1050,20,FALSE)</f>
        <v>1</v>
      </c>
      <c r="BI47">
        <f>VLOOKUP($B47,[1]Data_Peer_with_peerVars!$B$2:$Z$1050,21,FALSE)</f>
        <v>0</v>
      </c>
      <c r="BJ47">
        <f>VLOOKUP($B47,[1]Data_Peer_with_peerVars!$B$2:$Z$1050,22,FALSE)</f>
        <v>0</v>
      </c>
      <c r="BK47">
        <f>VLOOKUP($B47,[1]Data_Peer_with_peerVars!$B$2:$Z$1050,23,FALSE)</f>
        <v>41</v>
      </c>
      <c r="BL47">
        <f>VLOOKUP($B47,[1]Data_Peer_with_peerVars!$B$2:$Z$1050,24,FALSE)</f>
        <v>25</v>
      </c>
      <c r="BM47">
        <f>VLOOKUP($B47,[1]Data_Peer_with_peerVars!$B$2:$Z$1050,25,FALSE)</f>
        <v>0.60975609799999997</v>
      </c>
    </row>
    <row r="48" spans="1:65" x14ac:dyDescent="0.2">
      <c r="A48">
        <v>1</v>
      </c>
      <c r="B48" t="s">
        <v>186</v>
      </c>
      <c r="C48">
        <v>26</v>
      </c>
      <c r="D48" t="s">
        <v>68</v>
      </c>
      <c r="E48">
        <v>1</v>
      </c>
      <c r="F48">
        <v>299</v>
      </c>
      <c r="G48" t="s">
        <v>69</v>
      </c>
      <c r="H48" s="1">
        <v>7</v>
      </c>
      <c r="I48" t="s">
        <v>70</v>
      </c>
      <c r="J48" t="s">
        <v>71</v>
      </c>
      <c r="K48" t="s">
        <v>72</v>
      </c>
      <c r="L48">
        <v>1</v>
      </c>
      <c r="M48">
        <v>0</v>
      </c>
      <c r="N48">
        <v>1</v>
      </c>
      <c r="O48">
        <v>0</v>
      </c>
      <c r="P48">
        <v>0</v>
      </c>
      <c r="Q48">
        <v>8</v>
      </c>
      <c r="R48">
        <v>0</v>
      </c>
      <c r="S48">
        <v>0</v>
      </c>
      <c r="T48">
        <v>0</v>
      </c>
      <c r="U48">
        <v>0</v>
      </c>
      <c r="V48">
        <f t="shared" si="0"/>
        <v>1</v>
      </c>
      <c r="W48">
        <v>1</v>
      </c>
      <c r="X48">
        <v>1</v>
      </c>
      <c r="Y48">
        <v>1</v>
      </c>
      <c r="Z48" t="s">
        <v>74</v>
      </c>
      <c r="AA48" s="5" t="s">
        <v>74</v>
      </c>
      <c r="AB48" s="5" t="s">
        <v>74</v>
      </c>
      <c r="AC48" t="s">
        <v>74</v>
      </c>
      <c r="AD48" t="s">
        <v>76</v>
      </c>
      <c r="AE48" s="5" t="s">
        <v>76</v>
      </c>
      <c r="AF48" t="s">
        <v>75</v>
      </c>
      <c r="AG48" t="s">
        <v>84</v>
      </c>
      <c r="AH48">
        <f t="shared" si="21"/>
        <v>5.3512619999999997E-2</v>
      </c>
      <c r="AI48">
        <f t="shared" si="22"/>
        <v>5.3512619999999997E-2</v>
      </c>
      <c r="AJ48">
        <f t="shared" si="6"/>
        <v>5.3512619999999997E-2</v>
      </c>
      <c r="AK48">
        <v>5.3512619999999997E-2</v>
      </c>
      <c r="AL48">
        <v>6.9239190000000006E-2</v>
      </c>
      <c r="AM48">
        <v>0.1030137</v>
      </c>
      <c r="AN48">
        <v>0.10555249999999999</v>
      </c>
      <c r="AO48">
        <v>94.648737999999994</v>
      </c>
      <c r="AP48">
        <v>93.076081000000002</v>
      </c>
      <c r="AQ48">
        <v>89.698629999999994</v>
      </c>
      <c r="AR48">
        <v>89.444749999999999</v>
      </c>
      <c r="AS48" t="b">
        <v>1</v>
      </c>
      <c r="AT48" t="b">
        <v>0</v>
      </c>
      <c r="AU48" t="s">
        <v>77</v>
      </c>
      <c r="AV48" t="s">
        <v>77</v>
      </c>
      <c r="AW48" t="s">
        <v>79</v>
      </c>
      <c r="AX48" t="s">
        <v>129</v>
      </c>
      <c r="AY48" t="s">
        <v>175</v>
      </c>
      <c r="AZ48" t="s">
        <v>72</v>
      </c>
      <c r="BA48" t="s">
        <v>82</v>
      </c>
      <c r="BB48">
        <v>1.4</v>
      </c>
      <c r="BC48">
        <v>2.4738868000000001E-3</v>
      </c>
      <c r="BD48">
        <v>1.4256942275279999E-4</v>
      </c>
      <c r="BE48">
        <v>2.6164562227527998E-3</v>
      </c>
      <c r="BF48">
        <f>IF(AK48&lt;BE48,1,0)</f>
        <v>0</v>
      </c>
      <c r="BG48">
        <f>IF(AK48&lt;BC48,1,0)</f>
        <v>0</v>
      </c>
      <c r="BH48">
        <f>VLOOKUP($B48,[1]Data_Peer_with_peerVars!$B$2:$Z$1050,20,FALSE)</f>
        <v>11</v>
      </c>
      <c r="BI48">
        <f>VLOOKUP($B48,[1]Data_Peer_with_peerVars!$B$2:$Z$1050,21,FALSE)</f>
        <v>7</v>
      </c>
      <c r="BJ48">
        <f>VLOOKUP($B48,[1]Data_Peer_with_peerVars!$B$2:$Z$1050,22,FALSE)</f>
        <v>0.63636363600000001</v>
      </c>
      <c r="BK48">
        <f>VLOOKUP($B48,[1]Data_Peer_with_peerVars!$B$2:$Z$1050,23,FALSE)</f>
        <v>47</v>
      </c>
      <c r="BL48">
        <f>VLOOKUP($B48,[1]Data_Peer_with_peerVars!$B$2:$Z$1050,24,FALSE)</f>
        <v>26</v>
      </c>
      <c r="BM48">
        <f>VLOOKUP($B48,[1]Data_Peer_with_peerVars!$B$2:$Z$1050,25,FALSE)</f>
        <v>0.55319148900000004</v>
      </c>
    </row>
    <row r="49" spans="1:65" x14ac:dyDescent="0.2">
      <c r="A49">
        <v>1</v>
      </c>
      <c r="B49" t="s">
        <v>187</v>
      </c>
      <c r="C49">
        <v>26</v>
      </c>
      <c r="D49" t="s">
        <v>68</v>
      </c>
      <c r="E49">
        <v>1</v>
      </c>
      <c r="F49">
        <v>299</v>
      </c>
      <c r="G49" t="s">
        <v>69</v>
      </c>
      <c r="H49" s="1">
        <v>7</v>
      </c>
      <c r="I49" t="s">
        <v>70</v>
      </c>
      <c r="J49" t="s">
        <v>71</v>
      </c>
      <c r="K49" t="s">
        <v>72</v>
      </c>
      <c r="L49">
        <v>1</v>
      </c>
      <c r="M49">
        <v>0</v>
      </c>
      <c r="N49">
        <v>1</v>
      </c>
      <c r="O49">
        <v>0</v>
      </c>
      <c r="P49">
        <v>0</v>
      </c>
      <c r="Q49">
        <v>8</v>
      </c>
      <c r="R49">
        <v>0</v>
      </c>
      <c r="S49">
        <v>0</v>
      </c>
      <c r="T49">
        <v>0</v>
      </c>
      <c r="U49">
        <v>0</v>
      </c>
      <c r="V49">
        <f t="shared" si="0"/>
        <v>1</v>
      </c>
      <c r="W49">
        <v>1</v>
      </c>
      <c r="X49">
        <v>1</v>
      </c>
      <c r="Y49">
        <v>1</v>
      </c>
      <c r="Z49" t="s">
        <v>73</v>
      </c>
      <c r="AA49" s="5" t="s">
        <v>73</v>
      </c>
      <c r="AB49" s="5" t="s">
        <v>73</v>
      </c>
      <c r="AC49" t="s">
        <v>73</v>
      </c>
      <c r="AD49" t="s">
        <v>94</v>
      </c>
      <c r="AE49" s="5" t="s">
        <v>94</v>
      </c>
      <c r="AF49" t="s">
        <v>75</v>
      </c>
      <c r="AG49" t="s">
        <v>95</v>
      </c>
      <c r="AH49">
        <f t="shared" si="21"/>
        <v>6.2704473999999996E-2</v>
      </c>
      <c r="AI49">
        <f t="shared" si="22"/>
        <v>6.2704473999999996E-2</v>
      </c>
      <c r="AJ49">
        <f t="shared" si="6"/>
        <v>6.2704473999999996E-2</v>
      </c>
      <c r="AK49">
        <v>6.2704473999999996E-2</v>
      </c>
      <c r="AL49">
        <v>0.11981441</v>
      </c>
      <c r="AM49">
        <v>0.12910284</v>
      </c>
      <c r="AN49">
        <v>0.14071038</v>
      </c>
      <c r="AO49">
        <v>93.729552600000005</v>
      </c>
      <c r="AP49">
        <v>88.018558999999996</v>
      </c>
      <c r="AQ49">
        <v>87.089715999999996</v>
      </c>
      <c r="AR49">
        <v>85.928961999999999</v>
      </c>
      <c r="AS49" t="b">
        <v>1</v>
      </c>
      <c r="AT49" t="b">
        <v>0</v>
      </c>
      <c r="AU49" t="s">
        <v>77</v>
      </c>
      <c r="AV49" t="s">
        <v>78</v>
      </c>
      <c r="AW49" t="s">
        <v>79</v>
      </c>
      <c r="AX49" t="s">
        <v>129</v>
      </c>
      <c r="AY49" t="s">
        <v>175</v>
      </c>
      <c r="AZ49" t="s">
        <v>72</v>
      </c>
      <c r="BA49" t="s">
        <v>82</v>
      </c>
      <c r="BB49">
        <v>1.4</v>
      </c>
      <c r="BC49">
        <v>4.1163553999999996E-3</v>
      </c>
      <c r="BD49">
        <v>1.4279989108178799E-4</v>
      </c>
      <c r="BE49">
        <v>4.2591552910817903E-3</v>
      </c>
      <c r="BF49">
        <f>IF(AK49&lt;BE49,1,0)</f>
        <v>0</v>
      </c>
      <c r="BG49">
        <f>IF(AK49&lt;BC49,1,0)</f>
        <v>0</v>
      </c>
      <c r="BH49">
        <f>VLOOKUP($B49,[1]Data_Peer_with_peerVars!$B$2:$Z$1050,20,FALSE)</f>
        <v>11</v>
      </c>
      <c r="BI49">
        <f>VLOOKUP($B49,[1]Data_Peer_with_peerVars!$B$2:$Z$1050,21,FALSE)</f>
        <v>7</v>
      </c>
      <c r="BJ49">
        <f>VLOOKUP($B49,[1]Data_Peer_with_peerVars!$B$2:$Z$1050,22,FALSE)</f>
        <v>0.63636363600000001</v>
      </c>
      <c r="BK49">
        <f>VLOOKUP($B49,[1]Data_Peer_with_peerVars!$B$2:$Z$1050,23,FALSE)</f>
        <v>47</v>
      </c>
      <c r="BL49">
        <f>VLOOKUP($B49,[1]Data_Peer_with_peerVars!$B$2:$Z$1050,24,FALSE)</f>
        <v>26</v>
      </c>
      <c r="BM49">
        <f>VLOOKUP($B49,[1]Data_Peer_with_peerVars!$B$2:$Z$1050,25,FALSE)</f>
        <v>0.55319148900000004</v>
      </c>
    </row>
    <row r="50" spans="1:65" x14ac:dyDescent="0.2">
      <c r="A50">
        <v>1</v>
      </c>
      <c r="B50" t="s">
        <v>188</v>
      </c>
      <c r="C50">
        <v>27</v>
      </c>
      <c r="D50" t="s">
        <v>68</v>
      </c>
      <c r="E50">
        <v>1</v>
      </c>
      <c r="F50">
        <v>302</v>
      </c>
      <c r="G50" t="s">
        <v>86</v>
      </c>
      <c r="H50" s="1">
        <v>7</v>
      </c>
      <c r="I50" t="s">
        <v>87</v>
      </c>
      <c r="J50" t="s">
        <v>111</v>
      </c>
      <c r="K50" t="s">
        <v>109</v>
      </c>
      <c r="L50">
        <v>1</v>
      </c>
      <c r="M50">
        <v>0</v>
      </c>
      <c r="N50">
        <v>0</v>
      </c>
      <c r="O50">
        <v>1</v>
      </c>
      <c r="P50">
        <v>1</v>
      </c>
      <c r="Q50">
        <v>6</v>
      </c>
      <c r="R50">
        <v>0</v>
      </c>
      <c r="S50">
        <v>1</v>
      </c>
      <c r="T50">
        <v>1</v>
      </c>
      <c r="U50">
        <v>1</v>
      </c>
      <c r="V50">
        <f t="shared" si="0"/>
        <v>1</v>
      </c>
      <c r="W50">
        <v>1</v>
      </c>
      <c r="X50">
        <v>1</v>
      </c>
      <c r="Y50">
        <v>1</v>
      </c>
      <c r="Z50" t="s">
        <v>74</v>
      </c>
      <c r="AA50" s="5" t="s">
        <v>74</v>
      </c>
      <c r="AB50" s="5" t="s">
        <v>74</v>
      </c>
      <c r="AC50" t="s">
        <v>74</v>
      </c>
      <c r="AD50" t="s">
        <v>107</v>
      </c>
      <c r="AE50" s="5" t="s">
        <v>107</v>
      </c>
      <c r="AF50" t="s">
        <v>76</v>
      </c>
      <c r="AG50" t="s">
        <v>95</v>
      </c>
      <c r="AH50">
        <f t="shared" si="21"/>
        <v>9.0958899999999995E-2</v>
      </c>
      <c r="AI50">
        <f t="shared" si="22"/>
        <v>9.0958899999999995E-2</v>
      </c>
      <c r="AJ50">
        <f t="shared" si="6"/>
        <v>9.0958899999999995E-2</v>
      </c>
      <c r="AK50">
        <v>9.0958899999999995E-2</v>
      </c>
      <c r="AL50">
        <v>9.3099669999999995E-2</v>
      </c>
      <c r="AM50">
        <v>0.11987985</v>
      </c>
      <c r="AN50">
        <v>0.122677594</v>
      </c>
      <c r="AO50">
        <v>90.904110000000003</v>
      </c>
      <c r="AP50">
        <v>90.690033</v>
      </c>
      <c r="AQ50">
        <v>88.012015000000005</v>
      </c>
      <c r="AR50">
        <v>87.732240599999997</v>
      </c>
      <c r="AS50" t="b">
        <v>1</v>
      </c>
      <c r="AT50" t="b">
        <v>0</v>
      </c>
      <c r="AU50" t="s">
        <v>77</v>
      </c>
      <c r="AV50" t="s">
        <v>77</v>
      </c>
      <c r="AW50" t="s">
        <v>79</v>
      </c>
      <c r="AX50" t="s">
        <v>129</v>
      </c>
      <c r="AY50" t="s">
        <v>175</v>
      </c>
      <c r="AZ50" t="s">
        <v>109</v>
      </c>
      <c r="BA50">
        <v>5</v>
      </c>
      <c r="BB50">
        <v>0.7</v>
      </c>
      <c r="BC50">
        <v>2.4738868000000001E-3</v>
      </c>
      <c r="BD50">
        <v>1.4256942275279999E-4</v>
      </c>
      <c r="BE50">
        <v>2.6164562227527998E-3</v>
      </c>
      <c r="BF50">
        <f>IF(AK50&lt;BE50,1,0)</f>
        <v>0</v>
      </c>
      <c r="BG50">
        <f>IF(AK50&lt;BC50,1,0)</f>
        <v>0</v>
      </c>
      <c r="BH50">
        <f>VLOOKUP($B50,[1]Data_Peer_with_peerVars!$B$2:$Z$1050,20,FALSE)</f>
        <v>7</v>
      </c>
      <c r="BI50">
        <f>VLOOKUP($B50,[1]Data_Peer_with_peerVars!$B$2:$Z$1050,21,FALSE)</f>
        <v>4</v>
      </c>
      <c r="BJ50">
        <f>VLOOKUP($B50,[1]Data_Peer_with_peerVars!$B$2:$Z$1050,22,FALSE)</f>
        <v>0.571428571</v>
      </c>
      <c r="BK50">
        <f>VLOOKUP($B50,[1]Data_Peer_with_peerVars!$B$2:$Z$1050,23,FALSE)</f>
        <v>53</v>
      </c>
      <c r="BL50">
        <f>VLOOKUP($B50,[1]Data_Peer_with_peerVars!$B$2:$Z$1050,24,FALSE)</f>
        <v>31</v>
      </c>
      <c r="BM50">
        <f>VLOOKUP($B50,[1]Data_Peer_with_peerVars!$B$2:$Z$1050,25,FALSE)</f>
        <v>0.58490565999999999</v>
      </c>
    </row>
    <row r="51" spans="1:65" x14ac:dyDescent="0.2">
      <c r="A51">
        <v>1</v>
      </c>
      <c r="B51" t="s">
        <v>189</v>
      </c>
      <c r="C51">
        <v>27</v>
      </c>
      <c r="D51" t="s">
        <v>68</v>
      </c>
      <c r="E51">
        <v>1</v>
      </c>
      <c r="F51">
        <v>302</v>
      </c>
      <c r="G51" t="s">
        <v>86</v>
      </c>
      <c r="H51" s="1">
        <v>7</v>
      </c>
      <c r="I51" t="s">
        <v>87</v>
      </c>
      <c r="J51" t="s">
        <v>111</v>
      </c>
      <c r="K51" t="s">
        <v>109</v>
      </c>
      <c r="L51">
        <v>1</v>
      </c>
      <c r="M51">
        <v>0</v>
      </c>
      <c r="N51">
        <v>0</v>
      </c>
      <c r="O51">
        <v>1</v>
      </c>
      <c r="P51">
        <v>1</v>
      </c>
      <c r="Q51">
        <v>6</v>
      </c>
      <c r="R51">
        <v>0</v>
      </c>
      <c r="S51">
        <v>0</v>
      </c>
      <c r="T51">
        <v>0</v>
      </c>
      <c r="U51">
        <v>0</v>
      </c>
      <c r="V51">
        <f t="shared" si="0"/>
        <v>0</v>
      </c>
      <c r="W51">
        <f t="shared" si="1"/>
        <v>0</v>
      </c>
      <c r="X51">
        <f t="shared" si="3"/>
        <v>0</v>
      </c>
      <c r="Y51">
        <f t="shared" si="4"/>
        <v>0</v>
      </c>
      <c r="Z51" t="s">
        <v>98</v>
      </c>
      <c r="AA51" s="5" t="s">
        <v>141</v>
      </c>
      <c r="AB51" s="5" t="s">
        <v>141</v>
      </c>
      <c r="AC51" t="s">
        <v>74</v>
      </c>
      <c r="AD51" t="s">
        <v>76</v>
      </c>
      <c r="AE51" s="5" t="s">
        <v>76</v>
      </c>
      <c r="AF51" t="s">
        <v>75</v>
      </c>
      <c r="AG51" t="s">
        <v>120</v>
      </c>
      <c r="AH51">
        <f t="shared" ref="AH51:AH54" si="23">AI51</f>
        <v>2.7686404000000001E-2</v>
      </c>
      <c r="AI51">
        <f t="shared" ref="AI51:AI54" si="24">AJ51</f>
        <v>2.7686404000000001E-2</v>
      </c>
      <c r="AJ51">
        <f t="shared" si="6"/>
        <v>2.7686404000000001E-2</v>
      </c>
      <c r="AK51">
        <v>2.7686404000000001E-2</v>
      </c>
      <c r="AL51">
        <v>8.1465280000000001E-2</v>
      </c>
      <c r="AM51">
        <v>9.4468789999999997E-2</v>
      </c>
      <c r="AN51">
        <v>0.10169491</v>
      </c>
      <c r="AO51">
        <v>97.231359600000005</v>
      </c>
      <c r="AP51">
        <v>91.853471999999996</v>
      </c>
      <c r="AQ51">
        <v>90.553121000000004</v>
      </c>
      <c r="AR51">
        <v>89.830509000000006</v>
      </c>
      <c r="AS51" t="b">
        <v>0</v>
      </c>
      <c r="AT51" t="b">
        <v>0</v>
      </c>
      <c r="AU51" t="s">
        <v>77</v>
      </c>
      <c r="AV51" t="s">
        <v>77</v>
      </c>
      <c r="AW51" t="s">
        <v>79</v>
      </c>
      <c r="AX51" t="s">
        <v>129</v>
      </c>
      <c r="AY51" t="s">
        <v>175</v>
      </c>
      <c r="AZ51" t="s">
        <v>109</v>
      </c>
      <c r="BA51">
        <v>2</v>
      </c>
      <c r="BB51">
        <v>0.7</v>
      </c>
      <c r="BC51">
        <v>2.4738868000000001E-3</v>
      </c>
      <c r="BD51">
        <v>1.4256942275279999E-4</v>
      </c>
      <c r="BE51">
        <v>2.6164562227527998E-3</v>
      </c>
      <c r="BF51">
        <f>IF(AK51&lt;BE51,1,0)</f>
        <v>0</v>
      </c>
      <c r="BG51">
        <f>IF(AK51&lt;BC51,1,0)</f>
        <v>0</v>
      </c>
      <c r="BH51">
        <f>VLOOKUP($B51,[1]Data_Peer_with_peerVars!$B$2:$Z$1050,20,FALSE)</f>
        <v>7</v>
      </c>
      <c r="BI51">
        <f>VLOOKUP($B51,[1]Data_Peer_with_peerVars!$B$2:$Z$1050,21,FALSE)</f>
        <v>4</v>
      </c>
      <c r="BJ51">
        <f>VLOOKUP($B51,[1]Data_Peer_with_peerVars!$B$2:$Z$1050,22,FALSE)</f>
        <v>0.571428571</v>
      </c>
      <c r="BK51">
        <f>VLOOKUP($B51,[1]Data_Peer_with_peerVars!$B$2:$Z$1050,23,FALSE)</f>
        <v>53</v>
      </c>
      <c r="BL51">
        <f>VLOOKUP($B51,[1]Data_Peer_with_peerVars!$B$2:$Z$1050,24,FALSE)</f>
        <v>31</v>
      </c>
      <c r="BM51">
        <f>VLOOKUP($B51,[1]Data_Peer_with_peerVars!$B$2:$Z$1050,25,FALSE)</f>
        <v>0.58490565999999999</v>
      </c>
    </row>
    <row r="52" spans="1:65" x14ac:dyDescent="0.2">
      <c r="A52">
        <v>1</v>
      </c>
      <c r="B52" t="s">
        <v>190</v>
      </c>
      <c r="C52">
        <v>28</v>
      </c>
      <c r="D52" t="s">
        <v>68</v>
      </c>
      <c r="E52">
        <v>1</v>
      </c>
      <c r="F52">
        <v>303</v>
      </c>
      <c r="G52" t="s">
        <v>86</v>
      </c>
      <c r="H52" s="1">
        <v>6</v>
      </c>
      <c r="I52" t="s">
        <v>87</v>
      </c>
      <c r="J52" t="s">
        <v>111</v>
      </c>
      <c r="K52" t="s">
        <v>109</v>
      </c>
      <c r="L52">
        <v>1</v>
      </c>
      <c r="M52">
        <v>0</v>
      </c>
      <c r="N52">
        <v>1</v>
      </c>
      <c r="O52">
        <v>0</v>
      </c>
      <c r="P52">
        <v>0</v>
      </c>
      <c r="Q52">
        <v>6</v>
      </c>
      <c r="R52">
        <v>0</v>
      </c>
      <c r="S52">
        <v>0</v>
      </c>
      <c r="T52">
        <v>0</v>
      </c>
      <c r="U52">
        <v>0</v>
      </c>
      <c r="V52">
        <f t="shared" si="0"/>
        <v>0</v>
      </c>
      <c r="W52">
        <f t="shared" si="1"/>
        <v>0</v>
      </c>
      <c r="X52">
        <f t="shared" si="3"/>
        <v>0</v>
      </c>
      <c r="Y52">
        <f t="shared" si="4"/>
        <v>0</v>
      </c>
      <c r="Z52" t="s">
        <v>98</v>
      </c>
      <c r="AA52" s="5" t="s">
        <v>141</v>
      </c>
      <c r="AB52" s="5" t="s">
        <v>141</v>
      </c>
      <c r="AC52" t="s">
        <v>74</v>
      </c>
      <c r="AD52" t="s">
        <v>94</v>
      </c>
      <c r="AE52" s="5" t="s">
        <v>94</v>
      </c>
      <c r="AF52" t="s">
        <v>76</v>
      </c>
      <c r="AG52" t="s">
        <v>120</v>
      </c>
      <c r="AH52">
        <f t="shared" si="23"/>
        <v>0.106085524</v>
      </c>
      <c r="AI52">
        <f t="shared" si="24"/>
        <v>0.106085524</v>
      </c>
      <c r="AJ52">
        <f t="shared" si="6"/>
        <v>0.106085524</v>
      </c>
      <c r="AK52">
        <v>0.106085524</v>
      </c>
      <c r="AL52">
        <v>0.11114145</v>
      </c>
      <c r="AM52">
        <v>0.11639344</v>
      </c>
      <c r="AN52">
        <v>0.1306011</v>
      </c>
      <c r="AO52">
        <v>89.391447600000006</v>
      </c>
      <c r="AP52">
        <v>88.885855000000006</v>
      </c>
      <c r="AQ52">
        <v>88.360656000000006</v>
      </c>
      <c r="AR52">
        <v>86.939890000000005</v>
      </c>
      <c r="AS52" t="b">
        <v>0</v>
      </c>
      <c r="AT52" t="b">
        <v>0</v>
      </c>
      <c r="AU52" t="s">
        <v>78</v>
      </c>
      <c r="AV52" t="s">
        <v>78</v>
      </c>
      <c r="AW52" t="s">
        <v>79</v>
      </c>
      <c r="AX52" t="s">
        <v>129</v>
      </c>
      <c r="AY52" t="s">
        <v>175</v>
      </c>
      <c r="AZ52" t="s">
        <v>109</v>
      </c>
      <c r="BA52">
        <v>2</v>
      </c>
      <c r="BB52">
        <v>2</v>
      </c>
      <c r="BC52">
        <v>2.4738868000000001E-3</v>
      </c>
      <c r="BD52">
        <v>1.4256942275279999E-4</v>
      </c>
      <c r="BE52">
        <v>2.6164562227527998E-3</v>
      </c>
      <c r="BF52">
        <f>IF(AK52&lt;BE52,1,0)</f>
        <v>0</v>
      </c>
      <c r="BG52">
        <f>IF(AK52&lt;BC52,1,0)</f>
        <v>0</v>
      </c>
      <c r="BH52">
        <f>VLOOKUP($B52,[1]Data_Peer_with_peerVars!$B$2:$Z$1050,20,FALSE)</f>
        <v>13</v>
      </c>
      <c r="BI52">
        <f>VLOOKUP($B52,[1]Data_Peer_with_peerVars!$B$2:$Z$1050,21,FALSE)</f>
        <v>8</v>
      </c>
      <c r="BJ52">
        <f>VLOOKUP($B52,[1]Data_Peer_with_peerVars!$B$2:$Z$1050,22,FALSE)</f>
        <v>0.61538461499999997</v>
      </c>
      <c r="BK52">
        <f>VLOOKUP($B52,[1]Data_Peer_with_peerVars!$B$2:$Z$1050,23,FALSE)</f>
        <v>55</v>
      </c>
      <c r="BL52">
        <f>VLOOKUP($B52,[1]Data_Peer_with_peerVars!$B$2:$Z$1050,24,FALSE)</f>
        <v>31</v>
      </c>
      <c r="BM52">
        <f>VLOOKUP($B52,[1]Data_Peer_with_peerVars!$B$2:$Z$1050,25,FALSE)</f>
        <v>0.56363636399999995</v>
      </c>
    </row>
    <row r="53" spans="1:65" x14ac:dyDescent="0.2">
      <c r="A53">
        <v>1</v>
      </c>
      <c r="B53" t="s">
        <v>191</v>
      </c>
      <c r="C53">
        <v>29</v>
      </c>
      <c r="D53" t="s">
        <v>68</v>
      </c>
      <c r="E53">
        <v>0</v>
      </c>
      <c r="F53">
        <v>301</v>
      </c>
      <c r="G53" t="s">
        <v>97</v>
      </c>
      <c r="H53" s="1">
        <v>6</v>
      </c>
      <c r="I53" t="s">
        <v>70</v>
      </c>
      <c r="J53" t="s">
        <v>71</v>
      </c>
      <c r="K53" t="s">
        <v>72</v>
      </c>
      <c r="L53">
        <v>1</v>
      </c>
      <c r="M53">
        <v>0</v>
      </c>
      <c r="N53">
        <v>1</v>
      </c>
      <c r="O53">
        <v>1</v>
      </c>
      <c r="P53">
        <v>0</v>
      </c>
      <c r="Q53">
        <v>6</v>
      </c>
      <c r="R53">
        <v>0</v>
      </c>
      <c r="S53">
        <v>0</v>
      </c>
      <c r="T53">
        <v>1</v>
      </c>
      <c r="U53">
        <v>1</v>
      </c>
      <c r="V53">
        <f t="shared" si="0"/>
        <v>1</v>
      </c>
      <c r="W53">
        <v>1</v>
      </c>
      <c r="X53">
        <v>1</v>
      </c>
      <c r="Y53">
        <v>1</v>
      </c>
      <c r="Z53" t="s">
        <v>73</v>
      </c>
      <c r="AA53" s="5" t="s">
        <v>73</v>
      </c>
      <c r="AB53" s="5" t="s">
        <v>73</v>
      </c>
      <c r="AC53" t="s">
        <v>73</v>
      </c>
      <c r="AD53" t="s">
        <v>94</v>
      </c>
      <c r="AE53" s="5" t="s">
        <v>106</v>
      </c>
      <c r="AF53" t="s">
        <v>107</v>
      </c>
      <c r="AG53" t="s">
        <v>95</v>
      </c>
      <c r="AH53">
        <f t="shared" si="23"/>
        <v>4.3620500000000001E-3</v>
      </c>
      <c r="AI53">
        <f t="shared" si="24"/>
        <v>4.3620500000000001E-3</v>
      </c>
      <c r="AJ53">
        <f t="shared" si="6"/>
        <v>4.3620500000000001E-3</v>
      </c>
      <c r="AK53">
        <v>4.3620500000000001E-3</v>
      </c>
      <c r="AL53">
        <v>0.13224043999999999</v>
      </c>
      <c r="AM53">
        <v>0.13651315999999999</v>
      </c>
      <c r="AN53">
        <v>0.13894967999999999</v>
      </c>
      <c r="AO53">
        <v>99.563794999999999</v>
      </c>
      <c r="AP53">
        <v>86.775955999999994</v>
      </c>
      <c r="AQ53">
        <v>86.348684000000006</v>
      </c>
      <c r="AR53">
        <v>86.105031999999994</v>
      </c>
      <c r="AS53" t="b">
        <v>1</v>
      </c>
      <c r="AT53" t="b">
        <v>0</v>
      </c>
      <c r="AU53" t="s">
        <v>77</v>
      </c>
      <c r="AV53" t="s">
        <v>108</v>
      </c>
      <c r="AW53" t="s">
        <v>79</v>
      </c>
      <c r="AX53" t="s">
        <v>129</v>
      </c>
      <c r="AY53" t="s">
        <v>175</v>
      </c>
      <c r="AZ53" t="s">
        <v>72</v>
      </c>
      <c r="BA53" t="s">
        <v>82</v>
      </c>
      <c r="BB53">
        <v>4</v>
      </c>
      <c r="BC53">
        <v>4.1163553999999996E-3</v>
      </c>
      <c r="BD53">
        <v>1.4279989108178799E-4</v>
      </c>
      <c r="BE53">
        <v>4.2591552910817903E-3</v>
      </c>
      <c r="BF53">
        <f>IF(AK53&lt;BE53,1,0)</f>
        <v>0</v>
      </c>
      <c r="BG53">
        <f>IF(AK53&lt;BC53,1,0)</f>
        <v>0</v>
      </c>
      <c r="BH53">
        <f>VLOOKUP($B53,[1]Data_Peer_with_peerVars!$B$2:$Z$1050,20,FALSE)</f>
        <v>10</v>
      </c>
      <c r="BI53">
        <f>VLOOKUP($B53,[1]Data_Peer_with_peerVars!$B$2:$Z$1050,21,FALSE)</f>
        <v>6</v>
      </c>
      <c r="BJ53">
        <f>VLOOKUP($B53,[1]Data_Peer_with_peerVars!$B$2:$Z$1050,22,FALSE)</f>
        <v>0.6</v>
      </c>
      <c r="BK53">
        <f>VLOOKUP($B53,[1]Data_Peer_with_peerVars!$B$2:$Z$1050,23,FALSE)</f>
        <v>52</v>
      </c>
      <c r="BL53">
        <f>VLOOKUP($B53,[1]Data_Peer_with_peerVars!$B$2:$Z$1050,24,FALSE)</f>
        <v>29</v>
      </c>
      <c r="BM53">
        <f>VLOOKUP($B53,[1]Data_Peer_with_peerVars!$B$2:$Z$1050,25,FALSE)</f>
        <v>0.55769230800000003</v>
      </c>
    </row>
    <row r="54" spans="1:65" x14ac:dyDescent="0.2">
      <c r="A54">
        <v>1</v>
      </c>
      <c r="B54" t="s">
        <v>192</v>
      </c>
      <c r="C54">
        <v>29</v>
      </c>
      <c r="D54" t="s">
        <v>68</v>
      </c>
      <c r="E54">
        <v>0</v>
      </c>
      <c r="F54">
        <v>301</v>
      </c>
      <c r="G54" t="s">
        <v>97</v>
      </c>
      <c r="H54" s="1">
        <v>6</v>
      </c>
      <c r="I54" t="s">
        <v>70</v>
      </c>
      <c r="J54" t="s">
        <v>71</v>
      </c>
      <c r="K54" t="s">
        <v>72</v>
      </c>
      <c r="L54">
        <v>1</v>
      </c>
      <c r="M54">
        <v>0</v>
      </c>
      <c r="N54">
        <v>1</v>
      </c>
      <c r="O54">
        <v>1</v>
      </c>
      <c r="P54">
        <v>0</v>
      </c>
      <c r="Q54">
        <v>6</v>
      </c>
      <c r="R54">
        <v>0</v>
      </c>
      <c r="S54">
        <v>0</v>
      </c>
      <c r="T54">
        <v>0</v>
      </c>
      <c r="U54">
        <v>0</v>
      </c>
      <c r="V54">
        <f t="shared" si="0"/>
        <v>1</v>
      </c>
      <c r="W54">
        <v>1</v>
      </c>
      <c r="X54">
        <v>1</v>
      </c>
      <c r="Y54">
        <v>1</v>
      </c>
      <c r="Z54" t="s">
        <v>76</v>
      </c>
      <c r="AA54" s="5" t="s">
        <v>76</v>
      </c>
      <c r="AB54" s="5" t="s">
        <v>76</v>
      </c>
      <c r="AC54" t="s">
        <v>76</v>
      </c>
      <c r="AD54" t="s">
        <v>74</v>
      </c>
      <c r="AE54" s="5" t="s">
        <v>74</v>
      </c>
      <c r="AF54" t="s">
        <v>75</v>
      </c>
      <c r="AG54" t="s">
        <v>120</v>
      </c>
      <c r="AH54">
        <f t="shared" si="23"/>
        <v>7.1389499999999995E-2</v>
      </c>
      <c r="AI54">
        <f t="shared" si="24"/>
        <v>7.1389499999999995E-2</v>
      </c>
      <c r="AJ54">
        <f t="shared" si="6"/>
        <v>7.1389499999999995E-2</v>
      </c>
      <c r="AK54">
        <v>7.1389499999999995E-2</v>
      </c>
      <c r="AL54">
        <v>9.549945E-2</v>
      </c>
      <c r="AM54">
        <v>0.12054794000000001</v>
      </c>
      <c r="AN54">
        <v>0.12253828999999999</v>
      </c>
      <c r="AO54">
        <v>92.861050000000006</v>
      </c>
      <c r="AP54">
        <v>90.450055000000006</v>
      </c>
      <c r="AQ54">
        <v>87.945205999999999</v>
      </c>
      <c r="AR54">
        <v>87.746171000000004</v>
      </c>
      <c r="AS54" t="b">
        <v>1</v>
      </c>
      <c r="AT54" t="b">
        <v>0</v>
      </c>
      <c r="AU54" t="s">
        <v>77</v>
      </c>
      <c r="AV54" t="s">
        <v>77</v>
      </c>
      <c r="AW54" t="s">
        <v>79</v>
      </c>
      <c r="AX54" t="s">
        <v>129</v>
      </c>
      <c r="AY54" t="s">
        <v>175</v>
      </c>
      <c r="AZ54" t="s">
        <v>72</v>
      </c>
      <c r="BA54" t="s">
        <v>82</v>
      </c>
      <c r="BB54">
        <v>1</v>
      </c>
      <c r="BC54">
        <v>7.7070764999999999E-2</v>
      </c>
      <c r="BD54">
        <v>1.90190515067399E-3</v>
      </c>
      <c r="BE54">
        <v>7.8972670150673996E-2</v>
      </c>
      <c r="BF54">
        <f>IF(AK54&lt;BE54,1,0)</f>
        <v>1</v>
      </c>
      <c r="BG54">
        <f>IF(AK54&lt;BC54,1,0)</f>
        <v>1</v>
      </c>
      <c r="BH54">
        <f>VLOOKUP($B54,[1]Data_Peer_with_peerVars!$B$2:$Z$1050,20,FALSE)</f>
        <v>10</v>
      </c>
      <c r="BI54">
        <f>VLOOKUP($B54,[1]Data_Peer_with_peerVars!$B$2:$Z$1050,21,FALSE)</f>
        <v>6</v>
      </c>
      <c r="BJ54">
        <f>VLOOKUP($B54,[1]Data_Peer_with_peerVars!$B$2:$Z$1050,22,FALSE)</f>
        <v>0.6</v>
      </c>
      <c r="BK54">
        <f>VLOOKUP($B54,[1]Data_Peer_with_peerVars!$B$2:$Z$1050,23,FALSE)</f>
        <v>52</v>
      </c>
      <c r="BL54">
        <f>VLOOKUP($B54,[1]Data_Peer_with_peerVars!$B$2:$Z$1050,24,FALSE)</f>
        <v>29</v>
      </c>
      <c r="BM54">
        <f>VLOOKUP($B54,[1]Data_Peer_with_peerVars!$B$2:$Z$1050,25,FALSE)</f>
        <v>0.55769230800000003</v>
      </c>
    </row>
    <row r="55" spans="1:65" x14ac:dyDescent="0.2">
      <c r="A55">
        <v>1</v>
      </c>
      <c r="B55" t="s">
        <v>193</v>
      </c>
      <c r="C55">
        <v>29</v>
      </c>
      <c r="D55" t="s">
        <v>68</v>
      </c>
      <c r="E55">
        <v>0</v>
      </c>
      <c r="F55">
        <v>301</v>
      </c>
      <c r="G55" t="s">
        <v>97</v>
      </c>
      <c r="H55" s="1">
        <v>6</v>
      </c>
      <c r="I55" t="s">
        <v>70</v>
      </c>
      <c r="J55" t="s">
        <v>71</v>
      </c>
      <c r="K55" t="s">
        <v>72</v>
      </c>
      <c r="L55">
        <v>1</v>
      </c>
      <c r="M55">
        <v>0</v>
      </c>
      <c r="N55">
        <v>1</v>
      </c>
      <c r="O55">
        <v>1</v>
      </c>
      <c r="P55">
        <v>0</v>
      </c>
      <c r="Q55">
        <v>6</v>
      </c>
      <c r="R55">
        <v>0</v>
      </c>
      <c r="S55">
        <v>0</v>
      </c>
      <c r="T55">
        <v>0</v>
      </c>
      <c r="U55">
        <v>0</v>
      </c>
      <c r="V55">
        <f t="shared" si="0"/>
        <v>0</v>
      </c>
      <c r="W55">
        <f t="shared" si="1"/>
        <v>0</v>
      </c>
      <c r="X55">
        <f t="shared" si="3"/>
        <v>0</v>
      </c>
      <c r="Y55">
        <f t="shared" si="4"/>
        <v>0</v>
      </c>
      <c r="Z55" t="s">
        <v>98</v>
      </c>
      <c r="AA55" s="5" t="s">
        <v>99</v>
      </c>
      <c r="AB55" s="5" t="s">
        <v>194</v>
      </c>
      <c r="AC55" t="s">
        <v>73</v>
      </c>
      <c r="AD55" t="s">
        <v>94</v>
      </c>
      <c r="AE55" s="5" t="s">
        <v>106</v>
      </c>
      <c r="AF55" t="s">
        <v>75</v>
      </c>
      <c r="AG55" t="s">
        <v>95</v>
      </c>
      <c r="AH55">
        <f t="shared" ref="AH55:AH58" si="25">AI55</f>
        <v>3.7117902000000001E-2</v>
      </c>
      <c r="AI55">
        <f t="shared" ref="AI55:AI58" si="26">AJ55</f>
        <v>3.7117902000000001E-2</v>
      </c>
      <c r="AJ55">
        <f t="shared" si="6"/>
        <v>3.7117902000000001E-2</v>
      </c>
      <c r="AK55">
        <v>3.7117902000000001E-2</v>
      </c>
      <c r="AL55">
        <v>0.13005464</v>
      </c>
      <c r="AM55">
        <v>0.13581599999999999</v>
      </c>
      <c r="AN55">
        <v>0.1416849</v>
      </c>
      <c r="AO55">
        <v>96.288209800000004</v>
      </c>
      <c r="AP55">
        <v>86.994535999999997</v>
      </c>
      <c r="AQ55">
        <v>86.418400000000005</v>
      </c>
      <c r="AR55">
        <v>85.831509999999994</v>
      </c>
      <c r="AS55" t="b">
        <v>0</v>
      </c>
      <c r="AT55" t="b">
        <v>0</v>
      </c>
      <c r="AU55" t="s">
        <v>77</v>
      </c>
      <c r="AV55" t="s">
        <v>108</v>
      </c>
      <c r="AW55" t="s">
        <v>79</v>
      </c>
      <c r="AX55" t="s">
        <v>129</v>
      </c>
      <c r="AY55" t="s">
        <v>175</v>
      </c>
      <c r="AZ55" t="s">
        <v>72</v>
      </c>
      <c r="BA55" t="s">
        <v>82</v>
      </c>
      <c r="BB55">
        <v>0.7</v>
      </c>
      <c r="BC55">
        <v>4.1163553999999996E-3</v>
      </c>
      <c r="BD55">
        <v>1.4279989108178799E-4</v>
      </c>
      <c r="BE55">
        <v>4.2591552910817903E-3</v>
      </c>
      <c r="BF55">
        <f>IF(AK55&lt;BE55,1,0)</f>
        <v>0</v>
      </c>
      <c r="BG55">
        <f>IF(AK55&lt;BC55,1,0)</f>
        <v>0</v>
      </c>
      <c r="BH55">
        <f>VLOOKUP($B55,[1]Data_Peer_with_peerVars!$B$2:$Z$1050,20,FALSE)</f>
        <v>10</v>
      </c>
      <c r="BI55">
        <f>VLOOKUP($B55,[1]Data_Peer_with_peerVars!$B$2:$Z$1050,21,FALSE)</f>
        <v>6</v>
      </c>
      <c r="BJ55">
        <f>VLOOKUP($B55,[1]Data_Peer_with_peerVars!$B$2:$Z$1050,22,FALSE)</f>
        <v>0.6</v>
      </c>
      <c r="BK55">
        <f>VLOOKUP($B55,[1]Data_Peer_with_peerVars!$B$2:$Z$1050,23,FALSE)</f>
        <v>52</v>
      </c>
      <c r="BL55">
        <f>VLOOKUP($B55,[1]Data_Peer_with_peerVars!$B$2:$Z$1050,24,FALSE)</f>
        <v>29</v>
      </c>
      <c r="BM55">
        <f>VLOOKUP($B55,[1]Data_Peer_with_peerVars!$B$2:$Z$1050,25,FALSE)</f>
        <v>0.55769230800000003</v>
      </c>
    </row>
    <row r="56" spans="1:65" x14ac:dyDescent="0.2">
      <c r="A56">
        <v>1</v>
      </c>
      <c r="B56" t="s">
        <v>195</v>
      </c>
      <c r="C56">
        <v>29</v>
      </c>
      <c r="D56" t="s">
        <v>68</v>
      </c>
      <c r="E56">
        <v>0</v>
      </c>
      <c r="F56">
        <v>301</v>
      </c>
      <c r="G56" t="s">
        <v>97</v>
      </c>
      <c r="H56" s="1">
        <v>6</v>
      </c>
      <c r="I56" t="s">
        <v>70</v>
      </c>
      <c r="J56" t="s">
        <v>71</v>
      </c>
      <c r="K56" t="s">
        <v>72</v>
      </c>
      <c r="L56">
        <v>1</v>
      </c>
      <c r="M56">
        <v>0</v>
      </c>
      <c r="N56">
        <v>1</v>
      </c>
      <c r="O56">
        <v>1</v>
      </c>
      <c r="P56">
        <v>0</v>
      </c>
      <c r="Q56">
        <v>6</v>
      </c>
      <c r="R56">
        <v>1</v>
      </c>
      <c r="S56">
        <v>1</v>
      </c>
      <c r="T56">
        <v>1</v>
      </c>
      <c r="U56">
        <v>1</v>
      </c>
      <c r="V56">
        <f t="shared" si="0"/>
        <v>0</v>
      </c>
      <c r="W56">
        <f t="shared" si="1"/>
        <v>0</v>
      </c>
      <c r="X56">
        <f t="shared" si="3"/>
        <v>0</v>
      </c>
      <c r="Y56">
        <f t="shared" si="4"/>
        <v>0</v>
      </c>
      <c r="Z56" t="s">
        <v>177</v>
      </c>
      <c r="AA56" s="5" t="s">
        <v>107</v>
      </c>
      <c r="AB56" s="5" t="s">
        <v>178</v>
      </c>
      <c r="AC56" t="s">
        <v>196</v>
      </c>
      <c r="AD56" t="s">
        <v>173</v>
      </c>
      <c r="AE56" s="5" t="s">
        <v>197</v>
      </c>
      <c r="AF56" t="s">
        <v>198</v>
      </c>
      <c r="AG56" t="s">
        <v>95</v>
      </c>
      <c r="AH56">
        <f t="shared" si="25"/>
        <v>2.1917809E-2</v>
      </c>
      <c r="AI56">
        <f t="shared" si="26"/>
        <v>2.1917809E-2</v>
      </c>
      <c r="AJ56">
        <f t="shared" si="6"/>
        <v>2.1917809E-2</v>
      </c>
      <c r="AK56">
        <v>2.1917809E-2</v>
      </c>
      <c r="AL56">
        <v>3.9934355999999997E-2</v>
      </c>
      <c r="AM56">
        <v>4.0131939999999998E-2</v>
      </c>
      <c r="AN56">
        <v>4.6849314000000003E-2</v>
      </c>
      <c r="AO56">
        <v>97.808219100000002</v>
      </c>
      <c r="AP56">
        <v>96.006564400000002</v>
      </c>
      <c r="AQ56">
        <v>95.986806000000001</v>
      </c>
      <c r="AR56">
        <v>95.315068600000004</v>
      </c>
      <c r="AS56" t="b">
        <v>0</v>
      </c>
      <c r="AT56" t="b">
        <v>0</v>
      </c>
      <c r="AU56" t="s">
        <v>77</v>
      </c>
      <c r="AV56" t="s">
        <v>108</v>
      </c>
      <c r="AW56" t="s">
        <v>79</v>
      </c>
      <c r="AX56" t="s">
        <v>129</v>
      </c>
      <c r="AY56" t="s">
        <v>175</v>
      </c>
      <c r="AZ56" t="s">
        <v>109</v>
      </c>
      <c r="BA56">
        <v>4</v>
      </c>
      <c r="BB56">
        <v>1</v>
      </c>
      <c r="BC56">
        <v>2.6736494E-2</v>
      </c>
      <c r="BD56">
        <v>2.13125818054995E-3</v>
      </c>
      <c r="BE56">
        <v>2.8867752180549901E-2</v>
      </c>
      <c r="BF56">
        <f>IF(AK56&lt;BE56,1,0)</f>
        <v>1</v>
      </c>
      <c r="BG56">
        <f>IF(AK56&lt;BC56,1,0)</f>
        <v>1</v>
      </c>
      <c r="BH56">
        <f>VLOOKUP($B56,[1]Data_Peer_with_peerVars!$B$2:$Z$1050,20,FALSE)</f>
        <v>10</v>
      </c>
      <c r="BI56">
        <f>VLOOKUP($B56,[1]Data_Peer_with_peerVars!$B$2:$Z$1050,21,FALSE)</f>
        <v>6</v>
      </c>
      <c r="BJ56">
        <f>VLOOKUP($B56,[1]Data_Peer_with_peerVars!$B$2:$Z$1050,22,FALSE)</f>
        <v>0.6</v>
      </c>
      <c r="BK56">
        <f>VLOOKUP($B56,[1]Data_Peer_with_peerVars!$B$2:$Z$1050,23,FALSE)</f>
        <v>52</v>
      </c>
      <c r="BL56">
        <f>VLOOKUP($B56,[1]Data_Peer_with_peerVars!$B$2:$Z$1050,24,FALSE)</f>
        <v>29</v>
      </c>
      <c r="BM56">
        <f>VLOOKUP($B56,[1]Data_Peer_with_peerVars!$B$2:$Z$1050,25,FALSE)</f>
        <v>0.55769230800000003</v>
      </c>
    </row>
    <row r="57" spans="1:65" x14ac:dyDescent="0.2">
      <c r="A57">
        <v>1</v>
      </c>
      <c r="B57" t="s">
        <v>199</v>
      </c>
      <c r="C57">
        <v>30</v>
      </c>
      <c r="D57" t="s">
        <v>68</v>
      </c>
      <c r="E57">
        <v>0</v>
      </c>
      <c r="F57">
        <v>330</v>
      </c>
      <c r="G57" t="s">
        <v>97</v>
      </c>
      <c r="H57" s="1">
        <v>7</v>
      </c>
      <c r="I57" t="s">
        <v>87</v>
      </c>
      <c r="J57" t="s">
        <v>150</v>
      </c>
      <c r="K57" t="s">
        <v>72</v>
      </c>
      <c r="L57">
        <v>1</v>
      </c>
      <c r="M57">
        <v>0</v>
      </c>
      <c r="N57">
        <v>0</v>
      </c>
      <c r="O57">
        <v>1</v>
      </c>
      <c r="P57">
        <v>0</v>
      </c>
      <c r="Q57">
        <v>6</v>
      </c>
      <c r="R57">
        <v>0</v>
      </c>
      <c r="S57">
        <v>0</v>
      </c>
      <c r="T57">
        <v>0</v>
      </c>
      <c r="U57">
        <v>0</v>
      </c>
      <c r="V57">
        <f t="shared" si="0"/>
        <v>0</v>
      </c>
      <c r="W57">
        <f t="shared" si="1"/>
        <v>0</v>
      </c>
      <c r="X57">
        <f t="shared" si="3"/>
        <v>0</v>
      </c>
      <c r="Y57">
        <f t="shared" si="4"/>
        <v>0</v>
      </c>
      <c r="Z57" t="s">
        <v>89</v>
      </c>
      <c r="AA57" s="5" t="s">
        <v>89</v>
      </c>
      <c r="AB57" s="5" t="s">
        <v>90</v>
      </c>
      <c r="AC57" t="s">
        <v>76</v>
      </c>
      <c r="AD57" t="s">
        <v>74</v>
      </c>
      <c r="AE57" s="5" t="s">
        <v>74</v>
      </c>
      <c r="AF57" t="s">
        <v>75</v>
      </c>
      <c r="AG57" t="s">
        <v>120</v>
      </c>
      <c r="AH57">
        <f t="shared" si="25"/>
        <v>7.1272530000000001E-2</v>
      </c>
      <c r="AI57">
        <f t="shared" si="26"/>
        <v>7.1272530000000001E-2</v>
      </c>
      <c r="AJ57">
        <f t="shared" si="6"/>
        <v>7.1272530000000001E-2</v>
      </c>
      <c r="AK57">
        <v>7.1272530000000001E-2</v>
      </c>
      <c r="AL57">
        <v>9.6712329999999999E-2</v>
      </c>
      <c r="AM57">
        <v>0.12089716</v>
      </c>
      <c r="AN57">
        <v>0.12342982</v>
      </c>
      <c r="AO57">
        <v>92.872747000000004</v>
      </c>
      <c r="AP57">
        <v>90.328766999999999</v>
      </c>
      <c r="AQ57">
        <v>87.910284000000004</v>
      </c>
      <c r="AR57">
        <v>87.657017999999994</v>
      </c>
      <c r="AS57" t="b">
        <v>0</v>
      </c>
      <c r="AT57" t="b">
        <v>0</v>
      </c>
      <c r="AU57" t="s">
        <v>92</v>
      </c>
      <c r="AV57" t="s">
        <v>92</v>
      </c>
      <c r="AW57" t="s">
        <v>79</v>
      </c>
      <c r="AX57" t="s">
        <v>129</v>
      </c>
      <c r="AY57" t="s">
        <v>175</v>
      </c>
      <c r="AZ57" t="s">
        <v>72</v>
      </c>
      <c r="BA57" t="s">
        <v>82</v>
      </c>
      <c r="BB57">
        <v>0.7</v>
      </c>
      <c r="BC57">
        <v>7.7070764999999999E-2</v>
      </c>
      <c r="BD57">
        <v>1.90190515067399E-3</v>
      </c>
      <c r="BE57">
        <v>7.8972670150673996E-2</v>
      </c>
      <c r="BF57">
        <f>IF(AK57&lt;BE57,1,0)</f>
        <v>1</v>
      </c>
      <c r="BG57">
        <f>IF(AK57&lt;BC57,1,0)</f>
        <v>1</v>
      </c>
      <c r="BH57">
        <f>VLOOKUP($B57,[1]Data_Peer_with_peerVars!$B$2:$Z$1050,20,FALSE)</f>
        <v>10</v>
      </c>
      <c r="BI57">
        <f>VLOOKUP($B57,[1]Data_Peer_with_peerVars!$B$2:$Z$1050,21,FALSE)</f>
        <v>8</v>
      </c>
      <c r="BJ57">
        <f>VLOOKUP($B57,[1]Data_Peer_with_peerVars!$B$2:$Z$1050,22,FALSE)</f>
        <v>0.8</v>
      </c>
      <c r="BK57">
        <f>VLOOKUP($B57,[1]Data_Peer_with_peerVars!$B$2:$Z$1050,23,FALSE)</f>
        <v>46</v>
      </c>
      <c r="BL57">
        <f>VLOOKUP($B57,[1]Data_Peer_with_peerVars!$B$2:$Z$1050,24,FALSE)</f>
        <v>27</v>
      </c>
      <c r="BM57">
        <f>VLOOKUP($B57,[1]Data_Peer_with_peerVars!$B$2:$Z$1050,25,FALSE)</f>
        <v>0.58695652200000004</v>
      </c>
    </row>
    <row r="58" spans="1:65" x14ac:dyDescent="0.2">
      <c r="A58">
        <v>1</v>
      </c>
      <c r="B58" t="s">
        <v>200</v>
      </c>
      <c r="C58">
        <v>32</v>
      </c>
      <c r="D58" t="s">
        <v>68</v>
      </c>
      <c r="E58">
        <v>0</v>
      </c>
      <c r="F58">
        <v>333</v>
      </c>
      <c r="G58" t="s">
        <v>97</v>
      </c>
      <c r="H58" s="1">
        <v>7</v>
      </c>
      <c r="I58" t="s">
        <v>87</v>
      </c>
      <c r="J58" t="s">
        <v>124</v>
      </c>
      <c r="K58" t="s">
        <v>109</v>
      </c>
      <c r="L58">
        <v>1</v>
      </c>
      <c r="M58">
        <v>0</v>
      </c>
      <c r="N58">
        <v>1</v>
      </c>
      <c r="O58">
        <v>1</v>
      </c>
      <c r="P58">
        <v>0</v>
      </c>
      <c r="Q58">
        <v>6</v>
      </c>
      <c r="R58">
        <v>0</v>
      </c>
      <c r="S58">
        <v>0</v>
      </c>
      <c r="T58">
        <v>0</v>
      </c>
      <c r="U58">
        <v>0</v>
      </c>
      <c r="V58">
        <f t="shared" si="0"/>
        <v>0</v>
      </c>
      <c r="W58">
        <f t="shared" si="1"/>
        <v>0</v>
      </c>
      <c r="X58">
        <f t="shared" si="3"/>
        <v>0</v>
      </c>
      <c r="Y58">
        <f t="shared" si="4"/>
        <v>0</v>
      </c>
      <c r="Z58" t="s">
        <v>98</v>
      </c>
      <c r="AA58" s="5" t="s">
        <v>141</v>
      </c>
      <c r="AB58" s="5" t="s">
        <v>141</v>
      </c>
      <c r="AC58" t="s">
        <v>74</v>
      </c>
      <c r="AD58" t="s">
        <v>76</v>
      </c>
      <c r="AE58" s="5" t="s">
        <v>76</v>
      </c>
      <c r="AF58" t="s">
        <v>167</v>
      </c>
      <c r="AG58" t="s">
        <v>120</v>
      </c>
      <c r="AH58">
        <f t="shared" si="25"/>
        <v>0.10082192</v>
      </c>
      <c r="AI58">
        <f t="shared" si="26"/>
        <v>0.10082192</v>
      </c>
      <c r="AJ58">
        <f t="shared" si="6"/>
        <v>0.10082192</v>
      </c>
      <c r="AK58">
        <v>0.10082192</v>
      </c>
      <c r="AL58">
        <v>0.11032222999999999</v>
      </c>
      <c r="AM58">
        <v>0.13506849000000001</v>
      </c>
      <c r="AN58">
        <v>0.13653741999999999</v>
      </c>
      <c r="AO58">
        <v>89.917807999999994</v>
      </c>
      <c r="AP58">
        <v>88.967776999999998</v>
      </c>
      <c r="AQ58">
        <v>86.493150999999997</v>
      </c>
      <c r="AR58">
        <v>86.346258000000006</v>
      </c>
      <c r="AS58" t="b">
        <v>0</v>
      </c>
      <c r="AT58" t="b">
        <v>0</v>
      </c>
      <c r="AU58" t="s">
        <v>78</v>
      </c>
      <c r="AV58" t="s">
        <v>78</v>
      </c>
      <c r="AW58" t="s">
        <v>79</v>
      </c>
      <c r="AX58" t="s">
        <v>129</v>
      </c>
      <c r="AY58" t="s">
        <v>175</v>
      </c>
      <c r="AZ58" t="s">
        <v>109</v>
      </c>
      <c r="BA58">
        <v>8</v>
      </c>
      <c r="BB58">
        <v>1.4</v>
      </c>
      <c r="BC58">
        <v>2.4738868000000001E-3</v>
      </c>
      <c r="BD58">
        <v>1.4256942275279999E-4</v>
      </c>
      <c r="BE58">
        <v>2.6164562227527998E-3</v>
      </c>
      <c r="BF58">
        <f>IF(AK58&lt;BE58,1,0)</f>
        <v>0</v>
      </c>
      <c r="BG58">
        <f>IF(AK58&lt;BC58,1,0)</f>
        <v>0</v>
      </c>
      <c r="BH58">
        <f>VLOOKUP($B58,[1]Data_Peer_with_peerVars!$B$2:$Z$1050,20,FALSE)</f>
        <v>12</v>
      </c>
      <c r="BI58">
        <f>VLOOKUP($B58,[1]Data_Peer_with_peerVars!$B$2:$Z$1050,21,FALSE)</f>
        <v>9</v>
      </c>
      <c r="BJ58">
        <f>VLOOKUP($B58,[1]Data_Peer_with_peerVars!$B$2:$Z$1050,22,FALSE)</f>
        <v>0.75</v>
      </c>
      <c r="BK58">
        <f>VLOOKUP($B58,[1]Data_Peer_with_peerVars!$B$2:$Z$1050,23,FALSE)</f>
        <v>50</v>
      </c>
      <c r="BL58">
        <f>VLOOKUP($B58,[1]Data_Peer_with_peerVars!$B$2:$Z$1050,24,FALSE)</f>
        <v>30</v>
      </c>
      <c r="BM58">
        <f>VLOOKUP($B58,[1]Data_Peer_with_peerVars!$B$2:$Z$1050,25,FALSE)</f>
        <v>0.6</v>
      </c>
    </row>
    <row r="59" spans="1:65" x14ac:dyDescent="0.2">
      <c r="A59">
        <v>1</v>
      </c>
      <c r="B59" t="s">
        <v>201</v>
      </c>
      <c r="C59">
        <v>33</v>
      </c>
      <c r="D59" t="s">
        <v>68</v>
      </c>
      <c r="E59">
        <v>0</v>
      </c>
      <c r="F59">
        <v>334</v>
      </c>
      <c r="G59" t="s">
        <v>97</v>
      </c>
      <c r="H59" s="1">
        <v>7</v>
      </c>
      <c r="I59" t="s">
        <v>70</v>
      </c>
      <c r="J59" t="s">
        <v>71</v>
      </c>
      <c r="K59" t="s">
        <v>72</v>
      </c>
      <c r="L59">
        <v>1</v>
      </c>
      <c r="M59">
        <v>0</v>
      </c>
      <c r="N59">
        <v>1</v>
      </c>
      <c r="O59">
        <v>0</v>
      </c>
      <c r="P59">
        <v>0</v>
      </c>
      <c r="Q59">
        <v>6</v>
      </c>
      <c r="R59">
        <v>0</v>
      </c>
      <c r="S59">
        <v>0</v>
      </c>
      <c r="T59">
        <v>0</v>
      </c>
      <c r="U59">
        <v>0</v>
      </c>
      <c r="V59">
        <f t="shared" si="0"/>
        <v>1</v>
      </c>
      <c r="W59">
        <v>1</v>
      </c>
      <c r="X59">
        <v>1</v>
      </c>
      <c r="Y59">
        <v>1</v>
      </c>
      <c r="Z59" t="s">
        <v>73</v>
      </c>
      <c r="AA59" s="5" t="s">
        <v>73</v>
      </c>
      <c r="AB59" s="5" t="s">
        <v>73</v>
      </c>
      <c r="AC59" t="s">
        <v>73</v>
      </c>
      <c r="AD59" t="s">
        <v>94</v>
      </c>
      <c r="AE59" s="5" t="s">
        <v>94</v>
      </c>
      <c r="AF59" t="s">
        <v>74</v>
      </c>
      <c r="AG59" t="s">
        <v>76</v>
      </c>
      <c r="AH59">
        <f>AI59</f>
        <v>0.12268266</v>
      </c>
      <c r="AI59">
        <f>AJ59</f>
        <v>0.12268266</v>
      </c>
      <c r="AJ59">
        <f t="shared" si="6"/>
        <v>0.12268266</v>
      </c>
      <c r="AK59">
        <v>0.12268266</v>
      </c>
      <c r="AL59">
        <v>0.13291484000000001</v>
      </c>
      <c r="AM59">
        <v>0.13561644</v>
      </c>
      <c r="AN59">
        <v>0.14609504000000001</v>
      </c>
      <c r="AO59">
        <v>87.731734000000003</v>
      </c>
      <c r="AP59">
        <v>86.708516000000003</v>
      </c>
      <c r="AQ59">
        <v>86.438355999999999</v>
      </c>
      <c r="AR59">
        <v>85.390495999999999</v>
      </c>
      <c r="AS59" t="b">
        <v>1</v>
      </c>
      <c r="AT59" t="b">
        <v>0</v>
      </c>
      <c r="AU59" t="s">
        <v>78</v>
      </c>
      <c r="AV59" t="s">
        <v>78</v>
      </c>
      <c r="AW59" t="s">
        <v>79</v>
      </c>
      <c r="AX59" t="s">
        <v>129</v>
      </c>
      <c r="AY59" t="s">
        <v>175</v>
      </c>
      <c r="AZ59" t="s">
        <v>72</v>
      </c>
      <c r="BA59" t="s">
        <v>82</v>
      </c>
      <c r="BB59">
        <v>3</v>
      </c>
      <c r="BC59">
        <v>4.1163553999999996E-3</v>
      </c>
      <c r="BD59">
        <v>1.4279989108178799E-4</v>
      </c>
      <c r="BE59">
        <v>4.2591552910817903E-3</v>
      </c>
      <c r="BF59">
        <f>IF(AK59&lt;BE59,1,0)</f>
        <v>0</v>
      </c>
      <c r="BG59">
        <f>IF(AK59&lt;BC59,1,0)</f>
        <v>0</v>
      </c>
      <c r="BH59">
        <f>VLOOKUP($B59,[1]Data_Peer_with_peerVars!$B$2:$Z$1050,20,FALSE)</f>
        <v>12</v>
      </c>
      <c r="BI59">
        <f>VLOOKUP($B59,[1]Data_Peer_with_peerVars!$B$2:$Z$1050,21,FALSE)</f>
        <v>8</v>
      </c>
      <c r="BJ59">
        <f>VLOOKUP($B59,[1]Data_Peer_with_peerVars!$B$2:$Z$1050,22,FALSE)</f>
        <v>0.66666666699999999</v>
      </c>
      <c r="BK59">
        <f>VLOOKUP($B59,[1]Data_Peer_with_peerVars!$B$2:$Z$1050,23,FALSE)</f>
        <v>48</v>
      </c>
      <c r="BL59">
        <f>VLOOKUP($B59,[1]Data_Peer_with_peerVars!$B$2:$Z$1050,24,FALSE)</f>
        <v>27</v>
      </c>
      <c r="BM59">
        <f>VLOOKUP($B59,[1]Data_Peer_with_peerVars!$B$2:$Z$1050,25,FALSE)</f>
        <v>0.5625</v>
      </c>
    </row>
    <row r="60" spans="1:65" x14ac:dyDescent="0.2">
      <c r="A60">
        <v>1</v>
      </c>
      <c r="B60" t="s">
        <v>202</v>
      </c>
      <c r="C60">
        <v>34</v>
      </c>
      <c r="D60" t="s">
        <v>68</v>
      </c>
      <c r="E60">
        <v>0</v>
      </c>
      <c r="F60">
        <v>298</v>
      </c>
      <c r="G60" t="s">
        <v>97</v>
      </c>
      <c r="H60" s="1">
        <v>7</v>
      </c>
      <c r="I60" t="s">
        <v>87</v>
      </c>
      <c r="J60" t="s">
        <v>150</v>
      </c>
      <c r="K60" t="s">
        <v>109</v>
      </c>
      <c r="L60">
        <v>1</v>
      </c>
      <c r="M60">
        <v>1</v>
      </c>
      <c r="N60">
        <v>1</v>
      </c>
      <c r="O60">
        <v>0</v>
      </c>
      <c r="P60">
        <v>0</v>
      </c>
      <c r="Q60">
        <v>6</v>
      </c>
      <c r="R60">
        <v>0</v>
      </c>
      <c r="S60">
        <v>0</v>
      </c>
      <c r="T60">
        <v>0</v>
      </c>
      <c r="U60">
        <v>0</v>
      </c>
      <c r="V60">
        <f t="shared" si="0"/>
        <v>0</v>
      </c>
      <c r="W60">
        <f t="shared" si="1"/>
        <v>0</v>
      </c>
      <c r="X60">
        <f t="shared" si="3"/>
        <v>0</v>
      </c>
      <c r="Y60">
        <f t="shared" si="4"/>
        <v>0</v>
      </c>
      <c r="Z60" t="s">
        <v>74</v>
      </c>
      <c r="AA60" s="5" t="s">
        <v>74</v>
      </c>
      <c r="AB60" s="5" t="s">
        <v>74</v>
      </c>
      <c r="AC60" t="s">
        <v>101</v>
      </c>
      <c r="AD60" t="s">
        <v>103</v>
      </c>
      <c r="AE60" s="5" t="s">
        <v>203</v>
      </c>
      <c r="AF60" t="s">
        <v>99</v>
      </c>
      <c r="AG60" t="s">
        <v>102</v>
      </c>
      <c r="AH60">
        <f>AI60</f>
        <v>0.10631938</v>
      </c>
      <c r="AI60">
        <f>AJ60</f>
        <v>0.10631938</v>
      </c>
      <c r="AJ60">
        <f t="shared" si="6"/>
        <v>0.10631938</v>
      </c>
      <c r="AK60">
        <v>0.10631938</v>
      </c>
      <c r="AL60">
        <v>0.12703863000000001</v>
      </c>
      <c r="AM60">
        <v>0.12875536000000001</v>
      </c>
      <c r="AN60">
        <v>0.13137755000000001</v>
      </c>
      <c r="AO60">
        <v>89.368061999999995</v>
      </c>
      <c r="AP60">
        <v>87.296137000000002</v>
      </c>
      <c r="AQ60">
        <v>87.124464000000003</v>
      </c>
      <c r="AR60">
        <v>86.862245000000001</v>
      </c>
      <c r="AS60" t="b">
        <v>0</v>
      </c>
      <c r="AT60" t="b">
        <v>0</v>
      </c>
      <c r="AU60" t="s">
        <v>78</v>
      </c>
      <c r="AV60" t="s">
        <v>108</v>
      </c>
      <c r="AW60" t="s">
        <v>79</v>
      </c>
      <c r="AX60" t="s">
        <v>129</v>
      </c>
      <c r="AY60" t="s">
        <v>175</v>
      </c>
      <c r="AZ60" t="s">
        <v>109</v>
      </c>
      <c r="BA60">
        <v>100</v>
      </c>
      <c r="BB60">
        <v>1</v>
      </c>
      <c r="BC60">
        <v>1.4096186E-2</v>
      </c>
      <c r="BD60">
        <v>1.55088650053763E-3</v>
      </c>
      <c r="BE60">
        <v>1.5647072500537599E-2</v>
      </c>
      <c r="BF60">
        <f>IF(AK60&lt;BE60,1,0)</f>
        <v>0</v>
      </c>
      <c r="BG60">
        <f>IF(AK60&lt;BC60,1,0)</f>
        <v>0</v>
      </c>
      <c r="BH60">
        <f>VLOOKUP($B60,[1]Data_Peer_with_peerVars!$B$2:$Z$1050,20,FALSE)</f>
        <v>13</v>
      </c>
      <c r="BI60">
        <f>VLOOKUP($B60,[1]Data_Peer_with_peerVars!$B$2:$Z$1050,21,FALSE)</f>
        <v>6</v>
      </c>
      <c r="BJ60">
        <f>VLOOKUP($B60,[1]Data_Peer_with_peerVars!$B$2:$Z$1050,22,FALSE)</f>
        <v>0.46153846199999998</v>
      </c>
      <c r="BK60">
        <f>VLOOKUP($B60,[1]Data_Peer_with_peerVars!$B$2:$Z$1050,23,FALSE)</f>
        <v>52</v>
      </c>
      <c r="BL60">
        <f>VLOOKUP($B60,[1]Data_Peer_with_peerVars!$B$2:$Z$1050,24,FALSE)</f>
        <v>30</v>
      </c>
      <c r="BM60">
        <f>VLOOKUP($B60,[1]Data_Peer_with_peerVars!$B$2:$Z$1050,25,FALSE)</f>
        <v>0.57692307700000001</v>
      </c>
    </row>
    <row r="61" spans="1:65" x14ac:dyDescent="0.2">
      <c r="A61">
        <v>1</v>
      </c>
      <c r="B61" t="s">
        <v>204</v>
      </c>
      <c r="C61">
        <v>34</v>
      </c>
      <c r="D61" t="s">
        <v>68</v>
      </c>
      <c r="E61">
        <v>0</v>
      </c>
      <c r="F61">
        <v>298</v>
      </c>
      <c r="G61" t="s">
        <v>97</v>
      </c>
      <c r="H61" s="1">
        <v>7</v>
      </c>
      <c r="I61" t="s">
        <v>87</v>
      </c>
      <c r="J61" t="s">
        <v>150</v>
      </c>
      <c r="K61" t="s">
        <v>109</v>
      </c>
      <c r="L61">
        <v>1</v>
      </c>
      <c r="M61">
        <v>1</v>
      </c>
      <c r="N61">
        <v>1</v>
      </c>
      <c r="O61">
        <v>0</v>
      </c>
      <c r="P61">
        <v>0</v>
      </c>
      <c r="Q61">
        <v>6</v>
      </c>
      <c r="R61">
        <v>0</v>
      </c>
      <c r="S61">
        <v>0</v>
      </c>
      <c r="T61">
        <v>0</v>
      </c>
      <c r="U61">
        <v>0</v>
      </c>
      <c r="V61">
        <f t="shared" si="0"/>
        <v>1</v>
      </c>
      <c r="W61">
        <v>1</v>
      </c>
      <c r="X61">
        <v>1</v>
      </c>
      <c r="Y61">
        <v>1</v>
      </c>
      <c r="Z61" t="s">
        <v>103</v>
      </c>
      <c r="AA61" s="5" t="s">
        <v>103</v>
      </c>
      <c r="AB61" s="5" t="s">
        <v>103</v>
      </c>
      <c r="AC61" t="s">
        <v>103</v>
      </c>
      <c r="AD61" t="s">
        <v>101</v>
      </c>
      <c r="AE61" s="5" t="s">
        <v>101</v>
      </c>
      <c r="AF61" t="s">
        <v>99</v>
      </c>
      <c r="AG61" t="s">
        <v>137</v>
      </c>
      <c r="AH61">
        <f t="shared" ref="AH61:AH65" si="27">AI61</f>
        <v>1.6004415000000001E-2</v>
      </c>
      <c r="AI61">
        <f t="shared" ref="AI61:AI65" si="28">AJ61</f>
        <v>1.6004415000000001E-2</v>
      </c>
      <c r="AJ61">
        <f t="shared" si="6"/>
        <v>1.6004415000000001E-2</v>
      </c>
      <c r="AK61">
        <v>1.6004415000000001E-2</v>
      </c>
      <c r="AL61">
        <v>7.7325260000000007E-2</v>
      </c>
      <c r="AM61">
        <v>0.10951327499999999</v>
      </c>
      <c r="AN61">
        <v>0.12136986</v>
      </c>
      <c r="AO61">
        <v>98.399558499999998</v>
      </c>
      <c r="AP61">
        <v>92.267474000000007</v>
      </c>
      <c r="AQ61">
        <v>89.048672499999995</v>
      </c>
      <c r="AR61">
        <v>87.863014000000007</v>
      </c>
      <c r="AS61" t="b">
        <v>1</v>
      </c>
      <c r="AT61" t="b">
        <v>0</v>
      </c>
      <c r="AU61" t="s">
        <v>77</v>
      </c>
      <c r="AV61" t="s">
        <v>77</v>
      </c>
      <c r="AW61" t="s">
        <v>79</v>
      </c>
      <c r="AX61" t="s">
        <v>129</v>
      </c>
      <c r="AY61" t="s">
        <v>175</v>
      </c>
      <c r="AZ61" t="s">
        <v>109</v>
      </c>
      <c r="BA61">
        <v>100</v>
      </c>
      <c r="BB61">
        <v>0.7</v>
      </c>
      <c r="BC61">
        <v>1.8406593999999998E-2</v>
      </c>
      <c r="BD61">
        <v>3.30705390234067E-4</v>
      </c>
      <c r="BE61">
        <v>1.8737299390234101E-2</v>
      </c>
      <c r="BF61">
        <f>IF(AK61&lt;BE61,1,0)</f>
        <v>1</v>
      </c>
      <c r="BG61">
        <f>IF(AK61&lt;BC61,1,0)</f>
        <v>1</v>
      </c>
      <c r="BH61">
        <f>VLOOKUP($B61,[1]Data_Peer_with_peerVars!$B$2:$Z$1050,20,FALSE)</f>
        <v>13</v>
      </c>
      <c r="BI61">
        <f>VLOOKUP($B61,[1]Data_Peer_with_peerVars!$B$2:$Z$1050,21,FALSE)</f>
        <v>6</v>
      </c>
      <c r="BJ61">
        <f>VLOOKUP($B61,[1]Data_Peer_with_peerVars!$B$2:$Z$1050,22,FALSE)</f>
        <v>0.46153846199999998</v>
      </c>
      <c r="BK61">
        <f>VLOOKUP($B61,[1]Data_Peer_with_peerVars!$B$2:$Z$1050,23,FALSE)</f>
        <v>52</v>
      </c>
      <c r="BL61">
        <f>VLOOKUP($B61,[1]Data_Peer_with_peerVars!$B$2:$Z$1050,24,FALSE)</f>
        <v>30</v>
      </c>
      <c r="BM61">
        <f>VLOOKUP($B61,[1]Data_Peer_with_peerVars!$B$2:$Z$1050,25,FALSE)</f>
        <v>0.57692307700000001</v>
      </c>
    </row>
    <row r="62" spans="1:65" x14ac:dyDescent="0.2">
      <c r="A62">
        <v>1</v>
      </c>
      <c r="B62" t="s">
        <v>205</v>
      </c>
      <c r="C62">
        <v>34</v>
      </c>
      <c r="D62" t="s">
        <v>68</v>
      </c>
      <c r="E62">
        <v>0</v>
      </c>
      <c r="F62">
        <v>298</v>
      </c>
      <c r="G62" t="s">
        <v>97</v>
      </c>
      <c r="H62" s="1">
        <v>7</v>
      </c>
      <c r="I62" t="s">
        <v>87</v>
      </c>
      <c r="J62" t="s">
        <v>150</v>
      </c>
      <c r="K62" t="s">
        <v>109</v>
      </c>
      <c r="L62">
        <v>1</v>
      </c>
      <c r="M62">
        <v>1</v>
      </c>
      <c r="N62">
        <v>1</v>
      </c>
      <c r="O62">
        <v>0</v>
      </c>
      <c r="P62">
        <v>0</v>
      </c>
      <c r="Q62">
        <v>6</v>
      </c>
      <c r="R62">
        <v>0</v>
      </c>
      <c r="S62">
        <v>0</v>
      </c>
      <c r="T62">
        <v>1</v>
      </c>
      <c r="U62">
        <v>1</v>
      </c>
      <c r="V62">
        <f t="shared" si="0"/>
        <v>1</v>
      </c>
      <c r="W62">
        <v>1</v>
      </c>
      <c r="X62">
        <v>1</v>
      </c>
      <c r="Y62">
        <v>1</v>
      </c>
      <c r="Z62" t="s">
        <v>73</v>
      </c>
      <c r="AA62" s="5" t="s">
        <v>73</v>
      </c>
      <c r="AB62" s="5" t="s">
        <v>73</v>
      </c>
      <c r="AC62" t="s">
        <v>73</v>
      </c>
      <c r="AD62" t="s">
        <v>94</v>
      </c>
      <c r="AE62" s="5" t="s">
        <v>106</v>
      </c>
      <c r="AF62" t="s">
        <v>107</v>
      </c>
      <c r="AG62" t="s">
        <v>95</v>
      </c>
      <c r="AH62">
        <f t="shared" si="27"/>
        <v>3.8167940000000001E-3</v>
      </c>
      <c r="AI62">
        <f t="shared" si="28"/>
        <v>3.8167940000000001E-3</v>
      </c>
      <c r="AJ62">
        <f t="shared" si="6"/>
        <v>3.8167940000000001E-3</v>
      </c>
      <c r="AK62">
        <v>3.8167940000000001E-3</v>
      </c>
      <c r="AL62">
        <v>0.13169399000000001</v>
      </c>
      <c r="AM62">
        <v>0.13623904000000001</v>
      </c>
      <c r="AN62">
        <v>0.13875206000000001</v>
      </c>
      <c r="AO62">
        <v>99.618320600000004</v>
      </c>
      <c r="AP62">
        <v>86.830601000000001</v>
      </c>
      <c r="AQ62">
        <v>86.376096000000004</v>
      </c>
      <c r="AR62">
        <v>86.124793999999994</v>
      </c>
      <c r="AS62" t="b">
        <v>1</v>
      </c>
      <c r="AT62" t="b">
        <v>0</v>
      </c>
      <c r="AU62" t="s">
        <v>77</v>
      </c>
      <c r="AV62" t="s">
        <v>108</v>
      </c>
      <c r="AW62" t="s">
        <v>79</v>
      </c>
      <c r="AX62" t="s">
        <v>129</v>
      </c>
      <c r="AY62" t="s">
        <v>175</v>
      </c>
      <c r="AZ62" t="s">
        <v>109</v>
      </c>
      <c r="BA62">
        <v>100</v>
      </c>
      <c r="BB62">
        <v>1</v>
      </c>
      <c r="BC62">
        <v>4.1163553999999996E-3</v>
      </c>
      <c r="BD62">
        <v>1.4279989108178799E-4</v>
      </c>
      <c r="BE62">
        <v>4.2591552910817903E-3</v>
      </c>
      <c r="BF62">
        <f>IF(AK62&lt;BE62,1,0)</f>
        <v>1</v>
      </c>
      <c r="BG62">
        <f>IF(AK62&lt;BC62,1,0)</f>
        <v>1</v>
      </c>
      <c r="BH62">
        <f>VLOOKUP($B62,[1]Data_Peer_with_peerVars!$B$2:$Z$1050,20,FALSE)</f>
        <v>13</v>
      </c>
      <c r="BI62">
        <f>VLOOKUP($B62,[1]Data_Peer_with_peerVars!$B$2:$Z$1050,21,FALSE)</f>
        <v>6</v>
      </c>
      <c r="BJ62">
        <f>VLOOKUP($B62,[1]Data_Peer_with_peerVars!$B$2:$Z$1050,22,FALSE)</f>
        <v>0.46153846199999998</v>
      </c>
      <c r="BK62">
        <f>VLOOKUP($B62,[1]Data_Peer_with_peerVars!$B$2:$Z$1050,23,FALSE)</f>
        <v>52</v>
      </c>
      <c r="BL62">
        <f>VLOOKUP($B62,[1]Data_Peer_with_peerVars!$B$2:$Z$1050,24,FALSE)</f>
        <v>30</v>
      </c>
      <c r="BM62">
        <f>VLOOKUP($B62,[1]Data_Peer_with_peerVars!$B$2:$Z$1050,25,FALSE)</f>
        <v>0.57692307700000001</v>
      </c>
    </row>
    <row r="63" spans="1:65" x14ac:dyDescent="0.2">
      <c r="A63">
        <v>1</v>
      </c>
      <c r="B63" t="s">
        <v>206</v>
      </c>
      <c r="C63">
        <v>35</v>
      </c>
      <c r="D63" t="s">
        <v>68</v>
      </c>
      <c r="E63">
        <v>1</v>
      </c>
      <c r="F63">
        <v>332</v>
      </c>
      <c r="G63" t="s">
        <v>86</v>
      </c>
      <c r="H63" s="1">
        <v>6</v>
      </c>
      <c r="I63" t="s">
        <v>70</v>
      </c>
      <c r="J63" t="s">
        <v>71</v>
      </c>
      <c r="K63" t="s">
        <v>72</v>
      </c>
      <c r="L63">
        <v>1</v>
      </c>
      <c r="M63">
        <v>0</v>
      </c>
      <c r="N63">
        <v>1</v>
      </c>
      <c r="O63">
        <v>0</v>
      </c>
      <c r="P63">
        <v>0</v>
      </c>
      <c r="Q63">
        <v>9</v>
      </c>
      <c r="R63">
        <v>0</v>
      </c>
      <c r="S63">
        <v>0</v>
      </c>
      <c r="T63">
        <v>0</v>
      </c>
      <c r="U63">
        <v>0</v>
      </c>
      <c r="V63">
        <f t="shared" si="0"/>
        <v>1</v>
      </c>
      <c r="W63">
        <v>1</v>
      </c>
      <c r="X63">
        <v>1</v>
      </c>
      <c r="Y63">
        <v>1</v>
      </c>
      <c r="Z63" t="s">
        <v>74</v>
      </c>
      <c r="AA63" s="5" t="s">
        <v>74</v>
      </c>
      <c r="AB63" s="5" t="s">
        <v>74</v>
      </c>
      <c r="AC63" t="s">
        <v>74</v>
      </c>
      <c r="AD63" t="s">
        <v>75</v>
      </c>
      <c r="AE63" s="5" t="s">
        <v>75</v>
      </c>
      <c r="AF63" t="s">
        <v>120</v>
      </c>
      <c r="AG63" t="s">
        <v>76</v>
      </c>
      <c r="AH63">
        <f t="shared" si="27"/>
        <v>1.9178082000000001E-3</v>
      </c>
      <c r="AI63">
        <f t="shared" si="28"/>
        <v>1.9178082000000001E-3</v>
      </c>
      <c r="AJ63">
        <f t="shared" si="6"/>
        <v>1.9178082000000001E-3</v>
      </c>
      <c r="AK63">
        <v>1.9178082000000001E-3</v>
      </c>
      <c r="AL63">
        <v>8.6527930000000003E-2</v>
      </c>
      <c r="AM63">
        <v>8.9939854999999999E-2</v>
      </c>
      <c r="AN63">
        <v>9.3647315999999994E-2</v>
      </c>
      <c r="AO63">
        <v>99.808219179999995</v>
      </c>
      <c r="AP63">
        <v>91.347206999999997</v>
      </c>
      <c r="AQ63">
        <v>91.006014500000006</v>
      </c>
      <c r="AR63">
        <v>90.635268400000001</v>
      </c>
      <c r="AS63" t="b">
        <v>1</v>
      </c>
      <c r="AT63" t="b">
        <v>0</v>
      </c>
      <c r="AU63" t="s">
        <v>77</v>
      </c>
      <c r="AV63" t="s">
        <v>77</v>
      </c>
      <c r="AW63" t="s">
        <v>79</v>
      </c>
      <c r="AX63" t="s">
        <v>129</v>
      </c>
      <c r="AY63" t="s">
        <v>175</v>
      </c>
      <c r="AZ63" t="s">
        <v>72</v>
      </c>
      <c r="BA63" t="s">
        <v>82</v>
      </c>
      <c r="BB63">
        <v>1</v>
      </c>
      <c r="BC63">
        <v>2.4738868000000001E-3</v>
      </c>
      <c r="BD63">
        <v>1.4256942275279999E-4</v>
      </c>
      <c r="BE63">
        <v>2.6164562227527998E-3</v>
      </c>
      <c r="BF63">
        <f>IF(AK63&lt;BE63,1,0)</f>
        <v>1</v>
      </c>
      <c r="BG63">
        <f>IF(AK63&lt;BC63,1,0)</f>
        <v>1</v>
      </c>
      <c r="BH63">
        <f>VLOOKUP($B63,[1]Data_Peer_with_peerVars!$B$2:$Z$1050,20,FALSE)</f>
        <v>12</v>
      </c>
      <c r="BI63">
        <f>VLOOKUP($B63,[1]Data_Peer_with_peerVars!$B$2:$Z$1050,21,FALSE)</f>
        <v>8</v>
      </c>
      <c r="BJ63">
        <f>VLOOKUP($B63,[1]Data_Peer_with_peerVars!$B$2:$Z$1050,22,FALSE)</f>
        <v>0.66666666699999999</v>
      </c>
      <c r="BK63">
        <f>VLOOKUP($B63,[1]Data_Peer_with_peerVars!$B$2:$Z$1050,23,FALSE)</f>
        <v>48</v>
      </c>
      <c r="BL63">
        <f>VLOOKUP($B63,[1]Data_Peer_with_peerVars!$B$2:$Z$1050,24,FALSE)</f>
        <v>27</v>
      </c>
      <c r="BM63">
        <f>VLOOKUP($B63,[1]Data_Peer_with_peerVars!$B$2:$Z$1050,25,FALSE)</f>
        <v>0.5625</v>
      </c>
    </row>
    <row r="64" spans="1:65" x14ac:dyDescent="0.2">
      <c r="A64">
        <v>1</v>
      </c>
      <c r="B64" t="s">
        <v>207</v>
      </c>
      <c r="C64">
        <v>36</v>
      </c>
      <c r="D64" t="s">
        <v>68</v>
      </c>
      <c r="E64">
        <v>1</v>
      </c>
      <c r="F64">
        <v>535</v>
      </c>
      <c r="G64" t="s">
        <v>69</v>
      </c>
      <c r="H64" s="1">
        <v>7</v>
      </c>
      <c r="I64" t="s">
        <v>87</v>
      </c>
      <c r="J64" t="s">
        <v>111</v>
      </c>
      <c r="K64" t="s">
        <v>109</v>
      </c>
      <c r="L64">
        <v>1</v>
      </c>
      <c r="M64">
        <v>0</v>
      </c>
      <c r="N64">
        <v>1</v>
      </c>
      <c r="O64">
        <v>0</v>
      </c>
      <c r="P64">
        <v>0</v>
      </c>
      <c r="Q64">
        <v>6</v>
      </c>
      <c r="R64">
        <v>0</v>
      </c>
      <c r="S64">
        <v>0</v>
      </c>
      <c r="T64">
        <v>0</v>
      </c>
      <c r="U64">
        <v>0</v>
      </c>
      <c r="V64">
        <f t="shared" si="0"/>
        <v>1</v>
      </c>
      <c r="W64">
        <v>1</v>
      </c>
      <c r="X64">
        <v>1</v>
      </c>
      <c r="Y64">
        <v>1</v>
      </c>
      <c r="Z64" t="s">
        <v>74</v>
      </c>
      <c r="AA64" s="5" t="s">
        <v>74</v>
      </c>
      <c r="AB64" s="5" t="s">
        <v>74</v>
      </c>
      <c r="AC64" t="s">
        <v>74</v>
      </c>
      <c r="AD64" t="s">
        <v>75</v>
      </c>
      <c r="AE64" s="5" t="s">
        <v>75</v>
      </c>
      <c r="AF64" t="s">
        <v>120</v>
      </c>
      <c r="AG64" t="s">
        <v>76</v>
      </c>
      <c r="AH64">
        <f t="shared" si="27"/>
        <v>2.1917808000000002E-3</v>
      </c>
      <c r="AI64">
        <f t="shared" si="28"/>
        <v>2.1917808000000002E-3</v>
      </c>
      <c r="AJ64">
        <f t="shared" si="6"/>
        <v>2.1917808000000002E-3</v>
      </c>
      <c r="AK64">
        <v>2.1917808000000002E-3</v>
      </c>
      <c r="AL64">
        <v>8.6801749999999997E-2</v>
      </c>
      <c r="AM64">
        <v>9.0213230000000005E-2</v>
      </c>
      <c r="AN64">
        <v>9.392114E-2</v>
      </c>
      <c r="AO64">
        <v>99.780821919999994</v>
      </c>
      <c r="AP64">
        <v>91.319824999999994</v>
      </c>
      <c r="AQ64">
        <v>90.978677000000005</v>
      </c>
      <c r="AR64">
        <v>90.607885999999993</v>
      </c>
      <c r="AS64" t="b">
        <v>1</v>
      </c>
      <c r="AT64" t="b">
        <v>0</v>
      </c>
      <c r="AU64" t="s">
        <v>77</v>
      </c>
      <c r="AV64" t="s">
        <v>77</v>
      </c>
      <c r="AW64" t="s">
        <v>79</v>
      </c>
      <c r="AX64" t="s">
        <v>80</v>
      </c>
      <c r="AY64" t="s">
        <v>175</v>
      </c>
      <c r="AZ64" t="s">
        <v>109</v>
      </c>
      <c r="BA64">
        <v>2</v>
      </c>
      <c r="BB64">
        <v>4</v>
      </c>
      <c r="BC64">
        <v>2.4738868000000001E-3</v>
      </c>
      <c r="BD64">
        <v>1.4256942275279999E-4</v>
      </c>
      <c r="BE64">
        <v>2.6164562227527998E-3</v>
      </c>
      <c r="BF64">
        <f>IF(AK64&lt;BE64,1,0)</f>
        <v>1</v>
      </c>
      <c r="BG64">
        <f>IF(AK64&lt;BC64,1,0)</f>
        <v>1</v>
      </c>
      <c r="BH64">
        <f>VLOOKUP($B64,[1]Data_Peer_with_peerVars!$B$2:$Z$1050,20,FALSE)</f>
        <v>11</v>
      </c>
      <c r="BI64">
        <f>VLOOKUP($B64,[1]Data_Peer_with_peerVars!$B$2:$Z$1050,21,FALSE)</f>
        <v>7</v>
      </c>
      <c r="BJ64">
        <f>VLOOKUP($B64,[1]Data_Peer_with_peerVars!$B$2:$Z$1050,22,FALSE)</f>
        <v>0.63636363600000001</v>
      </c>
      <c r="BK64">
        <f>VLOOKUP($B64,[1]Data_Peer_with_peerVars!$B$2:$Z$1050,23,FALSE)</f>
        <v>47</v>
      </c>
      <c r="BL64">
        <f>VLOOKUP($B64,[1]Data_Peer_with_peerVars!$B$2:$Z$1050,24,FALSE)</f>
        <v>27</v>
      </c>
      <c r="BM64">
        <f>VLOOKUP($B64,[1]Data_Peer_with_peerVars!$B$2:$Z$1050,25,FALSE)</f>
        <v>0.57446808500000002</v>
      </c>
    </row>
    <row r="65" spans="1:65" x14ac:dyDescent="0.2">
      <c r="A65">
        <v>1</v>
      </c>
      <c r="B65" t="s">
        <v>208</v>
      </c>
      <c r="C65">
        <v>36</v>
      </c>
      <c r="D65" t="s">
        <v>68</v>
      </c>
      <c r="E65">
        <v>1</v>
      </c>
      <c r="F65">
        <v>535</v>
      </c>
      <c r="G65" t="s">
        <v>69</v>
      </c>
      <c r="H65" s="1">
        <v>7</v>
      </c>
      <c r="I65" t="s">
        <v>87</v>
      </c>
      <c r="J65" t="s">
        <v>111</v>
      </c>
      <c r="K65" t="s">
        <v>109</v>
      </c>
      <c r="L65">
        <v>1</v>
      </c>
      <c r="M65">
        <v>0</v>
      </c>
      <c r="N65">
        <v>1</v>
      </c>
      <c r="O65">
        <v>0</v>
      </c>
      <c r="P65">
        <v>0</v>
      </c>
      <c r="Q65">
        <v>6</v>
      </c>
      <c r="R65">
        <v>0</v>
      </c>
      <c r="S65">
        <v>0</v>
      </c>
      <c r="T65">
        <v>1</v>
      </c>
      <c r="U65">
        <v>1</v>
      </c>
      <c r="V65">
        <f t="shared" si="0"/>
        <v>1</v>
      </c>
      <c r="W65">
        <v>1</v>
      </c>
      <c r="X65">
        <v>1</v>
      </c>
      <c r="Y65">
        <v>1</v>
      </c>
      <c r="Z65" t="s">
        <v>73</v>
      </c>
      <c r="AA65" s="5" t="s">
        <v>73</v>
      </c>
      <c r="AB65" s="5" t="s">
        <v>73</v>
      </c>
      <c r="AC65" t="s">
        <v>73</v>
      </c>
      <c r="AD65" t="s">
        <v>94</v>
      </c>
      <c r="AE65" s="5" t="s">
        <v>106</v>
      </c>
      <c r="AF65" t="s">
        <v>107</v>
      </c>
      <c r="AG65" t="s">
        <v>95</v>
      </c>
      <c r="AH65">
        <f t="shared" si="27"/>
        <v>3.8188760000000001E-3</v>
      </c>
      <c r="AI65">
        <f t="shared" si="28"/>
        <v>3.8188760000000001E-3</v>
      </c>
      <c r="AJ65">
        <f t="shared" si="6"/>
        <v>3.8188760000000001E-3</v>
      </c>
      <c r="AK65">
        <v>3.8188760000000001E-3</v>
      </c>
      <c r="AL65">
        <v>0.13176599</v>
      </c>
      <c r="AM65">
        <v>0.13623904000000001</v>
      </c>
      <c r="AN65">
        <v>0.13867615</v>
      </c>
      <c r="AO65">
        <v>99.618112400000001</v>
      </c>
      <c r="AP65">
        <v>86.823401000000004</v>
      </c>
      <c r="AQ65">
        <v>86.376096000000004</v>
      </c>
      <c r="AR65">
        <v>86.132384999999999</v>
      </c>
      <c r="AS65" t="b">
        <v>1</v>
      </c>
      <c r="AT65" t="b">
        <v>0</v>
      </c>
      <c r="AU65" t="s">
        <v>77</v>
      </c>
      <c r="AV65" t="s">
        <v>108</v>
      </c>
      <c r="AW65" t="s">
        <v>79</v>
      </c>
      <c r="AX65" t="s">
        <v>80</v>
      </c>
      <c r="AY65" t="s">
        <v>175</v>
      </c>
      <c r="AZ65" t="s">
        <v>72</v>
      </c>
      <c r="BA65" t="s">
        <v>82</v>
      </c>
      <c r="BB65">
        <v>0.7</v>
      </c>
      <c r="BC65">
        <v>4.1163553999999996E-3</v>
      </c>
      <c r="BD65">
        <v>1.4279989108178799E-4</v>
      </c>
      <c r="BE65">
        <v>4.2591552910817903E-3</v>
      </c>
      <c r="BF65">
        <f>IF(AK65&lt;BE65,1,0)</f>
        <v>1</v>
      </c>
      <c r="BG65">
        <f>IF(AK65&lt;BC65,1,0)</f>
        <v>1</v>
      </c>
      <c r="BH65">
        <f>VLOOKUP($B65,[1]Data_Peer_with_peerVars!$B$2:$Z$1050,20,FALSE)</f>
        <v>11</v>
      </c>
      <c r="BI65">
        <f>VLOOKUP($B65,[1]Data_Peer_with_peerVars!$B$2:$Z$1050,21,FALSE)</f>
        <v>7</v>
      </c>
      <c r="BJ65">
        <f>VLOOKUP($B65,[1]Data_Peer_with_peerVars!$B$2:$Z$1050,22,FALSE)</f>
        <v>0.63636363600000001</v>
      </c>
      <c r="BK65">
        <f>VLOOKUP($B65,[1]Data_Peer_with_peerVars!$B$2:$Z$1050,23,FALSE)</f>
        <v>47</v>
      </c>
      <c r="BL65">
        <f>VLOOKUP($B65,[1]Data_Peer_with_peerVars!$B$2:$Z$1050,24,FALSE)</f>
        <v>27</v>
      </c>
      <c r="BM65">
        <f>VLOOKUP($B65,[1]Data_Peer_with_peerVars!$B$2:$Z$1050,25,FALSE)</f>
        <v>0.57446808500000002</v>
      </c>
    </row>
    <row r="66" spans="1:65" x14ac:dyDescent="0.2">
      <c r="A66">
        <v>1</v>
      </c>
      <c r="B66" t="s">
        <v>209</v>
      </c>
      <c r="C66">
        <v>37</v>
      </c>
      <c r="D66" t="s">
        <v>68</v>
      </c>
      <c r="E66">
        <v>1</v>
      </c>
      <c r="F66">
        <v>537</v>
      </c>
      <c r="G66" t="s">
        <v>86</v>
      </c>
      <c r="H66" s="1">
        <v>7</v>
      </c>
      <c r="I66" t="s">
        <v>87</v>
      </c>
      <c r="J66" t="s">
        <v>124</v>
      </c>
      <c r="K66" t="s">
        <v>109</v>
      </c>
      <c r="L66">
        <v>1</v>
      </c>
      <c r="M66">
        <v>0</v>
      </c>
      <c r="N66">
        <v>1</v>
      </c>
      <c r="O66">
        <v>1</v>
      </c>
      <c r="P66">
        <v>1</v>
      </c>
      <c r="Q66">
        <v>6</v>
      </c>
      <c r="R66">
        <v>0</v>
      </c>
      <c r="S66">
        <v>0</v>
      </c>
      <c r="T66">
        <v>1</v>
      </c>
      <c r="U66">
        <v>1</v>
      </c>
      <c r="V66">
        <f t="shared" si="0"/>
        <v>0</v>
      </c>
      <c r="W66">
        <f t="shared" si="1"/>
        <v>0</v>
      </c>
      <c r="X66">
        <f t="shared" si="3"/>
        <v>0</v>
      </c>
      <c r="Y66">
        <f t="shared" si="4"/>
        <v>0</v>
      </c>
      <c r="Z66" t="s">
        <v>137</v>
      </c>
      <c r="AA66" s="5" t="s">
        <v>137</v>
      </c>
      <c r="AB66" s="5" t="s">
        <v>138</v>
      </c>
      <c r="AC66" t="s">
        <v>94</v>
      </c>
      <c r="AD66" t="s">
        <v>95</v>
      </c>
      <c r="AE66" s="5" t="s">
        <v>95</v>
      </c>
      <c r="AF66" t="s">
        <v>107</v>
      </c>
      <c r="AG66" t="s">
        <v>74</v>
      </c>
      <c r="AH66">
        <f t="shared" ref="AH66:AI69" si="29">AI66</f>
        <v>1.7213115000000001E-2</v>
      </c>
      <c r="AI66">
        <f t="shared" si="29"/>
        <v>1.7213115000000001E-2</v>
      </c>
      <c r="AJ66">
        <f t="shared" si="6"/>
        <v>1.7213115000000001E-2</v>
      </c>
      <c r="AK66">
        <v>1.7213115000000001E-2</v>
      </c>
      <c r="AL66">
        <v>0.10946908</v>
      </c>
      <c r="AM66">
        <v>0.11129385999999999</v>
      </c>
      <c r="AN66">
        <v>0.12671420999999999</v>
      </c>
      <c r="AO66">
        <v>98.278688500000001</v>
      </c>
      <c r="AP66">
        <v>89.053092000000007</v>
      </c>
      <c r="AQ66">
        <v>88.870614000000003</v>
      </c>
      <c r="AR66">
        <v>87.328579000000005</v>
      </c>
      <c r="AS66" t="b">
        <v>0</v>
      </c>
      <c r="AT66" t="b">
        <v>0</v>
      </c>
      <c r="AU66" t="s">
        <v>77</v>
      </c>
      <c r="AV66" t="s">
        <v>78</v>
      </c>
      <c r="AW66" t="s">
        <v>79</v>
      </c>
      <c r="AX66" t="s">
        <v>129</v>
      </c>
      <c r="AY66" t="s">
        <v>175</v>
      </c>
      <c r="AZ66" t="s">
        <v>109</v>
      </c>
      <c r="BA66">
        <v>8</v>
      </c>
      <c r="BB66">
        <v>1</v>
      </c>
      <c r="BC66">
        <v>1.6447369E-2</v>
      </c>
      <c r="BD66">
        <v>4.2236161269162102E-4</v>
      </c>
      <c r="BE66">
        <v>1.6869730612691598E-2</v>
      </c>
      <c r="BF66">
        <f>IF(AK66&lt;BE66,1,0)</f>
        <v>0</v>
      </c>
      <c r="BG66">
        <f>IF(AK66&lt;BC66,1,0)</f>
        <v>0</v>
      </c>
      <c r="BH66">
        <f>VLOOKUP($B66,[1]Data_Peer_with_peerVars!$B$2:$Z$1050,20,FALSE)</f>
        <v>3</v>
      </c>
      <c r="BI66">
        <f>VLOOKUP($B66,[1]Data_Peer_with_peerVars!$B$2:$Z$1050,21,FALSE)</f>
        <v>2</v>
      </c>
      <c r="BJ66">
        <f>VLOOKUP($B66,[1]Data_Peer_with_peerVars!$B$2:$Z$1050,22,FALSE)</f>
        <v>0.66666666699999999</v>
      </c>
      <c r="BK66">
        <f>VLOOKUP($B66,[1]Data_Peer_with_peerVars!$B$2:$Z$1050,23,FALSE)</f>
        <v>53</v>
      </c>
      <c r="BL66">
        <f>VLOOKUP($B66,[1]Data_Peer_with_peerVars!$B$2:$Z$1050,24,FALSE)</f>
        <v>31</v>
      </c>
      <c r="BM66">
        <f>VLOOKUP($B66,[1]Data_Peer_with_peerVars!$B$2:$Z$1050,25,FALSE)</f>
        <v>0.58490565999999999</v>
      </c>
    </row>
    <row r="67" spans="1:65" x14ac:dyDescent="0.2">
      <c r="A67">
        <v>1</v>
      </c>
      <c r="B67" t="s">
        <v>210</v>
      </c>
      <c r="C67">
        <v>38</v>
      </c>
      <c r="D67" t="s">
        <v>68</v>
      </c>
      <c r="E67">
        <v>1</v>
      </c>
      <c r="F67">
        <v>838</v>
      </c>
      <c r="G67" t="s">
        <v>69</v>
      </c>
      <c r="H67" s="1">
        <v>7</v>
      </c>
      <c r="I67" t="s">
        <v>70</v>
      </c>
      <c r="J67" t="s">
        <v>71</v>
      </c>
      <c r="K67" t="s">
        <v>72</v>
      </c>
      <c r="L67">
        <v>1</v>
      </c>
      <c r="M67">
        <v>0</v>
      </c>
      <c r="N67">
        <v>1</v>
      </c>
      <c r="O67">
        <v>0</v>
      </c>
      <c r="P67">
        <v>0</v>
      </c>
      <c r="Q67">
        <v>8</v>
      </c>
      <c r="R67">
        <v>0</v>
      </c>
      <c r="S67">
        <v>0</v>
      </c>
      <c r="T67">
        <v>0</v>
      </c>
      <c r="U67">
        <v>0</v>
      </c>
      <c r="V67">
        <f t="shared" ref="V67:V130" si="30">IF(Z67=AC67,1,0)</f>
        <v>1</v>
      </c>
      <c r="W67">
        <v>1</v>
      </c>
      <c r="X67">
        <v>1</v>
      </c>
      <c r="Y67">
        <v>1</v>
      </c>
      <c r="Z67" t="s">
        <v>73</v>
      </c>
      <c r="AA67" s="5" t="s">
        <v>73</v>
      </c>
      <c r="AB67" s="5" t="s">
        <v>73</v>
      </c>
      <c r="AC67" t="s">
        <v>73</v>
      </c>
      <c r="AD67" t="s">
        <v>94</v>
      </c>
      <c r="AE67" s="5" t="s">
        <v>94</v>
      </c>
      <c r="AF67" t="s">
        <v>75</v>
      </c>
      <c r="AG67" t="s">
        <v>95</v>
      </c>
      <c r="AH67">
        <f t="shared" si="29"/>
        <v>6.9558099999999998E-2</v>
      </c>
      <c r="AI67">
        <f t="shared" si="29"/>
        <v>6.9558099999999998E-2</v>
      </c>
      <c r="AJ67">
        <f t="shared" ref="AJ67:AJ130" si="31">AK67</f>
        <v>6.9558099999999998E-2</v>
      </c>
      <c r="AK67">
        <v>6.9558099999999998E-2</v>
      </c>
      <c r="AL67">
        <v>0.1193337</v>
      </c>
      <c r="AM67">
        <v>0.1302682</v>
      </c>
      <c r="AN67">
        <v>0.14188081</v>
      </c>
      <c r="AO67">
        <v>93.04419</v>
      </c>
      <c r="AP67">
        <v>88.066630000000004</v>
      </c>
      <c r="AQ67">
        <v>86.973179999999999</v>
      </c>
      <c r="AR67">
        <v>85.811919000000003</v>
      </c>
      <c r="AS67" t="b">
        <v>1</v>
      </c>
      <c r="AT67" t="b">
        <v>0</v>
      </c>
      <c r="AU67" t="s">
        <v>77</v>
      </c>
      <c r="AV67" t="s">
        <v>78</v>
      </c>
      <c r="AW67" t="s">
        <v>79</v>
      </c>
      <c r="AX67" t="s">
        <v>129</v>
      </c>
      <c r="AY67" t="s">
        <v>175</v>
      </c>
      <c r="AZ67" t="s">
        <v>72</v>
      </c>
      <c r="BA67" t="s">
        <v>82</v>
      </c>
      <c r="BB67">
        <v>4</v>
      </c>
      <c r="BC67">
        <v>4.1163553999999996E-3</v>
      </c>
      <c r="BD67">
        <v>1.4279989108178799E-4</v>
      </c>
      <c r="BE67">
        <v>4.2591552910817903E-3</v>
      </c>
      <c r="BF67">
        <f>IF(AK67&lt;BE67,1,0)</f>
        <v>0</v>
      </c>
      <c r="BG67">
        <f>IF(AK67&lt;BC67,1,0)</f>
        <v>0</v>
      </c>
      <c r="BH67">
        <f>VLOOKUP($B67,[1]Data_Peer_with_peerVars!$B$2:$Z$1050,20,FALSE)</f>
        <v>12</v>
      </c>
      <c r="BI67">
        <f>VLOOKUP($B67,[1]Data_Peer_with_peerVars!$B$2:$Z$1050,21,FALSE)</f>
        <v>8</v>
      </c>
      <c r="BJ67">
        <f>VLOOKUP($B67,[1]Data_Peer_with_peerVars!$B$2:$Z$1050,22,FALSE)</f>
        <v>0.66666666699999999</v>
      </c>
      <c r="BK67">
        <f>VLOOKUP($B67,[1]Data_Peer_with_peerVars!$B$2:$Z$1050,23,FALSE)</f>
        <v>45</v>
      </c>
      <c r="BL67">
        <f>VLOOKUP($B67,[1]Data_Peer_with_peerVars!$B$2:$Z$1050,24,FALSE)</f>
        <v>26</v>
      </c>
      <c r="BM67">
        <f>VLOOKUP($B67,[1]Data_Peer_with_peerVars!$B$2:$Z$1050,25,FALSE)</f>
        <v>0.57777777799999996</v>
      </c>
    </row>
    <row r="68" spans="1:65" x14ac:dyDescent="0.2">
      <c r="A68">
        <v>1</v>
      </c>
      <c r="B68" t="s">
        <v>211</v>
      </c>
      <c r="C68">
        <v>38</v>
      </c>
      <c r="D68" t="s">
        <v>68</v>
      </c>
      <c r="E68">
        <v>1</v>
      </c>
      <c r="F68">
        <v>838</v>
      </c>
      <c r="G68" t="s">
        <v>69</v>
      </c>
      <c r="H68" s="1">
        <v>7</v>
      </c>
      <c r="I68" t="s">
        <v>70</v>
      </c>
      <c r="J68" t="s">
        <v>71</v>
      </c>
      <c r="K68" t="s">
        <v>72</v>
      </c>
      <c r="L68">
        <v>1</v>
      </c>
      <c r="M68">
        <v>0</v>
      </c>
      <c r="N68">
        <v>1</v>
      </c>
      <c r="O68">
        <v>0</v>
      </c>
      <c r="P68">
        <v>0</v>
      </c>
      <c r="Q68">
        <v>8</v>
      </c>
      <c r="R68">
        <v>0</v>
      </c>
      <c r="S68">
        <v>0</v>
      </c>
      <c r="T68">
        <v>0</v>
      </c>
      <c r="U68">
        <v>0</v>
      </c>
      <c r="V68">
        <f t="shared" si="30"/>
        <v>0</v>
      </c>
      <c r="W68">
        <f t="shared" ref="W68:W130" si="32">IF(Z68=AD68,1,0)</f>
        <v>0</v>
      </c>
      <c r="X68">
        <f t="shared" ref="X68:X130" si="33">IF(Z68=AF68,1,0)</f>
        <v>0</v>
      </c>
      <c r="Y68">
        <f t="shared" ref="Y68:Y130" si="34">IF(Z68=AG68,1,0)</f>
        <v>0</v>
      </c>
      <c r="Z68" t="s">
        <v>74</v>
      </c>
      <c r="AA68" s="5" t="s">
        <v>74</v>
      </c>
      <c r="AB68" s="5" t="s">
        <v>74</v>
      </c>
      <c r="AC68" t="s">
        <v>73</v>
      </c>
      <c r="AD68" t="s">
        <v>94</v>
      </c>
      <c r="AE68" s="5" t="s">
        <v>94</v>
      </c>
      <c r="AF68" t="s">
        <v>75</v>
      </c>
      <c r="AG68" t="s">
        <v>95</v>
      </c>
      <c r="AH68">
        <f t="shared" si="29"/>
        <v>6.8466990000000005E-2</v>
      </c>
      <c r="AI68">
        <f t="shared" si="29"/>
        <v>6.8466990000000005E-2</v>
      </c>
      <c r="AJ68">
        <f t="shared" si="31"/>
        <v>6.8466990000000005E-2</v>
      </c>
      <c r="AK68">
        <v>6.8466990000000005E-2</v>
      </c>
      <c r="AL68">
        <v>0.1182414</v>
      </c>
      <c r="AM68">
        <v>0.1302682</v>
      </c>
      <c r="AN68">
        <v>0.14215419000000001</v>
      </c>
      <c r="AO68">
        <v>93.153300999999999</v>
      </c>
      <c r="AP68">
        <v>88.17586</v>
      </c>
      <c r="AQ68">
        <v>86.973179999999999</v>
      </c>
      <c r="AR68">
        <v>85.784581000000003</v>
      </c>
      <c r="AS68" t="b">
        <v>0</v>
      </c>
      <c r="AT68" t="b">
        <v>0</v>
      </c>
      <c r="AU68" t="s">
        <v>77</v>
      </c>
      <c r="AV68" t="s">
        <v>78</v>
      </c>
      <c r="AW68" t="s">
        <v>79</v>
      </c>
      <c r="AX68" t="s">
        <v>129</v>
      </c>
      <c r="AY68" t="s">
        <v>175</v>
      </c>
      <c r="AZ68" t="s">
        <v>72</v>
      </c>
      <c r="BA68" t="s">
        <v>82</v>
      </c>
      <c r="BB68">
        <v>3</v>
      </c>
      <c r="BC68">
        <v>4.1163553999999996E-3</v>
      </c>
      <c r="BD68">
        <v>1.4279989108178799E-4</v>
      </c>
      <c r="BE68">
        <v>4.2591552910817903E-3</v>
      </c>
      <c r="BF68">
        <f>IF(AK68&lt;BE68,1,0)</f>
        <v>0</v>
      </c>
      <c r="BG68">
        <f>IF(AK68&lt;BC68,1,0)</f>
        <v>0</v>
      </c>
      <c r="BH68">
        <f>VLOOKUP($B68,[1]Data_Peer_with_peerVars!$B$2:$Z$1050,20,FALSE)</f>
        <v>12</v>
      </c>
      <c r="BI68">
        <f>VLOOKUP($B68,[1]Data_Peer_with_peerVars!$B$2:$Z$1050,21,FALSE)</f>
        <v>8</v>
      </c>
      <c r="BJ68">
        <f>VLOOKUP($B68,[1]Data_Peer_with_peerVars!$B$2:$Z$1050,22,FALSE)</f>
        <v>0.66666666699999999</v>
      </c>
      <c r="BK68">
        <f>VLOOKUP($B68,[1]Data_Peer_with_peerVars!$B$2:$Z$1050,23,FALSE)</f>
        <v>45</v>
      </c>
      <c r="BL68">
        <f>VLOOKUP($B68,[1]Data_Peer_with_peerVars!$B$2:$Z$1050,24,FALSE)</f>
        <v>26</v>
      </c>
      <c r="BM68">
        <f>VLOOKUP($B68,[1]Data_Peer_with_peerVars!$B$2:$Z$1050,25,FALSE)</f>
        <v>0.57777777799999996</v>
      </c>
    </row>
    <row r="69" spans="1:65" x14ac:dyDescent="0.2">
      <c r="A69">
        <v>1</v>
      </c>
      <c r="B69" t="s">
        <v>212</v>
      </c>
      <c r="C69">
        <v>39</v>
      </c>
      <c r="D69" t="s">
        <v>68</v>
      </c>
      <c r="E69">
        <v>1</v>
      </c>
      <c r="F69">
        <v>255</v>
      </c>
      <c r="G69" t="s">
        <v>69</v>
      </c>
      <c r="H69" s="1">
        <v>7</v>
      </c>
      <c r="I69" t="s">
        <v>70</v>
      </c>
      <c r="J69" t="s">
        <v>71</v>
      </c>
      <c r="K69" t="s">
        <v>72</v>
      </c>
      <c r="L69">
        <v>1</v>
      </c>
      <c r="M69">
        <v>0</v>
      </c>
      <c r="N69">
        <v>1</v>
      </c>
      <c r="O69">
        <v>1</v>
      </c>
      <c r="P69">
        <v>1</v>
      </c>
      <c r="Q69">
        <v>6</v>
      </c>
      <c r="R69">
        <v>0</v>
      </c>
      <c r="S69">
        <v>0</v>
      </c>
      <c r="T69">
        <v>0</v>
      </c>
      <c r="U69">
        <v>0</v>
      </c>
      <c r="V69">
        <f t="shared" si="30"/>
        <v>1</v>
      </c>
      <c r="W69">
        <v>1</v>
      </c>
      <c r="X69">
        <v>1</v>
      </c>
      <c r="Y69">
        <v>1</v>
      </c>
      <c r="Z69" t="s">
        <v>74</v>
      </c>
      <c r="AA69" s="5" t="s">
        <v>74</v>
      </c>
      <c r="AB69" s="5" t="s">
        <v>74</v>
      </c>
      <c r="AC69" t="s">
        <v>74</v>
      </c>
      <c r="AD69" t="s">
        <v>120</v>
      </c>
      <c r="AE69" s="5" t="s">
        <v>213</v>
      </c>
      <c r="AF69" t="s">
        <v>75</v>
      </c>
      <c r="AG69" t="s">
        <v>76</v>
      </c>
      <c r="AH69">
        <f t="shared" si="29"/>
        <v>1.3424657E-2</v>
      </c>
      <c r="AI69">
        <f t="shared" si="29"/>
        <v>1.3424657E-2</v>
      </c>
      <c r="AJ69">
        <f t="shared" si="31"/>
        <v>1.3424657E-2</v>
      </c>
      <c r="AK69">
        <v>1.3424657E-2</v>
      </c>
      <c r="AL69">
        <v>8.7752869999999997E-2</v>
      </c>
      <c r="AM69">
        <v>8.9539974999999994E-2</v>
      </c>
      <c r="AN69">
        <v>9.4246574E-2</v>
      </c>
      <c r="AO69">
        <v>98.657534299999995</v>
      </c>
      <c r="AP69">
        <v>91.224712999999994</v>
      </c>
      <c r="AQ69">
        <v>91.0460025</v>
      </c>
      <c r="AR69">
        <v>90.575342599999999</v>
      </c>
      <c r="AS69" t="b">
        <v>1</v>
      </c>
      <c r="AT69" t="b">
        <v>0</v>
      </c>
      <c r="AU69" t="s">
        <v>77</v>
      </c>
      <c r="AV69" t="s">
        <v>108</v>
      </c>
      <c r="AW69" t="s">
        <v>79</v>
      </c>
      <c r="AX69" t="s">
        <v>129</v>
      </c>
      <c r="AY69" t="s">
        <v>214</v>
      </c>
      <c r="AZ69" t="s">
        <v>72</v>
      </c>
      <c r="BA69" t="s">
        <v>82</v>
      </c>
      <c r="BB69">
        <v>1.5</v>
      </c>
      <c r="BC69">
        <v>2.4738868000000001E-3</v>
      </c>
      <c r="BD69">
        <v>1.4256942275279999E-4</v>
      </c>
      <c r="BE69">
        <v>2.6164562227527998E-3</v>
      </c>
      <c r="BF69">
        <f>IF(AK69&lt;BE69,1,0)</f>
        <v>0</v>
      </c>
      <c r="BG69">
        <f>IF(AK69&lt;BC69,1,0)</f>
        <v>0</v>
      </c>
      <c r="BH69">
        <f>VLOOKUP($B69,[1]Data_Peer_with_peerVars!$B$2:$Z$1050,20,FALSE)</f>
        <v>0</v>
      </c>
      <c r="BI69">
        <f>VLOOKUP($B69,[1]Data_Peer_with_peerVars!$B$2:$Z$1050,21,FALSE)</f>
        <v>0</v>
      </c>
      <c r="BJ69">
        <v>0</v>
      </c>
      <c r="BK69">
        <f>VLOOKUP($B69,[1]Data_Peer_with_peerVars!$B$2:$Z$1050,23,FALSE)</f>
        <v>42</v>
      </c>
      <c r="BL69">
        <f>VLOOKUP($B69,[1]Data_Peer_with_peerVars!$B$2:$Z$1050,24,FALSE)</f>
        <v>23</v>
      </c>
      <c r="BM69">
        <f>VLOOKUP($B69,[1]Data_Peer_with_peerVars!$B$2:$Z$1050,25,FALSE)</f>
        <v>0.54761904800000005</v>
      </c>
    </row>
    <row r="70" spans="1:65" x14ac:dyDescent="0.2">
      <c r="A70">
        <v>1</v>
      </c>
      <c r="B70" t="s">
        <v>215</v>
      </c>
      <c r="C70">
        <v>40</v>
      </c>
      <c r="D70" t="s">
        <v>68</v>
      </c>
      <c r="E70">
        <v>1</v>
      </c>
      <c r="F70">
        <v>257</v>
      </c>
      <c r="G70" t="s">
        <v>86</v>
      </c>
      <c r="H70" s="1">
        <v>6.5</v>
      </c>
      <c r="I70" t="s">
        <v>87</v>
      </c>
      <c r="J70" t="s">
        <v>88</v>
      </c>
      <c r="K70" t="s">
        <v>72</v>
      </c>
      <c r="L70">
        <v>1</v>
      </c>
      <c r="M70">
        <v>0</v>
      </c>
      <c r="N70">
        <v>1</v>
      </c>
      <c r="O70">
        <v>0</v>
      </c>
      <c r="P70">
        <v>0</v>
      </c>
      <c r="Q70">
        <v>6</v>
      </c>
      <c r="R70">
        <v>0</v>
      </c>
      <c r="S70">
        <v>0</v>
      </c>
      <c r="T70">
        <v>0</v>
      </c>
      <c r="U70">
        <v>0</v>
      </c>
      <c r="V70">
        <f t="shared" si="30"/>
        <v>0</v>
      </c>
      <c r="W70">
        <f t="shared" si="32"/>
        <v>0</v>
      </c>
      <c r="X70">
        <f t="shared" si="33"/>
        <v>0</v>
      </c>
      <c r="Y70">
        <f t="shared" si="34"/>
        <v>0</v>
      </c>
      <c r="Z70" t="s">
        <v>98</v>
      </c>
      <c r="AA70" s="5" t="s">
        <v>141</v>
      </c>
      <c r="AB70" s="5" t="s">
        <v>141</v>
      </c>
      <c r="AC70" t="s">
        <v>94</v>
      </c>
      <c r="AD70" t="s">
        <v>99</v>
      </c>
      <c r="AE70" s="5" t="s">
        <v>99</v>
      </c>
      <c r="AF70" t="s">
        <v>101</v>
      </c>
      <c r="AG70" t="s">
        <v>102</v>
      </c>
      <c r="AH70">
        <f>AI70</f>
        <v>8.8749320000000007E-2</v>
      </c>
      <c r="AI70">
        <f t="shared" ref="AI70:AI73" si="35">AJ70</f>
        <v>8.8749320000000007E-2</v>
      </c>
      <c r="AJ70">
        <f t="shared" si="31"/>
        <v>8.8749320000000007E-2</v>
      </c>
      <c r="AK70">
        <v>8.8749320000000007E-2</v>
      </c>
      <c r="AL70">
        <v>0.109487034</v>
      </c>
      <c r="AM70">
        <v>0.11401099000000001</v>
      </c>
      <c r="AN70">
        <v>0.120633185</v>
      </c>
      <c r="AO70">
        <v>91.125067999999999</v>
      </c>
      <c r="AP70">
        <v>89.051296600000001</v>
      </c>
      <c r="AQ70">
        <v>88.598900999999998</v>
      </c>
      <c r="AR70">
        <v>87.936681500000006</v>
      </c>
      <c r="AS70" t="b">
        <v>0</v>
      </c>
      <c r="AT70" t="b">
        <v>0</v>
      </c>
      <c r="AU70" t="s">
        <v>77</v>
      </c>
      <c r="AV70" t="s">
        <v>78</v>
      </c>
      <c r="AW70" t="s">
        <v>79</v>
      </c>
      <c r="AX70" t="s">
        <v>129</v>
      </c>
      <c r="AY70" t="s">
        <v>214</v>
      </c>
      <c r="AZ70" t="s">
        <v>72</v>
      </c>
      <c r="BA70" t="s">
        <v>82</v>
      </c>
      <c r="BB70">
        <v>0.2</v>
      </c>
      <c r="BC70">
        <v>1.6447369E-2</v>
      </c>
      <c r="BD70">
        <v>4.2236161269162102E-4</v>
      </c>
      <c r="BE70">
        <v>1.6869730612691598E-2</v>
      </c>
      <c r="BF70">
        <f>IF(AK70&lt;BE70,1,0)</f>
        <v>0</v>
      </c>
      <c r="BG70">
        <f>IF(AK70&lt;BC70,1,0)</f>
        <v>0</v>
      </c>
      <c r="BH70">
        <f>VLOOKUP($B70,[1]Data_Peer_with_peerVars!$B$2:$Z$1050,20,FALSE)</f>
        <v>2</v>
      </c>
      <c r="BI70">
        <f>VLOOKUP($B70,[1]Data_Peer_with_peerVars!$B$2:$Z$1050,21,FALSE)</f>
        <v>1</v>
      </c>
      <c r="BJ70">
        <f>VLOOKUP($B70,[1]Data_Peer_with_peerVars!$B$2:$Z$1050,22,FALSE)</f>
        <v>0.5</v>
      </c>
      <c r="BK70">
        <f>VLOOKUP($B70,[1]Data_Peer_with_peerVars!$B$2:$Z$1050,23,FALSE)</f>
        <v>45</v>
      </c>
      <c r="BL70">
        <f>VLOOKUP($B70,[1]Data_Peer_with_peerVars!$B$2:$Z$1050,24,FALSE)</f>
        <v>25</v>
      </c>
      <c r="BM70">
        <f>VLOOKUP($B70,[1]Data_Peer_with_peerVars!$B$2:$Z$1050,25,FALSE)</f>
        <v>0.55555555599999995</v>
      </c>
    </row>
    <row r="71" spans="1:65" x14ac:dyDescent="0.2">
      <c r="A71">
        <v>1</v>
      </c>
      <c r="B71" t="s">
        <v>216</v>
      </c>
      <c r="C71">
        <v>40</v>
      </c>
      <c r="D71" t="s">
        <v>68</v>
      </c>
      <c r="E71">
        <v>1</v>
      </c>
      <c r="F71">
        <v>257</v>
      </c>
      <c r="G71" t="s">
        <v>86</v>
      </c>
      <c r="H71" s="1">
        <v>6.5</v>
      </c>
      <c r="I71" t="s">
        <v>87</v>
      </c>
      <c r="J71" t="s">
        <v>88</v>
      </c>
      <c r="K71" t="s">
        <v>72</v>
      </c>
      <c r="L71">
        <v>1</v>
      </c>
      <c r="M71">
        <v>0</v>
      </c>
      <c r="N71">
        <v>1</v>
      </c>
      <c r="O71">
        <v>0</v>
      </c>
      <c r="P71">
        <v>0</v>
      </c>
      <c r="Q71">
        <v>6</v>
      </c>
      <c r="R71">
        <v>0</v>
      </c>
      <c r="S71">
        <v>0</v>
      </c>
      <c r="T71">
        <v>0</v>
      </c>
      <c r="U71">
        <v>0</v>
      </c>
      <c r="V71">
        <f t="shared" si="30"/>
        <v>0</v>
      </c>
      <c r="W71">
        <f t="shared" si="32"/>
        <v>1</v>
      </c>
      <c r="X71">
        <v>1</v>
      </c>
      <c r="Y71">
        <v>1</v>
      </c>
      <c r="Z71" t="s">
        <v>74</v>
      </c>
      <c r="AA71" s="5" t="s">
        <v>74</v>
      </c>
      <c r="AB71" s="5" t="s">
        <v>74</v>
      </c>
      <c r="AC71" t="s">
        <v>76</v>
      </c>
      <c r="AD71" t="s">
        <v>74</v>
      </c>
      <c r="AE71" s="5" t="s">
        <v>74</v>
      </c>
      <c r="AF71" t="s">
        <v>75</v>
      </c>
      <c r="AG71" t="s">
        <v>120</v>
      </c>
      <c r="AH71">
        <f t="shared" ref="AH71:AH74" si="36">AI71</f>
        <v>9.544706E-2</v>
      </c>
      <c r="AI71">
        <f t="shared" si="35"/>
        <v>9.544706E-2</v>
      </c>
      <c r="AJ71">
        <f>AL71</f>
        <v>9.544706E-2</v>
      </c>
      <c r="AK71">
        <v>7.0530350000000006E-2</v>
      </c>
      <c r="AL71">
        <v>9.544706E-2</v>
      </c>
      <c r="AM71">
        <v>0.11966046</v>
      </c>
      <c r="AN71">
        <v>0.12329142</v>
      </c>
      <c r="AO71">
        <v>92.946965000000006</v>
      </c>
      <c r="AP71">
        <v>90.455293999999995</v>
      </c>
      <c r="AQ71">
        <v>88.033953999999994</v>
      </c>
      <c r="AR71">
        <v>87.670857999999996</v>
      </c>
      <c r="AS71" t="b">
        <v>0</v>
      </c>
      <c r="AT71" t="b">
        <v>1</v>
      </c>
      <c r="AU71" t="s">
        <v>77</v>
      </c>
      <c r="AV71" t="s">
        <v>77</v>
      </c>
      <c r="AW71" t="s">
        <v>79</v>
      </c>
      <c r="AX71" t="s">
        <v>129</v>
      </c>
      <c r="AY71" t="s">
        <v>214</v>
      </c>
      <c r="AZ71" t="s">
        <v>72</v>
      </c>
      <c r="BA71" t="s">
        <v>82</v>
      </c>
      <c r="BB71">
        <v>0.7</v>
      </c>
      <c r="BC71">
        <v>7.7070764999999999E-2</v>
      </c>
      <c r="BD71">
        <v>1.90190515067399E-3</v>
      </c>
      <c r="BE71">
        <v>7.8972670150673996E-2</v>
      </c>
      <c r="BF71">
        <f>IF(AK71&lt;BE71,1,0)</f>
        <v>1</v>
      </c>
      <c r="BG71">
        <f>IF(AK71&lt;BC71,1,0)</f>
        <v>1</v>
      </c>
      <c r="BH71">
        <f>VLOOKUP($B71,[1]Data_Peer_with_peerVars!$B$2:$Z$1050,20,FALSE)</f>
        <v>2</v>
      </c>
      <c r="BI71">
        <f>VLOOKUP($B71,[1]Data_Peer_with_peerVars!$B$2:$Z$1050,21,FALSE)</f>
        <v>1</v>
      </c>
      <c r="BJ71">
        <f>VLOOKUP($B71,[1]Data_Peer_with_peerVars!$B$2:$Z$1050,22,FALSE)</f>
        <v>0.5</v>
      </c>
      <c r="BK71">
        <f>VLOOKUP($B71,[1]Data_Peer_with_peerVars!$B$2:$Z$1050,23,FALSE)</f>
        <v>45</v>
      </c>
      <c r="BL71">
        <f>VLOOKUP($B71,[1]Data_Peer_with_peerVars!$B$2:$Z$1050,24,FALSE)</f>
        <v>25</v>
      </c>
      <c r="BM71">
        <f>VLOOKUP($B71,[1]Data_Peer_with_peerVars!$B$2:$Z$1050,25,FALSE)</f>
        <v>0.55555555599999995</v>
      </c>
    </row>
    <row r="72" spans="1:65" x14ac:dyDescent="0.2">
      <c r="A72">
        <v>1</v>
      </c>
      <c r="B72" t="s">
        <v>217</v>
      </c>
      <c r="C72">
        <v>41</v>
      </c>
      <c r="D72" t="s">
        <v>68</v>
      </c>
      <c r="E72">
        <v>1</v>
      </c>
      <c r="F72">
        <v>258</v>
      </c>
      <c r="G72" t="s">
        <v>69</v>
      </c>
      <c r="H72" s="1">
        <v>6.5</v>
      </c>
      <c r="I72" t="s">
        <v>70</v>
      </c>
      <c r="J72" t="s">
        <v>71</v>
      </c>
      <c r="K72" t="s">
        <v>72</v>
      </c>
      <c r="L72">
        <v>1</v>
      </c>
      <c r="M72">
        <v>0</v>
      </c>
      <c r="N72">
        <v>1</v>
      </c>
      <c r="O72">
        <v>1</v>
      </c>
      <c r="P72">
        <v>0</v>
      </c>
      <c r="Q72">
        <v>6</v>
      </c>
      <c r="R72">
        <v>0</v>
      </c>
      <c r="S72">
        <v>0</v>
      </c>
      <c r="T72">
        <v>0</v>
      </c>
      <c r="U72">
        <v>0</v>
      </c>
      <c r="V72">
        <f t="shared" si="30"/>
        <v>1</v>
      </c>
      <c r="W72">
        <v>1</v>
      </c>
      <c r="X72">
        <v>1</v>
      </c>
      <c r="Y72">
        <v>1</v>
      </c>
      <c r="Z72" t="s">
        <v>74</v>
      </c>
      <c r="AA72" s="5" t="s">
        <v>74</v>
      </c>
      <c r="AB72" s="5" t="s">
        <v>74</v>
      </c>
      <c r="AC72" t="s">
        <v>74</v>
      </c>
      <c r="AD72" t="s">
        <v>75</v>
      </c>
      <c r="AE72" s="5" t="s">
        <v>75</v>
      </c>
      <c r="AF72" t="s">
        <v>120</v>
      </c>
      <c r="AG72" t="s">
        <v>76</v>
      </c>
      <c r="AH72">
        <f t="shared" si="36"/>
        <v>2.1917808000000002E-3</v>
      </c>
      <c r="AI72">
        <f t="shared" si="35"/>
        <v>2.1917808000000002E-3</v>
      </c>
      <c r="AJ72">
        <f t="shared" si="31"/>
        <v>2.1917808000000002E-3</v>
      </c>
      <c r="AK72">
        <v>2.1917808000000002E-3</v>
      </c>
      <c r="AL72">
        <v>8.6801749999999997E-2</v>
      </c>
      <c r="AM72">
        <v>9.0213230000000005E-2</v>
      </c>
      <c r="AN72">
        <v>9.392114E-2</v>
      </c>
      <c r="AO72">
        <v>99.780821919999994</v>
      </c>
      <c r="AP72">
        <v>91.319824999999994</v>
      </c>
      <c r="AQ72">
        <v>90.978677000000005</v>
      </c>
      <c r="AR72">
        <v>90.607885999999993</v>
      </c>
      <c r="AS72" t="b">
        <v>1</v>
      </c>
      <c r="AT72" t="b">
        <v>0</v>
      </c>
      <c r="AU72" t="s">
        <v>77</v>
      </c>
      <c r="AV72" t="s">
        <v>77</v>
      </c>
      <c r="AW72" t="s">
        <v>79</v>
      </c>
      <c r="AX72" t="s">
        <v>129</v>
      </c>
      <c r="AY72" t="s">
        <v>214</v>
      </c>
      <c r="AZ72" t="s">
        <v>72</v>
      </c>
      <c r="BA72" t="s">
        <v>82</v>
      </c>
      <c r="BB72">
        <v>3</v>
      </c>
      <c r="BC72">
        <v>2.4738868000000001E-3</v>
      </c>
      <c r="BD72">
        <v>1.4256942275279999E-4</v>
      </c>
      <c r="BE72">
        <v>2.6164562227527998E-3</v>
      </c>
      <c r="BF72">
        <f>IF(AK72&lt;BE72,1,0)</f>
        <v>1</v>
      </c>
      <c r="BG72">
        <f>IF(AK72&lt;BC72,1,0)</f>
        <v>1</v>
      </c>
      <c r="BH72">
        <f>VLOOKUP($B72,[1]Data_Peer_with_peerVars!$B$2:$Z$1050,20,FALSE)</f>
        <v>2</v>
      </c>
      <c r="BI72">
        <f>VLOOKUP($B72,[1]Data_Peer_with_peerVars!$B$2:$Z$1050,21,FALSE)</f>
        <v>0</v>
      </c>
      <c r="BJ72">
        <f>VLOOKUP($B72,[1]Data_Peer_with_peerVars!$B$2:$Z$1050,22,FALSE)</f>
        <v>0</v>
      </c>
      <c r="BK72">
        <f>VLOOKUP($B72,[1]Data_Peer_with_peerVars!$B$2:$Z$1050,23,FALSE)</f>
        <v>40</v>
      </c>
      <c r="BL72">
        <f>VLOOKUP($B72,[1]Data_Peer_with_peerVars!$B$2:$Z$1050,24,FALSE)</f>
        <v>21</v>
      </c>
      <c r="BM72">
        <f>VLOOKUP($B72,[1]Data_Peer_with_peerVars!$B$2:$Z$1050,25,FALSE)</f>
        <v>0.52500000000000002</v>
      </c>
    </row>
    <row r="73" spans="1:65" x14ac:dyDescent="0.2">
      <c r="A73">
        <v>1</v>
      </c>
      <c r="B73" t="s">
        <v>218</v>
      </c>
      <c r="C73">
        <v>41</v>
      </c>
      <c r="D73" t="s">
        <v>68</v>
      </c>
      <c r="E73">
        <v>1</v>
      </c>
      <c r="F73">
        <v>258</v>
      </c>
      <c r="G73" t="s">
        <v>69</v>
      </c>
      <c r="H73" s="1">
        <v>6.5</v>
      </c>
      <c r="I73" t="s">
        <v>70</v>
      </c>
      <c r="J73" t="s">
        <v>71</v>
      </c>
      <c r="K73" t="s">
        <v>72</v>
      </c>
      <c r="L73">
        <v>1</v>
      </c>
      <c r="M73">
        <v>0</v>
      </c>
      <c r="N73">
        <v>1</v>
      </c>
      <c r="O73">
        <v>1</v>
      </c>
      <c r="P73">
        <v>0</v>
      </c>
      <c r="Q73">
        <v>6</v>
      </c>
      <c r="R73">
        <v>0</v>
      </c>
      <c r="S73">
        <v>0</v>
      </c>
      <c r="T73">
        <v>0</v>
      </c>
      <c r="U73">
        <v>0</v>
      </c>
      <c r="V73">
        <f t="shared" si="30"/>
        <v>1</v>
      </c>
      <c r="W73">
        <v>1</v>
      </c>
      <c r="X73">
        <v>1</v>
      </c>
      <c r="Y73">
        <v>1</v>
      </c>
      <c r="Z73" t="s">
        <v>73</v>
      </c>
      <c r="AA73" s="5" t="s">
        <v>73</v>
      </c>
      <c r="AB73" s="5" t="s">
        <v>73</v>
      </c>
      <c r="AC73" t="s">
        <v>73</v>
      </c>
      <c r="AD73" t="s">
        <v>94</v>
      </c>
      <c r="AE73" s="5" t="s">
        <v>94</v>
      </c>
      <c r="AF73" t="s">
        <v>75</v>
      </c>
      <c r="AG73" t="s">
        <v>95</v>
      </c>
      <c r="AH73">
        <f t="shared" si="36"/>
        <v>6.7884410000000006E-2</v>
      </c>
      <c r="AI73">
        <f t="shared" si="35"/>
        <v>6.7884410000000006E-2</v>
      </c>
      <c r="AJ73">
        <f t="shared" si="31"/>
        <v>6.7884410000000006E-2</v>
      </c>
      <c r="AK73">
        <v>6.7884410000000006E-2</v>
      </c>
      <c r="AL73">
        <v>0.11872271</v>
      </c>
      <c r="AM73">
        <v>0.12964988999999999</v>
      </c>
      <c r="AN73">
        <v>0.14153004999999999</v>
      </c>
      <c r="AO73">
        <v>93.211558999999994</v>
      </c>
      <c r="AP73">
        <v>88.127729000000002</v>
      </c>
      <c r="AQ73">
        <v>87.035010999999997</v>
      </c>
      <c r="AR73">
        <v>85.846995000000007</v>
      </c>
      <c r="AS73" t="b">
        <v>1</v>
      </c>
      <c r="AT73" t="b">
        <v>0</v>
      </c>
      <c r="AU73" t="s">
        <v>77</v>
      </c>
      <c r="AV73" t="s">
        <v>78</v>
      </c>
      <c r="AW73" t="s">
        <v>79</v>
      </c>
      <c r="AX73" t="s">
        <v>129</v>
      </c>
      <c r="AY73" t="s">
        <v>214</v>
      </c>
      <c r="AZ73" t="s">
        <v>109</v>
      </c>
      <c r="BA73">
        <v>3</v>
      </c>
      <c r="BB73">
        <v>0.5</v>
      </c>
      <c r="BC73">
        <v>4.1163553999999996E-3</v>
      </c>
      <c r="BD73">
        <v>1.4279989108178799E-4</v>
      </c>
      <c r="BE73">
        <v>4.2591552910817903E-3</v>
      </c>
      <c r="BF73">
        <f>IF(AK73&lt;BE73,1,0)</f>
        <v>0</v>
      </c>
      <c r="BG73">
        <f>IF(AK73&lt;BC73,1,0)</f>
        <v>0</v>
      </c>
      <c r="BH73">
        <f>VLOOKUP($B73,[1]Data_Peer_with_peerVars!$B$2:$Z$1050,20,FALSE)</f>
        <v>2</v>
      </c>
      <c r="BI73">
        <f>VLOOKUP($B73,[1]Data_Peer_with_peerVars!$B$2:$Z$1050,21,FALSE)</f>
        <v>0</v>
      </c>
      <c r="BJ73">
        <f>VLOOKUP($B73,[1]Data_Peer_with_peerVars!$B$2:$Z$1050,22,FALSE)</f>
        <v>0</v>
      </c>
      <c r="BK73">
        <f>VLOOKUP($B73,[1]Data_Peer_with_peerVars!$B$2:$Z$1050,23,FALSE)</f>
        <v>40</v>
      </c>
      <c r="BL73">
        <f>VLOOKUP($B73,[1]Data_Peer_with_peerVars!$B$2:$Z$1050,24,FALSE)</f>
        <v>21</v>
      </c>
      <c r="BM73">
        <f>VLOOKUP($B73,[1]Data_Peer_with_peerVars!$B$2:$Z$1050,25,FALSE)</f>
        <v>0.52500000000000002</v>
      </c>
    </row>
    <row r="74" spans="1:65" x14ac:dyDescent="0.2">
      <c r="A74">
        <v>1</v>
      </c>
      <c r="B74" t="s">
        <v>219</v>
      </c>
      <c r="C74">
        <v>41</v>
      </c>
      <c r="D74" t="s">
        <v>68</v>
      </c>
      <c r="E74">
        <v>1</v>
      </c>
      <c r="F74">
        <v>258</v>
      </c>
      <c r="G74" t="s">
        <v>69</v>
      </c>
      <c r="H74" s="1">
        <v>6.5</v>
      </c>
      <c r="I74" t="s">
        <v>70</v>
      </c>
      <c r="J74" t="s">
        <v>71</v>
      </c>
      <c r="K74" t="s">
        <v>72</v>
      </c>
      <c r="L74">
        <v>1</v>
      </c>
      <c r="M74">
        <v>0</v>
      </c>
      <c r="N74">
        <v>1</v>
      </c>
      <c r="O74">
        <v>1</v>
      </c>
      <c r="P74">
        <v>0</v>
      </c>
      <c r="Q74">
        <v>6</v>
      </c>
      <c r="R74">
        <v>0</v>
      </c>
      <c r="S74">
        <v>0</v>
      </c>
      <c r="T74">
        <v>0</v>
      </c>
      <c r="U74">
        <v>0</v>
      </c>
      <c r="V74">
        <f t="shared" si="30"/>
        <v>0</v>
      </c>
      <c r="W74">
        <f t="shared" si="32"/>
        <v>1</v>
      </c>
      <c r="X74">
        <v>1</v>
      </c>
      <c r="Y74">
        <v>1</v>
      </c>
      <c r="Z74" t="s">
        <v>76</v>
      </c>
      <c r="AA74" s="5" t="s">
        <v>76</v>
      </c>
      <c r="AB74" s="5" t="s">
        <v>76</v>
      </c>
      <c r="AC74" t="s">
        <v>74</v>
      </c>
      <c r="AD74" t="s">
        <v>76</v>
      </c>
      <c r="AE74" s="5" t="s">
        <v>76</v>
      </c>
      <c r="AF74" t="s">
        <v>75</v>
      </c>
      <c r="AG74" t="s">
        <v>120</v>
      </c>
      <c r="AH74">
        <f t="shared" si="36"/>
        <v>7.3497266000000006E-2</v>
      </c>
      <c r="AI74">
        <f t="shared" ref="AI74:AI77" si="37">AJ74</f>
        <v>7.3497266000000006E-2</v>
      </c>
      <c r="AJ74">
        <f>AL74</f>
        <v>7.3497266000000006E-2</v>
      </c>
      <c r="AK74">
        <v>6.5753420000000007E-2</v>
      </c>
      <c r="AL74">
        <v>7.3497266000000006E-2</v>
      </c>
      <c r="AM74">
        <v>0.10946908</v>
      </c>
      <c r="AN74">
        <v>0.1136612</v>
      </c>
      <c r="AO74">
        <v>93.424657999999994</v>
      </c>
      <c r="AP74">
        <v>92.650273400000003</v>
      </c>
      <c r="AQ74">
        <v>89.053092000000007</v>
      </c>
      <c r="AR74">
        <v>88.633880000000005</v>
      </c>
      <c r="AS74" t="b">
        <v>0</v>
      </c>
      <c r="AT74" t="b">
        <v>1</v>
      </c>
      <c r="AU74" t="s">
        <v>77</v>
      </c>
      <c r="AV74" t="s">
        <v>77</v>
      </c>
      <c r="AW74" t="s">
        <v>79</v>
      </c>
      <c r="AX74" t="s">
        <v>129</v>
      </c>
      <c r="AY74" t="s">
        <v>214</v>
      </c>
      <c r="AZ74" t="s">
        <v>72</v>
      </c>
      <c r="BA74" t="s">
        <v>82</v>
      </c>
      <c r="BB74">
        <v>1</v>
      </c>
      <c r="BC74">
        <v>2.4738868000000001E-3</v>
      </c>
      <c r="BD74">
        <v>1.4256942275279999E-4</v>
      </c>
      <c r="BE74">
        <v>2.6164562227527998E-3</v>
      </c>
      <c r="BF74">
        <f>IF(AK74&lt;BE74,1,0)</f>
        <v>0</v>
      </c>
      <c r="BG74">
        <f>IF(AK74&lt;BC74,1,0)</f>
        <v>0</v>
      </c>
      <c r="BH74">
        <f>VLOOKUP($B74,[1]Data_Peer_with_peerVars!$B$2:$Z$1050,20,FALSE)</f>
        <v>2</v>
      </c>
      <c r="BI74">
        <f>VLOOKUP($B74,[1]Data_Peer_with_peerVars!$B$2:$Z$1050,21,FALSE)</f>
        <v>0</v>
      </c>
      <c r="BJ74">
        <f>VLOOKUP($B74,[1]Data_Peer_with_peerVars!$B$2:$Z$1050,22,FALSE)</f>
        <v>0</v>
      </c>
      <c r="BK74">
        <f>VLOOKUP($B74,[1]Data_Peer_with_peerVars!$B$2:$Z$1050,23,FALSE)</f>
        <v>40</v>
      </c>
      <c r="BL74">
        <f>VLOOKUP($B74,[1]Data_Peer_with_peerVars!$B$2:$Z$1050,24,FALSE)</f>
        <v>21</v>
      </c>
      <c r="BM74">
        <f>VLOOKUP($B74,[1]Data_Peer_with_peerVars!$B$2:$Z$1050,25,FALSE)</f>
        <v>0.52500000000000002</v>
      </c>
    </row>
    <row r="75" spans="1:65" x14ac:dyDescent="0.2">
      <c r="A75">
        <v>1</v>
      </c>
      <c r="B75" t="s">
        <v>220</v>
      </c>
      <c r="C75">
        <v>42</v>
      </c>
      <c r="D75" t="s">
        <v>68</v>
      </c>
      <c r="E75">
        <v>1</v>
      </c>
      <c r="F75">
        <v>259</v>
      </c>
      <c r="G75" t="s">
        <v>86</v>
      </c>
      <c r="H75" s="1">
        <v>7</v>
      </c>
      <c r="I75" t="s">
        <v>87</v>
      </c>
      <c r="J75" t="s">
        <v>111</v>
      </c>
      <c r="K75" t="s">
        <v>109</v>
      </c>
      <c r="L75">
        <v>1</v>
      </c>
      <c r="M75">
        <v>0</v>
      </c>
      <c r="N75">
        <v>0</v>
      </c>
      <c r="O75">
        <v>0</v>
      </c>
      <c r="P75">
        <v>0</v>
      </c>
      <c r="Q75">
        <v>6</v>
      </c>
      <c r="R75">
        <v>1</v>
      </c>
      <c r="S75">
        <v>1</v>
      </c>
      <c r="T75">
        <v>1</v>
      </c>
      <c r="U75">
        <v>1</v>
      </c>
      <c r="V75">
        <f t="shared" si="30"/>
        <v>0</v>
      </c>
      <c r="W75">
        <f t="shared" si="32"/>
        <v>0</v>
      </c>
      <c r="X75">
        <f t="shared" si="33"/>
        <v>0</v>
      </c>
      <c r="Y75">
        <f t="shared" si="34"/>
        <v>0</v>
      </c>
      <c r="Z75" t="s">
        <v>91</v>
      </c>
      <c r="AA75" s="5" t="s">
        <v>91</v>
      </c>
      <c r="AB75" s="5" t="s">
        <v>105</v>
      </c>
      <c r="AC75" t="s">
        <v>107</v>
      </c>
      <c r="AD75" t="s">
        <v>95</v>
      </c>
      <c r="AE75" s="5" t="s">
        <v>95</v>
      </c>
      <c r="AF75" t="s">
        <v>173</v>
      </c>
      <c r="AG75" t="s">
        <v>174</v>
      </c>
      <c r="AH75">
        <f t="shared" ref="AH75:AH77" si="38">AI75</f>
        <v>1.9715224999999999E-2</v>
      </c>
      <c r="AI75">
        <f t="shared" si="37"/>
        <v>1.9715224999999999E-2</v>
      </c>
      <c r="AJ75">
        <f t="shared" si="31"/>
        <v>1.9715224999999999E-2</v>
      </c>
      <c r="AK75">
        <v>1.9715224999999999E-2</v>
      </c>
      <c r="AL75">
        <v>8.2146769999999994E-2</v>
      </c>
      <c r="AM75">
        <v>9.6721314000000003E-2</v>
      </c>
      <c r="AN75">
        <v>0.10235358999999999</v>
      </c>
      <c r="AO75">
        <v>98.028477499999994</v>
      </c>
      <c r="AP75">
        <v>91.785323000000005</v>
      </c>
      <c r="AQ75">
        <v>90.327868600000002</v>
      </c>
      <c r="AR75">
        <v>89.764640999999997</v>
      </c>
      <c r="AS75" t="b">
        <v>0</v>
      </c>
      <c r="AT75" t="b">
        <v>0</v>
      </c>
      <c r="AU75" t="s">
        <v>77</v>
      </c>
      <c r="AV75" t="s">
        <v>77</v>
      </c>
      <c r="AW75" t="s">
        <v>79</v>
      </c>
      <c r="AX75" t="s">
        <v>129</v>
      </c>
      <c r="AY75" t="s">
        <v>214</v>
      </c>
      <c r="AZ75" t="s">
        <v>109</v>
      </c>
      <c r="BA75">
        <v>6</v>
      </c>
      <c r="BB75">
        <v>1</v>
      </c>
      <c r="BC75">
        <v>2.6475456000000001E-2</v>
      </c>
      <c r="BD75">
        <v>8.8330364056477401E-3</v>
      </c>
      <c r="BE75">
        <v>3.53084924056477E-2</v>
      </c>
      <c r="BF75">
        <f>IF(AK75&lt;BE75,1,0)</f>
        <v>1</v>
      </c>
      <c r="BG75">
        <f>IF(AK75&lt;BC75,1,0)</f>
        <v>1</v>
      </c>
      <c r="BH75">
        <f>VLOOKUP($B75,[1]Data_Peer_with_peerVars!$B$2:$Z$1050,20,FALSE)</f>
        <v>4</v>
      </c>
      <c r="BI75">
        <f>VLOOKUP($B75,[1]Data_Peer_with_peerVars!$B$2:$Z$1050,21,FALSE)</f>
        <v>1</v>
      </c>
      <c r="BJ75">
        <f>VLOOKUP($B75,[1]Data_Peer_with_peerVars!$B$2:$Z$1050,22,FALSE)</f>
        <v>0.25</v>
      </c>
      <c r="BK75">
        <f>VLOOKUP($B75,[1]Data_Peer_with_peerVars!$B$2:$Z$1050,23,FALSE)</f>
        <v>45</v>
      </c>
      <c r="BL75">
        <f>VLOOKUP($B75,[1]Data_Peer_with_peerVars!$B$2:$Z$1050,24,FALSE)</f>
        <v>27</v>
      </c>
      <c r="BM75">
        <f>VLOOKUP($B75,[1]Data_Peer_with_peerVars!$B$2:$Z$1050,25,FALSE)</f>
        <v>0.6</v>
      </c>
    </row>
    <row r="76" spans="1:65" x14ac:dyDescent="0.2">
      <c r="A76">
        <v>1</v>
      </c>
      <c r="B76" t="s">
        <v>221</v>
      </c>
      <c r="C76">
        <v>42</v>
      </c>
      <c r="D76" t="s">
        <v>68</v>
      </c>
      <c r="E76">
        <v>1</v>
      </c>
      <c r="F76">
        <v>259</v>
      </c>
      <c r="G76" t="s">
        <v>86</v>
      </c>
      <c r="H76" s="1">
        <v>7</v>
      </c>
      <c r="I76" t="s">
        <v>87</v>
      </c>
      <c r="J76" t="s">
        <v>111</v>
      </c>
      <c r="K76" t="s">
        <v>109</v>
      </c>
      <c r="L76">
        <v>1</v>
      </c>
      <c r="M76">
        <v>0</v>
      </c>
      <c r="N76">
        <v>0</v>
      </c>
      <c r="O76">
        <v>0</v>
      </c>
      <c r="P76">
        <v>0</v>
      </c>
      <c r="Q76">
        <v>6</v>
      </c>
      <c r="R76">
        <v>0</v>
      </c>
      <c r="S76">
        <v>0</v>
      </c>
      <c r="T76">
        <v>0</v>
      </c>
      <c r="U76">
        <v>0</v>
      </c>
      <c r="V76">
        <f t="shared" si="30"/>
        <v>0</v>
      </c>
      <c r="W76">
        <f t="shared" si="32"/>
        <v>0</v>
      </c>
      <c r="X76">
        <f t="shared" si="33"/>
        <v>0</v>
      </c>
      <c r="Y76">
        <f t="shared" si="34"/>
        <v>0</v>
      </c>
      <c r="Z76" t="s">
        <v>177</v>
      </c>
      <c r="AA76" s="5" t="s">
        <v>107</v>
      </c>
      <c r="AB76" s="5" t="s">
        <v>107</v>
      </c>
      <c r="AC76" t="s">
        <v>73</v>
      </c>
      <c r="AD76" t="s">
        <v>94</v>
      </c>
      <c r="AE76" s="5" t="s">
        <v>94</v>
      </c>
      <c r="AF76" t="s">
        <v>75</v>
      </c>
      <c r="AG76" t="s">
        <v>95</v>
      </c>
      <c r="AH76">
        <f t="shared" si="38"/>
        <v>5.1799346000000003E-2</v>
      </c>
      <c r="AI76">
        <f t="shared" si="37"/>
        <v>5.1799346000000003E-2</v>
      </c>
      <c r="AJ76">
        <f t="shared" si="31"/>
        <v>5.1799346000000003E-2</v>
      </c>
      <c r="AK76">
        <v>5.1799346000000003E-2</v>
      </c>
      <c r="AL76">
        <v>0.12254366999999999</v>
      </c>
      <c r="AM76">
        <v>0.12964988999999999</v>
      </c>
      <c r="AN76">
        <v>0.14043716000000001</v>
      </c>
      <c r="AO76">
        <v>94.820065400000004</v>
      </c>
      <c r="AP76">
        <v>87.745632999999998</v>
      </c>
      <c r="AQ76">
        <v>87.035010999999997</v>
      </c>
      <c r="AR76">
        <v>85.956283999999997</v>
      </c>
      <c r="AS76" t="b">
        <v>0</v>
      </c>
      <c r="AT76" t="b">
        <v>0</v>
      </c>
      <c r="AU76" t="s">
        <v>77</v>
      </c>
      <c r="AV76" t="s">
        <v>78</v>
      </c>
      <c r="AW76" t="s">
        <v>79</v>
      </c>
      <c r="AX76" t="s">
        <v>129</v>
      </c>
      <c r="AY76" t="s">
        <v>214</v>
      </c>
      <c r="AZ76" t="s">
        <v>72</v>
      </c>
      <c r="BA76" t="s">
        <v>82</v>
      </c>
      <c r="BB76">
        <v>1.5</v>
      </c>
      <c r="BC76">
        <v>4.1163553999999996E-3</v>
      </c>
      <c r="BD76">
        <v>1.4279989108178799E-4</v>
      </c>
      <c r="BE76">
        <v>4.2591552910817903E-3</v>
      </c>
      <c r="BF76">
        <f>IF(AK76&lt;BE76,1,0)</f>
        <v>0</v>
      </c>
      <c r="BG76">
        <f>IF(AK76&lt;BC76,1,0)</f>
        <v>0</v>
      </c>
      <c r="BH76">
        <f>VLOOKUP($B76,[1]Data_Peer_with_peerVars!$B$2:$Z$1050,20,FALSE)</f>
        <v>4</v>
      </c>
      <c r="BI76">
        <f>VLOOKUP($B76,[1]Data_Peer_with_peerVars!$B$2:$Z$1050,21,FALSE)</f>
        <v>1</v>
      </c>
      <c r="BJ76">
        <f>VLOOKUP($B76,[1]Data_Peer_with_peerVars!$B$2:$Z$1050,22,FALSE)</f>
        <v>0.25</v>
      </c>
      <c r="BK76">
        <f>VLOOKUP($B76,[1]Data_Peer_with_peerVars!$B$2:$Z$1050,23,FALSE)</f>
        <v>45</v>
      </c>
      <c r="BL76">
        <f>VLOOKUP($B76,[1]Data_Peer_with_peerVars!$B$2:$Z$1050,24,FALSE)</f>
        <v>27</v>
      </c>
      <c r="BM76">
        <f>VLOOKUP($B76,[1]Data_Peer_with_peerVars!$B$2:$Z$1050,25,FALSE)</f>
        <v>0.6</v>
      </c>
    </row>
    <row r="77" spans="1:65" x14ac:dyDescent="0.2">
      <c r="A77">
        <v>1</v>
      </c>
      <c r="B77" t="s">
        <v>222</v>
      </c>
      <c r="C77">
        <v>43</v>
      </c>
      <c r="D77" t="s">
        <v>68</v>
      </c>
      <c r="E77">
        <v>1</v>
      </c>
      <c r="F77">
        <v>261</v>
      </c>
      <c r="G77" t="s">
        <v>86</v>
      </c>
      <c r="H77" s="1">
        <v>4.6666666666666696</v>
      </c>
      <c r="I77" t="s">
        <v>87</v>
      </c>
      <c r="J77" t="s">
        <v>111</v>
      </c>
      <c r="K77" t="s">
        <v>109</v>
      </c>
      <c r="L77">
        <v>1</v>
      </c>
      <c r="M77">
        <v>0</v>
      </c>
      <c r="N77">
        <v>1</v>
      </c>
      <c r="O77">
        <v>1</v>
      </c>
      <c r="P77">
        <v>0</v>
      </c>
      <c r="Q77">
        <v>6</v>
      </c>
      <c r="R77">
        <v>1</v>
      </c>
      <c r="S77">
        <v>1</v>
      </c>
      <c r="T77">
        <v>1</v>
      </c>
      <c r="U77">
        <v>1</v>
      </c>
      <c r="V77">
        <f t="shared" si="30"/>
        <v>0</v>
      </c>
      <c r="W77">
        <f t="shared" si="32"/>
        <v>0</v>
      </c>
      <c r="X77">
        <f t="shared" si="33"/>
        <v>0</v>
      </c>
      <c r="Y77">
        <f t="shared" si="34"/>
        <v>0</v>
      </c>
      <c r="Z77" t="s">
        <v>177</v>
      </c>
      <c r="AA77" s="5" t="s">
        <v>107</v>
      </c>
      <c r="AB77" s="5" t="s">
        <v>107</v>
      </c>
      <c r="AC77" t="s">
        <v>107</v>
      </c>
      <c r="AD77" t="s">
        <v>95</v>
      </c>
      <c r="AE77" s="5" t="s">
        <v>223</v>
      </c>
      <c r="AF77" t="s">
        <v>94</v>
      </c>
      <c r="AG77" t="s">
        <v>173</v>
      </c>
      <c r="AH77">
        <f t="shared" si="38"/>
        <v>3.8882803000000001E-2</v>
      </c>
      <c r="AI77">
        <f t="shared" si="37"/>
        <v>3.8882803000000001E-2</v>
      </c>
      <c r="AJ77">
        <f t="shared" si="31"/>
        <v>3.8882803000000001E-2</v>
      </c>
      <c r="AK77">
        <v>3.8882803000000001E-2</v>
      </c>
      <c r="AL77">
        <v>9.5459520000000006E-2</v>
      </c>
      <c r="AM77">
        <v>9.7814209999999999E-2</v>
      </c>
      <c r="AN77">
        <v>0.10567996</v>
      </c>
      <c r="AO77">
        <v>96.111719699999995</v>
      </c>
      <c r="AP77">
        <v>90.454048</v>
      </c>
      <c r="AQ77">
        <v>90.218579000000005</v>
      </c>
      <c r="AR77">
        <v>89.432004000000006</v>
      </c>
      <c r="AS77" t="b">
        <v>1</v>
      </c>
      <c r="AT77" t="b">
        <v>0</v>
      </c>
      <c r="AU77" t="s">
        <v>77</v>
      </c>
      <c r="AV77" t="s">
        <v>108</v>
      </c>
      <c r="AW77" t="s">
        <v>79</v>
      </c>
      <c r="AX77" t="s">
        <v>129</v>
      </c>
      <c r="AY77" t="s">
        <v>214</v>
      </c>
      <c r="AZ77" t="s">
        <v>109</v>
      </c>
      <c r="BA77">
        <v>2</v>
      </c>
      <c r="BB77">
        <v>1</v>
      </c>
      <c r="BC77">
        <v>2.6475456000000001E-2</v>
      </c>
      <c r="BD77">
        <v>8.8330364056477401E-3</v>
      </c>
      <c r="BE77">
        <v>3.53084924056477E-2</v>
      </c>
      <c r="BF77">
        <f>IF(AK77&lt;BE77,1,0)</f>
        <v>0</v>
      </c>
      <c r="BG77">
        <f>IF(AK77&lt;BC77,1,0)</f>
        <v>0</v>
      </c>
      <c r="BH77">
        <f>VLOOKUP($B77,[1]Data_Peer_with_peerVars!$B$2:$Z$1050,20,FALSE)</f>
        <v>10</v>
      </c>
      <c r="BI77">
        <f>VLOOKUP($B77,[1]Data_Peer_with_peerVars!$B$2:$Z$1050,21,FALSE)</f>
        <v>5</v>
      </c>
      <c r="BJ77">
        <f>VLOOKUP($B77,[1]Data_Peer_with_peerVars!$B$2:$Z$1050,22,FALSE)</f>
        <v>0.5</v>
      </c>
      <c r="BK77">
        <f>VLOOKUP($B77,[1]Data_Peer_with_peerVars!$B$2:$Z$1050,23,FALSE)</f>
        <v>52</v>
      </c>
      <c r="BL77">
        <f>VLOOKUP($B77,[1]Data_Peer_with_peerVars!$B$2:$Z$1050,24,FALSE)</f>
        <v>28</v>
      </c>
      <c r="BM77">
        <f>VLOOKUP($B77,[1]Data_Peer_with_peerVars!$B$2:$Z$1050,25,FALSE)</f>
        <v>0.53846153799999996</v>
      </c>
    </row>
    <row r="78" spans="1:65" x14ac:dyDescent="0.2">
      <c r="A78">
        <v>1</v>
      </c>
      <c r="B78" t="s">
        <v>224</v>
      </c>
      <c r="C78">
        <v>43</v>
      </c>
      <c r="D78" t="s">
        <v>68</v>
      </c>
      <c r="E78">
        <v>1</v>
      </c>
      <c r="F78">
        <v>261</v>
      </c>
      <c r="G78" t="s">
        <v>86</v>
      </c>
      <c r="H78" s="1">
        <v>4.6666666666666696</v>
      </c>
      <c r="I78" t="s">
        <v>87</v>
      </c>
      <c r="J78" t="s">
        <v>111</v>
      </c>
      <c r="K78" t="s">
        <v>109</v>
      </c>
      <c r="L78">
        <v>1</v>
      </c>
      <c r="M78">
        <v>0</v>
      </c>
      <c r="N78">
        <v>1</v>
      </c>
      <c r="O78">
        <v>1</v>
      </c>
      <c r="P78">
        <v>0</v>
      </c>
      <c r="Q78">
        <v>6</v>
      </c>
      <c r="R78">
        <v>0</v>
      </c>
      <c r="S78">
        <v>0</v>
      </c>
      <c r="T78">
        <v>0</v>
      </c>
      <c r="U78">
        <v>0</v>
      </c>
      <c r="V78">
        <f t="shared" si="30"/>
        <v>1</v>
      </c>
      <c r="W78">
        <v>1</v>
      </c>
      <c r="X78">
        <v>1</v>
      </c>
      <c r="Y78">
        <v>1</v>
      </c>
      <c r="Z78" t="s">
        <v>76</v>
      </c>
      <c r="AA78" s="5" t="s">
        <v>76</v>
      </c>
      <c r="AB78" s="5" t="s">
        <v>76</v>
      </c>
      <c r="AC78" t="s">
        <v>76</v>
      </c>
      <c r="AD78" t="s">
        <v>74</v>
      </c>
      <c r="AE78" s="5" t="s">
        <v>74</v>
      </c>
      <c r="AF78" t="s">
        <v>75</v>
      </c>
      <c r="AG78" t="s">
        <v>120</v>
      </c>
      <c r="AH78">
        <f>AI78</f>
        <v>7.3537454000000002E-2</v>
      </c>
      <c r="AI78">
        <f>AJ78</f>
        <v>7.3537454000000002E-2</v>
      </c>
      <c r="AJ78">
        <f t="shared" si="31"/>
        <v>7.3537454000000002E-2</v>
      </c>
      <c r="AK78">
        <v>7.3537454000000002E-2</v>
      </c>
      <c r="AL78">
        <v>8.9687324999999998E-2</v>
      </c>
      <c r="AM78">
        <v>0.11966046</v>
      </c>
      <c r="AN78">
        <v>0.12055768</v>
      </c>
      <c r="AO78">
        <v>92.646254600000006</v>
      </c>
      <c r="AP78">
        <v>91.031267499999998</v>
      </c>
      <c r="AQ78">
        <v>88.033953999999994</v>
      </c>
      <c r="AR78">
        <v>87.944232</v>
      </c>
      <c r="AS78" t="b">
        <v>1</v>
      </c>
      <c r="AT78" t="b">
        <v>0</v>
      </c>
      <c r="AU78" t="s">
        <v>77</v>
      </c>
      <c r="AV78" t="s">
        <v>77</v>
      </c>
      <c r="AW78" t="s">
        <v>79</v>
      </c>
      <c r="AX78" t="s">
        <v>129</v>
      </c>
      <c r="AY78" t="s">
        <v>214</v>
      </c>
      <c r="AZ78" t="s">
        <v>109</v>
      </c>
      <c r="BA78">
        <v>100</v>
      </c>
      <c r="BB78">
        <v>1</v>
      </c>
      <c r="BC78">
        <v>7.7070764999999999E-2</v>
      </c>
      <c r="BD78">
        <v>1.90190515067399E-3</v>
      </c>
      <c r="BE78">
        <v>7.8972670150673996E-2</v>
      </c>
      <c r="BF78">
        <f>IF(AK78&lt;BE78,1,0)</f>
        <v>1</v>
      </c>
      <c r="BG78">
        <f>IF(AK78&lt;BC78,1,0)</f>
        <v>1</v>
      </c>
      <c r="BH78">
        <f>VLOOKUP($B78,[1]Data_Peer_with_peerVars!$B$2:$Z$1050,20,FALSE)</f>
        <v>10</v>
      </c>
      <c r="BI78">
        <f>VLOOKUP($B78,[1]Data_Peer_with_peerVars!$B$2:$Z$1050,21,FALSE)</f>
        <v>5</v>
      </c>
      <c r="BJ78">
        <f>VLOOKUP($B78,[1]Data_Peer_with_peerVars!$B$2:$Z$1050,22,FALSE)</f>
        <v>0.5</v>
      </c>
      <c r="BK78">
        <f>VLOOKUP($B78,[1]Data_Peer_with_peerVars!$B$2:$Z$1050,23,FALSE)</f>
        <v>52</v>
      </c>
      <c r="BL78">
        <f>VLOOKUP($B78,[1]Data_Peer_with_peerVars!$B$2:$Z$1050,24,FALSE)</f>
        <v>28</v>
      </c>
      <c r="BM78">
        <f>VLOOKUP($B78,[1]Data_Peer_with_peerVars!$B$2:$Z$1050,25,FALSE)</f>
        <v>0.53846153799999996</v>
      </c>
    </row>
    <row r="79" spans="1:65" x14ac:dyDescent="0.2">
      <c r="A79">
        <v>1</v>
      </c>
      <c r="B79" t="s">
        <v>225</v>
      </c>
      <c r="C79">
        <v>44</v>
      </c>
      <c r="D79" t="s">
        <v>68</v>
      </c>
      <c r="E79">
        <v>1</v>
      </c>
      <c r="F79">
        <v>263</v>
      </c>
      <c r="G79" t="s">
        <v>69</v>
      </c>
      <c r="H79" s="1">
        <v>6</v>
      </c>
      <c r="I79" t="s">
        <v>87</v>
      </c>
      <c r="J79" t="s">
        <v>111</v>
      </c>
      <c r="K79" t="s">
        <v>109</v>
      </c>
      <c r="L79">
        <v>1</v>
      </c>
      <c r="M79">
        <v>0</v>
      </c>
      <c r="N79">
        <v>1</v>
      </c>
      <c r="O79">
        <v>0</v>
      </c>
      <c r="P79">
        <v>1</v>
      </c>
      <c r="Q79">
        <v>6</v>
      </c>
      <c r="R79">
        <v>0</v>
      </c>
      <c r="S79">
        <v>0</v>
      </c>
      <c r="T79">
        <v>0</v>
      </c>
      <c r="U79">
        <v>0</v>
      </c>
      <c r="V79">
        <f t="shared" si="30"/>
        <v>0</v>
      </c>
      <c r="W79">
        <f t="shared" si="32"/>
        <v>0</v>
      </c>
      <c r="X79">
        <f t="shared" si="33"/>
        <v>0</v>
      </c>
      <c r="Y79">
        <f t="shared" si="34"/>
        <v>0</v>
      </c>
      <c r="Z79" t="s">
        <v>91</v>
      </c>
      <c r="AA79" s="5" t="s">
        <v>91</v>
      </c>
      <c r="AB79" s="5" t="s">
        <v>226</v>
      </c>
      <c r="AC79" t="s">
        <v>73</v>
      </c>
      <c r="AD79" t="s">
        <v>94</v>
      </c>
      <c r="AE79" s="5" t="s">
        <v>94</v>
      </c>
      <c r="AF79" t="s">
        <v>75</v>
      </c>
      <c r="AG79" t="s">
        <v>95</v>
      </c>
      <c r="AH79">
        <f>AI79</f>
        <v>6.7523230000000004E-2</v>
      </c>
      <c r="AI79">
        <f t="shared" ref="AI79:AI82" si="39">AJ79</f>
        <v>6.7523230000000004E-2</v>
      </c>
      <c r="AJ79">
        <f t="shared" si="31"/>
        <v>6.7523230000000004E-2</v>
      </c>
      <c r="AK79">
        <v>6.7523230000000004E-2</v>
      </c>
      <c r="AL79">
        <v>0.11795293</v>
      </c>
      <c r="AM79">
        <v>0.12890840000000001</v>
      </c>
      <c r="AN79">
        <v>0.14164383999999999</v>
      </c>
      <c r="AO79">
        <v>93.247676999999996</v>
      </c>
      <c r="AP79">
        <v>88.204706999999999</v>
      </c>
      <c r="AQ79">
        <v>87.109160000000003</v>
      </c>
      <c r="AR79">
        <v>85.835616000000002</v>
      </c>
      <c r="AS79" t="b">
        <v>0</v>
      </c>
      <c r="AT79" t="b">
        <v>0</v>
      </c>
      <c r="AU79" t="s">
        <v>77</v>
      </c>
      <c r="AV79" t="s">
        <v>78</v>
      </c>
      <c r="AW79" t="s">
        <v>79</v>
      </c>
      <c r="AX79" t="s">
        <v>129</v>
      </c>
      <c r="AY79" t="s">
        <v>214</v>
      </c>
      <c r="AZ79" t="s">
        <v>109</v>
      </c>
      <c r="BA79">
        <v>2</v>
      </c>
      <c r="BB79">
        <v>1</v>
      </c>
      <c r="BC79">
        <v>4.1163553999999996E-3</v>
      </c>
      <c r="BD79">
        <v>1.4279989108178799E-4</v>
      </c>
      <c r="BE79">
        <v>4.2591552910817903E-3</v>
      </c>
      <c r="BF79">
        <f>IF(AK79&lt;BE79,1,0)</f>
        <v>0</v>
      </c>
      <c r="BG79">
        <f>IF(AK79&lt;BC79,1,0)</f>
        <v>0</v>
      </c>
      <c r="BH79">
        <f>VLOOKUP($B79,[1]Data_Peer_with_peerVars!$B$2:$Z$1050,20,FALSE)</f>
        <v>2</v>
      </c>
      <c r="BI79">
        <f>VLOOKUP($B79,[1]Data_Peer_with_peerVars!$B$2:$Z$1050,21,FALSE)</f>
        <v>1</v>
      </c>
      <c r="BJ79">
        <f>VLOOKUP($B79,[1]Data_Peer_with_peerVars!$B$2:$Z$1050,22,FALSE)</f>
        <v>0.5</v>
      </c>
      <c r="BK79">
        <f>VLOOKUP($B79,[1]Data_Peer_with_peerVars!$B$2:$Z$1050,23,FALSE)</f>
        <v>45</v>
      </c>
      <c r="BL79">
        <f>VLOOKUP($B79,[1]Data_Peer_with_peerVars!$B$2:$Z$1050,24,FALSE)</f>
        <v>25</v>
      </c>
      <c r="BM79">
        <f>VLOOKUP($B79,[1]Data_Peer_with_peerVars!$B$2:$Z$1050,25,FALSE)</f>
        <v>0.55555555599999995</v>
      </c>
    </row>
    <row r="80" spans="1:65" x14ac:dyDescent="0.2">
      <c r="A80">
        <v>1</v>
      </c>
      <c r="B80" t="s">
        <v>227</v>
      </c>
      <c r="C80">
        <v>44</v>
      </c>
      <c r="D80" t="s">
        <v>68</v>
      </c>
      <c r="E80">
        <v>1</v>
      </c>
      <c r="F80">
        <v>263</v>
      </c>
      <c r="G80" t="s">
        <v>69</v>
      </c>
      <c r="H80" s="1">
        <v>6</v>
      </c>
      <c r="I80" t="s">
        <v>87</v>
      </c>
      <c r="J80" t="s">
        <v>111</v>
      </c>
      <c r="K80" t="s">
        <v>109</v>
      </c>
      <c r="L80">
        <v>1</v>
      </c>
      <c r="M80">
        <v>0</v>
      </c>
      <c r="N80">
        <v>1</v>
      </c>
      <c r="O80">
        <v>0</v>
      </c>
      <c r="P80">
        <v>1</v>
      </c>
      <c r="Q80">
        <v>6</v>
      </c>
      <c r="R80">
        <v>1</v>
      </c>
      <c r="S80">
        <v>1</v>
      </c>
      <c r="T80">
        <v>1</v>
      </c>
      <c r="U80">
        <v>1</v>
      </c>
      <c r="V80">
        <f t="shared" si="30"/>
        <v>0</v>
      </c>
      <c r="W80">
        <f t="shared" si="32"/>
        <v>1</v>
      </c>
      <c r="X80">
        <v>1</v>
      </c>
      <c r="Y80">
        <v>1</v>
      </c>
      <c r="Z80" t="s">
        <v>94</v>
      </c>
      <c r="AA80" s="5" t="s">
        <v>228</v>
      </c>
      <c r="AB80" s="5" t="s">
        <v>229</v>
      </c>
      <c r="AC80" t="s">
        <v>107</v>
      </c>
      <c r="AD80" t="s">
        <v>94</v>
      </c>
      <c r="AE80" s="5" t="s">
        <v>106</v>
      </c>
      <c r="AF80" t="s">
        <v>95</v>
      </c>
      <c r="AG80" t="s">
        <v>74</v>
      </c>
      <c r="AH80">
        <f t="shared" ref="AH80:AH82" si="40">AI80</f>
        <v>0.12036026</v>
      </c>
      <c r="AI80">
        <f t="shared" si="39"/>
        <v>0.12036026</v>
      </c>
      <c r="AJ80">
        <f>AL80</f>
        <v>0.12036026</v>
      </c>
      <c r="AK80">
        <v>0.118838996</v>
      </c>
      <c r="AL80">
        <v>0.12036026</v>
      </c>
      <c r="AM80">
        <v>0.13551912999999999</v>
      </c>
      <c r="AN80">
        <v>0.14191781000000001</v>
      </c>
      <c r="AO80">
        <v>88.116100399999993</v>
      </c>
      <c r="AP80">
        <v>87.963973999999993</v>
      </c>
      <c r="AQ80">
        <v>86.448087000000001</v>
      </c>
      <c r="AR80">
        <v>85.808218999999994</v>
      </c>
      <c r="AS80" t="b">
        <v>0</v>
      </c>
      <c r="AT80" t="b">
        <v>0</v>
      </c>
      <c r="AU80" t="s">
        <v>92</v>
      </c>
      <c r="AV80" t="s">
        <v>92</v>
      </c>
      <c r="AW80" t="s">
        <v>79</v>
      </c>
      <c r="AX80" t="s">
        <v>129</v>
      </c>
      <c r="AY80" t="s">
        <v>214</v>
      </c>
      <c r="AZ80" t="s">
        <v>109</v>
      </c>
      <c r="BA80">
        <v>2</v>
      </c>
      <c r="BB80">
        <v>0.7</v>
      </c>
      <c r="BC80">
        <v>2.6475456000000001E-2</v>
      </c>
      <c r="BD80">
        <v>8.8330364056477401E-3</v>
      </c>
      <c r="BE80">
        <v>3.53084924056477E-2</v>
      </c>
      <c r="BF80">
        <f>IF(AK80&lt;BE80,1,0)</f>
        <v>0</v>
      </c>
      <c r="BG80">
        <f>IF(AK80&lt;BC80,1,0)</f>
        <v>0</v>
      </c>
      <c r="BH80">
        <f>VLOOKUP($B80,[1]Data_Peer_with_peerVars!$B$2:$Z$1050,20,FALSE)</f>
        <v>2</v>
      </c>
      <c r="BI80">
        <f>VLOOKUP($B80,[1]Data_Peer_with_peerVars!$B$2:$Z$1050,21,FALSE)</f>
        <v>1</v>
      </c>
      <c r="BJ80">
        <f>VLOOKUP($B80,[1]Data_Peer_with_peerVars!$B$2:$Z$1050,22,FALSE)</f>
        <v>0.5</v>
      </c>
      <c r="BK80">
        <f>VLOOKUP($B80,[1]Data_Peer_with_peerVars!$B$2:$Z$1050,23,FALSE)</f>
        <v>45</v>
      </c>
      <c r="BL80">
        <f>VLOOKUP($B80,[1]Data_Peer_with_peerVars!$B$2:$Z$1050,24,FALSE)</f>
        <v>25</v>
      </c>
      <c r="BM80">
        <f>VLOOKUP($B80,[1]Data_Peer_with_peerVars!$B$2:$Z$1050,25,FALSE)</f>
        <v>0.55555555599999995</v>
      </c>
    </row>
    <row r="81" spans="1:65" x14ac:dyDescent="0.2">
      <c r="A81">
        <v>1</v>
      </c>
      <c r="B81" t="s">
        <v>230</v>
      </c>
      <c r="C81">
        <v>45</v>
      </c>
      <c r="D81" t="s">
        <v>68</v>
      </c>
      <c r="E81">
        <v>1</v>
      </c>
      <c r="F81">
        <v>300</v>
      </c>
      <c r="G81" t="s">
        <v>69</v>
      </c>
      <c r="H81" s="1">
        <v>7</v>
      </c>
      <c r="I81" t="s">
        <v>70</v>
      </c>
      <c r="J81" t="s">
        <v>71</v>
      </c>
      <c r="K81" t="s">
        <v>72</v>
      </c>
      <c r="L81">
        <v>1</v>
      </c>
      <c r="M81">
        <v>0</v>
      </c>
      <c r="N81">
        <v>1</v>
      </c>
      <c r="O81">
        <v>0</v>
      </c>
      <c r="P81">
        <v>0</v>
      </c>
      <c r="Q81">
        <v>7</v>
      </c>
      <c r="R81">
        <v>0</v>
      </c>
      <c r="S81">
        <v>0</v>
      </c>
      <c r="T81">
        <v>0</v>
      </c>
      <c r="U81">
        <v>1</v>
      </c>
      <c r="V81">
        <f t="shared" si="30"/>
        <v>1</v>
      </c>
      <c r="W81">
        <v>1</v>
      </c>
      <c r="X81">
        <v>1</v>
      </c>
      <c r="Y81">
        <v>1</v>
      </c>
      <c r="Z81" t="s">
        <v>74</v>
      </c>
      <c r="AA81" s="5" t="s">
        <v>74</v>
      </c>
      <c r="AB81" s="5" t="s">
        <v>74</v>
      </c>
      <c r="AC81" t="s">
        <v>74</v>
      </c>
      <c r="AD81" t="s">
        <v>73</v>
      </c>
      <c r="AE81" s="5" t="s">
        <v>73</v>
      </c>
      <c r="AF81" t="s">
        <v>94</v>
      </c>
      <c r="AG81" t="s">
        <v>107</v>
      </c>
      <c r="AH81">
        <f t="shared" si="40"/>
        <v>0.12328767</v>
      </c>
      <c r="AI81">
        <f t="shared" si="39"/>
        <v>0.12328767</v>
      </c>
      <c r="AJ81">
        <f t="shared" si="31"/>
        <v>0.12328767</v>
      </c>
      <c r="AK81">
        <v>0.12328767</v>
      </c>
      <c r="AL81">
        <v>0.12758997</v>
      </c>
      <c r="AM81">
        <v>0.12882096000000001</v>
      </c>
      <c r="AN81">
        <v>0.14211391000000001</v>
      </c>
      <c r="AO81">
        <v>87.671233000000001</v>
      </c>
      <c r="AP81">
        <v>87.241003000000006</v>
      </c>
      <c r="AQ81">
        <v>87.117903999999996</v>
      </c>
      <c r="AR81">
        <v>85.788608999999994</v>
      </c>
      <c r="AS81" t="b">
        <v>1</v>
      </c>
      <c r="AT81" t="b">
        <v>0</v>
      </c>
      <c r="AU81" t="s">
        <v>78</v>
      </c>
      <c r="AV81" t="s">
        <v>78</v>
      </c>
      <c r="AW81" t="s">
        <v>79</v>
      </c>
      <c r="AX81" t="s">
        <v>129</v>
      </c>
      <c r="AY81" t="s">
        <v>231</v>
      </c>
      <c r="AZ81" t="s">
        <v>72</v>
      </c>
      <c r="BA81" t="s">
        <v>82</v>
      </c>
      <c r="BB81">
        <v>0.7</v>
      </c>
      <c r="BC81">
        <v>2.4738868000000001E-3</v>
      </c>
      <c r="BD81">
        <v>1.4256942275279999E-4</v>
      </c>
      <c r="BE81">
        <v>2.6164562227527998E-3</v>
      </c>
      <c r="BF81">
        <f>IF(AK81&lt;BE81,1,0)</f>
        <v>0</v>
      </c>
      <c r="BG81">
        <f>IF(AK81&lt;BC81,1,0)</f>
        <v>0</v>
      </c>
      <c r="BH81">
        <f>VLOOKUP($B81,[1]Data_Peer_with_peerVars!$B$2:$Z$1050,20,FALSE)</f>
        <v>12</v>
      </c>
      <c r="BI81">
        <f>VLOOKUP($B81,[1]Data_Peer_with_peerVars!$B$2:$Z$1050,21,FALSE)</f>
        <v>9</v>
      </c>
      <c r="BJ81">
        <f>VLOOKUP($B81,[1]Data_Peer_with_peerVars!$B$2:$Z$1050,22,FALSE)</f>
        <v>0.75</v>
      </c>
      <c r="BK81">
        <f>VLOOKUP($B81,[1]Data_Peer_with_peerVars!$B$2:$Z$1050,23,FALSE)</f>
        <v>30</v>
      </c>
      <c r="BL81">
        <f>VLOOKUP($B81,[1]Data_Peer_with_peerVars!$B$2:$Z$1050,24,FALSE)</f>
        <v>22</v>
      </c>
      <c r="BM81">
        <f>VLOOKUP($B81,[1]Data_Peer_with_peerVars!$B$2:$Z$1050,25,FALSE)</f>
        <v>0.73333333300000003</v>
      </c>
    </row>
    <row r="82" spans="1:65" x14ac:dyDescent="0.2">
      <c r="A82">
        <v>1</v>
      </c>
      <c r="B82" t="s">
        <v>232</v>
      </c>
      <c r="C82">
        <v>46</v>
      </c>
      <c r="D82" t="s">
        <v>68</v>
      </c>
      <c r="E82">
        <v>1</v>
      </c>
      <c r="F82">
        <v>304</v>
      </c>
      <c r="G82" t="s">
        <v>69</v>
      </c>
      <c r="H82" s="1">
        <v>4</v>
      </c>
      <c r="I82" t="s">
        <v>87</v>
      </c>
      <c r="J82" t="s">
        <v>111</v>
      </c>
      <c r="K82" t="s">
        <v>109</v>
      </c>
      <c r="L82">
        <v>2</v>
      </c>
      <c r="M82">
        <v>0</v>
      </c>
      <c r="N82">
        <v>1</v>
      </c>
      <c r="O82">
        <v>1</v>
      </c>
      <c r="P82">
        <v>0</v>
      </c>
      <c r="Q82">
        <v>6</v>
      </c>
      <c r="R82">
        <v>0</v>
      </c>
      <c r="S82">
        <v>0</v>
      </c>
      <c r="T82">
        <v>0</v>
      </c>
      <c r="U82">
        <v>0</v>
      </c>
      <c r="V82">
        <f t="shared" si="30"/>
        <v>1</v>
      </c>
      <c r="W82">
        <v>1</v>
      </c>
      <c r="X82">
        <v>1</v>
      </c>
      <c r="Y82">
        <v>1</v>
      </c>
      <c r="Z82" t="s">
        <v>73</v>
      </c>
      <c r="AA82" s="5" t="s">
        <v>73</v>
      </c>
      <c r="AB82" s="5" t="s">
        <v>73</v>
      </c>
      <c r="AC82" t="s">
        <v>73</v>
      </c>
      <c r="AD82" t="s">
        <v>94</v>
      </c>
      <c r="AE82" s="5" t="s">
        <v>94</v>
      </c>
      <c r="AF82" t="s">
        <v>95</v>
      </c>
      <c r="AG82" t="s">
        <v>75</v>
      </c>
      <c r="AH82">
        <f t="shared" si="40"/>
        <v>9.6563010000000005E-2</v>
      </c>
      <c r="AI82">
        <f t="shared" si="39"/>
        <v>9.6563010000000005E-2</v>
      </c>
      <c r="AJ82">
        <f t="shared" si="31"/>
        <v>9.6563010000000005E-2</v>
      </c>
      <c r="AK82">
        <v>9.6563010000000005E-2</v>
      </c>
      <c r="AL82">
        <v>0.11906062000000001</v>
      </c>
      <c r="AM82">
        <v>0.14051394</v>
      </c>
      <c r="AN82">
        <v>0.14203613000000001</v>
      </c>
      <c r="AO82">
        <v>90.343699000000001</v>
      </c>
      <c r="AP82">
        <v>88.093937999999994</v>
      </c>
      <c r="AQ82">
        <v>85.948605999999998</v>
      </c>
      <c r="AR82">
        <v>85.796386999999996</v>
      </c>
      <c r="AS82" t="b">
        <v>1</v>
      </c>
      <c r="AT82" t="b">
        <v>0</v>
      </c>
      <c r="AU82" t="s">
        <v>77</v>
      </c>
      <c r="AV82" t="s">
        <v>78</v>
      </c>
      <c r="AW82" t="s">
        <v>79</v>
      </c>
      <c r="AX82" t="s">
        <v>233</v>
      </c>
      <c r="AY82" t="s">
        <v>234</v>
      </c>
      <c r="AZ82" t="s">
        <v>109</v>
      </c>
      <c r="BA82">
        <v>2</v>
      </c>
      <c r="BB82">
        <v>2</v>
      </c>
      <c r="BC82">
        <v>4.1163553999999996E-3</v>
      </c>
      <c r="BD82">
        <v>1.4279989108178799E-4</v>
      </c>
      <c r="BE82">
        <v>4.2591552910817903E-3</v>
      </c>
      <c r="BF82">
        <f>IF(AK82&lt;BE82,1,0)</f>
        <v>0</v>
      </c>
      <c r="BG82">
        <f>IF(AK82&lt;BC82,1,0)</f>
        <v>0</v>
      </c>
      <c r="BH82">
        <f>VLOOKUP($B82,[1]Data_Peer_with_peerVars!$B$2:$Z$1050,20,FALSE)</f>
        <v>4</v>
      </c>
      <c r="BI82">
        <f>VLOOKUP($B82,[1]Data_Peer_with_peerVars!$B$2:$Z$1050,21,FALSE)</f>
        <v>3</v>
      </c>
      <c r="BJ82">
        <f>VLOOKUP($B82,[1]Data_Peer_with_peerVars!$B$2:$Z$1050,22,FALSE)</f>
        <v>0.75</v>
      </c>
      <c r="BK82">
        <f>VLOOKUP($B82,[1]Data_Peer_with_peerVars!$B$2:$Z$1050,23,FALSE)</f>
        <v>61</v>
      </c>
      <c r="BL82">
        <f>VLOOKUP($B82,[1]Data_Peer_with_peerVars!$B$2:$Z$1050,24,FALSE)</f>
        <v>37</v>
      </c>
      <c r="BM82">
        <f>VLOOKUP($B82,[1]Data_Peer_with_peerVars!$B$2:$Z$1050,25,FALSE)</f>
        <v>0.60655737700000001</v>
      </c>
    </row>
    <row r="83" spans="1:65" x14ac:dyDescent="0.2">
      <c r="A83">
        <v>1</v>
      </c>
      <c r="B83" t="s">
        <v>235</v>
      </c>
      <c r="C83">
        <v>46</v>
      </c>
      <c r="D83" t="s">
        <v>68</v>
      </c>
      <c r="E83">
        <v>1</v>
      </c>
      <c r="F83">
        <v>304</v>
      </c>
      <c r="G83" t="s">
        <v>69</v>
      </c>
      <c r="H83" s="1">
        <v>4</v>
      </c>
      <c r="I83" t="s">
        <v>87</v>
      </c>
      <c r="J83" t="s">
        <v>111</v>
      </c>
      <c r="K83" t="s">
        <v>109</v>
      </c>
      <c r="L83">
        <v>2</v>
      </c>
      <c r="M83">
        <v>0</v>
      </c>
      <c r="N83">
        <v>1</v>
      </c>
      <c r="O83">
        <v>1</v>
      </c>
      <c r="P83">
        <v>0</v>
      </c>
      <c r="Q83">
        <v>6</v>
      </c>
      <c r="R83">
        <v>0</v>
      </c>
      <c r="S83">
        <v>0</v>
      </c>
      <c r="T83">
        <v>0</v>
      </c>
      <c r="U83">
        <v>0</v>
      </c>
      <c r="V83">
        <f t="shared" si="30"/>
        <v>0</v>
      </c>
      <c r="W83">
        <f t="shared" si="32"/>
        <v>0</v>
      </c>
      <c r="X83">
        <f t="shared" si="33"/>
        <v>0</v>
      </c>
      <c r="Y83">
        <f t="shared" si="34"/>
        <v>0</v>
      </c>
      <c r="Z83" t="s">
        <v>89</v>
      </c>
      <c r="AA83" s="5" t="s">
        <v>89</v>
      </c>
      <c r="AB83" s="5" t="s">
        <v>90</v>
      </c>
      <c r="AC83" t="s">
        <v>76</v>
      </c>
      <c r="AD83" t="s">
        <v>74</v>
      </c>
      <c r="AE83" s="5" t="s">
        <v>74</v>
      </c>
      <c r="AF83" t="s">
        <v>75</v>
      </c>
      <c r="AG83" t="s">
        <v>120</v>
      </c>
      <c r="AH83">
        <f>AI83</f>
        <v>7.2170584999999995E-2</v>
      </c>
      <c r="AI83">
        <f t="shared" ref="AI83:AI87" si="41">AJ83</f>
        <v>7.2170584999999995E-2</v>
      </c>
      <c r="AJ83">
        <f t="shared" si="31"/>
        <v>7.2170584999999995E-2</v>
      </c>
      <c r="AK83">
        <v>7.2170584999999995E-2</v>
      </c>
      <c r="AL83">
        <v>9.9835430000000003E-2</v>
      </c>
      <c r="AM83">
        <v>0.122672506</v>
      </c>
      <c r="AN83">
        <v>0.12438491</v>
      </c>
      <c r="AO83">
        <v>92.782941500000007</v>
      </c>
      <c r="AP83">
        <v>90.016457000000003</v>
      </c>
      <c r="AQ83">
        <v>87.732749400000003</v>
      </c>
      <c r="AR83">
        <v>87.561509000000001</v>
      </c>
      <c r="AS83" t="b">
        <v>0</v>
      </c>
      <c r="AT83" t="b">
        <v>0</v>
      </c>
      <c r="AU83" t="s">
        <v>92</v>
      </c>
      <c r="AV83" t="s">
        <v>92</v>
      </c>
      <c r="AW83" t="s">
        <v>79</v>
      </c>
      <c r="AX83" t="s">
        <v>233</v>
      </c>
      <c r="AY83" t="s">
        <v>234</v>
      </c>
      <c r="AZ83" t="s">
        <v>109</v>
      </c>
      <c r="BA83">
        <v>2</v>
      </c>
      <c r="BB83">
        <v>1</v>
      </c>
      <c r="BC83">
        <v>7.7070764999999999E-2</v>
      </c>
      <c r="BD83">
        <v>1.90190515067399E-3</v>
      </c>
      <c r="BE83">
        <v>7.8972670150673996E-2</v>
      </c>
      <c r="BF83">
        <f>IF(AK83&lt;BE83,1,0)</f>
        <v>1</v>
      </c>
      <c r="BG83">
        <f>IF(AK83&lt;BC83,1,0)</f>
        <v>1</v>
      </c>
      <c r="BH83">
        <f>VLOOKUP($B83,[1]Data_Peer_with_peerVars!$B$2:$Z$1050,20,FALSE)</f>
        <v>4</v>
      </c>
      <c r="BI83">
        <f>VLOOKUP($B83,[1]Data_Peer_with_peerVars!$B$2:$Z$1050,21,FALSE)</f>
        <v>3</v>
      </c>
      <c r="BJ83">
        <f>VLOOKUP($B83,[1]Data_Peer_with_peerVars!$B$2:$Z$1050,22,FALSE)</f>
        <v>0.75</v>
      </c>
      <c r="BK83">
        <f>VLOOKUP($B83,[1]Data_Peer_with_peerVars!$B$2:$Z$1050,23,FALSE)</f>
        <v>61</v>
      </c>
      <c r="BL83">
        <f>VLOOKUP($B83,[1]Data_Peer_with_peerVars!$B$2:$Z$1050,24,FALSE)</f>
        <v>37</v>
      </c>
      <c r="BM83">
        <f>VLOOKUP($B83,[1]Data_Peer_with_peerVars!$B$2:$Z$1050,25,FALSE)</f>
        <v>0.60655737700000001</v>
      </c>
    </row>
    <row r="84" spans="1:65" x14ac:dyDescent="0.2">
      <c r="A84">
        <v>1</v>
      </c>
      <c r="B84" t="s">
        <v>236</v>
      </c>
      <c r="C84">
        <v>47</v>
      </c>
      <c r="D84" t="s">
        <v>68</v>
      </c>
      <c r="E84">
        <v>1</v>
      </c>
      <c r="F84">
        <v>306</v>
      </c>
      <c r="G84" t="s">
        <v>69</v>
      </c>
      <c r="H84" s="1">
        <v>6</v>
      </c>
      <c r="I84" t="s">
        <v>87</v>
      </c>
      <c r="J84" t="s">
        <v>111</v>
      </c>
      <c r="K84" t="s">
        <v>109</v>
      </c>
      <c r="L84">
        <v>1</v>
      </c>
      <c r="M84">
        <v>0</v>
      </c>
      <c r="N84">
        <v>1</v>
      </c>
      <c r="O84">
        <v>0</v>
      </c>
      <c r="P84">
        <v>0</v>
      </c>
      <c r="Q84">
        <v>4</v>
      </c>
      <c r="R84">
        <v>0</v>
      </c>
      <c r="S84">
        <v>0</v>
      </c>
      <c r="T84">
        <v>0</v>
      </c>
      <c r="U84">
        <v>0</v>
      </c>
      <c r="V84">
        <f t="shared" si="30"/>
        <v>0</v>
      </c>
      <c r="W84">
        <f t="shared" si="32"/>
        <v>0</v>
      </c>
      <c r="X84">
        <f t="shared" si="33"/>
        <v>0</v>
      </c>
      <c r="Y84">
        <f t="shared" si="34"/>
        <v>1</v>
      </c>
      <c r="Z84" t="s">
        <v>76</v>
      </c>
      <c r="AA84" s="5" t="s">
        <v>76</v>
      </c>
      <c r="AB84" s="5" t="s">
        <v>76</v>
      </c>
      <c r="AC84" t="s">
        <v>74</v>
      </c>
      <c r="AD84" t="s">
        <v>75</v>
      </c>
      <c r="AE84" s="5" t="s">
        <v>75</v>
      </c>
      <c r="AF84" t="s">
        <v>120</v>
      </c>
      <c r="AG84" t="s">
        <v>76</v>
      </c>
      <c r="AH84">
        <f>AN84</f>
        <v>9.3647315999999994E-2</v>
      </c>
      <c r="AI84">
        <f t="shared" si="41"/>
        <v>1.9178082000000001E-3</v>
      </c>
      <c r="AJ84">
        <f t="shared" si="31"/>
        <v>1.9178082000000001E-3</v>
      </c>
      <c r="AK84">
        <v>1.9178082000000001E-3</v>
      </c>
      <c r="AL84">
        <v>8.6527930000000003E-2</v>
      </c>
      <c r="AM84">
        <v>8.9939854999999999E-2</v>
      </c>
      <c r="AN84">
        <v>9.3647315999999994E-2</v>
      </c>
      <c r="AO84">
        <v>99.808219179999995</v>
      </c>
      <c r="AP84">
        <v>91.347206999999997</v>
      </c>
      <c r="AQ84">
        <v>91.006014500000006</v>
      </c>
      <c r="AR84">
        <v>90.635268400000001</v>
      </c>
      <c r="AS84" t="b">
        <v>0</v>
      </c>
      <c r="AT84" t="b">
        <v>0</v>
      </c>
      <c r="AU84" t="s">
        <v>77</v>
      </c>
      <c r="AV84" t="s">
        <v>77</v>
      </c>
      <c r="AW84" t="s">
        <v>79</v>
      </c>
      <c r="AX84" t="s">
        <v>129</v>
      </c>
      <c r="AY84" t="s">
        <v>231</v>
      </c>
      <c r="AZ84" t="s">
        <v>109</v>
      </c>
      <c r="BA84">
        <v>100</v>
      </c>
      <c r="BB84">
        <v>1</v>
      </c>
      <c r="BC84">
        <v>2.4738868000000001E-3</v>
      </c>
      <c r="BD84">
        <v>1.4256942275279999E-4</v>
      </c>
      <c r="BE84">
        <v>2.6164562227527998E-3</v>
      </c>
      <c r="BF84">
        <f>IF(AK84&lt;BE84,1,0)</f>
        <v>1</v>
      </c>
      <c r="BG84">
        <f>IF(AK84&lt;BC84,1,0)</f>
        <v>1</v>
      </c>
      <c r="BH84">
        <f>VLOOKUP($B84,[1]Data_Peer_with_peerVars!$B$2:$Z$1050,20,FALSE)</f>
        <v>2</v>
      </c>
      <c r="BI84">
        <f>VLOOKUP($B84,[1]Data_Peer_with_peerVars!$B$2:$Z$1050,21,FALSE)</f>
        <v>2</v>
      </c>
      <c r="BJ84">
        <f>VLOOKUP($B84,[1]Data_Peer_with_peerVars!$B$2:$Z$1050,22,FALSE)</f>
        <v>1</v>
      </c>
      <c r="BK84">
        <f>VLOOKUP($B84,[1]Data_Peer_with_peerVars!$B$2:$Z$1050,23,FALSE)</f>
        <v>23</v>
      </c>
      <c r="BL84">
        <f>VLOOKUP($B84,[1]Data_Peer_with_peerVars!$B$2:$Z$1050,24,FALSE)</f>
        <v>16</v>
      </c>
      <c r="BM84">
        <f>VLOOKUP($B84,[1]Data_Peer_with_peerVars!$B$2:$Z$1050,25,FALSE)</f>
        <v>0.69565217400000001</v>
      </c>
    </row>
    <row r="85" spans="1:65" x14ac:dyDescent="0.2">
      <c r="A85">
        <v>1</v>
      </c>
      <c r="B85" t="s">
        <v>237</v>
      </c>
      <c r="C85">
        <v>47</v>
      </c>
      <c r="D85" t="s">
        <v>68</v>
      </c>
      <c r="E85">
        <v>1</v>
      </c>
      <c r="F85">
        <v>306</v>
      </c>
      <c r="G85" t="s">
        <v>69</v>
      </c>
      <c r="H85" s="1">
        <v>6</v>
      </c>
      <c r="I85" t="s">
        <v>87</v>
      </c>
      <c r="J85" t="s">
        <v>111</v>
      </c>
      <c r="K85" t="s">
        <v>109</v>
      </c>
      <c r="L85">
        <v>1</v>
      </c>
      <c r="M85">
        <v>0</v>
      </c>
      <c r="N85">
        <v>1</v>
      </c>
      <c r="O85">
        <v>0</v>
      </c>
      <c r="P85">
        <v>0</v>
      </c>
      <c r="Q85">
        <v>4</v>
      </c>
      <c r="R85">
        <v>0</v>
      </c>
      <c r="S85">
        <v>0</v>
      </c>
      <c r="T85">
        <v>1</v>
      </c>
      <c r="U85">
        <v>1</v>
      </c>
      <c r="V85">
        <f t="shared" si="30"/>
        <v>0</v>
      </c>
      <c r="W85">
        <f t="shared" si="32"/>
        <v>0</v>
      </c>
      <c r="X85">
        <f t="shared" si="33"/>
        <v>0</v>
      </c>
      <c r="Y85">
        <f t="shared" si="34"/>
        <v>0</v>
      </c>
      <c r="Z85" t="s">
        <v>98</v>
      </c>
      <c r="AA85" s="5" t="s">
        <v>99</v>
      </c>
      <c r="AB85" s="5" t="s">
        <v>238</v>
      </c>
      <c r="AC85" t="s">
        <v>94</v>
      </c>
      <c r="AD85" t="s">
        <v>95</v>
      </c>
      <c r="AE85" s="5" t="s">
        <v>95</v>
      </c>
      <c r="AF85" t="s">
        <v>107</v>
      </c>
      <c r="AG85" t="s">
        <v>102</v>
      </c>
      <c r="AH85">
        <f>AI85</f>
        <v>4.3965045000000001E-2</v>
      </c>
      <c r="AI85">
        <f t="shared" si="41"/>
        <v>4.3965045000000001E-2</v>
      </c>
      <c r="AJ85">
        <f t="shared" si="31"/>
        <v>4.3965045000000001E-2</v>
      </c>
      <c r="AK85">
        <v>4.3965045000000001E-2</v>
      </c>
      <c r="AL85">
        <v>0.12260536</v>
      </c>
      <c r="AM85">
        <v>0.13020833000000001</v>
      </c>
      <c r="AN85">
        <v>0.13762972000000001</v>
      </c>
      <c r="AO85">
        <v>95.603495499999994</v>
      </c>
      <c r="AP85">
        <v>87.739463999999998</v>
      </c>
      <c r="AQ85">
        <v>86.979167000000004</v>
      </c>
      <c r="AR85">
        <v>86.237027999999995</v>
      </c>
      <c r="AS85" t="b">
        <v>0</v>
      </c>
      <c r="AT85" t="b">
        <v>0</v>
      </c>
      <c r="AU85" t="s">
        <v>77</v>
      </c>
      <c r="AV85" t="s">
        <v>78</v>
      </c>
      <c r="AW85" t="s">
        <v>79</v>
      </c>
      <c r="AX85" t="s">
        <v>129</v>
      </c>
      <c r="AY85" t="s">
        <v>231</v>
      </c>
      <c r="AZ85" t="s">
        <v>72</v>
      </c>
      <c r="BA85" t="s">
        <v>82</v>
      </c>
      <c r="BB85">
        <v>1</v>
      </c>
      <c r="BC85">
        <v>1.6447369E-2</v>
      </c>
      <c r="BD85">
        <v>4.2236161269162102E-4</v>
      </c>
      <c r="BE85">
        <v>1.6869730612691598E-2</v>
      </c>
      <c r="BF85">
        <f>IF(AK85&lt;BE85,1,0)</f>
        <v>0</v>
      </c>
      <c r="BG85">
        <f>IF(AK85&lt;BC85,1,0)</f>
        <v>0</v>
      </c>
      <c r="BH85">
        <f>VLOOKUP($B85,[1]Data_Peer_with_peerVars!$B$2:$Z$1050,20,FALSE)</f>
        <v>2</v>
      </c>
      <c r="BI85">
        <f>VLOOKUP($B85,[1]Data_Peer_with_peerVars!$B$2:$Z$1050,21,FALSE)</f>
        <v>2</v>
      </c>
      <c r="BJ85">
        <f>VLOOKUP($B85,[1]Data_Peer_with_peerVars!$B$2:$Z$1050,22,FALSE)</f>
        <v>1</v>
      </c>
      <c r="BK85">
        <f>VLOOKUP($B85,[1]Data_Peer_with_peerVars!$B$2:$Z$1050,23,FALSE)</f>
        <v>23</v>
      </c>
      <c r="BL85">
        <f>VLOOKUP($B85,[1]Data_Peer_with_peerVars!$B$2:$Z$1050,24,FALSE)</f>
        <v>16</v>
      </c>
      <c r="BM85">
        <f>VLOOKUP($B85,[1]Data_Peer_with_peerVars!$B$2:$Z$1050,25,FALSE)</f>
        <v>0.69565217400000001</v>
      </c>
    </row>
    <row r="86" spans="1:65" x14ac:dyDescent="0.2">
      <c r="A86">
        <v>1</v>
      </c>
      <c r="B86" t="s">
        <v>239</v>
      </c>
      <c r="C86">
        <v>48</v>
      </c>
      <c r="D86" t="s">
        <v>68</v>
      </c>
      <c r="E86">
        <v>1</v>
      </c>
      <c r="F86">
        <v>336</v>
      </c>
      <c r="G86" t="s">
        <v>69</v>
      </c>
      <c r="H86" s="1">
        <v>7</v>
      </c>
      <c r="I86" t="s">
        <v>87</v>
      </c>
      <c r="J86" t="s">
        <v>111</v>
      </c>
      <c r="K86" t="s">
        <v>109</v>
      </c>
      <c r="L86">
        <v>1</v>
      </c>
      <c r="M86">
        <v>0</v>
      </c>
      <c r="N86">
        <v>1</v>
      </c>
      <c r="O86">
        <v>0</v>
      </c>
      <c r="P86">
        <v>0</v>
      </c>
      <c r="Q86">
        <v>6</v>
      </c>
      <c r="R86">
        <v>0</v>
      </c>
      <c r="S86">
        <v>0</v>
      </c>
      <c r="T86">
        <v>0</v>
      </c>
      <c r="U86">
        <v>0</v>
      </c>
      <c r="V86">
        <f t="shared" si="30"/>
        <v>1</v>
      </c>
      <c r="W86">
        <v>1</v>
      </c>
      <c r="X86">
        <v>1</v>
      </c>
      <c r="Y86">
        <v>1</v>
      </c>
      <c r="Z86" t="s">
        <v>73</v>
      </c>
      <c r="AA86" s="5" t="s">
        <v>73</v>
      </c>
      <c r="AB86" s="5" t="s">
        <v>73</v>
      </c>
      <c r="AC86" t="s">
        <v>73</v>
      </c>
      <c r="AD86" t="s">
        <v>94</v>
      </c>
      <c r="AE86" s="5" t="s">
        <v>94</v>
      </c>
      <c r="AF86" t="s">
        <v>75</v>
      </c>
      <c r="AG86" t="s">
        <v>95</v>
      </c>
      <c r="AH86">
        <f t="shared" ref="AH86:AH87" si="42">AI86</f>
        <v>6.8466990000000005E-2</v>
      </c>
      <c r="AI86">
        <f t="shared" si="41"/>
        <v>6.8466990000000005E-2</v>
      </c>
      <c r="AJ86">
        <f t="shared" si="31"/>
        <v>6.8466990000000005E-2</v>
      </c>
      <c r="AK86">
        <v>6.8466990000000005E-2</v>
      </c>
      <c r="AL86">
        <v>0.11742217000000001</v>
      </c>
      <c r="AM86">
        <v>0.1291735</v>
      </c>
      <c r="AN86">
        <v>0.14133406000000001</v>
      </c>
      <c r="AO86">
        <v>93.153300999999999</v>
      </c>
      <c r="AP86">
        <v>88.257783000000003</v>
      </c>
      <c r="AQ86">
        <v>87.082650000000001</v>
      </c>
      <c r="AR86">
        <v>85.866594000000006</v>
      </c>
      <c r="AS86" t="b">
        <v>1</v>
      </c>
      <c r="AT86" t="b">
        <v>0</v>
      </c>
      <c r="AU86" t="s">
        <v>77</v>
      </c>
      <c r="AV86" t="s">
        <v>78</v>
      </c>
      <c r="AW86" t="s">
        <v>79</v>
      </c>
      <c r="AX86" t="s">
        <v>129</v>
      </c>
      <c r="AY86" t="s">
        <v>234</v>
      </c>
      <c r="AZ86" t="s">
        <v>109</v>
      </c>
      <c r="BA86">
        <v>3</v>
      </c>
      <c r="BB86">
        <v>1.4</v>
      </c>
      <c r="BC86">
        <v>4.1163553999999996E-3</v>
      </c>
      <c r="BD86">
        <v>1.4279989108178799E-4</v>
      </c>
      <c r="BE86">
        <v>4.2591552910817903E-3</v>
      </c>
      <c r="BF86">
        <f>IF(AK86&lt;BE86,1,0)</f>
        <v>0</v>
      </c>
      <c r="BG86">
        <f>IF(AK86&lt;BC86,1,0)</f>
        <v>0</v>
      </c>
      <c r="BH86">
        <f>VLOOKUP($B86,[1]Data_Peer_with_peerVars!$B$2:$Z$1050,20,FALSE)</f>
        <v>2</v>
      </c>
      <c r="BI86">
        <f>VLOOKUP($B86,[1]Data_Peer_with_peerVars!$B$2:$Z$1050,21,FALSE)</f>
        <v>2</v>
      </c>
      <c r="BJ86">
        <f>VLOOKUP($B86,[1]Data_Peer_with_peerVars!$B$2:$Z$1050,22,FALSE)</f>
        <v>1</v>
      </c>
      <c r="BK86">
        <f>VLOOKUP($B86,[1]Data_Peer_with_peerVars!$B$2:$Z$1050,23,FALSE)</f>
        <v>36</v>
      </c>
      <c r="BL86">
        <f>VLOOKUP($B86,[1]Data_Peer_with_peerVars!$B$2:$Z$1050,24,FALSE)</f>
        <v>29</v>
      </c>
      <c r="BM86">
        <f>VLOOKUP($B86,[1]Data_Peer_with_peerVars!$B$2:$Z$1050,25,FALSE)</f>
        <v>0.80555555599999995</v>
      </c>
    </row>
    <row r="87" spans="1:65" x14ac:dyDescent="0.2">
      <c r="A87">
        <v>1</v>
      </c>
      <c r="B87" t="s">
        <v>240</v>
      </c>
      <c r="C87">
        <v>48</v>
      </c>
      <c r="D87" t="s">
        <v>68</v>
      </c>
      <c r="E87">
        <v>1</v>
      </c>
      <c r="F87">
        <v>336</v>
      </c>
      <c r="G87" t="s">
        <v>69</v>
      </c>
      <c r="H87" s="1">
        <v>7</v>
      </c>
      <c r="I87" t="s">
        <v>87</v>
      </c>
      <c r="J87" t="s">
        <v>111</v>
      </c>
      <c r="K87" t="s">
        <v>109</v>
      </c>
      <c r="L87">
        <v>1</v>
      </c>
      <c r="M87">
        <v>0</v>
      </c>
      <c r="N87">
        <v>1</v>
      </c>
      <c r="O87">
        <v>0</v>
      </c>
      <c r="P87">
        <v>0</v>
      </c>
      <c r="Q87">
        <v>6</v>
      </c>
      <c r="R87">
        <v>0</v>
      </c>
      <c r="S87">
        <v>0</v>
      </c>
      <c r="T87">
        <v>0</v>
      </c>
      <c r="U87">
        <v>0</v>
      </c>
      <c r="V87">
        <f t="shared" si="30"/>
        <v>1</v>
      </c>
      <c r="W87">
        <v>1</v>
      </c>
      <c r="X87">
        <v>1</v>
      </c>
      <c r="Y87">
        <v>1</v>
      </c>
      <c r="Z87" t="s">
        <v>76</v>
      </c>
      <c r="AA87" s="5" t="s">
        <v>76</v>
      </c>
      <c r="AB87" s="5" t="s">
        <v>76</v>
      </c>
      <c r="AC87" t="s">
        <v>76</v>
      </c>
      <c r="AD87" t="s">
        <v>74</v>
      </c>
      <c r="AE87" s="5" t="s">
        <v>241</v>
      </c>
      <c r="AF87" t="s">
        <v>75</v>
      </c>
      <c r="AG87" t="s">
        <v>120</v>
      </c>
      <c r="AH87">
        <f t="shared" si="42"/>
        <v>7.3497266000000006E-2</v>
      </c>
      <c r="AI87">
        <f t="shared" si="41"/>
        <v>7.3497266000000006E-2</v>
      </c>
      <c r="AJ87">
        <f t="shared" si="31"/>
        <v>7.3497266000000006E-2</v>
      </c>
      <c r="AK87">
        <v>7.3497266000000006E-2</v>
      </c>
      <c r="AL87">
        <v>7.3739040000000006E-2</v>
      </c>
      <c r="AM87">
        <v>0.10864805399999999</v>
      </c>
      <c r="AN87">
        <v>0.11612022</v>
      </c>
      <c r="AO87">
        <v>92.650273400000003</v>
      </c>
      <c r="AP87">
        <v>92.626096000000004</v>
      </c>
      <c r="AQ87">
        <v>89.135194600000005</v>
      </c>
      <c r="AR87">
        <v>88.387978000000004</v>
      </c>
      <c r="AS87" t="b">
        <v>0</v>
      </c>
      <c r="AT87" t="b">
        <v>0</v>
      </c>
      <c r="AU87" t="s">
        <v>108</v>
      </c>
      <c r="AV87" t="s">
        <v>108</v>
      </c>
      <c r="AW87" t="s">
        <v>79</v>
      </c>
      <c r="AX87" t="s">
        <v>129</v>
      </c>
      <c r="AY87" t="s">
        <v>234</v>
      </c>
      <c r="AZ87" t="s">
        <v>109</v>
      </c>
      <c r="BA87">
        <v>3</v>
      </c>
      <c r="BB87">
        <v>1</v>
      </c>
      <c r="BC87">
        <v>7.7070764999999999E-2</v>
      </c>
      <c r="BD87">
        <v>1.90190515067399E-3</v>
      </c>
      <c r="BE87">
        <v>7.8972670150673996E-2</v>
      </c>
      <c r="BF87">
        <f>IF(AK87&lt;BE87,1,0)</f>
        <v>1</v>
      </c>
      <c r="BG87">
        <f>IF(AK87&lt;BC87,1,0)</f>
        <v>1</v>
      </c>
      <c r="BH87">
        <f>VLOOKUP($B87,[1]Data_Peer_with_peerVars!$B$2:$Z$1050,20,FALSE)</f>
        <v>2</v>
      </c>
      <c r="BI87">
        <f>VLOOKUP($B87,[1]Data_Peer_with_peerVars!$B$2:$Z$1050,21,FALSE)</f>
        <v>2</v>
      </c>
      <c r="BJ87">
        <f>VLOOKUP($B87,[1]Data_Peer_with_peerVars!$B$2:$Z$1050,22,FALSE)</f>
        <v>1</v>
      </c>
      <c r="BK87">
        <f>VLOOKUP($B87,[1]Data_Peer_with_peerVars!$B$2:$Z$1050,23,FALSE)</f>
        <v>36</v>
      </c>
      <c r="BL87">
        <f>VLOOKUP($B87,[1]Data_Peer_with_peerVars!$B$2:$Z$1050,24,FALSE)</f>
        <v>29</v>
      </c>
      <c r="BM87">
        <f>VLOOKUP($B87,[1]Data_Peer_with_peerVars!$B$2:$Z$1050,25,FALSE)</f>
        <v>0.80555555599999995</v>
      </c>
    </row>
    <row r="88" spans="1:65" x14ac:dyDescent="0.2">
      <c r="A88">
        <v>1</v>
      </c>
      <c r="B88" t="s">
        <v>242</v>
      </c>
      <c r="C88">
        <v>48</v>
      </c>
      <c r="D88" t="s">
        <v>68</v>
      </c>
      <c r="E88">
        <v>1</v>
      </c>
      <c r="F88">
        <v>336</v>
      </c>
      <c r="G88" t="s">
        <v>69</v>
      </c>
      <c r="H88" s="1">
        <v>7</v>
      </c>
      <c r="I88" t="s">
        <v>87</v>
      </c>
      <c r="J88" t="s">
        <v>111</v>
      </c>
      <c r="K88" t="s">
        <v>109</v>
      </c>
      <c r="L88">
        <v>1</v>
      </c>
      <c r="M88">
        <v>0</v>
      </c>
      <c r="N88">
        <v>1</v>
      </c>
      <c r="O88">
        <v>0</v>
      </c>
      <c r="P88">
        <v>0</v>
      </c>
      <c r="Q88">
        <v>6</v>
      </c>
      <c r="R88">
        <v>0</v>
      </c>
      <c r="S88">
        <v>0</v>
      </c>
      <c r="T88">
        <v>1</v>
      </c>
      <c r="U88">
        <v>1</v>
      </c>
      <c r="V88">
        <f t="shared" si="30"/>
        <v>0</v>
      </c>
      <c r="W88">
        <f t="shared" si="32"/>
        <v>0</v>
      </c>
      <c r="X88">
        <f t="shared" si="33"/>
        <v>0</v>
      </c>
      <c r="Y88">
        <f t="shared" si="34"/>
        <v>0</v>
      </c>
      <c r="Z88" t="s">
        <v>137</v>
      </c>
      <c r="AA88" s="5" t="s">
        <v>137</v>
      </c>
      <c r="AB88" s="5" t="s">
        <v>138</v>
      </c>
      <c r="AC88" t="s">
        <v>95</v>
      </c>
      <c r="AD88" t="s">
        <v>94</v>
      </c>
      <c r="AE88" s="5" t="s">
        <v>94</v>
      </c>
      <c r="AF88" t="s">
        <v>107</v>
      </c>
      <c r="AG88" t="s">
        <v>74</v>
      </c>
      <c r="AH88">
        <f>AI88</f>
        <v>9.9015320000000004E-2</v>
      </c>
      <c r="AI88">
        <f>AJ88</f>
        <v>9.9015320000000004E-2</v>
      </c>
      <c r="AJ88">
        <f t="shared" si="31"/>
        <v>9.9015320000000004E-2</v>
      </c>
      <c r="AK88">
        <v>9.9015320000000004E-2</v>
      </c>
      <c r="AL88">
        <v>0.10404151</v>
      </c>
      <c r="AM88">
        <v>0.11232876999999999</v>
      </c>
      <c r="AN88">
        <v>0.11437192</v>
      </c>
      <c r="AO88">
        <v>90.098467999999997</v>
      </c>
      <c r="AP88">
        <v>89.595849000000001</v>
      </c>
      <c r="AQ88">
        <v>88.767122999999998</v>
      </c>
      <c r="AR88">
        <v>88.562808000000004</v>
      </c>
      <c r="AS88" t="b">
        <v>0</v>
      </c>
      <c r="AT88" t="b">
        <v>0</v>
      </c>
      <c r="AU88" t="s">
        <v>78</v>
      </c>
      <c r="AV88" t="s">
        <v>78</v>
      </c>
      <c r="AW88" t="s">
        <v>79</v>
      </c>
      <c r="AX88" t="s">
        <v>129</v>
      </c>
      <c r="AY88" t="s">
        <v>234</v>
      </c>
      <c r="AZ88" t="s">
        <v>72</v>
      </c>
      <c r="BA88" t="s">
        <v>82</v>
      </c>
      <c r="BB88">
        <v>1.4</v>
      </c>
      <c r="BC88">
        <v>4.2676209999999999E-2</v>
      </c>
      <c r="BD88">
        <v>1.50718657428557E-3</v>
      </c>
      <c r="BE88">
        <v>4.4183396574285598E-2</v>
      </c>
      <c r="BF88">
        <f>IF(AK88&lt;BE88,1,0)</f>
        <v>0</v>
      </c>
      <c r="BG88">
        <f>IF(AK88&lt;BC88,1,0)</f>
        <v>0</v>
      </c>
      <c r="BH88">
        <f>VLOOKUP($B88,[1]Data_Peer_with_peerVars!$B$2:$Z$1050,20,FALSE)</f>
        <v>2</v>
      </c>
      <c r="BI88">
        <f>VLOOKUP($B88,[1]Data_Peer_with_peerVars!$B$2:$Z$1050,21,FALSE)</f>
        <v>2</v>
      </c>
      <c r="BJ88">
        <f>VLOOKUP($B88,[1]Data_Peer_with_peerVars!$B$2:$Z$1050,22,FALSE)</f>
        <v>1</v>
      </c>
      <c r="BK88">
        <f>VLOOKUP($B88,[1]Data_Peer_with_peerVars!$B$2:$Z$1050,23,FALSE)</f>
        <v>36</v>
      </c>
      <c r="BL88">
        <f>VLOOKUP($B88,[1]Data_Peer_with_peerVars!$B$2:$Z$1050,24,FALSE)</f>
        <v>29</v>
      </c>
      <c r="BM88">
        <f>VLOOKUP($B88,[1]Data_Peer_with_peerVars!$B$2:$Z$1050,25,FALSE)</f>
        <v>0.80555555599999995</v>
      </c>
    </row>
    <row r="89" spans="1:65" x14ac:dyDescent="0.2">
      <c r="A89">
        <v>1</v>
      </c>
      <c r="B89" t="s">
        <v>243</v>
      </c>
      <c r="C89">
        <v>49</v>
      </c>
      <c r="D89" t="s">
        <v>68</v>
      </c>
      <c r="E89">
        <v>1</v>
      </c>
      <c r="F89">
        <v>337</v>
      </c>
      <c r="G89" t="s">
        <v>86</v>
      </c>
      <c r="H89" s="1">
        <v>7</v>
      </c>
      <c r="I89" t="s">
        <v>87</v>
      </c>
      <c r="J89" t="s">
        <v>88</v>
      </c>
      <c r="K89" t="s">
        <v>72</v>
      </c>
      <c r="L89">
        <v>1</v>
      </c>
      <c r="M89">
        <v>0</v>
      </c>
      <c r="N89">
        <v>1</v>
      </c>
      <c r="O89">
        <v>0</v>
      </c>
      <c r="P89">
        <v>0</v>
      </c>
      <c r="Q89">
        <v>6</v>
      </c>
      <c r="R89">
        <v>0</v>
      </c>
      <c r="S89">
        <v>0</v>
      </c>
      <c r="T89">
        <v>0</v>
      </c>
      <c r="U89">
        <v>1</v>
      </c>
      <c r="V89">
        <f t="shared" si="30"/>
        <v>1</v>
      </c>
      <c r="W89">
        <v>1</v>
      </c>
      <c r="X89">
        <v>1</v>
      </c>
      <c r="Y89">
        <v>1</v>
      </c>
      <c r="Z89" t="s">
        <v>73</v>
      </c>
      <c r="AA89" s="5" t="s">
        <v>73</v>
      </c>
      <c r="AB89" s="5" t="s">
        <v>73</v>
      </c>
      <c r="AC89" t="s">
        <v>73</v>
      </c>
      <c r="AD89" t="s">
        <v>94</v>
      </c>
      <c r="AE89" s="5" t="s">
        <v>94</v>
      </c>
      <c r="AF89" t="s">
        <v>95</v>
      </c>
      <c r="AG89" t="s">
        <v>107</v>
      </c>
      <c r="AH89">
        <f t="shared" ref="AH89:AH99" si="43">AI89</f>
        <v>0.10223554999999999</v>
      </c>
      <c r="AI89">
        <f t="shared" ref="AI89:AI99" si="44">AJ89</f>
        <v>0.10223554999999999</v>
      </c>
      <c r="AJ89">
        <f t="shared" si="31"/>
        <v>0.10223554999999999</v>
      </c>
      <c r="AK89">
        <v>0.10223554999999999</v>
      </c>
      <c r="AL89">
        <v>0.12145197000000001</v>
      </c>
      <c r="AM89">
        <v>0.14153004999999999</v>
      </c>
      <c r="AN89">
        <v>0.14266155999999999</v>
      </c>
      <c r="AO89">
        <v>89.776444999999995</v>
      </c>
      <c r="AP89">
        <v>87.854803000000004</v>
      </c>
      <c r="AQ89">
        <v>85.846995000000007</v>
      </c>
      <c r="AR89">
        <v>85.733844000000005</v>
      </c>
      <c r="AS89" t="b">
        <v>1</v>
      </c>
      <c r="AT89" t="b">
        <v>0</v>
      </c>
      <c r="AU89" t="s">
        <v>78</v>
      </c>
      <c r="AV89" t="s">
        <v>78</v>
      </c>
      <c r="AW89" t="s">
        <v>79</v>
      </c>
      <c r="AX89" t="s">
        <v>129</v>
      </c>
      <c r="AY89" t="s">
        <v>234</v>
      </c>
      <c r="AZ89" t="s">
        <v>72</v>
      </c>
      <c r="BA89" t="s">
        <v>82</v>
      </c>
      <c r="BB89">
        <v>1</v>
      </c>
      <c r="BC89">
        <v>4.1163553999999996E-3</v>
      </c>
      <c r="BD89">
        <v>1.4279989108178799E-4</v>
      </c>
      <c r="BE89">
        <v>4.2591552910817903E-3</v>
      </c>
      <c r="BF89">
        <f>IF(AK89&lt;BE89,1,0)</f>
        <v>0</v>
      </c>
      <c r="BG89">
        <f>IF(AK89&lt;BC89,1,0)</f>
        <v>0</v>
      </c>
      <c r="BH89">
        <f>VLOOKUP($B89,[1]Data_Peer_with_peerVars!$B$2:$Z$1050,20,FALSE)</f>
        <v>2</v>
      </c>
      <c r="BI89">
        <f>VLOOKUP($B89,[1]Data_Peer_with_peerVars!$B$2:$Z$1050,21,FALSE)</f>
        <v>0</v>
      </c>
      <c r="BJ89">
        <f>VLOOKUP($B89,[1]Data_Peer_with_peerVars!$B$2:$Z$1050,22,FALSE)</f>
        <v>0</v>
      </c>
      <c r="BK89">
        <f>VLOOKUP($B89,[1]Data_Peer_with_peerVars!$B$2:$Z$1050,23,FALSE)</f>
        <v>23</v>
      </c>
      <c r="BL89">
        <f>VLOOKUP($B89,[1]Data_Peer_with_peerVars!$B$2:$Z$1050,24,FALSE)</f>
        <v>14</v>
      </c>
      <c r="BM89">
        <f>VLOOKUP($B89,[1]Data_Peer_with_peerVars!$B$2:$Z$1050,25,FALSE)</f>
        <v>0.60869565199999998</v>
      </c>
    </row>
    <row r="90" spans="1:65" x14ac:dyDescent="0.2">
      <c r="A90">
        <v>1</v>
      </c>
      <c r="B90" t="s">
        <v>244</v>
      </c>
      <c r="C90">
        <v>49</v>
      </c>
      <c r="D90" t="s">
        <v>68</v>
      </c>
      <c r="E90">
        <v>1</v>
      </c>
      <c r="F90">
        <v>337</v>
      </c>
      <c r="G90" t="s">
        <v>86</v>
      </c>
      <c r="H90" s="1">
        <v>7</v>
      </c>
      <c r="I90" t="s">
        <v>87</v>
      </c>
      <c r="J90" t="s">
        <v>88</v>
      </c>
      <c r="K90" t="s">
        <v>72</v>
      </c>
      <c r="L90">
        <v>1</v>
      </c>
      <c r="M90">
        <v>0</v>
      </c>
      <c r="N90">
        <v>1</v>
      </c>
      <c r="O90">
        <v>0</v>
      </c>
      <c r="P90">
        <v>0</v>
      </c>
      <c r="Q90">
        <v>6</v>
      </c>
      <c r="R90">
        <v>0</v>
      </c>
      <c r="S90">
        <v>0</v>
      </c>
      <c r="T90">
        <v>0</v>
      </c>
      <c r="U90">
        <v>0</v>
      </c>
      <c r="V90">
        <f t="shared" si="30"/>
        <v>1</v>
      </c>
      <c r="W90">
        <v>1</v>
      </c>
      <c r="X90">
        <v>1</v>
      </c>
      <c r="Y90">
        <v>1</v>
      </c>
      <c r="Z90" t="s">
        <v>76</v>
      </c>
      <c r="AA90" s="5" t="s">
        <v>76</v>
      </c>
      <c r="AB90" s="5" t="s">
        <v>76</v>
      </c>
      <c r="AC90" t="s">
        <v>76</v>
      </c>
      <c r="AD90" t="s">
        <v>74</v>
      </c>
      <c r="AE90" s="5" t="s">
        <v>74</v>
      </c>
      <c r="AF90" t="s">
        <v>75</v>
      </c>
      <c r="AG90" t="s">
        <v>120</v>
      </c>
      <c r="AH90">
        <f t="shared" si="43"/>
        <v>7.1820179999999997E-2</v>
      </c>
      <c r="AI90">
        <f t="shared" si="44"/>
        <v>7.1820179999999997E-2</v>
      </c>
      <c r="AJ90">
        <f t="shared" si="31"/>
        <v>7.1820179999999997E-2</v>
      </c>
      <c r="AK90">
        <v>7.1820179999999997E-2</v>
      </c>
      <c r="AL90">
        <v>7.8932896000000002E-2</v>
      </c>
      <c r="AM90">
        <v>0.11339923</v>
      </c>
      <c r="AN90">
        <v>0.11677632</v>
      </c>
      <c r="AO90">
        <v>92.817982000000001</v>
      </c>
      <c r="AP90">
        <v>92.106710399999997</v>
      </c>
      <c r="AQ90">
        <v>88.660077000000001</v>
      </c>
      <c r="AR90">
        <v>88.322367999999997</v>
      </c>
      <c r="AS90" t="b">
        <v>1</v>
      </c>
      <c r="AT90" t="b">
        <v>0</v>
      </c>
      <c r="AU90" t="s">
        <v>77</v>
      </c>
      <c r="AV90" t="s">
        <v>77</v>
      </c>
      <c r="AW90" t="s">
        <v>79</v>
      </c>
      <c r="AX90" t="s">
        <v>129</v>
      </c>
      <c r="AY90" t="s">
        <v>234</v>
      </c>
      <c r="AZ90" t="s">
        <v>72</v>
      </c>
      <c r="BA90" t="s">
        <v>82</v>
      </c>
      <c r="BB90">
        <v>1</v>
      </c>
      <c r="BC90">
        <v>7.7070764999999999E-2</v>
      </c>
      <c r="BD90">
        <v>1.90190515067399E-3</v>
      </c>
      <c r="BE90">
        <v>7.8972670150673996E-2</v>
      </c>
      <c r="BF90">
        <f>IF(AK90&lt;BE90,1,0)</f>
        <v>1</v>
      </c>
      <c r="BG90">
        <f>IF(AK90&lt;BC90,1,0)</f>
        <v>1</v>
      </c>
      <c r="BH90">
        <f>VLOOKUP($B90,[1]Data_Peer_with_peerVars!$B$2:$Z$1050,20,FALSE)</f>
        <v>2</v>
      </c>
      <c r="BI90">
        <f>VLOOKUP($B90,[1]Data_Peer_with_peerVars!$B$2:$Z$1050,21,FALSE)</f>
        <v>0</v>
      </c>
      <c r="BJ90">
        <f>VLOOKUP($B90,[1]Data_Peer_with_peerVars!$B$2:$Z$1050,22,FALSE)</f>
        <v>0</v>
      </c>
      <c r="BK90">
        <f>VLOOKUP($B90,[1]Data_Peer_with_peerVars!$B$2:$Z$1050,23,FALSE)</f>
        <v>23</v>
      </c>
      <c r="BL90">
        <f>VLOOKUP($B90,[1]Data_Peer_with_peerVars!$B$2:$Z$1050,24,FALSE)</f>
        <v>14</v>
      </c>
      <c r="BM90">
        <f>VLOOKUP($B90,[1]Data_Peer_with_peerVars!$B$2:$Z$1050,25,FALSE)</f>
        <v>0.60869565199999998</v>
      </c>
    </row>
    <row r="91" spans="1:65" x14ac:dyDescent="0.2">
      <c r="A91">
        <v>1</v>
      </c>
      <c r="B91" t="s">
        <v>245</v>
      </c>
      <c r="C91">
        <v>50</v>
      </c>
      <c r="D91" t="s">
        <v>68</v>
      </c>
      <c r="E91">
        <v>1</v>
      </c>
      <c r="F91">
        <v>338</v>
      </c>
      <c r="G91" t="s">
        <v>69</v>
      </c>
      <c r="H91" s="1">
        <v>7</v>
      </c>
      <c r="J91" t="s">
        <v>82</v>
      </c>
      <c r="L91">
        <v>1</v>
      </c>
      <c r="M91">
        <v>0</v>
      </c>
      <c r="N91">
        <v>1</v>
      </c>
      <c r="O91">
        <v>0</v>
      </c>
      <c r="P91">
        <v>0</v>
      </c>
      <c r="Q91">
        <v>11</v>
      </c>
      <c r="R91">
        <v>0</v>
      </c>
      <c r="S91">
        <v>0</v>
      </c>
      <c r="T91">
        <v>0</v>
      </c>
      <c r="U91">
        <v>0</v>
      </c>
      <c r="V91">
        <f t="shared" si="30"/>
        <v>1</v>
      </c>
      <c r="W91">
        <v>1</v>
      </c>
      <c r="X91">
        <v>1</v>
      </c>
      <c r="Y91">
        <v>1</v>
      </c>
      <c r="Z91" t="s">
        <v>73</v>
      </c>
      <c r="AA91" s="5" t="s">
        <v>73</v>
      </c>
      <c r="AB91" s="5" t="s">
        <v>73</v>
      </c>
      <c r="AC91" t="s">
        <v>73</v>
      </c>
      <c r="AD91" t="s">
        <v>94</v>
      </c>
      <c r="AE91" s="5" t="s">
        <v>94</v>
      </c>
      <c r="AF91" t="s">
        <v>75</v>
      </c>
      <c r="AG91" t="s">
        <v>95</v>
      </c>
      <c r="AH91">
        <f t="shared" si="43"/>
        <v>5.6706652000000003E-2</v>
      </c>
      <c r="AI91">
        <f t="shared" si="44"/>
        <v>5.6706652000000003E-2</v>
      </c>
      <c r="AJ91">
        <f t="shared" si="31"/>
        <v>5.6706652000000003E-2</v>
      </c>
      <c r="AK91">
        <v>5.6706652000000003E-2</v>
      </c>
      <c r="AL91">
        <v>0.12172489</v>
      </c>
      <c r="AM91">
        <v>0.12698413</v>
      </c>
      <c r="AN91">
        <v>0.14106070000000001</v>
      </c>
      <c r="AO91">
        <v>94.329334799999998</v>
      </c>
      <c r="AP91">
        <v>87.827511000000001</v>
      </c>
      <c r="AQ91">
        <v>87.301586999999998</v>
      </c>
      <c r="AR91">
        <v>85.893929999999997</v>
      </c>
      <c r="AS91" t="b">
        <v>0</v>
      </c>
      <c r="AT91" t="b">
        <v>0</v>
      </c>
      <c r="AU91" t="s">
        <v>92</v>
      </c>
      <c r="AV91" t="s">
        <v>92</v>
      </c>
      <c r="AW91" t="s">
        <v>79</v>
      </c>
      <c r="AX91" t="s">
        <v>129</v>
      </c>
      <c r="AY91" t="s">
        <v>231</v>
      </c>
      <c r="AZ91" t="s">
        <v>82</v>
      </c>
      <c r="BA91" t="s">
        <v>82</v>
      </c>
      <c r="BB91">
        <v>1</v>
      </c>
      <c r="BC91">
        <v>4.1163553999999996E-3</v>
      </c>
      <c r="BD91">
        <v>1.4279989108178799E-4</v>
      </c>
      <c r="BE91">
        <v>4.2591552910817903E-3</v>
      </c>
      <c r="BF91">
        <f>IF(AK91&lt;BE91,1,0)</f>
        <v>0</v>
      </c>
      <c r="BG91">
        <f>IF(AK91&lt;BC91,1,0)</f>
        <v>0</v>
      </c>
      <c r="BH91">
        <f>VLOOKUP($B91,[1]Data_Peer_with_peerVars!$B$2:$Z$1050,20,FALSE)</f>
        <v>3</v>
      </c>
      <c r="BI91">
        <f>VLOOKUP($B91,[1]Data_Peer_with_peerVars!$B$2:$Z$1050,21,FALSE)</f>
        <v>2</v>
      </c>
      <c r="BJ91">
        <f>VLOOKUP($B91,[1]Data_Peer_with_peerVars!$B$2:$Z$1050,22,FALSE)</f>
        <v>0.66666666699999999</v>
      </c>
      <c r="BK91">
        <f>VLOOKUP($B91,[1]Data_Peer_with_peerVars!$B$2:$Z$1050,23,FALSE)</f>
        <v>38</v>
      </c>
      <c r="BL91">
        <f>VLOOKUP($B91,[1]Data_Peer_with_peerVars!$B$2:$Z$1050,24,FALSE)</f>
        <v>30</v>
      </c>
      <c r="BM91">
        <f>VLOOKUP($B91,[1]Data_Peer_with_peerVars!$B$2:$Z$1050,25,FALSE)</f>
        <v>0.78947368399999995</v>
      </c>
    </row>
    <row r="92" spans="1:65" x14ac:dyDescent="0.2">
      <c r="A92">
        <v>1</v>
      </c>
      <c r="B92" t="s">
        <v>246</v>
      </c>
      <c r="C92">
        <v>50</v>
      </c>
      <c r="D92" t="s">
        <v>68</v>
      </c>
      <c r="E92">
        <v>1</v>
      </c>
      <c r="F92">
        <v>338</v>
      </c>
      <c r="G92" t="s">
        <v>69</v>
      </c>
      <c r="H92" s="1">
        <v>7</v>
      </c>
      <c r="J92" t="s">
        <v>82</v>
      </c>
      <c r="L92">
        <v>1</v>
      </c>
      <c r="M92">
        <v>0</v>
      </c>
      <c r="N92">
        <v>1</v>
      </c>
      <c r="O92">
        <v>0</v>
      </c>
      <c r="P92">
        <v>0</v>
      </c>
      <c r="Q92">
        <v>11</v>
      </c>
      <c r="R92">
        <v>0</v>
      </c>
      <c r="S92">
        <v>0</v>
      </c>
      <c r="T92">
        <v>0</v>
      </c>
      <c r="U92">
        <v>0</v>
      </c>
      <c r="V92">
        <f t="shared" si="30"/>
        <v>1</v>
      </c>
      <c r="W92">
        <v>1</v>
      </c>
      <c r="X92">
        <v>1</v>
      </c>
      <c r="Y92">
        <v>1</v>
      </c>
      <c r="Z92" t="s">
        <v>76</v>
      </c>
      <c r="AA92" s="5" t="s">
        <v>76</v>
      </c>
      <c r="AB92" s="5" t="s">
        <v>76</v>
      </c>
      <c r="AC92" t="s">
        <v>76</v>
      </c>
      <c r="AD92" t="s">
        <v>74</v>
      </c>
      <c r="AE92" s="5" t="s">
        <v>74</v>
      </c>
      <c r="AF92" t="s">
        <v>120</v>
      </c>
      <c r="AG92" t="s">
        <v>75</v>
      </c>
      <c r="AH92">
        <f t="shared" si="43"/>
        <v>8.3014749999999998E-2</v>
      </c>
      <c r="AI92">
        <f t="shared" si="44"/>
        <v>8.3014749999999998E-2</v>
      </c>
      <c r="AJ92">
        <f t="shared" si="31"/>
        <v>8.3014749999999998E-2</v>
      </c>
      <c r="AK92">
        <v>8.3014749999999998E-2</v>
      </c>
      <c r="AL92">
        <v>8.7123290000000006E-2</v>
      </c>
      <c r="AM92">
        <v>0.1182414</v>
      </c>
      <c r="AN92">
        <v>0.12253828999999999</v>
      </c>
      <c r="AO92">
        <v>91.698525000000004</v>
      </c>
      <c r="AP92">
        <v>91.287671000000003</v>
      </c>
      <c r="AQ92">
        <v>88.17586</v>
      </c>
      <c r="AR92">
        <v>87.746171000000004</v>
      </c>
      <c r="AS92" t="b">
        <v>1</v>
      </c>
      <c r="AT92" t="b">
        <v>0</v>
      </c>
      <c r="AU92" t="s">
        <v>77</v>
      </c>
      <c r="AV92" t="s">
        <v>77</v>
      </c>
      <c r="AW92" t="s">
        <v>79</v>
      </c>
      <c r="AX92" t="s">
        <v>129</v>
      </c>
      <c r="AY92" t="s">
        <v>231</v>
      </c>
      <c r="AZ92" t="s">
        <v>72</v>
      </c>
      <c r="BA92" t="s">
        <v>82</v>
      </c>
      <c r="BB92">
        <v>1</v>
      </c>
      <c r="BC92">
        <v>7.7070764999999999E-2</v>
      </c>
      <c r="BD92">
        <v>1.90190515067399E-3</v>
      </c>
      <c r="BE92">
        <v>7.8972670150673996E-2</v>
      </c>
      <c r="BF92">
        <f>IF(AK92&lt;BE92,1,0)</f>
        <v>0</v>
      </c>
      <c r="BG92">
        <f>IF(AK92&lt;BC92,1,0)</f>
        <v>0</v>
      </c>
      <c r="BH92">
        <f>VLOOKUP($B92,[1]Data_Peer_with_peerVars!$B$2:$Z$1050,20,FALSE)</f>
        <v>3</v>
      </c>
      <c r="BI92">
        <f>VLOOKUP($B92,[1]Data_Peer_with_peerVars!$B$2:$Z$1050,21,FALSE)</f>
        <v>2</v>
      </c>
      <c r="BJ92">
        <f>VLOOKUP($B92,[1]Data_Peer_with_peerVars!$B$2:$Z$1050,22,FALSE)</f>
        <v>0.66666666699999999</v>
      </c>
      <c r="BK92">
        <f>VLOOKUP($B92,[1]Data_Peer_with_peerVars!$B$2:$Z$1050,23,FALSE)</f>
        <v>38</v>
      </c>
      <c r="BL92">
        <f>VLOOKUP($B92,[1]Data_Peer_with_peerVars!$B$2:$Z$1050,24,FALSE)</f>
        <v>30</v>
      </c>
      <c r="BM92">
        <f>VLOOKUP($B92,[1]Data_Peer_with_peerVars!$B$2:$Z$1050,25,FALSE)</f>
        <v>0.78947368399999995</v>
      </c>
    </row>
    <row r="93" spans="1:65" x14ac:dyDescent="0.2">
      <c r="A93">
        <v>1</v>
      </c>
      <c r="B93" t="s">
        <v>247</v>
      </c>
      <c r="C93">
        <v>51</v>
      </c>
      <c r="D93" t="s">
        <v>68</v>
      </c>
      <c r="E93">
        <v>0</v>
      </c>
      <c r="F93">
        <v>534</v>
      </c>
      <c r="G93" t="s">
        <v>97</v>
      </c>
      <c r="H93" s="1">
        <v>7</v>
      </c>
      <c r="I93" t="s">
        <v>87</v>
      </c>
      <c r="J93" t="s">
        <v>150</v>
      </c>
      <c r="K93" t="s">
        <v>109</v>
      </c>
      <c r="L93">
        <v>1</v>
      </c>
      <c r="M93">
        <v>1</v>
      </c>
      <c r="N93">
        <v>1</v>
      </c>
      <c r="O93">
        <v>0</v>
      </c>
      <c r="P93">
        <v>0</v>
      </c>
      <c r="Q93">
        <v>16</v>
      </c>
      <c r="R93">
        <v>0</v>
      </c>
      <c r="S93">
        <v>0</v>
      </c>
      <c r="T93">
        <v>1</v>
      </c>
      <c r="U93">
        <v>1</v>
      </c>
      <c r="V93">
        <f t="shared" si="30"/>
        <v>1</v>
      </c>
      <c r="W93">
        <v>1</v>
      </c>
      <c r="X93">
        <v>1</v>
      </c>
      <c r="Y93">
        <v>1</v>
      </c>
      <c r="Z93" t="s">
        <v>73</v>
      </c>
      <c r="AA93" s="5" t="s">
        <v>73</v>
      </c>
      <c r="AB93" s="5" t="s">
        <v>73</v>
      </c>
      <c r="AC93" t="s">
        <v>73</v>
      </c>
      <c r="AD93" t="s">
        <v>94</v>
      </c>
      <c r="AE93" s="5" t="s">
        <v>106</v>
      </c>
      <c r="AF93" t="s">
        <v>107</v>
      </c>
      <c r="AG93" t="s">
        <v>95</v>
      </c>
      <c r="AH93">
        <f t="shared" si="43"/>
        <v>3.8167940000000001E-3</v>
      </c>
      <c r="AI93">
        <f t="shared" si="44"/>
        <v>3.8167940000000001E-3</v>
      </c>
      <c r="AJ93">
        <f t="shared" si="31"/>
        <v>3.8167940000000001E-3</v>
      </c>
      <c r="AK93">
        <v>3.8167940000000001E-3</v>
      </c>
      <c r="AL93">
        <v>0.13196722</v>
      </c>
      <c r="AM93">
        <v>0.13678728000000001</v>
      </c>
      <c r="AN93">
        <v>0.13949671</v>
      </c>
      <c r="AO93">
        <v>99.618320600000004</v>
      </c>
      <c r="AP93">
        <v>86.803278000000006</v>
      </c>
      <c r="AQ93">
        <v>86.321271999999993</v>
      </c>
      <c r="AR93">
        <v>86.050329000000005</v>
      </c>
      <c r="AS93" t="b">
        <v>1</v>
      </c>
      <c r="AT93" t="b">
        <v>0</v>
      </c>
      <c r="AU93" t="s">
        <v>77</v>
      </c>
      <c r="AV93" t="s">
        <v>108</v>
      </c>
      <c r="AW93" t="s">
        <v>79</v>
      </c>
      <c r="AX93" t="s">
        <v>129</v>
      </c>
      <c r="AY93" t="s">
        <v>234</v>
      </c>
      <c r="AZ93" t="s">
        <v>109</v>
      </c>
      <c r="BA93">
        <v>100</v>
      </c>
      <c r="BB93">
        <v>0.7</v>
      </c>
      <c r="BC93">
        <v>4.1163553999999996E-3</v>
      </c>
      <c r="BD93">
        <v>1.4279989108178799E-4</v>
      </c>
      <c r="BE93">
        <v>4.2591552910817903E-3</v>
      </c>
      <c r="BF93">
        <f>IF(AK93&lt;BE93,1,0)</f>
        <v>1</v>
      </c>
      <c r="BG93">
        <f>IF(AK93&lt;BC93,1,0)</f>
        <v>1</v>
      </c>
      <c r="BH93">
        <f>VLOOKUP($B93,[1]Data_Peer_with_peerVars!$B$2:$Z$1050,20,FALSE)</f>
        <v>0</v>
      </c>
      <c r="BI93">
        <f>VLOOKUP($B93,[1]Data_Peer_with_peerVars!$B$2:$Z$1050,21,FALSE)</f>
        <v>0</v>
      </c>
      <c r="BJ93">
        <v>0</v>
      </c>
      <c r="BK93">
        <f>VLOOKUP($B93,[1]Data_Peer_with_peerVars!$B$2:$Z$1050,23,FALSE)</f>
        <v>31</v>
      </c>
      <c r="BL93">
        <f>VLOOKUP($B93,[1]Data_Peer_with_peerVars!$B$2:$Z$1050,24,FALSE)</f>
        <v>20</v>
      </c>
      <c r="BM93">
        <f>VLOOKUP($B93,[1]Data_Peer_with_peerVars!$B$2:$Z$1050,25,FALSE)</f>
        <v>0.64516129</v>
      </c>
    </row>
    <row r="94" spans="1:65" x14ac:dyDescent="0.2">
      <c r="A94">
        <v>1</v>
      </c>
      <c r="B94" t="s">
        <v>248</v>
      </c>
      <c r="C94">
        <v>52</v>
      </c>
      <c r="D94" t="s">
        <v>68</v>
      </c>
      <c r="E94">
        <v>1</v>
      </c>
      <c r="F94">
        <v>314</v>
      </c>
      <c r="G94" t="s">
        <v>69</v>
      </c>
      <c r="H94" s="1">
        <v>7</v>
      </c>
      <c r="I94" t="s">
        <v>87</v>
      </c>
      <c r="J94" t="s">
        <v>111</v>
      </c>
      <c r="K94" t="s">
        <v>109</v>
      </c>
      <c r="L94">
        <v>1</v>
      </c>
      <c r="M94">
        <v>0</v>
      </c>
      <c r="N94">
        <v>1</v>
      </c>
      <c r="O94">
        <v>0</v>
      </c>
      <c r="P94">
        <v>0</v>
      </c>
      <c r="Q94">
        <v>6</v>
      </c>
      <c r="R94">
        <v>0</v>
      </c>
      <c r="S94">
        <v>0</v>
      </c>
      <c r="T94">
        <v>0</v>
      </c>
      <c r="U94">
        <v>1</v>
      </c>
      <c r="V94">
        <f t="shared" si="30"/>
        <v>1</v>
      </c>
      <c r="W94">
        <v>1</v>
      </c>
      <c r="X94">
        <v>1</v>
      </c>
      <c r="Y94">
        <v>1</v>
      </c>
      <c r="Z94" t="s">
        <v>73</v>
      </c>
      <c r="AA94" s="5" t="s">
        <v>73</v>
      </c>
      <c r="AB94" s="5" t="s">
        <v>73</v>
      </c>
      <c r="AC94" t="s">
        <v>73</v>
      </c>
      <c r="AD94" t="s">
        <v>75</v>
      </c>
      <c r="AE94" s="5" t="s">
        <v>75</v>
      </c>
      <c r="AF94" t="s">
        <v>94</v>
      </c>
      <c r="AG94" t="s">
        <v>107</v>
      </c>
      <c r="AH94">
        <f t="shared" si="43"/>
        <v>2.7838427999999998E-2</v>
      </c>
      <c r="AI94">
        <f t="shared" si="44"/>
        <v>2.7838427999999998E-2</v>
      </c>
      <c r="AJ94">
        <f t="shared" si="31"/>
        <v>2.7838427999999998E-2</v>
      </c>
      <c r="AK94">
        <v>2.7838427999999998E-2</v>
      </c>
      <c r="AL94">
        <v>0.118017524</v>
      </c>
      <c r="AM94">
        <v>0.13661203</v>
      </c>
      <c r="AN94">
        <v>0.13788376999999999</v>
      </c>
      <c r="AO94">
        <v>97.216157199999998</v>
      </c>
      <c r="AP94">
        <v>88.198247600000002</v>
      </c>
      <c r="AQ94">
        <v>86.338797</v>
      </c>
      <c r="AR94">
        <v>86.211623000000003</v>
      </c>
      <c r="AS94" t="b">
        <v>1</v>
      </c>
      <c r="AT94" t="b">
        <v>0</v>
      </c>
      <c r="AU94" t="s">
        <v>77</v>
      </c>
      <c r="AV94" t="s">
        <v>78</v>
      </c>
      <c r="AW94" t="s">
        <v>79</v>
      </c>
      <c r="AX94" t="s">
        <v>249</v>
      </c>
      <c r="AY94" t="s">
        <v>250</v>
      </c>
      <c r="AZ94" t="s">
        <v>109</v>
      </c>
      <c r="BA94">
        <v>2</v>
      </c>
      <c r="BB94">
        <v>2.1</v>
      </c>
      <c r="BC94">
        <v>4.1163553999999996E-3</v>
      </c>
      <c r="BD94">
        <v>1.4279989108178799E-4</v>
      </c>
      <c r="BE94">
        <v>4.2591552910817903E-3</v>
      </c>
      <c r="BF94">
        <f>IF(AK94&lt;BE94,1,0)</f>
        <v>0</v>
      </c>
      <c r="BG94">
        <f>IF(AK94&lt;BC94,1,0)</f>
        <v>0</v>
      </c>
      <c r="BH94">
        <f>VLOOKUP($B94,[1]Data_Peer_with_peerVars!$B$2:$Z$1050,20,FALSE)</f>
        <v>0</v>
      </c>
      <c r="BI94">
        <f>VLOOKUP($B94,[1]Data_Peer_with_peerVars!$B$2:$Z$1050,21,FALSE)</f>
        <v>0</v>
      </c>
      <c r="BJ94">
        <v>0</v>
      </c>
      <c r="BK94">
        <f>VLOOKUP($B94,[1]Data_Peer_with_peerVars!$B$2:$Z$1050,23,FALSE)</f>
        <v>2</v>
      </c>
      <c r="BL94">
        <f>VLOOKUP($B94,[1]Data_Peer_with_peerVars!$B$2:$Z$1050,24,FALSE)</f>
        <v>2</v>
      </c>
      <c r="BM94">
        <f>VLOOKUP($B94,[1]Data_Peer_with_peerVars!$B$2:$Z$1050,25,FALSE)</f>
        <v>1</v>
      </c>
    </row>
    <row r="95" spans="1:65" x14ac:dyDescent="0.2">
      <c r="A95">
        <v>1</v>
      </c>
      <c r="B95" t="s">
        <v>251</v>
      </c>
      <c r="C95">
        <v>53</v>
      </c>
      <c r="D95" t="s">
        <v>68</v>
      </c>
      <c r="E95">
        <v>1</v>
      </c>
      <c r="F95">
        <v>324</v>
      </c>
      <c r="G95" t="s">
        <v>69</v>
      </c>
      <c r="H95" s="1">
        <v>7</v>
      </c>
      <c r="I95" t="s">
        <v>87</v>
      </c>
      <c r="J95" t="s">
        <v>88</v>
      </c>
      <c r="K95" t="s">
        <v>72</v>
      </c>
      <c r="L95">
        <v>2</v>
      </c>
      <c r="M95">
        <v>0</v>
      </c>
      <c r="N95">
        <v>1</v>
      </c>
      <c r="O95">
        <v>1</v>
      </c>
      <c r="P95">
        <v>0</v>
      </c>
      <c r="Q95">
        <v>11</v>
      </c>
      <c r="R95">
        <v>0</v>
      </c>
      <c r="S95">
        <v>0</v>
      </c>
      <c r="T95">
        <v>0</v>
      </c>
      <c r="U95">
        <v>0</v>
      </c>
      <c r="V95">
        <f t="shared" si="30"/>
        <v>1</v>
      </c>
      <c r="W95">
        <v>1</v>
      </c>
      <c r="X95">
        <v>1</v>
      </c>
      <c r="Y95">
        <v>1</v>
      </c>
      <c r="Z95" t="s">
        <v>73</v>
      </c>
      <c r="AA95" s="5" t="s">
        <v>73</v>
      </c>
      <c r="AB95" s="5" t="s">
        <v>73</v>
      </c>
      <c r="AC95" t="s">
        <v>73</v>
      </c>
      <c r="AD95" t="s">
        <v>75</v>
      </c>
      <c r="AE95" s="5" t="s">
        <v>75</v>
      </c>
      <c r="AF95" t="s">
        <v>94</v>
      </c>
      <c r="AG95" t="s">
        <v>74</v>
      </c>
      <c r="AH95">
        <f t="shared" si="43"/>
        <v>3.4661572000000002E-2</v>
      </c>
      <c r="AI95">
        <f t="shared" si="44"/>
        <v>3.4661572000000002E-2</v>
      </c>
      <c r="AJ95">
        <f t="shared" si="31"/>
        <v>3.4661572000000002E-2</v>
      </c>
      <c r="AK95">
        <v>3.4661572000000002E-2</v>
      </c>
      <c r="AL95">
        <v>0.1118421</v>
      </c>
      <c r="AM95">
        <v>0.13484682000000001</v>
      </c>
      <c r="AN95">
        <v>0.14140581999999999</v>
      </c>
      <c r="AO95">
        <v>96.533842800000002</v>
      </c>
      <c r="AP95">
        <v>88.815790000000007</v>
      </c>
      <c r="AQ95">
        <v>86.515317999999994</v>
      </c>
      <c r="AR95">
        <v>85.859418000000005</v>
      </c>
      <c r="AS95" t="b">
        <v>1</v>
      </c>
      <c r="AT95" t="b">
        <v>0</v>
      </c>
      <c r="AU95" t="s">
        <v>77</v>
      </c>
      <c r="AV95" t="s">
        <v>78</v>
      </c>
      <c r="AW95" t="s">
        <v>79</v>
      </c>
      <c r="AX95" t="s">
        <v>249</v>
      </c>
      <c r="AY95" t="s">
        <v>252</v>
      </c>
      <c r="AZ95" t="s">
        <v>72</v>
      </c>
      <c r="BA95" t="s">
        <v>82</v>
      </c>
      <c r="BB95">
        <v>0.5</v>
      </c>
      <c r="BC95">
        <v>4.1163553999999996E-3</v>
      </c>
      <c r="BD95">
        <v>1.4279989108178799E-4</v>
      </c>
      <c r="BE95">
        <v>4.2591552910817903E-3</v>
      </c>
      <c r="BF95">
        <f>IF(AK95&lt;BE95,1,0)</f>
        <v>0</v>
      </c>
      <c r="BG95">
        <f>IF(AK95&lt;BC95,1,0)</f>
        <v>0</v>
      </c>
      <c r="BH95">
        <f>VLOOKUP($B95,[1]Data_Peer_with_peerVars!$B$2:$Z$1050,20,FALSE)</f>
        <v>11</v>
      </c>
      <c r="BI95">
        <f>VLOOKUP($B95,[1]Data_Peer_with_peerVars!$B$2:$Z$1050,21,FALSE)</f>
        <v>9</v>
      </c>
      <c r="BJ95">
        <f>VLOOKUP($B95,[1]Data_Peer_with_peerVars!$B$2:$Z$1050,22,FALSE)</f>
        <v>0.81818181800000001</v>
      </c>
      <c r="BK95">
        <f>VLOOKUP($B95,[1]Data_Peer_with_peerVars!$B$2:$Z$1050,23,FALSE)</f>
        <v>46</v>
      </c>
      <c r="BL95">
        <f>VLOOKUP($B95,[1]Data_Peer_with_peerVars!$B$2:$Z$1050,24,FALSE)</f>
        <v>35</v>
      </c>
      <c r="BM95">
        <f>VLOOKUP($B95,[1]Data_Peer_with_peerVars!$B$2:$Z$1050,25,FALSE)</f>
        <v>0.76086956500000003</v>
      </c>
    </row>
    <row r="96" spans="1:65" x14ac:dyDescent="0.2">
      <c r="A96">
        <v>1</v>
      </c>
      <c r="B96" t="s">
        <v>253</v>
      </c>
      <c r="C96">
        <v>54</v>
      </c>
      <c r="D96" t="s">
        <v>68</v>
      </c>
      <c r="E96">
        <v>1</v>
      </c>
      <c r="F96">
        <v>375</v>
      </c>
      <c r="G96" t="s">
        <v>86</v>
      </c>
      <c r="H96" s="1">
        <v>7</v>
      </c>
      <c r="I96" t="s">
        <v>87</v>
      </c>
      <c r="J96" t="s">
        <v>111</v>
      </c>
      <c r="K96" t="s">
        <v>109</v>
      </c>
      <c r="L96">
        <v>1</v>
      </c>
      <c r="M96">
        <v>1</v>
      </c>
      <c r="N96">
        <v>1</v>
      </c>
      <c r="O96">
        <v>0</v>
      </c>
      <c r="P96">
        <v>0</v>
      </c>
      <c r="Q96">
        <v>5</v>
      </c>
      <c r="R96">
        <v>0</v>
      </c>
      <c r="S96">
        <v>0</v>
      </c>
      <c r="T96">
        <v>0</v>
      </c>
      <c r="U96">
        <v>0</v>
      </c>
      <c r="V96">
        <f t="shared" si="30"/>
        <v>1</v>
      </c>
      <c r="W96">
        <v>1</v>
      </c>
      <c r="X96">
        <v>1</v>
      </c>
      <c r="Y96">
        <v>1</v>
      </c>
      <c r="Z96" t="s">
        <v>76</v>
      </c>
      <c r="AA96" s="5" t="s">
        <v>76</v>
      </c>
      <c r="AB96" s="5" t="s">
        <v>76</v>
      </c>
      <c r="AC96" t="s">
        <v>76</v>
      </c>
      <c r="AD96" t="s">
        <v>74</v>
      </c>
      <c r="AE96" s="5" t="s">
        <v>74</v>
      </c>
      <c r="AF96" t="s">
        <v>120</v>
      </c>
      <c r="AG96" t="s">
        <v>75</v>
      </c>
      <c r="AH96">
        <f t="shared" si="43"/>
        <v>8.1103220000000004E-2</v>
      </c>
      <c r="AI96">
        <f t="shared" si="44"/>
        <v>8.1103220000000004E-2</v>
      </c>
      <c r="AJ96">
        <f t="shared" si="31"/>
        <v>8.1103220000000004E-2</v>
      </c>
      <c r="AK96">
        <v>8.1103220000000004E-2</v>
      </c>
      <c r="AL96">
        <v>8.8767126000000002E-2</v>
      </c>
      <c r="AM96">
        <v>0.1127799</v>
      </c>
      <c r="AN96">
        <v>0.11487965</v>
      </c>
      <c r="AO96">
        <v>91.889678000000004</v>
      </c>
      <c r="AP96">
        <v>91.123287399999995</v>
      </c>
      <c r="AQ96">
        <v>88.722009999999997</v>
      </c>
      <c r="AR96">
        <v>88.512034999999997</v>
      </c>
      <c r="AS96" t="b">
        <v>1</v>
      </c>
      <c r="AT96" t="b">
        <v>0</v>
      </c>
      <c r="AU96" t="s">
        <v>77</v>
      </c>
      <c r="AV96" t="s">
        <v>77</v>
      </c>
      <c r="AW96" t="s">
        <v>79</v>
      </c>
      <c r="AX96" t="s">
        <v>249</v>
      </c>
      <c r="AY96" t="s">
        <v>254</v>
      </c>
      <c r="AZ96" t="s">
        <v>109</v>
      </c>
      <c r="BA96">
        <v>2</v>
      </c>
      <c r="BB96">
        <v>3</v>
      </c>
      <c r="BC96">
        <v>7.7070764999999999E-2</v>
      </c>
      <c r="BD96">
        <v>1.90190515067399E-3</v>
      </c>
      <c r="BE96">
        <v>7.8972670150673996E-2</v>
      </c>
      <c r="BF96">
        <f>IF(AK96&lt;BE96,1,0)</f>
        <v>0</v>
      </c>
      <c r="BG96">
        <f>IF(AK96&lt;BC96,1,0)</f>
        <v>0</v>
      </c>
      <c r="BH96">
        <f>VLOOKUP($B96,[1]Data_Peer_with_peerVars!$B$2:$Z$1050,20,FALSE)</f>
        <v>0</v>
      </c>
      <c r="BI96">
        <f>VLOOKUP($B96,[1]Data_Peer_with_peerVars!$B$2:$Z$1050,21,FALSE)</f>
        <v>0</v>
      </c>
      <c r="BJ96">
        <v>0</v>
      </c>
      <c r="BK96">
        <f>VLOOKUP($B96,[1]Data_Peer_with_peerVars!$B$2:$Z$1050,23,FALSE)</f>
        <v>37</v>
      </c>
      <c r="BL96">
        <f>VLOOKUP($B96,[1]Data_Peer_with_peerVars!$B$2:$Z$1050,24,FALSE)</f>
        <v>28</v>
      </c>
      <c r="BM96">
        <f>VLOOKUP($B96,[1]Data_Peer_with_peerVars!$B$2:$Z$1050,25,FALSE)</f>
        <v>0.756756757</v>
      </c>
    </row>
    <row r="97" spans="1:65" x14ac:dyDescent="0.2">
      <c r="A97">
        <v>1</v>
      </c>
      <c r="B97" t="s">
        <v>255</v>
      </c>
      <c r="C97">
        <v>55</v>
      </c>
      <c r="D97" t="s">
        <v>68</v>
      </c>
      <c r="E97">
        <v>1</v>
      </c>
      <c r="F97">
        <v>521</v>
      </c>
      <c r="G97" t="s">
        <v>86</v>
      </c>
      <c r="H97" s="1">
        <v>7</v>
      </c>
      <c r="I97" t="s">
        <v>87</v>
      </c>
      <c r="J97" t="s">
        <v>111</v>
      </c>
      <c r="K97" t="s">
        <v>109</v>
      </c>
      <c r="L97">
        <v>1</v>
      </c>
      <c r="M97">
        <v>0</v>
      </c>
      <c r="N97">
        <v>0</v>
      </c>
      <c r="O97">
        <v>0</v>
      </c>
      <c r="P97">
        <v>0</v>
      </c>
      <c r="Q97">
        <v>6</v>
      </c>
      <c r="R97">
        <v>0</v>
      </c>
      <c r="S97">
        <v>0</v>
      </c>
      <c r="T97">
        <v>0</v>
      </c>
      <c r="U97">
        <v>0</v>
      </c>
      <c r="V97">
        <f t="shared" si="30"/>
        <v>1</v>
      </c>
      <c r="W97">
        <v>1</v>
      </c>
      <c r="X97">
        <v>1</v>
      </c>
      <c r="Y97">
        <v>1</v>
      </c>
      <c r="Z97" t="s">
        <v>76</v>
      </c>
      <c r="AA97" s="5" t="s">
        <v>76</v>
      </c>
      <c r="AB97" s="5" t="s">
        <v>76</v>
      </c>
      <c r="AC97" t="s">
        <v>76</v>
      </c>
      <c r="AD97" t="s">
        <v>74</v>
      </c>
      <c r="AE97" s="5" t="s">
        <v>75</v>
      </c>
      <c r="AF97" t="s">
        <v>120</v>
      </c>
      <c r="AG97" t="s">
        <v>75</v>
      </c>
      <c r="AH97">
        <f t="shared" si="43"/>
        <v>8.1465280000000001E-2</v>
      </c>
      <c r="AI97">
        <f t="shared" si="44"/>
        <v>8.1465280000000001E-2</v>
      </c>
      <c r="AJ97">
        <f t="shared" si="31"/>
        <v>8.1465280000000001E-2</v>
      </c>
      <c r="AK97">
        <v>8.1465280000000001E-2</v>
      </c>
      <c r="AL97">
        <v>8.41557E-2</v>
      </c>
      <c r="AM97">
        <v>0.11262985</v>
      </c>
      <c r="AN97">
        <v>0.11418401</v>
      </c>
      <c r="AO97">
        <v>91.853471999999996</v>
      </c>
      <c r="AP97">
        <v>91.584429999999998</v>
      </c>
      <c r="AQ97">
        <v>88.737015</v>
      </c>
      <c r="AR97">
        <v>88.581598999999997</v>
      </c>
      <c r="AS97" t="b">
        <v>1</v>
      </c>
      <c r="AT97" t="b">
        <v>0</v>
      </c>
      <c r="AU97" t="s">
        <v>77</v>
      </c>
      <c r="AV97" t="s">
        <v>77</v>
      </c>
      <c r="AW97" t="s">
        <v>79</v>
      </c>
      <c r="AX97" t="s">
        <v>249</v>
      </c>
      <c r="AY97" t="s">
        <v>254</v>
      </c>
      <c r="AZ97" t="s">
        <v>109</v>
      </c>
      <c r="BA97">
        <v>1</v>
      </c>
      <c r="BB97">
        <v>3</v>
      </c>
      <c r="BC97">
        <v>7.7070764999999999E-2</v>
      </c>
      <c r="BD97">
        <v>1.90190515067399E-3</v>
      </c>
      <c r="BE97">
        <v>7.8972670150673996E-2</v>
      </c>
      <c r="BF97">
        <f>IF(AK97&lt;BE97,1,0)</f>
        <v>0</v>
      </c>
      <c r="BG97">
        <f>IF(AK97&lt;BC97,1,0)</f>
        <v>0</v>
      </c>
      <c r="BH97">
        <f>VLOOKUP($B97,[1]Data_Peer_with_peerVars!$B$2:$Z$1050,20,FALSE)</f>
        <v>0</v>
      </c>
      <c r="BI97">
        <f>VLOOKUP($B97,[1]Data_Peer_with_peerVars!$B$2:$Z$1050,21,FALSE)</f>
        <v>0</v>
      </c>
      <c r="BJ97">
        <v>0</v>
      </c>
      <c r="BK97">
        <f>VLOOKUP($B97,[1]Data_Peer_with_peerVars!$B$2:$Z$1050,23,FALSE)</f>
        <v>24</v>
      </c>
      <c r="BL97">
        <f>VLOOKUP($B97,[1]Data_Peer_with_peerVars!$B$2:$Z$1050,24,FALSE)</f>
        <v>18</v>
      </c>
      <c r="BM97">
        <f>VLOOKUP($B97,[1]Data_Peer_with_peerVars!$B$2:$Z$1050,25,FALSE)</f>
        <v>0.75</v>
      </c>
    </row>
    <row r="98" spans="1:65" x14ac:dyDescent="0.2">
      <c r="A98">
        <v>1</v>
      </c>
      <c r="B98" t="s">
        <v>256</v>
      </c>
      <c r="C98">
        <v>56</v>
      </c>
      <c r="D98" t="s">
        <v>68</v>
      </c>
      <c r="E98">
        <v>1</v>
      </c>
      <c r="F98">
        <v>522</v>
      </c>
      <c r="G98" t="s">
        <v>69</v>
      </c>
      <c r="H98" s="1">
        <v>7</v>
      </c>
      <c r="I98" t="s">
        <v>70</v>
      </c>
      <c r="J98" t="s">
        <v>71</v>
      </c>
      <c r="K98" t="s">
        <v>109</v>
      </c>
      <c r="L98">
        <v>2</v>
      </c>
      <c r="M98">
        <v>1</v>
      </c>
      <c r="N98">
        <v>1</v>
      </c>
      <c r="O98">
        <v>1</v>
      </c>
      <c r="P98">
        <v>0</v>
      </c>
      <c r="Q98">
        <v>6</v>
      </c>
      <c r="R98">
        <v>0</v>
      </c>
      <c r="S98">
        <v>0</v>
      </c>
      <c r="T98">
        <v>1</v>
      </c>
      <c r="U98">
        <v>1</v>
      </c>
      <c r="V98">
        <f t="shared" si="30"/>
        <v>1</v>
      </c>
      <c r="W98">
        <v>1</v>
      </c>
      <c r="X98">
        <v>1</v>
      </c>
      <c r="Y98">
        <v>1</v>
      </c>
      <c r="Z98" t="s">
        <v>73</v>
      </c>
      <c r="AA98" s="5" t="s">
        <v>73</v>
      </c>
      <c r="AB98" s="5" t="s">
        <v>73</v>
      </c>
      <c r="AC98" t="s">
        <v>73</v>
      </c>
      <c r="AD98" t="s">
        <v>94</v>
      </c>
      <c r="AE98" s="5" t="s">
        <v>142</v>
      </c>
      <c r="AF98" t="s">
        <v>107</v>
      </c>
      <c r="AG98" t="s">
        <v>95</v>
      </c>
      <c r="AH98">
        <f t="shared" si="43"/>
        <v>3.8272279999999998E-3</v>
      </c>
      <c r="AI98">
        <f t="shared" si="44"/>
        <v>3.8272279999999998E-3</v>
      </c>
      <c r="AJ98">
        <f t="shared" si="31"/>
        <v>3.8272279999999998E-3</v>
      </c>
      <c r="AK98">
        <v>3.8272279999999998E-3</v>
      </c>
      <c r="AL98">
        <v>0.13150685000000001</v>
      </c>
      <c r="AM98">
        <v>0.13661351999999999</v>
      </c>
      <c r="AN98">
        <v>0.13913283000000001</v>
      </c>
      <c r="AO98">
        <v>99.617277200000004</v>
      </c>
      <c r="AP98">
        <v>86.849315000000004</v>
      </c>
      <c r="AQ98">
        <v>86.338648000000006</v>
      </c>
      <c r="AR98">
        <v>86.086716999999993</v>
      </c>
      <c r="AS98" t="b">
        <v>0</v>
      </c>
      <c r="AT98" t="b">
        <v>0</v>
      </c>
      <c r="AU98" t="s">
        <v>108</v>
      </c>
      <c r="AV98" t="s">
        <v>108</v>
      </c>
      <c r="AW98" t="s">
        <v>79</v>
      </c>
      <c r="AX98" t="s">
        <v>249</v>
      </c>
      <c r="AY98" t="s">
        <v>257</v>
      </c>
      <c r="AZ98" t="s">
        <v>109</v>
      </c>
      <c r="BA98">
        <v>1</v>
      </c>
      <c r="BB98">
        <v>0.7</v>
      </c>
      <c r="BC98">
        <v>4.1163553999999996E-3</v>
      </c>
      <c r="BD98">
        <v>1.4279989108178799E-4</v>
      </c>
      <c r="BE98">
        <v>4.2591552910817903E-3</v>
      </c>
      <c r="BF98">
        <f>IF(AK98&lt;BE98,1,0)</f>
        <v>1</v>
      </c>
      <c r="BG98">
        <f>IF(AK98&lt;BC98,1,0)</f>
        <v>1</v>
      </c>
      <c r="BH98">
        <f>VLOOKUP($B98,[1]Data_Peer_with_peerVars!$B$2:$Z$1050,20,FALSE)</f>
        <v>1</v>
      </c>
      <c r="BI98">
        <f>VLOOKUP($B98,[1]Data_Peer_with_peerVars!$B$2:$Z$1050,21,FALSE)</f>
        <v>1</v>
      </c>
      <c r="BJ98">
        <f>VLOOKUP($B98,[1]Data_Peer_with_peerVars!$B$2:$Z$1050,22,FALSE)</f>
        <v>1</v>
      </c>
      <c r="BK98">
        <f>VLOOKUP($B98,[1]Data_Peer_with_peerVars!$B$2:$Z$1050,23,FALSE)</f>
        <v>20</v>
      </c>
      <c r="BL98">
        <f>VLOOKUP($B98,[1]Data_Peer_with_peerVars!$B$2:$Z$1050,24,FALSE)</f>
        <v>11</v>
      </c>
      <c r="BM98">
        <f>VLOOKUP($B98,[1]Data_Peer_with_peerVars!$B$2:$Z$1050,25,FALSE)</f>
        <v>0.55000000000000004</v>
      </c>
    </row>
    <row r="99" spans="1:65" x14ac:dyDescent="0.2">
      <c r="A99">
        <v>1</v>
      </c>
      <c r="B99" t="s">
        <v>258</v>
      </c>
      <c r="C99">
        <v>56</v>
      </c>
      <c r="D99" t="s">
        <v>68</v>
      </c>
      <c r="E99">
        <v>1</v>
      </c>
      <c r="F99">
        <v>522</v>
      </c>
      <c r="G99" t="s">
        <v>69</v>
      </c>
      <c r="H99" s="1">
        <v>7</v>
      </c>
      <c r="I99" t="s">
        <v>70</v>
      </c>
      <c r="J99" t="s">
        <v>71</v>
      </c>
      <c r="K99" t="s">
        <v>109</v>
      </c>
      <c r="L99">
        <v>2</v>
      </c>
      <c r="M99">
        <v>1</v>
      </c>
      <c r="N99">
        <v>1</v>
      </c>
      <c r="O99">
        <v>1</v>
      </c>
      <c r="P99">
        <v>0</v>
      </c>
      <c r="Q99">
        <v>6</v>
      </c>
      <c r="R99">
        <v>0</v>
      </c>
      <c r="S99">
        <v>0</v>
      </c>
      <c r="T99">
        <v>0</v>
      </c>
      <c r="U99">
        <v>0</v>
      </c>
      <c r="V99">
        <f t="shared" si="30"/>
        <v>1</v>
      </c>
      <c r="W99">
        <v>1</v>
      </c>
      <c r="X99">
        <v>1</v>
      </c>
      <c r="Y99">
        <v>1</v>
      </c>
      <c r="Z99" t="s">
        <v>76</v>
      </c>
      <c r="AA99" s="5" t="s">
        <v>76</v>
      </c>
      <c r="AB99" s="5" t="s">
        <v>76</v>
      </c>
      <c r="AC99" t="s">
        <v>76</v>
      </c>
      <c r="AD99" t="s">
        <v>74</v>
      </c>
      <c r="AE99" s="5" t="s">
        <v>106</v>
      </c>
      <c r="AF99" t="s">
        <v>120</v>
      </c>
      <c r="AG99" t="s">
        <v>75</v>
      </c>
      <c r="AH99">
        <f t="shared" si="43"/>
        <v>8.8299619999999995E-2</v>
      </c>
      <c r="AI99">
        <f t="shared" si="44"/>
        <v>8.8299619999999995E-2</v>
      </c>
      <c r="AJ99">
        <f t="shared" si="31"/>
        <v>8.8299619999999995E-2</v>
      </c>
      <c r="AK99">
        <v>8.8299619999999995E-2</v>
      </c>
      <c r="AL99">
        <v>9.2430059999999994E-2</v>
      </c>
      <c r="AM99">
        <v>0.1214442</v>
      </c>
      <c r="AN99">
        <v>0.12458926400000001</v>
      </c>
      <c r="AO99">
        <v>91.170038000000005</v>
      </c>
      <c r="AP99">
        <v>90.756994000000006</v>
      </c>
      <c r="AQ99">
        <v>87.855580000000003</v>
      </c>
      <c r="AR99">
        <v>87.541073600000004</v>
      </c>
      <c r="AS99" t="b">
        <v>1</v>
      </c>
      <c r="AT99" t="b">
        <v>0</v>
      </c>
      <c r="AU99" t="s">
        <v>77</v>
      </c>
      <c r="AV99" t="s">
        <v>108</v>
      </c>
      <c r="AW99" t="s">
        <v>79</v>
      </c>
      <c r="AX99" t="s">
        <v>249</v>
      </c>
      <c r="AY99" t="s">
        <v>257</v>
      </c>
      <c r="AZ99" t="s">
        <v>72</v>
      </c>
      <c r="BA99" t="s">
        <v>82</v>
      </c>
      <c r="BB99">
        <v>0.7</v>
      </c>
      <c r="BC99">
        <v>7.7070764999999999E-2</v>
      </c>
      <c r="BD99">
        <v>1.90190515067399E-3</v>
      </c>
      <c r="BE99">
        <v>7.8972670150673996E-2</v>
      </c>
      <c r="BF99">
        <f>IF(AK99&lt;BE99,1,0)</f>
        <v>0</v>
      </c>
      <c r="BG99">
        <f>IF(AK99&lt;BC99,1,0)</f>
        <v>0</v>
      </c>
      <c r="BH99">
        <f>VLOOKUP($B99,[1]Data_Peer_with_peerVars!$B$2:$Z$1050,20,FALSE)</f>
        <v>1</v>
      </c>
      <c r="BI99">
        <f>VLOOKUP($B99,[1]Data_Peer_with_peerVars!$B$2:$Z$1050,21,FALSE)</f>
        <v>1</v>
      </c>
      <c r="BJ99">
        <f>VLOOKUP($B99,[1]Data_Peer_with_peerVars!$B$2:$Z$1050,22,FALSE)</f>
        <v>1</v>
      </c>
      <c r="BK99">
        <f>VLOOKUP($B99,[1]Data_Peer_with_peerVars!$B$2:$Z$1050,23,FALSE)</f>
        <v>20</v>
      </c>
      <c r="BL99">
        <f>VLOOKUP($B99,[1]Data_Peer_with_peerVars!$B$2:$Z$1050,24,FALSE)</f>
        <v>11</v>
      </c>
      <c r="BM99">
        <f>VLOOKUP($B99,[1]Data_Peer_with_peerVars!$B$2:$Z$1050,25,FALSE)</f>
        <v>0.55000000000000004</v>
      </c>
    </row>
    <row r="100" spans="1:65" x14ac:dyDescent="0.2">
      <c r="A100">
        <v>1</v>
      </c>
      <c r="B100" t="s">
        <v>259</v>
      </c>
      <c r="C100">
        <v>57</v>
      </c>
      <c r="D100" t="s">
        <v>68</v>
      </c>
      <c r="E100">
        <v>1</v>
      </c>
      <c r="F100">
        <v>309</v>
      </c>
      <c r="G100" t="s">
        <v>86</v>
      </c>
      <c r="H100" s="1">
        <v>7</v>
      </c>
      <c r="I100" t="s">
        <v>87</v>
      </c>
      <c r="J100" t="s">
        <v>124</v>
      </c>
      <c r="K100" t="s">
        <v>72</v>
      </c>
      <c r="L100">
        <v>1</v>
      </c>
      <c r="M100">
        <v>0</v>
      </c>
      <c r="N100">
        <v>1</v>
      </c>
      <c r="O100">
        <v>0</v>
      </c>
      <c r="P100">
        <v>0</v>
      </c>
      <c r="Q100">
        <v>6</v>
      </c>
      <c r="R100">
        <v>1</v>
      </c>
      <c r="S100">
        <v>1</v>
      </c>
      <c r="T100">
        <v>1</v>
      </c>
      <c r="U100">
        <v>1</v>
      </c>
      <c r="V100">
        <f t="shared" si="30"/>
        <v>0</v>
      </c>
      <c r="W100">
        <f t="shared" si="32"/>
        <v>0</v>
      </c>
      <c r="X100">
        <f t="shared" si="33"/>
        <v>0</v>
      </c>
      <c r="Y100">
        <f t="shared" si="34"/>
        <v>0</v>
      </c>
      <c r="Z100" t="s">
        <v>177</v>
      </c>
      <c r="AA100" s="5" t="s">
        <v>107</v>
      </c>
      <c r="AB100" s="5" t="s">
        <v>107</v>
      </c>
      <c r="AC100" t="s">
        <v>107</v>
      </c>
      <c r="AD100" t="s">
        <v>95</v>
      </c>
      <c r="AE100" s="5" t="s">
        <v>74</v>
      </c>
      <c r="AF100" t="s">
        <v>173</v>
      </c>
      <c r="AG100" t="s">
        <v>174</v>
      </c>
      <c r="AH100">
        <f>AI100</f>
        <v>4.0251917999999998E-2</v>
      </c>
      <c r="AI100">
        <f>AJ100</f>
        <v>4.0251917999999998E-2</v>
      </c>
      <c r="AJ100">
        <f t="shared" si="31"/>
        <v>4.0251917999999998E-2</v>
      </c>
      <c r="AK100">
        <v>4.0251917999999998E-2</v>
      </c>
      <c r="AL100">
        <v>8.4291190000000002E-2</v>
      </c>
      <c r="AM100">
        <v>9.8087430000000003E-2</v>
      </c>
      <c r="AN100">
        <v>0.10290093</v>
      </c>
      <c r="AO100">
        <v>95.974808199999998</v>
      </c>
      <c r="AP100">
        <v>91.570881</v>
      </c>
      <c r="AQ100">
        <v>90.191256999999993</v>
      </c>
      <c r="AR100">
        <v>89.709907000000001</v>
      </c>
      <c r="AS100" t="b">
        <v>1</v>
      </c>
      <c r="AT100" t="b">
        <v>0</v>
      </c>
      <c r="AU100" t="s">
        <v>77</v>
      </c>
      <c r="AV100" t="s">
        <v>77</v>
      </c>
      <c r="AW100" t="s">
        <v>79</v>
      </c>
      <c r="AX100" t="s">
        <v>249</v>
      </c>
      <c r="AY100" t="s">
        <v>260</v>
      </c>
      <c r="AZ100" t="s">
        <v>72</v>
      </c>
      <c r="BA100" t="s">
        <v>82</v>
      </c>
      <c r="BB100">
        <v>0.2</v>
      </c>
      <c r="BC100">
        <v>2.6475456000000001E-2</v>
      </c>
      <c r="BD100">
        <v>8.8330364056477401E-3</v>
      </c>
      <c r="BE100">
        <v>3.53084924056477E-2</v>
      </c>
      <c r="BF100">
        <f>IF(AK100&lt;BE100,1,0)</f>
        <v>0</v>
      </c>
      <c r="BG100">
        <f>IF(AK100&lt;BC100,1,0)</f>
        <v>0</v>
      </c>
      <c r="BH100">
        <f>VLOOKUP($B100,[1]Data_Peer_with_peerVars!$B$2:$Z$1050,20,FALSE)</f>
        <v>4</v>
      </c>
      <c r="BI100">
        <f>VLOOKUP($B100,[1]Data_Peer_with_peerVars!$B$2:$Z$1050,21,FALSE)</f>
        <v>4</v>
      </c>
      <c r="BJ100">
        <f>VLOOKUP($B100,[1]Data_Peer_with_peerVars!$B$2:$Z$1050,22,FALSE)</f>
        <v>1</v>
      </c>
      <c r="BK100">
        <f>VLOOKUP($B100,[1]Data_Peer_with_peerVars!$B$2:$Z$1050,23,FALSE)</f>
        <v>49</v>
      </c>
      <c r="BL100">
        <f>VLOOKUP($B100,[1]Data_Peer_with_peerVars!$B$2:$Z$1050,24,FALSE)</f>
        <v>38</v>
      </c>
      <c r="BM100">
        <f>VLOOKUP($B100,[1]Data_Peer_with_peerVars!$B$2:$Z$1050,25,FALSE)</f>
        <v>0.77551020400000004</v>
      </c>
    </row>
    <row r="101" spans="1:65" x14ac:dyDescent="0.2">
      <c r="A101">
        <v>1</v>
      </c>
      <c r="B101" t="s">
        <v>261</v>
      </c>
      <c r="C101">
        <v>57</v>
      </c>
      <c r="D101" t="s">
        <v>68</v>
      </c>
      <c r="E101">
        <v>1</v>
      </c>
      <c r="F101">
        <v>309</v>
      </c>
      <c r="G101" t="s">
        <v>86</v>
      </c>
      <c r="H101" s="1">
        <v>7</v>
      </c>
      <c r="I101" t="s">
        <v>87</v>
      </c>
      <c r="J101" t="s">
        <v>124</v>
      </c>
      <c r="K101" t="s">
        <v>72</v>
      </c>
      <c r="L101">
        <v>1</v>
      </c>
      <c r="M101">
        <v>0</v>
      </c>
      <c r="N101">
        <v>1</v>
      </c>
      <c r="O101">
        <v>0</v>
      </c>
      <c r="P101">
        <v>0</v>
      </c>
      <c r="Q101">
        <v>6</v>
      </c>
      <c r="R101">
        <v>0</v>
      </c>
      <c r="S101">
        <v>0</v>
      </c>
      <c r="T101">
        <v>0</v>
      </c>
      <c r="U101">
        <v>0</v>
      </c>
      <c r="V101">
        <f t="shared" si="30"/>
        <v>1</v>
      </c>
      <c r="W101">
        <v>1</v>
      </c>
      <c r="X101">
        <v>1</v>
      </c>
      <c r="Y101">
        <v>1</v>
      </c>
      <c r="Z101" t="s">
        <v>76</v>
      </c>
      <c r="AA101" s="5" t="s">
        <v>76</v>
      </c>
      <c r="AB101" s="5" t="s">
        <v>76</v>
      </c>
      <c r="AC101" t="s">
        <v>76</v>
      </c>
      <c r="AD101" t="s">
        <v>74</v>
      </c>
      <c r="AE101" s="5" t="s">
        <v>95</v>
      </c>
      <c r="AF101" t="s">
        <v>120</v>
      </c>
      <c r="AG101" t="s">
        <v>167</v>
      </c>
      <c r="AH101">
        <f t="shared" ref="AH101:AH104" si="45">AI101</f>
        <v>7.763805E-2</v>
      </c>
      <c r="AI101">
        <f t="shared" ref="AI101:AI104" si="46">AJ101</f>
        <v>7.763805E-2</v>
      </c>
      <c r="AJ101">
        <f t="shared" si="31"/>
        <v>7.763805E-2</v>
      </c>
      <c r="AK101">
        <v>7.763805E-2</v>
      </c>
      <c r="AL101">
        <v>0.11492046</v>
      </c>
      <c r="AM101">
        <v>0.12657189999999999</v>
      </c>
      <c r="AN101">
        <v>0.12863411999999999</v>
      </c>
      <c r="AO101">
        <v>92.236194999999995</v>
      </c>
      <c r="AP101">
        <v>88.507953999999998</v>
      </c>
      <c r="AQ101">
        <v>87.34281</v>
      </c>
      <c r="AR101">
        <v>87.136588000000003</v>
      </c>
      <c r="AS101" t="b">
        <v>1</v>
      </c>
      <c r="AT101" t="b">
        <v>0</v>
      </c>
      <c r="AU101" t="s">
        <v>77</v>
      </c>
      <c r="AV101" t="s">
        <v>77</v>
      </c>
      <c r="AW101" t="s">
        <v>79</v>
      </c>
      <c r="AX101" t="s">
        <v>249</v>
      </c>
      <c r="AY101" t="s">
        <v>262</v>
      </c>
      <c r="AZ101" t="s">
        <v>72</v>
      </c>
      <c r="BA101" t="s">
        <v>82</v>
      </c>
      <c r="BB101">
        <v>0.52500000000000002</v>
      </c>
      <c r="BC101">
        <v>7.7070764999999999E-2</v>
      </c>
      <c r="BD101">
        <v>1.90190515067399E-3</v>
      </c>
      <c r="BE101">
        <v>7.8972670150673996E-2</v>
      </c>
      <c r="BF101">
        <f>IF(AK101&lt;BE101,1,0)</f>
        <v>1</v>
      </c>
      <c r="BG101">
        <f>IF(AK101&lt;BC101,1,0)</f>
        <v>0</v>
      </c>
      <c r="BH101">
        <f>VLOOKUP($B101,[1]Data_Peer_with_peerVars!$B$2:$Z$1050,20,FALSE)</f>
        <v>4</v>
      </c>
      <c r="BI101">
        <f>VLOOKUP($B101,[1]Data_Peer_with_peerVars!$B$2:$Z$1050,21,FALSE)</f>
        <v>4</v>
      </c>
      <c r="BJ101">
        <f>VLOOKUP($B101,[1]Data_Peer_with_peerVars!$B$2:$Z$1050,22,FALSE)</f>
        <v>1</v>
      </c>
      <c r="BK101">
        <f>VLOOKUP($B101,[1]Data_Peer_with_peerVars!$B$2:$Z$1050,23,FALSE)</f>
        <v>49</v>
      </c>
      <c r="BL101">
        <f>VLOOKUP($B101,[1]Data_Peer_with_peerVars!$B$2:$Z$1050,24,FALSE)</f>
        <v>38</v>
      </c>
      <c r="BM101">
        <f>VLOOKUP($B101,[1]Data_Peer_with_peerVars!$B$2:$Z$1050,25,FALSE)</f>
        <v>0.77551020400000004</v>
      </c>
    </row>
    <row r="102" spans="1:65" x14ac:dyDescent="0.2">
      <c r="A102">
        <v>1</v>
      </c>
      <c r="B102" t="s">
        <v>263</v>
      </c>
      <c r="C102">
        <v>57</v>
      </c>
      <c r="D102" t="s">
        <v>68</v>
      </c>
      <c r="E102">
        <v>1</v>
      </c>
      <c r="F102">
        <v>309</v>
      </c>
      <c r="G102" t="s">
        <v>86</v>
      </c>
      <c r="H102" s="1">
        <v>7</v>
      </c>
      <c r="I102" t="s">
        <v>87</v>
      </c>
      <c r="J102" t="s">
        <v>124</v>
      </c>
      <c r="K102" t="s">
        <v>72</v>
      </c>
      <c r="L102">
        <v>1</v>
      </c>
      <c r="M102">
        <v>0</v>
      </c>
      <c r="N102">
        <v>1</v>
      </c>
      <c r="O102">
        <v>0</v>
      </c>
      <c r="P102">
        <v>0</v>
      </c>
      <c r="Q102">
        <v>6</v>
      </c>
      <c r="R102">
        <v>0</v>
      </c>
      <c r="S102">
        <v>0</v>
      </c>
      <c r="T102">
        <v>1</v>
      </c>
      <c r="U102">
        <v>1</v>
      </c>
      <c r="V102">
        <f t="shared" si="30"/>
        <v>1</v>
      </c>
      <c r="W102">
        <v>1</v>
      </c>
      <c r="X102">
        <v>1</v>
      </c>
      <c r="Y102">
        <v>1</v>
      </c>
      <c r="Z102" t="s">
        <v>73</v>
      </c>
      <c r="AA102" s="5" t="s">
        <v>73</v>
      </c>
      <c r="AB102" s="5" t="s">
        <v>73</v>
      </c>
      <c r="AC102" t="s">
        <v>73</v>
      </c>
      <c r="AD102" t="s">
        <v>94</v>
      </c>
      <c r="AE102" s="5" t="s">
        <v>74</v>
      </c>
      <c r="AF102" t="s">
        <v>107</v>
      </c>
      <c r="AG102" t="s">
        <v>95</v>
      </c>
      <c r="AH102">
        <f t="shared" si="45"/>
        <v>3.8188760000000001E-3</v>
      </c>
      <c r="AI102">
        <f t="shared" si="46"/>
        <v>3.8188760000000001E-3</v>
      </c>
      <c r="AJ102">
        <f t="shared" si="31"/>
        <v>3.8188760000000001E-3</v>
      </c>
      <c r="AK102">
        <v>3.8188760000000001E-3</v>
      </c>
      <c r="AL102">
        <v>0.13176599</v>
      </c>
      <c r="AM102">
        <v>0.13631377</v>
      </c>
      <c r="AN102">
        <v>0.13875206000000001</v>
      </c>
      <c r="AO102">
        <v>99.618112400000001</v>
      </c>
      <c r="AP102">
        <v>86.823401000000004</v>
      </c>
      <c r="AQ102">
        <v>86.368622999999999</v>
      </c>
      <c r="AR102">
        <v>86.124793999999994</v>
      </c>
      <c r="AS102" t="b">
        <v>1</v>
      </c>
      <c r="AT102" t="b">
        <v>0</v>
      </c>
      <c r="AU102" t="s">
        <v>77</v>
      </c>
      <c r="AV102" t="s">
        <v>78</v>
      </c>
      <c r="AW102" t="s">
        <v>79</v>
      </c>
      <c r="AX102" t="s">
        <v>249</v>
      </c>
      <c r="AY102" t="s">
        <v>260</v>
      </c>
      <c r="AZ102" t="s">
        <v>109</v>
      </c>
      <c r="BA102">
        <v>3</v>
      </c>
      <c r="BB102">
        <v>0.7</v>
      </c>
      <c r="BC102">
        <v>4.1163553999999996E-3</v>
      </c>
      <c r="BD102">
        <v>1.4279989108178799E-4</v>
      </c>
      <c r="BE102">
        <v>4.2591552910817903E-3</v>
      </c>
      <c r="BF102">
        <f>IF(AK102&lt;BE102,1,0)</f>
        <v>1</v>
      </c>
      <c r="BG102">
        <f>IF(AK102&lt;BC102,1,0)</f>
        <v>1</v>
      </c>
      <c r="BH102">
        <f>VLOOKUP($B102,[1]Data_Peer_with_peerVars!$B$2:$Z$1050,20,FALSE)</f>
        <v>4</v>
      </c>
      <c r="BI102">
        <f>VLOOKUP($B102,[1]Data_Peer_with_peerVars!$B$2:$Z$1050,21,FALSE)</f>
        <v>4</v>
      </c>
      <c r="BJ102">
        <f>VLOOKUP($B102,[1]Data_Peer_with_peerVars!$B$2:$Z$1050,22,FALSE)</f>
        <v>1</v>
      </c>
      <c r="BK102">
        <f>VLOOKUP($B102,[1]Data_Peer_with_peerVars!$B$2:$Z$1050,23,FALSE)</f>
        <v>49</v>
      </c>
      <c r="BL102">
        <f>VLOOKUP($B102,[1]Data_Peer_with_peerVars!$B$2:$Z$1050,24,FALSE)</f>
        <v>38</v>
      </c>
      <c r="BM102">
        <f>VLOOKUP($B102,[1]Data_Peer_with_peerVars!$B$2:$Z$1050,25,FALSE)</f>
        <v>0.77551020400000004</v>
      </c>
    </row>
    <row r="103" spans="1:65" x14ac:dyDescent="0.2">
      <c r="A103">
        <v>1</v>
      </c>
      <c r="B103" t="s">
        <v>264</v>
      </c>
      <c r="C103">
        <v>58</v>
      </c>
      <c r="D103" t="s">
        <v>68</v>
      </c>
      <c r="E103">
        <v>1</v>
      </c>
      <c r="F103">
        <v>322</v>
      </c>
      <c r="G103" t="s">
        <v>86</v>
      </c>
      <c r="H103" s="1">
        <v>7</v>
      </c>
      <c r="I103" t="s">
        <v>87</v>
      </c>
      <c r="J103" t="s">
        <v>88</v>
      </c>
      <c r="K103" t="s">
        <v>72</v>
      </c>
      <c r="L103">
        <v>1</v>
      </c>
      <c r="M103">
        <v>0</v>
      </c>
      <c r="N103">
        <v>1</v>
      </c>
      <c r="O103">
        <v>0</v>
      </c>
      <c r="P103">
        <v>0</v>
      </c>
      <c r="Q103">
        <v>6</v>
      </c>
      <c r="R103">
        <v>0</v>
      </c>
      <c r="S103">
        <v>0</v>
      </c>
      <c r="T103">
        <v>0</v>
      </c>
      <c r="U103">
        <v>0</v>
      </c>
      <c r="V103">
        <f t="shared" si="30"/>
        <v>1</v>
      </c>
      <c r="W103">
        <v>1</v>
      </c>
      <c r="X103">
        <v>1</v>
      </c>
      <c r="Y103">
        <v>1</v>
      </c>
      <c r="Z103" t="s">
        <v>76</v>
      </c>
      <c r="AA103" s="5" t="s">
        <v>76</v>
      </c>
      <c r="AB103" s="5" t="s">
        <v>76</v>
      </c>
      <c r="AC103" t="s">
        <v>76</v>
      </c>
      <c r="AD103" t="s">
        <v>74</v>
      </c>
      <c r="AE103" s="5" t="s">
        <v>106</v>
      </c>
      <c r="AF103" t="s">
        <v>120</v>
      </c>
      <c r="AG103" t="s">
        <v>75</v>
      </c>
      <c r="AH103">
        <f t="shared" si="45"/>
        <v>7.6859960000000005E-2</v>
      </c>
      <c r="AI103">
        <f t="shared" si="46"/>
        <v>7.6859960000000005E-2</v>
      </c>
      <c r="AJ103">
        <f t="shared" si="31"/>
        <v>7.6859960000000005E-2</v>
      </c>
      <c r="AK103">
        <v>7.6859960000000005E-2</v>
      </c>
      <c r="AL103">
        <v>0.12287439</v>
      </c>
      <c r="AM103">
        <v>0.12629852</v>
      </c>
      <c r="AN103">
        <v>0.13280395</v>
      </c>
      <c r="AO103">
        <v>92.314003999999997</v>
      </c>
      <c r="AP103">
        <v>87.712560999999994</v>
      </c>
      <c r="AQ103">
        <v>87.370148</v>
      </c>
      <c r="AR103">
        <v>86.719605000000001</v>
      </c>
      <c r="AS103" t="b">
        <v>1</v>
      </c>
      <c r="AT103" t="b">
        <v>0</v>
      </c>
      <c r="AU103" t="s">
        <v>77</v>
      </c>
      <c r="AV103" t="s">
        <v>108</v>
      </c>
      <c r="AW103" t="s">
        <v>79</v>
      </c>
      <c r="AX103" t="s">
        <v>249</v>
      </c>
      <c r="AY103" t="s">
        <v>265</v>
      </c>
      <c r="AZ103" t="s">
        <v>72</v>
      </c>
      <c r="BA103" t="s">
        <v>82</v>
      </c>
      <c r="BB103">
        <v>10</v>
      </c>
      <c r="BC103">
        <v>7.7070764999999999E-2</v>
      </c>
      <c r="BD103">
        <v>1.90190515067399E-3</v>
      </c>
      <c r="BE103">
        <v>7.8972670150673996E-2</v>
      </c>
      <c r="BF103">
        <f>IF(AK103&lt;BE103,1,0)</f>
        <v>1</v>
      </c>
      <c r="BG103">
        <f>IF(AK103&lt;BC103,1,0)</f>
        <v>1</v>
      </c>
      <c r="BH103">
        <f>VLOOKUP($B103,[1]Data_Peer_with_peerVars!$B$2:$Z$1050,20,FALSE)</f>
        <v>11</v>
      </c>
      <c r="BI103">
        <f>VLOOKUP($B103,[1]Data_Peer_with_peerVars!$B$2:$Z$1050,21,FALSE)</f>
        <v>8</v>
      </c>
      <c r="BJ103">
        <f>VLOOKUP($B103,[1]Data_Peer_with_peerVars!$B$2:$Z$1050,22,FALSE)</f>
        <v>0.72727272700000001</v>
      </c>
      <c r="BK103">
        <f>VLOOKUP($B103,[1]Data_Peer_with_peerVars!$B$2:$Z$1050,23,FALSE)</f>
        <v>36</v>
      </c>
      <c r="BL103">
        <f>VLOOKUP($B103,[1]Data_Peer_with_peerVars!$B$2:$Z$1050,24,FALSE)</f>
        <v>26</v>
      </c>
      <c r="BM103">
        <f>VLOOKUP($B103,[1]Data_Peer_with_peerVars!$B$2:$Z$1050,25,FALSE)</f>
        <v>0.72222222199999997</v>
      </c>
    </row>
    <row r="104" spans="1:65" x14ac:dyDescent="0.2">
      <c r="A104">
        <v>1</v>
      </c>
      <c r="B104" t="s">
        <v>266</v>
      </c>
      <c r="C104">
        <v>58</v>
      </c>
      <c r="D104" t="s">
        <v>68</v>
      </c>
      <c r="E104">
        <v>1</v>
      </c>
      <c r="F104">
        <v>322</v>
      </c>
      <c r="G104" t="s">
        <v>86</v>
      </c>
      <c r="H104" s="1">
        <v>7</v>
      </c>
      <c r="I104" t="s">
        <v>87</v>
      </c>
      <c r="J104" t="s">
        <v>88</v>
      </c>
      <c r="K104" t="s">
        <v>72</v>
      </c>
      <c r="L104">
        <v>1</v>
      </c>
      <c r="M104">
        <v>0</v>
      </c>
      <c r="N104">
        <v>1</v>
      </c>
      <c r="O104">
        <v>0</v>
      </c>
      <c r="P104">
        <v>0</v>
      </c>
      <c r="Q104">
        <v>6</v>
      </c>
      <c r="R104">
        <v>0</v>
      </c>
      <c r="S104">
        <v>0</v>
      </c>
      <c r="T104">
        <v>1</v>
      </c>
      <c r="U104">
        <v>1</v>
      </c>
      <c r="V104">
        <f t="shared" si="30"/>
        <v>1</v>
      </c>
      <c r="W104">
        <v>1</v>
      </c>
      <c r="X104">
        <v>1</v>
      </c>
      <c r="Y104">
        <v>1</v>
      </c>
      <c r="Z104" t="s">
        <v>73</v>
      </c>
      <c r="AA104" s="5" t="s">
        <v>73</v>
      </c>
      <c r="AB104" s="5" t="s">
        <v>73</v>
      </c>
      <c r="AC104" t="s">
        <v>73</v>
      </c>
      <c r="AD104" t="s">
        <v>94</v>
      </c>
      <c r="AE104" s="5" t="s">
        <v>74</v>
      </c>
      <c r="AF104" t="s">
        <v>107</v>
      </c>
      <c r="AG104" t="s">
        <v>95</v>
      </c>
      <c r="AH104">
        <f t="shared" si="45"/>
        <v>3.8167940000000001E-3</v>
      </c>
      <c r="AI104">
        <f t="shared" si="46"/>
        <v>3.8167940000000001E-3</v>
      </c>
      <c r="AJ104">
        <f t="shared" si="31"/>
        <v>3.8167940000000001E-3</v>
      </c>
      <c r="AK104">
        <v>3.8167940000000001E-3</v>
      </c>
      <c r="AL104">
        <v>0.13196722</v>
      </c>
      <c r="AM104">
        <v>0.13623904000000001</v>
      </c>
      <c r="AN104">
        <v>0.13894967999999999</v>
      </c>
      <c r="AO104">
        <v>99.618320600000004</v>
      </c>
      <c r="AP104">
        <v>86.803278000000006</v>
      </c>
      <c r="AQ104">
        <v>86.376096000000004</v>
      </c>
      <c r="AR104">
        <v>86.105031999999994</v>
      </c>
      <c r="AS104" t="b">
        <v>1</v>
      </c>
      <c r="AT104" t="b">
        <v>0</v>
      </c>
      <c r="AU104" t="s">
        <v>77</v>
      </c>
      <c r="AV104" t="s">
        <v>78</v>
      </c>
      <c r="AW104" t="s">
        <v>79</v>
      </c>
      <c r="AX104" t="s">
        <v>249</v>
      </c>
      <c r="AY104" t="s">
        <v>252</v>
      </c>
      <c r="AZ104" t="s">
        <v>109</v>
      </c>
      <c r="BA104">
        <v>2</v>
      </c>
      <c r="BB104">
        <v>0.75</v>
      </c>
      <c r="BC104">
        <v>4.1163553999999996E-3</v>
      </c>
      <c r="BD104">
        <v>1.4279989108178799E-4</v>
      </c>
      <c r="BE104">
        <v>4.2591552910817903E-3</v>
      </c>
      <c r="BF104">
        <f>IF(AK104&lt;BE104,1,0)</f>
        <v>1</v>
      </c>
      <c r="BG104">
        <f>IF(AK104&lt;BC104,1,0)</f>
        <v>1</v>
      </c>
      <c r="BH104">
        <f>VLOOKUP($B104,[1]Data_Peer_with_peerVars!$B$2:$Z$1050,20,FALSE)</f>
        <v>11</v>
      </c>
      <c r="BI104">
        <f>VLOOKUP($B104,[1]Data_Peer_with_peerVars!$B$2:$Z$1050,21,FALSE)</f>
        <v>8</v>
      </c>
      <c r="BJ104">
        <f>VLOOKUP($B104,[1]Data_Peer_with_peerVars!$B$2:$Z$1050,22,FALSE)</f>
        <v>0.72727272700000001</v>
      </c>
      <c r="BK104">
        <f>VLOOKUP($B104,[1]Data_Peer_with_peerVars!$B$2:$Z$1050,23,FALSE)</f>
        <v>36</v>
      </c>
      <c r="BL104">
        <f>VLOOKUP($B104,[1]Data_Peer_with_peerVars!$B$2:$Z$1050,24,FALSE)</f>
        <v>26</v>
      </c>
      <c r="BM104">
        <f>VLOOKUP($B104,[1]Data_Peer_with_peerVars!$B$2:$Z$1050,25,FALSE)</f>
        <v>0.72222222199999997</v>
      </c>
    </row>
    <row r="105" spans="1:65" x14ac:dyDescent="0.2">
      <c r="A105">
        <v>1</v>
      </c>
      <c r="B105" t="s">
        <v>267</v>
      </c>
      <c r="C105">
        <v>59</v>
      </c>
      <c r="D105" t="s">
        <v>68</v>
      </c>
      <c r="E105">
        <v>0</v>
      </c>
      <c r="F105">
        <v>185</v>
      </c>
      <c r="G105" t="s">
        <v>119</v>
      </c>
      <c r="H105" s="1">
        <v>7</v>
      </c>
      <c r="I105" t="s">
        <v>87</v>
      </c>
      <c r="J105" t="s">
        <v>150</v>
      </c>
      <c r="K105" t="s">
        <v>72</v>
      </c>
      <c r="L105">
        <v>1</v>
      </c>
      <c r="M105">
        <v>0</v>
      </c>
      <c r="N105">
        <v>0</v>
      </c>
      <c r="O105">
        <v>0</v>
      </c>
      <c r="P105">
        <v>0</v>
      </c>
      <c r="Q105">
        <v>5</v>
      </c>
      <c r="R105">
        <v>0</v>
      </c>
      <c r="S105">
        <v>0</v>
      </c>
      <c r="T105">
        <v>0</v>
      </c>
      <c r="U105">
        <v>0</v>
      </c>
      <c r="V105">
        <f t="shared" si="30"/>
        <v>0</v>
      </c>
      <c r="W105">
        <f t="shared" si="32"/>
        <v>0</v>
      </c>
      <c r="X105">
        <f t="shared" si="33"/>
        <v>0</v>
      </c>
      <c r="Y105">
        <f t="shared" si="34"/>
        <v>0</v>
      </c>
      <c r="Z105" t="s">
        <v>89</v>
      </c>
      <c r="AA105" s="5" t="s">
        <v>268</v>
      </c>
      <c r="AB105" s="5" t="s">
        <v>269</v>
      </c>
      <c r="AC105" t="s">
        <v>137</v>
      </c>
      <c r="AD105" t="s">
        <v>103</v>
      </c>
      <c r="AE105" s="5" t="s">
        <v>106</v>
      </c>
      <c r="AF105" t="s">
        <v>99</v>
      </c>
      <c r="AG105" t="s">
        <v>113</v>
      </c>
      <c r="AH105">
        <f t="shared" ref="AH105:AI107" si="47">AI105</f>
        <v>0.11230684</v>
      </c>
      <c r="AI105">
        <f t="shared" si="47"/>
        <v>0.11230684</v>
      </c>
      <c r="AJ105">
        <f t="shared" si="31"/>
        <v>0.11230684</v>
      </c>
      <c r="AK105">
        <v>0.11230684</v>
      </c>
      <c r="AL105">
        <v>0.11302895</v>
      </c>
      <c r="AM105">
        <v>0.11540601</v>
      </c>
      <c r="AN105">
        <v>0.12298722600000001</v>
      </c>
      <c r="AO105">
        <v>88.769316000000003</v>
      </c>
      <c r="AP105">
        <v>88.697104999999993</v>
      </c>
      <c r="AQ105">
        <v>88.459399000000005</v>
      </c>
      <c r="AR105">
        <v>87.701277399999995</v>
      </c>
      <c r="AS105" t="b">
        <v>1</v>
      </c>
      <c r="AT105" t="b">
        <v>0</v>
      </c>
      <c r="AU105" t="s">
        <v>77</v>
      </c>
      <c r="AV105" t="s">
        <v>108</v>
      </c>
      <c r="AW105" t="s">
        <v>79</v>
      </c>
      <c r="AX105" t="s">
        <v>249</v>
      </c>
      <c r="AY105" t="s">
        <v>270</v>
      </c>
      <c r="AZ105" t="s">
        <v>72</v>
      </c>
      <c r="BA105" t="s">
        <v>82</v>
      </c>
      <c r="BB105">
        <v>0.3</v>
      </c>
      <c r="BC105">
        <v>5.4824560000000001E-2</v>
      </c>
      <c r="BD105">
        <v>2.68252196314279E-2</v>
      </c>
      <c r="BE105">
        <v>8.1649779631427902E-2</v>
      </c>
      <c r="BF105">
        <f>IF(AK105&lt;BE105,1,0)</f>
        <v>0</v>
      </c>
      <c r="BG105">
        <f>IF(AK105&lt;BC105,1,0)</f>
        <v>0</v>
      </c>
      <c r="BH105">
        <f>VLOOKUP($B105,[1]Data_Peer_with_peerVars!$B$2:$Z$1050,20,FALSE)</f>
        <v>8</v>
      </c>
      <c r="BI105">
        <f>VLOOKUP($B105,[1]Data_Peer_with_peerVars!$B$2:$Z$1050,21,FALSE)</f>
        <v>2</v>
      </c>
      <c r="BJ105">
        <f>VLOOKUP($B105,[1]Data_Peer_with_peerVars!$B$2:$Z$1050,22,FALSE)</f>
        <v>0.25</v>
      </c>
      <c r="BK105">
        <f>VLOOKUP($B105,[1]Data_Peer_with_peerVars!$B$2:$Z$1050,23,FALSE)</f>
        <v>21</v>
      </c>
      <c r="BL105">
        <f>VLOOKUP($B105,[1]Data_Peer_with_peerVars!$B$2:$Z$1050,24,FALSE)</f>
        <v>12</v>
      </c>
      <c r="BM105">
        <f>VLOOKUP($B105,[1]Data_Peer_with_peerVars!$B$2:$Z$1050,25,FALSE)</f>
        <v>0.571428571</v>
      </c>
    </row>
    <row r="106" spans="1:65" x14ac:dyDescent="0.2">
      <c r="A106">
        <v>1</v>
      </c>
      <c r="B106" t="s">
        <v>271</v>
      </c>
      <c r="C106">
        <v>59</v>
      </c>
      <c r="D106" t="s">
        <v>68</v>
      </c>
      <c r="E106">
        <v>0</v>
      </c>
      <c r="F106">
        <v>185</v>
      </c>
      <c r="G106" t="s">
        <v>119</v>
      </c>
      <c r="H106" s="1">
        <v>7</v>
      </c>
      <c r="I106" t="s">
        <v>87</v>
      </c>
      <c r="J106" t="s">
        <v>150</v>
      </c>
      <c r="K106" t="s">
        <v>72</v>
      </c>
      <c r="L106">
        <v>1</v>
      </c>
      <c r="M106">
        <v>0</v>
      </c>
      <c r="N106">
        <v>0</v>
      </c>
      <c r="O106">
        <v>0</v>
      </c>
      <c r="P106">
        <v>0</v>
      </c>
      <c r="Q106">
        <v>5</v>
      </c>
      <c r="R106">
        <v>0</v>
      </c>
      <c r="S106">
        <v>0</v>
      </c>
      <c r="T106">
        <v>1</v>
      </c>
      <c r="U106">
        <v>1</v>
      </c>
      <c r="V106">
        <f t="shared" si="30"/>
        <v>1</v>
      </c>
      <c r="W106">
        <v>1</v>
      </c>
      <c r="X106">
        <v>1</v>
      </c>
      <c r="Y106">
        <v>1</v>
      </c>
      <c r="Z106" t="s">
        <v>73</v>
      </c>
      <c r="AA106" s="5" t="s">
        <v>73</v>
      </c>
      <c r="AB106" s="5" t="s">
        <v>73</v>
      </c>
      <c r="AC106" t="s">
        <v>73</v>
      </c>
      <c r="AD106" t="s">
        <v>94</v>
      </c>
      <c r="AE106" s="5" t="s">
        <v>203</v>
      </c>
      <c r="AF106" t="s">
        <v>107</v>
      </c>
      <c r="AG106" t="s">
        <v>95</v>
      </c>
      <c r="AH106">
        <f t="shared" si="47"/>
        <v>3.8230475000000002E-3</v>
      </c>
      <c r="AI106">
        <f t="shared" si="47"/>
        <v>3.8230475000000002E-3</v>
      </c>
      <c r="AJ106">
        <f t="shared" si="31"/>
        <v>3.8230475000000002E-3</v>
      </c>
      <c r="AK106">
        <v>3.8230475000000002E-3</v>
      </c>
      <c r="AL106">
        <v>0.13136289000000001</v>
      </c>
      <c r="AM106">
        <v>0.13638858000000001</v>
      </c>
      <c r="AN106">
        <v>0.13890411</v>
      </c>
      <c r="AO106">
        <v>99.617695249999997</v>
      </c>
      <c r="AP106">
        <v>86.863710999999995</v>
      </c>
      <c r="AQ106">
        <v>86.361142000000001</v>
      </c>
      <c r="AR106">
        <v>86.109589</v>
      </c>
      <c r="AS106" t="b">
        <v>0</v>
      </c>
      <c r="AT106" t="b">
        <v>0</v>
      </c>
      <c r="AU106" t="s">
        <v>92</v>
      </c>
      <c r="AV106" t="s">
        <v>92</v>
      </c>
      <c r="AW106" t="s">
        <v>79</v>
      </c>
      <c r="AX106" t="s">
        <v>249</v>
      </c>
      <c r="AY106" t="s">
        <v>270</v>
      </c>
      <c r="AZ106" t="s">
        <v>109</v>
      </c>
      <c r="BA106">
        <v>8</v>
      </c>
      <c r="BB106">
        <v>0.3</v>
      </c>
      <c r="BC106">
        <v>4.1163553999999996E-3</v>
      </c>
      <c r="BD106">
        <v>1.4279989108178799E-4</v>
      </c>
      <c r="BE106">
        <v>4.2591552910817903E-3</v>
      </c>
      <c r="BF106">
        <f>IF(AK106&lt;BE106,1,0)</f>
        <v>1</v>
      </c>
      <c r="BG106">
        <f>IF(AK106&lt;BC106,1,0)</f>
        <v>1</v>
      </c>
      <c r="BH106">
        <f>VLOOKUP($B106,[1]Data_Peer_with_peerVars!$B$2:$Z$1050,20,FALSE)</f>
        <v>8</v>
      </c>
      <c r="BI106">
        <f>VLOOKUP($B106,[1]Data_Peer_with_peerVars!$B$2:$Z$1050,21,FALSE)</f>
        <v>2</v>
      </c>
      <c r="BJ106">
        <f>VLOOKUP($B106,[1]Data_Peer_with_peerVars!$B$2:$Z$1050,22,FALSE)</f>
        <v>0.25</v>
      </c>
      <c r="BK106">
        <f>VLOOKUP($B106,[1]Data_Peer_with_peerVars!$B$2:$Z$1050,23,FALSE)</f>
        <v>21</v>
      </c>
      <c r="BL106">
        <f>VLOOKUP($B106,[1]Data_Peer_with_peerVars!$B$2:$Z$1050,24,FALSE)</f>
        <v>12</v>
      </c>
      <c r="BM106">
        <f>VLOOKUP($B106,[1]Data_Peer_with_peerVars!$B$2:$Z$1050,25,FALSE)</f>
        <v>0.571428571</v>
      </c>
    </row>
    <row r="107" spans="1:65" x14ac:dyDescent="0.2">
      <c r="A107">
        <v>1</v>
      </c>
      <c r="B107" t="s">
        <v>272</v>
      </c>
      <c r="C107">
        <v>59</v>
      </c>
      <c r="D107" t="s">
        <v>68</v>
      </c>
      <c r="E107">
        <v>0</v>
      </c>
      <c r="F107">
        <v>185</v>
      </c>
      <c r="G107" t="s">
        <v>119</v>
      </c>
      <c r="H107" s="1">
        <v>7</v>
      </c>
      <c r="I107" t="s">
        <v>87</v>
      </c>
      <c r="J107" t="s">
        <v>150</v>
      </c>
      <c r="K107" t="s">
        <v>72</v>
      </c>
      <c r="L107">
        <v>1</v>
      </c>
      <c r="M107">
        <v>0</v>
      </c>
      <c r="N107">
        <v>0</v>
      </c>
      <c r="O107">
        <v>0</v>
      </c>
      <c r="P107">
        <v>0</v>
      </c>
      <c r="Q107">
        <v>5</v>
      </c>
      <c r="R107">
        <v>0</v>
      </c>
      <c r="S107">
        <v>0</v>
      </c>
      <c r="T107">
        <v>1</v>
      </c>
      <c r="U107">
        <v>1</v>
      </c>
      <c r="V107">
        <f t="shared" si="30"/>
        <v>0</v>
      </c>
      <c r="W107">
        <f t="shared" si="32"/>
        <v>0</v>
      </c>
      <c r="X107">
        <f t="shared" si="33"/>
        <v>0</v>
      </c>
      <c r="Y107">
        <f t="shared" si="34"/>
        <v>0</v>
      </c>
      <c r="Z107" t="s">
        <v>89</v>
      </c>
      <c r="AA107" s="5" t="s">
        <v>273</v>
      </c>
      <c r="AB107" s="5" t="s">
        <v>274</v>
      </c>
      <c r="AC107" t="s">
        <v>94</v>
      </c>
      <c r="AD107" t="s">
        <v>95</v>
      </c>
      <c r="AE107" s="5" t="s">
        <v>106</v>
      </c>
      <c r="AF107" t="s">
        <v>107</v>
      </c>
      <c r="AG107" t="s">
        <v>74</v>
      </c>
      <c r="AH107">
        <f t="shared" si="47"/>
        <v>1.4762165000000001E-2</v>
      </c>
      <c r="AI107">
        <f t="shared" si="47"/>
        <v>1.4762165000000001E-2</v>
      </c>
      <c r="AJ107">
        <f t="shared" si="31"/>
        <v>1.4762165000000001E-2</v>
      </c>
      <c r="AK107">
        <v>1.4762165000000001E-2</v>
      </c>
      <c r="AL107">
        <v>0.10980284999999999</v>
      </c>
      <c r="AM107">
        <v>0.11416026</v>
      </c>
      <c r="AN107">
        <v>0.12897914999999999</v>
      </c>
      <c r="AO107">
        <v>98.523783499999993</v>
      </c>
      <c r="AP107">
        <v>89.019715000000005</v>
      </c>
      <c r="AQ107">
        <v>88.583973999999998</v>
      </c>
      <c r="AR107">
        <v>87.102085000000002</v>
      </c>
      <c r="AS107" t="b">
        <v>1</v>
      </c>
      <c r="AT107" t="b">
        <v>0</v>
      </c>
      <c r="AU107" t="s">
        <v>77</v>
      </c>
      <c r="AV107" t="s">
        <v>108</v>
      </c>
      <c r="AW107" t="s">
        <v>79</v>
      </c>
      <c r="AX107" t="s">
        <v>249</v>
      </c>
      <c r="AY107" t="s">
        <v>270</v>
      </c>
      <c r="AZ107" t="s">
        <v>109</v>
      </c>
      <c r="BA107">
        <v>3</v>
      </c>
      <c r="BB107">
        <v>1</v>
      </c>
      <c r="BC107">
        <v>1.6447369E-2</v>
      </c>
      <c r="BD107">
        <v>4.2236161269162102E-4</v>
      </c>
      <c r="BE107">
        <v>1.6869730612691598E-2</v>
      </c>
      <c r="BF107">
        <f>IF(AK107&lt;BE107,1,0)</f>
        <v>1</v>
      </c>
      <c r="BG107">
        <f>IF(AK107&lt;BC107,1,0)</f>
        <v>1</v>
      </c>
      <c r="BH107">
        <f>VLOOKUP($B107,[1]Data_Peer_with_peerVars!$B$2:$Z$1050,20,FALSE)</f>
        <v>8</v>
      </c>
      <c r="BI107">
        <f>VLOOKUP($B107,[1]Data_Peer_with_peerVars!$B$2:$Z$1050,21,FALSE)</f>
        <v>2</v>
      </c>
      <c r="BJ107">
        <f>VLOOKUP($B107,[1]Data_Peer_with_peerVars!$B$2:$Z$1050,22,FALSE)</f>
        <v>0.25</v>
      </c>
      <c r="BK107">
        <f>VLOOKUP($B107,[1]Data_Peer_with_peerVars!$B$2:$Z$1050,23,FALSE)</f>
        <v>21</v>
      </c>
      <c r="BL107">
        <f>VLOOKUP($B107,[1]Data_Peer_with_peerVars!$B$2:$Z$1050,24,FALSE)</f>
        <v>12</v>
      </c>
      <c r="BM107">
        <f>VLOOKUP($B107,[1]Data_Peer_with_peerVars!$B$2:$Z$1050,25,FALSE)</f>
        <v>0.571428571</v>
      </c>
    </row>
    <row r="108" spans="1:65" x14ac:dyDescent="0.2">
      <c r="A108">
        <v>1</v>
      </c>
      <c r="B108" t="s">
        <v>275</v>
      </c>
      <c r="C108">
        <v>60</v>
      </c>
      <c r="D108" t="s">
        <v>68</v>
      </c>
      <c r="E108">
        <v>0</v>
      </c>
      <c r="F108">
        <v>187</v>
      </c>
      <c r="G108" t="s">
        <v>119</v>
      </c>
      <c r="H108" s="1">
        <v>7</v>
      </c>
      <c r="I108" t="s">
        <v>87</v>
      </c>
      <c r="J108" t="s">
        <v>150</v>
      </c>
      <c r="K108" t="s">
        <v>109</v>
      </c>
      <c r="L108">
        <v>1</v>
      </c>
      <c r="M108">
        <v>0</v>
      </c>
      <c r="N108">
        <v>0</v>
      </c>
      <c r="O108">
        <v>1</v>
      </c>
      <c r="P108">
        <v>1</v>
      </c>
      <c r="Q108">
        <v>9</v>
      </c>
      <c r="R108">
        <v>0</v>
      </c>
      <c r="S108">
        <v>0</v>
      </c>
      <c r="T108">
        <v>0</v>
      </c>
      <c r="U108">
        <v>0</v>
      </c>
      <c r="V108">
        <f t="shared" si="30"/>
        <v>0</v>
      </c>
      <c r="W108">
        <f t="shared" si="32"/>
        <v>0</v>
      </c>
      <c r="X108">
        <f t="shared" si="33"/>
        <v>1</v>
      </c>
      <c r="Y108">
        <v>1</v>
      </c>
      <c r="Z108" t="s">
        <v>76</v>
      </c>
      <c r="AA108" s="5" t="s">
        <v>76</v>
      </c>
      <c r="AB108" s="5" t="s">
        <v>76</v>
      </c>
      <c r="AC108" t="s">
        <v>94</v>
      </c>
      <c r="AD108" t="s">
        <v>74</v>
      </c>
      <c r="AE108" s="5" t="s">
        <v>102</v>
      </c>
      <c r="AF108" t="s">
        <v>76</v>
      </c>
      <c r="AG108" t="s">
        <v>75</v>
      </c>
      <c r="AH108">
        <f t="shared" ref="AH108:AH109" si="48">AI108</f>
        <v>0.10673234600000001</v>
      </c>
      <c r="AI108">
        <f>AM108</f>
        <v>0.10673234600000001</v>
      </c>
      <c r="AJ108">
        <f t="shared" si="31"/>
        <v>0.10202406999999999</v>
      </c>
      <c r="AK108">
        <v>0.10202406999999999</v>
      </c>
      <c r="AL108">
        <v>0.10571115</v>
      </c>
      <c r="AM108">
        <v>0.10673234600000001</v>
      </c>
      <c r="AN108">
        <v>0.12883771999999999</v>
      </c>
      <c r="AO108">
        <v>89.797593000000006</v>
      </c>
      <c r="AP108">
        <v>89.428884999999994</v>
      </c>
      <c r="AQ108">
        <v>89.326765399999999</v>
      </c>
      <c r="AR108">
        <v>87.116228000000007</v>
      </c>
      <c r="AS108" t="b">
        <v>0</v>
      </c>
      <c r="AT108" t="b">
        <v>0</v>
      </c>
      <c r="AU108" t="s">
        <v>92</v>
      </c>
      <c r="AV108" t="s">
        <v>92</v>
      </c>
      <c r="AW108" t="s">
        <v>79</v>
      </c>
      <c r="AX108" t="s">
        <v>249</v>
      </c>
      <c r="AY108" t="s">
        <v>270</v>
      </c>
      <c r="AZ108" t="s">
        <v>109</v>
      </c>
      <c r="BA108">
        <v>6</v>
      </c>
      <c r="BB108">
        <v>0.35</v>
      </c>
      <c r="BC108">
        <v>1.6447369E-2</v>
      </c>
      <c r="BD108">
        <v>4.2236161269162102E-4</v>
      </c>
      <c r="BE108">
        <v>1.6869730612691598E-2</v>
      </c>
      <c r="BF108">
        <f>IF(AK108&lt;BE108,1,0)</f>
        <v>0</v>
      </c>
      <c r="BG108">
        <f>IF(AK108&lt;BC108,1,0)</f>
        <v>0</v>
      </c>
      <c r="BH108">
        <f>VLOOKUP($B108,[1]Data_Peer_with_peerVars!$B$2:$Z$1050,20,FALSE)</f>
        <v>5</v>
      </c>
      <c r="BI108">
        <f>VLOOKUP($B108,[1]Data_Peer_with_peerVars!$B$2:$Z$1050,21,FALSE)</f>
        <v>1</v>
      </c>
      <c r="BJ108">
        <f>VLOOKUP($B108,[1]Data_Peer_with_peerVars!$B$2:$Z$1050,22,FALSE)</f>
        <v>0.2</v>
      </c>
      <c r="BK108">
        <f>VLOOKUP($B108,[1]Data_Peer_with_peerVars!$B$2:$Z$1050,23,FALSE)</f>
        <v>26</v>
      </c>
      <c r="BL108">
        <f>VLOOKUP($B108,[1]Data_Peer_with_peerVars!$B$2:$Z$1050,24,FALSE)</f>
        <v>15</v>
      </c>
      <c r="BM108">
        <f>VLOOKUP($B108,[1]Data_Peer_with_peerVars!$B$2:$Z$1050,25,FALSE)</f>
        <v>0.57692307700000001</v>
      </c>
    </row>
    <row r="109" spans="1:65" x14ac:dyDescent="0.2">
      <c r="A109">
        <v>1</v>
      </c>
      <c r="B109" t="s">
        <v>276</v>
      </c>
      <c r="C109">
        <v>60</v>
      </c>
      <c r="D109" t="s">
        <v>68</v>
      </c>
      <c r="E109">
        <v>0</v>
      </c>
      <c r="F109">
        <v>187</v>
      </c>
      <c r="G109" t="s">
        <v>119</v>
      </c>
      <c r="H109" s="1">
        <v>7</v>
      </c>
      <c r="I109" t="s">
        <v>87</v>
      </c>
      <c r="J109" t="s">
        <v>150</v>
      </c>
      <c r="K109" t="s">
        <v>109</v>
      </c>
      <c r="L109">
        <v>1</v>
      </c>
      <c r="M109">
        <v>0</v>
      </c>
      <c r="N109">
        <v>0</v>
      </c>
      <c r="O109">
        <v>1</v>
      </c>
      <c r="P109">
        <v>1</v>
      </c>
      <c r="Q109">
        <v>9</v>
      </c>
      <c r="R109">
        <v>0</v>
      </c>
      <c r="S109">
        <v>0</v>
      </c>
      <c r="T109">
        <v>1</v>
      </c>
      <c r="U109">
        <v>1</v>
      </c>
      <c r="V109">
        <f t="shared" si="30"/>
        <v>1</v>
      </c>
      <c r="W109">
        <v>1</v>
      </c>
      <c r="X109">
        <v>1</v>
      </c>
      <c r="Y109">
        <v>1</v>
      </c>
      <c r="Z109" t="s">
        <v>94</v>
      </c>
      <c r="AA109" s="5" t="s">
        <v>94</v>
      </c>
      <c r="AB109" s="5" t="s">
        <v>94</v>
      </c>
      <c r="AC109" t="s">
        <v>94</v>
      </c>
      <c r="AD109" t="s">
        <v>95</v>
      </c>
      <c r="AE109" s="5" t="s">
        <v>74</v>
      </c>
      <c r="AF109" t="s">
        <v>107</v>
      </c>
      <c r="AG109" t="s">
        <v>74</v>
      </c>
      <c r="AH109">
        <f t="shared" si="48"/>
        <v>1.6393442000000001E-2</v>
      </c>
      <c r="AI109">
        <f>AJ109</f>
        <v>1.6393442000000001E-2</v>
      </c>
      <c r="AJ109">
        <f t="shared" si="31"/>
        <v>1.6393442000000001E-2</v>
      </c>
      <c r="AK109">
        <v>1.6393442000000001E-2</v>
      </c>
      <c r="AL109">
        <v>0.10700601999999999</v>
      </c>
      <c r="AM109">
        <v>0.10998354</v>
      </c>
      <c r="AN109">
        <v>0.12589138999999999</v>
      </c>
      <c r="AO109">
        <v>98.360655800000004</v>
      </c>
      <c r="AP109">
        <v>89.299397999999997</v>
      </c>
      <c r="AQ109">
        <v>89.001645999999994</v>
      </c>
      <c r="AR109">
        <v>87.410860999999997</v>
      </c>
      <c r="AS109" t="b">
        <v>0</v>
      </c>
      <c r="AT109" t="b">
        <v>0</v>
      </c>
      <c r="AU109" t="s">
        <v>78</v>
      </c>
      <c r="AV109" t="s">
        <v>78</v>
      </c>
      <c r="AW109" t="s">
        <v>79</v>
      </c>
      <c r="AX109" t="s">
        <v>249</v>
      </c>
      <c r="AY109" t="s">
        <v>270</v>
      </c>
      <c r="AZ109" t="s">
        <v>109</v>
      </c>
      <c r="BA109">
        <v>10</v>
      </c>
      <c r="BB109">
        <v>0.17499999999999899</v>
      </c>
      <c r="BC109">
        <v>1.6447369E-2</v>
      </c>
      <c r="BD109">
        <v>4.2236161269162102E-4</v>
      </c>
      <c r="BE109">
        <v>1.6869730612691598E-2</v>
      </c>
      <c r="BF109">
        <f>IF(AK109&lt;BE109,1,0)</f>
        <v>1</v>
      </c>
      <c r="BG109">
        <f>IF(AK109&lt;BC109,1,0)</f>
        <v>1</v>
      </c>
      <c r="BH109">
        <f>VLOOKUP($B109,[1]Data_Peer_with_peerVars!$B$2:$Z$1050,20,FALSE)</f>
        <v>5</v>
      </c>
      <c r="BI109">
        <f>VLOOKUP($B109,[1]Data_Peer_with_peerVars!$B$2:$Z$1050,21,FALSE)</f>
        <v>1</v>
      </c>
      <c r="BJ109">
        <f>VLOOKUP($B109,[1]Data_Peer_with_peerVars!$B$2:$Z$1050,22,FALSE)</f>
        <v>0.2</v>
      </c>
      <c r="BK109">
        <f>VLOOKUP($B109,[1]Data_Peer_with_peerVars!$B$2:$Z$1050,23,FALSE)</f>
        <v>26</v>
      </c>
      <c r="BL109">
        <f>VLOOKUP($B109,[1]Data_Peer_with_peerVars!$B$2:$Z$1050,24,FALSE)</f>
        <v>15</v>
      </c>
      <c r="BM109">
        <f>VLOOKUP($B109,[1]Data_Peer_with_peerVars!$B$2:$Z$1050,25,FALSE)</f>
        <v>0.57692307700000001</v>
      </c>
    </row>
    <row r="110" spans="1:65" x14ac:dyDescent="0.2">
      <c r="A110">
        <v>1</v>
      </c>
      <c r="B110" t="s">
        <v>277</v>
      </c>
      <c r="C110">
        <v>61</v>
      </c>
      <c r="D110" t="s">
        <v>68</v>
      </c>
      <c r="E110">
        <v>0</v>
      </c>
      <c r="F110">
        <v>190</v>
      </c>
      <c r="G110" t="s">
        <v>119</v>
      </c>
      <c r="H110" s="1">
        <v>6.5</v>
      </c>
      <c r="I110" t="s">
        <v>87</v>
      </c>
      <c r="J110" t="s">
        <v>88</v>
      </c>
      <c r="K110" t="s">
        <v>72</v>
      </c>
      <c r="L110">
        <v>1</v>
      </c>
      <c r="M110">
        <v>0</v>
      </c>
      <c r="N110">
        <v>0</v>
      </c>
      <c r="O110">
        <v>0</v>
      </c>
      <c r="P110">
        <v>0</v>
      </c>
      <c r="Q110">
        <v>3</v>
      </c>
      <c r="R110">
        <v>0</v>
      </c>
      <c r="S110">
        <v>0</v>
      </c>
      <c r="T110">
        <v>0</v>
      </c>
      <c r="U110">
        <v>1</v>
      </c>
      <c r="V110">
        <f t="shared" si="30"/>
        <v>0</v>
      </c>
      <c r="W110">
        <f t="shared" si="32"/>
        <v>0</v>
      </c>
      <c r="X110">
        <f t="shared" si="33"/>
        <v>0</v>
      </c>
      <c r="Y110">
        <f t="shared" si="34"/>
        <v>0</v>
      </c>
      <c r="Z110" t="s">
        <v>170</v>
      </c>
      <c r="AA110" s="5" t="s">
        <v>170</v>
      </c>
      <c r="AB110" s="5" t="s">
        <v>278</v>
      </c>
      <c r="AC110" t="s">
        <v>137</v>
      </c>
      <c r="AD110" t="s">
        <v>103</v>
      </c>
      <c r="AE110" s="5" t="s">
        <v>95</v>
      </c>
      <c r="AF110" t="s">
        <v>101</v>
      </c>
      <c r="AG110" t="s">
        <v>107</v>
      </c>
      <c r="AH110">
        <f>AI110</f>
        <v>0.65353035999999998</v>
      </c>
      <c r="AI110">
        <f t="shared" ref="AI110:AI113" si="49">AJ110</f>
        <v>0.65353035999999998</v>
      </c>
      <c r="AJ110">
        <f t="shared" si="31"/>
        <v>0.65353035999999998</v>
      </c>
      <c r="AK110">
        <v>0.65353035999999998</v>
      </c>
      <c r="AL110">
        <v>0.65700879999999995</v>
      </c>
      <c r="AM110">
        <v>0.65759075</v>
      </c>
      <c r="AN110">
        <v>0.65760569999999996</v>
      </c>
      <c r="AO110">
        <v>34.646963999999997</v>
      </c>
      <c r="AP110">
        <v>34.299120000000002</v>
      </c>
      <c r="AQ110">
        <v>34.240924999999997</v>
      </c>
      <c r="AR110">
        <v>34.239429999999999</v>
      </c>
      <c r="AS110" t="b">
        <v>1</v>
      </c>
      <c r="AT110" t="b">
        <v>0</v>
      </c>
      <c r="AU110" t="s">
        <v>77</v>
      </c>
      <c r="AV110" t="s">
        <v>78</v>
      </c>
      <c r="AW110" t="s">
        <v>79</v>
      </c>
      <c r="AX110" t="s">
        <v>249</v>
      </c>
      <c r="AY110" t="s">
        <v>252</v>
      </c>
      <c r="AZ110" t="s">
        <v>72</v>
      </c>
      <c r="BA110" t="s">
        <v>82</v>
      </c>
      <c r="BB110">
        <v>0.05</v>
      </c>
      <c r="BC110">
        <v>5.4824560000000001E-2</v>
      </c>
      <c r="BD110">
        <v>2.68252196314279E-2</v>
      </c>
      <c r="BE110">
        <v>8.1649779631427902E-2</v>
      </c>
      <c r="BF110">
        <f>IF(AK110&lt;BE110,1,0)</f>
        <v>0</v>
      </c>
      <c r="BG110">
        <f>IF(AK110&lt;BC110,1,0)</f>
        <v>0</v>
      </c>
      <c r="BH110">
        <f>VLOOKUP($B110,[1]Data_Peer_with_peerVars!$B$2:$Z$1050,20,FALSE)</f>
        <v>12</v>
      </c>
      <c r="BI110">
        <f>VLOOKUP($B110,[1]Data_Peer_with_peerVars!$B$2:$Z$1050,21,FALSE)</f>
        <v>9</v>
      </c>
      <c r="BJ110">
        <f>VLOOKUP($B110,[1]Data_Peer_with_peerVars!$B$2:$Z$1050,22,FALSE)</f>
        <v>0.75</v>
      </c>
      <c r="BK110">
        <f>VLOOKUP($B110,[1]Data_Peer_with_peerVars!$B$2:$Z$1050,23,FALSE)</f>
        <v>44</v>
      </c>
      <c r="BL110">
        <f>VLOOKUP($B110,[1]Data_Peer_with_peerVars!$B$2:$Z$1050,24,FALSE)</f>
        <v>32</v>
      </c>
      <c r="BM110">
        <f>VLOOKUP($B110,[1]Data_Peer_with_peerVars!$B$2:$Z$1050,25,FALSE)</f>
        <v>0.72727272700000001</v>
      </c>
    </row>
    <row r="111" spans="1:65" x14ac:dyDescent="0.2">
      <c r="A111">
        <v>1</v>
      </c>
      <c r="B111" t="s">
        <v>279</v>
      </c>
      <c r="C111">
        <v>61</v>
      </c>
      <c r="D111" t="s">
        <v>68</v>
      </c>
      <c r="E111">
        <v>0</v>
      </c>
      <c r="F111">
        <v>190</v>
      </c>
      <c r="G111" t="s">
        <v>119</v>
      </c>
      <c r="H111" s="1">
        <v>6.5</v>
      </c>
      <c r="I111" t="s">
        <v>87</v>
      </c>
      <c r="J111" t="s">
        <v>88</v>
      </c>
      <c r="K111" t="s">
        <v>72</v>
      </c>
      <c r="L111">
        <v>1</v>
      </c>
      <c r="M111">
        <v>0</v>
      </c>
      <c r="N111">
        <v>0</v>
      </c>
      <c r="O111">
        <v>0</v>
      </c>
      <c r="P111">
        <v>0</v>
      </c>
      <c r="Q111">
        <v>3</v>
      </c>
      <c r="R111">
        <v>0</v>
      </c>
      <c r="S111">
        <v>0</v>
      </c>
      <c r="T111">
        <v>0</v>
      </c>
      <c r="U111">
        <v>0</v>
      </c>
      <c r="V111">
        <f t="shared" si="30"/>
        <v>0</v>
      </c>
      <c r="W111">
        <f t="shared" si="32"/>
        <v>1</v>
      </c>
      <c r="X111">
        <v>1</v>
      </c>
      <c r="Y111">
        <v>1</v>
      </c>
      <c r="Z111" t="s">
        <v>76</v>
      </c>
      <c r="AA111" s="5" t="s">
        <v>76</v>
      </c>
      <c r="AB111" s="5" t="s">
        <v>76</v>
      </c>
      <c r="AC111" t="s">
        <v>84</v>
      </c>
      <c r="AD111" t="s">
        <v>76</v>
      </c>
      <c r="AE111" s="5" t="s">
        <v>280</v>
      </c>
      <c r="AF111" t="s">
        <v>74</v>
      </c>
      <c r="AG111" t="s">
        <v>113</v>
      </c>
      <c r="AH111">
        <f t="shared" ref="AH111:AH114" si="50">AI111</f>
        <v>0.12205802</v>
      </c>
      <c r="AI111">
        <f t="shared" si="49"/>
        <v>0.12205802</v>
      </c>
      <c r="AJ111">
        <f>AL111</f>
        <v>0.12205802</v>
      </c>
      <c r="AK111">
        <v>9.7306214000000002E-2</v>
      </c>
      <c r="AL111">
        <v>0.12205802</v>
      </c>
      <c r="AM111">
        <v>0.12877540000000001</v>
      </c>
      <c r="AN111">
        <v>0.13413964</v>
      </c>
      <c r="AO111">
        <v>90.269378599999996</v>
      </c>
      <c r="AP111">
        <v>87.794197999999994</v>
      </c>
      <c r="AQ111">
        <v>87.122460000000004</v>
      </c>
      <c r="AR111">
        <v>86.586036000000007</v>
      </c>
      <c r="AS111" t="b">
        <v>0</v>
      </c>
      <c r="AT111" t="b">
        <v>0</v>
      </c>
      <c r="AU111" t="s">
        <v>92</v>
      </c>
      <c r="AV111" t="s">
        <v>92</v>
      </c>
      <c r="AW111" t="s">
        <v>79</v>
      </c>
      <c r="AX111" t="s">
        <v>249</v>
      </c>
      <c r="AY111" t="s">
        <v>281</v>
      </c>
      <c r="AZ111" t="s">
        <v>72</v>
      </c>
      <c r="BA111" t="s">
        <v>82</v>
      </c>
      <c r="BB111">
        <v>0.18</v>
      </c>
      <c r="BC111">
        <v>4.6780407000000003E-2</v>
      </c>
      <c r="BD111">
        <v>6.0749635341231199E-3</v>
      </c>
      <c r="BE111">
        <v>5.2855370534123099E-2</v>
      </c>
      <c r="BF111">
        <f>IF(AK111&lt;BE111,1,0)</f>
        <v>0</v>
      </c>
      <c r="BG111">
        <f>IF(AK111&lt;BC111,1,0)</f>
        <v>0</v>
      </c>
      <c r="BH111">
        <f>VLOOKUP($B111,[1]Data_Peer_with_peerVars!$B$2:$Z$1050,20,FALSE)</f>
        <v>12</v>
      </c>
      <c r="BI111">
        <f>VLOOKUP($B111,[1]Data_Peer_with_peerVars!$B$2:$Z$1050,21,FALSE)</f>
        <v>9</v>
      </c>
      <c r="BJ111">
        <f>VLOOKUP($B111,[1]Data_Peer_with_peerVars!$B$2:$Z$1050,22,FALSE)</f>
        <v>0.75</v>
      </c>
      <c r="BK111">
        <f>VLOOKUP($B111,[1]Data_Peer_with_peerVars!$B$2:$Z$1050,23,FALSE)</f>
        <v>44</v>
      </c>
      <c r="BL111">
        <f>VLOOKUP($B111,[1]Data_Peer_with_peerVars!$B$2:$Z$1050,24,FALSE)</f>
        <v>32</v>
      </c>
      <c r="BM111">
        <f>VLOOKUP($B111,[1]Data_Peer_with_peerVars!$B$2:$Z$1050,25,FALSE)</f>
        <v>0.72727272700000001</v>
      </c>
    </row>
    <row r="112" spans="1:65" x14ac:dyDescent="0.2">
      <c r="A112">
        <v>1</v>
      </c>
      <c r="B112" t="s">
        <v>282</v>
      </c>
      <c r="C112">
        <v>62</v>
      </c>
      <c r="D112" t="s">
        <v>68</v>
      </c>
      <c r="E112">
        <v>0</v>
      </c>
      <c r="F112">
        <v>266</v>
      </c>
      <c r="G112" t="s">
        <v>119</v>
      </c>
      <c r="H112" s="1">
        <v>7</v>
      </c>
      <c r="I112" t="s">
        <v>87</v>
      </c>
      <c r="J112" t="s">
        <v>88</v>
      </c>
      <c r="K112" t="s">
        <v>72</v>
      </c>
      <c r="L112">
        <v>1</v>
      </c>
      <c r="M112">
        <v>0</v>
      </c>
      <c r="N112">
        <v>0</v>
      </c>
      <c r="O112">
        <v>1</v>
      </c>
      <c r="P112">
        <v>0</v>
      </c>
      <c r="Q112">
        <v>6</v>
      </c>
      <c r="R112">
        <v>0</v>
      </c>
      <c r="S112">
        <v>0</v>
      </c>
      <c r="T112">
        <v>0</v>
      </c>
      <c r="U112">
        <v>0</v>
      </c>
      <c r="V112">
        <f t="shared" si="30"/>
        <v>1</v>
      </c>
      <c r="W112">
        <v>1</v>
      </c>
      <c r="X112">
        <v>1</v>
      </c>
      <c r="Y112">
        <v>1</v>
      </c>
      <c r="Z112" t="s">
        <v>76</v>
      </c>
      <c r="AA112" s="5" t="s">
        <v>76</v>
      </c>
      <c r="AB112" s="5" t="s">
        <v>76</v>
      </c>
      <c r="AC112" t="s">
        <v>76</v>
      </c>
      <c r="AD112" t="s">
        <v>74</v>
      </c>
      <c r="AE112" s="5" t="s">
        <v>76</v>
      </c>
      <c r="AF112" t="s">
        <v>167</v>
      </c>
      <c r="AG112" t="s">
        <v>120</v>
      </c>
      <c r="AH112">
        <f t="shared" si="50"/>
        <v>7.6312909999999998E-2</v>
      </c>
      <c r="AI112">
        <f t="shared" si="49"/>
        <v>7.6312909999999998E-2</v>
      </c>
      <c r="AJ112">
        <f t="shared" si="31"/>
        <v>7.6312909999999998E-2</v>
      </c>
      <c r="AK112">
        <v>7.6312909999999998E-2</v>
      </c>
      <c r="AL112">
        <v>0.11827662</v>
      </c>
      <c r="AM112">
        <v>0.12815587000000001</v>
      </c>
      <c r="AN112">
        <v>0.12882932</v>
      </c>
      <c r="AO112">
        <v>92.368708999999996</v>
      </c>
      <c r="AP112">
        <v>88.172337999999996</v>
      </c>
      <c r="AQ112">
        <v>87.184413000000006</v>
      </c>
      <c r="AR112">
        <v>87.117068000000003</v>
      </c>
      <c r="AS112" t="b">
        <v>0</v>
      </c>
      <c r="AT112" t="b">
        <v>1</v>
      </c>
      <c r="AU112" t="s">
        <v>77</v>
      </c>
      <c r="AV112" t="s">
        <v>78</v>
      </c>
      <c r="AW112" t="s">
        <v>79</v>
      </c>
      <c r="AX112" t="s">
        <v>249</v>
      </c>
      <c r="AY112" t="s">
        <v>252</v>
      </c>
      <c r="AZ112" t="s">
        <v>72</v>
      </c>
      <c r="BA112" t="s">
        <v>82</v>
      </c>
      <c r="BB112">
        <v>1.4</v>
      </c>
      <c r="BC112">
        <v>7.7070764999999999E-2</v>
      </c>
      <c r="BD112">
        <v>1.90190515067399E-3</v>
      </c>
      <c r="BE112">
        <v>7.8972670150673996E-2</v>
      </c>
      <c r="BF112">
        <f>IF(AK112&lt;BE112,1,0)</f>
        <v>1</v>
      </c>
      <c r="BG112">
        <f>IF(AK112&lt;BC112,1,0)</f>
        <v>1</v>
      </c>
      <c r="BH112">
        <f>VLOOKUP($B112,[1]Data_Peer_with_peerVars!$B$2:$Z$1050,20,FALSE)</f>
        <v>5</v>
      </c>
      <c r="BI112">
        <f>VLOOKUP($B112,[1]Data_Peer_with_peerVars!$B$2:$Z$1050,21,FALSE)</f>
        <v>3</v>
      </c>
      <c r="BJ112">
        <f>VLOOKUP($B112,[1]Data_Peer_with_peerVars!$B$2:$Z$1050,22,FALSE)</f>
        <v>0.6</v>
      </c>
      <c r="BK112">
        <f>VLOOKUP($B112,[1]Data_Peer_with_peerVars!$B$2:$Z$1050,23,FALSE)</f>
        <v>61</v>
      </c>
      <c r="BL112">
        <f>VLOOKUP($B112,[1]Data_Peer_with_peerVars!$B$2:$Z$1050,24,FALSE)</f>
        <v>41</v>
      </c>
      <c r="BM112">
        <f>VLOOKUP($B112,[1]Data_Peer_with_peerVars!$B$2:$Z$1050,25,FALSE)</f>
        <v>0.67213114799999996</v>
      </c>
    </row>
    <row r="113" spans="1:65" x14ac:dyDescent="0.2">
      <c r="A113">
        <v>1</v>
      </c>
      <c r="B113" t="s">
        <v>283</v>
      </c>
      <c r="C113">
        <v>62</v>
      </c>
      <c r="D113" t="s">
        <v>68</v>
      </c>
      <c r="E113">
        <v>0</v>
      </c>
      <c r="F113">
        <v>266</v>
      </c>
      <c r="G113" t="s">
        <v>119</v>
      </c>
      <c r="H113" s="1">
        <v>7</v>
      </c>
      <c r="I113" t="s">
        <v>87</v>
      </c>
      <c r="J113" t="s">
        <v>88</v>
      </c>
      <c r="K113" t="s">
        <v>72</v>
      </c>
      <c r="L113">
        <v>1</v>
      </c>
      <c r="M113">
        <v>0</v>
      </c>
      <c r="N113">
        <v>0</v>
      </c>
      <c r="O113">
        <v>1</v>
      </c>
      <c r="P113">
        <v>0</v>
      </c>
      <c r="Q113">
        <v>6</v>
      </c>
      <c r="R113">
        <v>0</v>
      </c>
      <c r="S113">
        <v>0</v>
      </c>
      <c r="T113">
        <v>0</v>
      </c>
      <c r="U113">
        <v>0</v>
      </c>
      <c r="V113">
        <v>1</v>
      </c>
      <c r="W113">
        <v>1</v>
      </c>
      <c r="X113">
        <v>1</v>
      </c>
      <c r="Y113">
        <v>1</v>
      </c>
      <c r="Z113" t="s">
        <v>98</v>
      </c>
      <c r="AA113" s="5" t="s">
        <v>284</v>
      </c>
      <c r="AB113" s="5" t="s">
        <v>284</v>
      </c>
      <c r="AC113" t="s">
        <v>99</v>
      </c>
      <c r="AD113" t="s">
        <v>101</v>
      </c>
      <c r="AE113" s="5" t="s">
        <v>74</v>
      </c>
      <c r="AF113" t="s">
        <v>103</v>
      </c>
      <c r="AG113" t="s">
        <v>102</v>
      </c>
      <c r="AH113">
        <f t="shared" si="50"/>
        <v>5.0441015999999998E-2</v>
      </c>
      <c r="AI113">
        <f t="shared" si="49"/>
        <v>5.0441015999999998E-2</v>
      </c>
      <c r="AJ113">
        <f t="shared" si="31"/>
        <v>5.0441015999999998E-2</v>
      </c>
      <c r="AK113">
        <v>5.0441015999999998E-2</v>
      </c>
      <c r="AL113">
        <v>6.5861690000000001E-2</v>
      </c>
      <c r="AM113">
        <v>0.10259239000000001</v>
      </c>
      <c r="AN113">
        <v>0.11305298</v>
      </c>
      <c r="AO113">
        <v>94.955898399999995</v>
      </c>
      <c r="AP113">
        <v>93.413831000000002</v>
      </c>
      <c r="AQ113">
        <v>89.740761000000006</v>
      </c>
      <c r="AR113">
        <v>88.694702000000007</v>
      </c>
      <c r="AS113" t="b">
        <v>1</v>
      </c>
      <c r="AT113" t="b">
        <v>0</v>
      </c>
      <c r="AU113" t="s">
        <v>77</v>
      </c>
      <c r="AV113" t="s">
        <v>78</v>
      </c>
      <c r="AW113" t="s">
        <v>79</v>
      </c>
      <c r="AX113" t="s">
        <v>249</v>
      </c>
      <c r="AY113" t="s">
        <v>285</v>
      </c>
      <c r="AZ113" t="s">
        <v>109</v>
      </c>
      <c r="BA113">
        <v>60</v>
      </c>
      <c r="BB113">
        <v>0.04</v>
      </c>
      <c r="BC113">
        <v>2.4711695999999998E-2</v>
      </c>
      <c r="BD113">
        <v>1.72884756304863E-3</v>
      </c>
      <c r="BE113">
        <v>2.6440543563048601E-2</v>
      </c>
      <c r="BF113">
        <f>IF(AK113&lt;BE113,1,0)</f>
        <v>0</v>
      </c>
      <c r="BG113">
        <f>IF(AK113&lt;BC113,1,0)</f>
        <v>0</v>
      </c>
      <c r="BH113">
        <f>VLOOKUP($B113,[1]Data_Peer_with_peerVars!$B$2:$Z$1050,20,FALSE)</f>
        <v>5</v>
      </c>
      <c r="BI113">
        <f>VLOOKUP($B113,[1]Data_Peer_with_peerVars!$B$2:$Z$1050,21,FALSE)</f>
        <v>3</v>
      </c>
      <c r="BJ113">
        <f>VLOOKUP($B113,[1]Data_Peer_with_peerVars!$B$2:$Z$1050,22,FALSE)</f>
        <v>0.6</v>
      </c>
      <c r="BK113">
        <f>VLOOKUP($B113,[1]Data_Peer_with_peerVars!$B$2:$Z$1050,23,FALSE)</f>
        <v>61</v>
      </c>
      <c r="BL113">
        <f>VLOOKUP($B113,[1]Data_Peer_with_peerVars!$B$2:$Z$1050,24,FALSE)</f>
        <v>41</v>
      </c>
      <c r="BM113">
        <f>VLOOKUP($B113,[1]Data_Peer_with_peerVars!$B$2:$Z$1050,25,FALSE)</f>
        <v>0.67213114799999996</v>
      </c>
    </row>
    <row r="114" spans="1:65" x14ac:dyDescent="0.2">
      <c r="A114">
        <v>1</v>
      </c>
      <c r="B114" t="s">
        <v>286</v>
      </c>
      <c r="C114">
        <v>62</v>
      </c>
      <c r="D114" t="s">
        <v>68</v>
      </c>
      <c r="E114">
        <v>0</v>
      </c>
      <c r="F114">
        <v>266</v>
      </c>
      <c r="G114" t="s">
        <v>119</v>
      </c>
      <c r="H114" s="1">
        <v>7</v>
      </c>
      <c r="I114" t="s">
        <v>87</v>
      </c>
      <c r="J114" t="s">
        <v>88</v>
      </c>
      <c r="K114" t="s">
        <v>72</v>
      </c>
      <c r="L114">
        <v>1</v>
      </c>
      <c r="M114">
        <v>0</v>
      </c>
      <c r="N114">
        <v>0</v>
      </c>
      <c r="O114">
        <v>1</v>
      </c>
      <c r="P114">
        <v>0</v>
      </c>
      <c r="Q114">
        <v>6</v>
      </c>
      <c r="R114">
        <v>0</v>
      </c>
      <c r="S114">
        <v>0</v>
      </c>
      <c r="T114">
        <v>0</v>
      </c>
      <c r="U114">
        <v>0</v>
      </c>
      <c r="V114">
        <f t="shared" si="30"/>
        <v>0</v>
      </c>
      <c r="W114">
        <f t="shared" si="32"/>
        <v>1</v>
      </c>
      <c r="X114">
        <v>1</v>
      </c>
      <c r="Y114">
        <v>1</v>
      </c>
      <c r="Z114" t="s">
        <v>287</v>
      </c>
      <c r="AA114" s="5" t="s">
        <v>287</v>
      </c>
      <c r="AB114" s="5" t="s">
        <v>287</v>
      </c>
      <c r="AC114" t="s">
        <v>94</v>
      </c>
      <c r="AD114" t="s">
        <v>287</v>
      </c>
      <c r="AE114" s="5" t="s">
        <v>101</v>
      </c>
      <c r="AF114" t="s">
        <v>137</v>
      </c>
      <c r="AG114" t="s">
        <v>91</v>
      </c>
      <c r="AH114">
        <f t="shared" si="50"/>
        <v>0.10454296</v>
      </c>
      <c r="AI114">
        <f t="shared" ref="AI114:AI127" si="51">AJ114</f>
        <v>0.10454296</v>
      </c>
      <c r="AJ114">
        <f>AL114</f>
        <v>0.10454296</v>
      </c>
      <c r="AK114">
        <v>9.4365425000000003E-2</v>
      </c>
      <c r="AL114">
        <v>0.10454296</v>
      </c>
      <c r="AM114">
        <v>0.13375272999999999</v>
      </c>
      <c r="AN114">
        <v>0.1339726</v>
      </c>
      <c r="AO114">
        <v>90.563457499999998</v>
      </c>
      <c r="AP114">
        <v>89.545704000000001</v>
      </c>
      <c r="AQ114">
        <v>86.624726999999993</v>
      </c>
      <c r="AR114">
        <v>86.602739999999997</v>
      </c>
      <c r="AS114" t="b">
        <v>0</v>
      </c>
      <c r="AT114" t="b">
        <v>0</v>
      </c>
      <c r="AU114" t="s">
        <v>77</v>
      </c>
      <c r="AV114" t="s">
        <v>77</v>
      </c>
      <c r="AW114" t="s">
        <v>79</v>
      </c>
      <c r="AX114" t="s">
        <v>249</v>
      </c>
      <c r="AY114" t="s">
        <v>285</v>
      </c>
      <c r="AZ114" t="s">
        <v>109</v>
      </c>
      <c r="BA114">
        <v>20</v>
      </c>
      <c r="BB114">
        <v>0.04</v>
      </c>
      <c r="BC114">
        <v>1.6447369E-2</v>
      </c>
      <c r="BD114">
        <v>4.2236161269162102E-4</v>
      </c>
      <c r="BE114">
        <v>1.6869730612691598E-2</v>
      </c>
      <c r="BF114">
        <f>IF(AK114&lt;BE114,1,0)</f>
        <v>0</v>
      </c>
      <c r="BG114">
        <f>IF(AK114&lt;BC114,1,0)</f>
        <v>0</v>
      </c>
      <c r="BH114">
        <f>VLOOKUP($B114,[1]Data_Peer_with_peerVars!$B$2:$Z$1050,20,FALSE)</f>
        <v>5</v>
      </c>
      <c r="BI114">
        <f>VLOOKUP($B114,[1]Data_Peer_with_peerVars!$B$2:$Z$1050,21,FALSE)</f>
        <v>3</v>
      </c>
      <c r="BJ114">
        <f>VLOOKUP($B114,[1]Data_Peer_with_peerVars!$B$2:$Z$1050,22,FALSE)</f>
        <v>0.6</v>
      </c>
      <c r="BK114">
        <f>VLOOKUP($B114,[1]Data_Peer_with_peerVars!$B$2:$Z$1050,23,FALSE)</f>
        <v>61</v>
      </c>
      <c r="BL114">
        <f>VLOOKUP($B114,[1]Data_Peer_with_peerVars!$B$2:$Z$1050,24,FALSE)</f>
        <v>41</v>
      </c>
      <c r="BM114">
        <f>VLOOKUP($B114,[1]Data_Peer_with_peerVars!$B$2:$Z$1050,25,FALSE)</f>
        <v>0.67213114799999996</v>
      </c>
    </row>
    <row r="115" spans="1:65" x14ac:dyDescent="0.2">
      <c r="A115">
        <v>1</v>
      </c>
      <c r="B115" t="s">
        <v>288</v>
      </c>
      <c r="C115">
        <v>62</v>
      </c>
      <c r="D115" t="s">
        <v>68</v>
      </c>
      <c r="E115">
        <v>0</v>
      </c>
      <c r="F115">
        <v>266</v>
      </c>
      <c r="G115" t="s">
        <v>119</v>
      </c>
      <c r="H115" s="1">
        <v>7</v>
      </c>
      <c r="I115" t="s">
        <v>87</v>
      </c>
      <c r="J115" t="s">
        <v>88</v>
      </c>
      <c r="K115" t="s">
        <v>72</v>
      </c>
      <c r="L115">
        <v>1</v>
      </c>
      <c r="M115">
        <v>0</v>
      </c>
      <c r="N115">
        <v>0</v>
      </c>
      <c r="O115">
        <v>1</v>
      </c>
      <c r="P115">
        <v>0</v>
      </c>
      <c r="Q115">
        <v>6</v>
      </c>
      <c r="R115">
        <v>0</v>
      </c>
      <c r="S115">
        <v>0</v>
      </c>
      <c r="T115">
        <v>0</v>
      </c>
      <c r="U115">
        <v>0</v>
      </c>
      <c r="V115">
        <f t="shared" si="30"/>
        <v>0</v>
      </c>
      <c r="W115">
        <f t="shared" si="32"/>
        <v>0</v>
      </c>
      <c r="X115">
        <f t="shared" si="33"/>
        <v>0</v>
      </c>
      <c r="Y115">
        <f t="shared" si="34"/>
        <v>0</v>
      </c>
      <c r="Z115" t="s">
        <v>137</v>
      </c>
      <c r="AA115" s="5" t="s">
        <v>137</v>
      </c>
      <c r="AB115" s="5" t="s">
        <v>137</v>
      </c>
      <c r="AC115" t="s">
        <v>94</v>
      </c>
      <c r="AD115" t="s">
        <v>101</v>
      </c>
      <c r="AE115" s="5" t="s">
        <v>287</v>
      </c>
      <c r="AF115" t="s">
        <v>99</v>
      </c>
      <c r="AG115" t="s">
        <v>103</v>
      </c>
      <c r="AH115">
        <f t="shared" ref="AH115:AH129" si="52">AI115</f>
        <v>9.2235683999999998E-2</v>
      </c>
      <c r="AI115">
        <f t="shared" si="51"/>
        <v>9.2235683999999998E-2</v>
      </c>
      <c r="AJ115">
        <f t="shared" si="31"/>
        <v>9.2235683999999998E-2</v>
      </c>
      <c r="AK115">
        <v>9.2235683999999998E-2</v>
      </c>
      <c r="AL115">
        <v>0.11732152999999999</v>
      </c>
      <c r="AM115">
        <v>0.12888889000000001</v>
      </c>
      <c r="AN115">
        <v>0.13020544000000001</v>
      </c>
      <c r="AO115">
        <v>90.776431599999995</v>
      </c>
      <c r="AP115">
        <v>88.267847000000003</v>
      </c>
      <c r="AQ115">
        <v>87.111110999999994</v>
      </c>
      <c r="AR115">
        <v>86.979455999999999</v>
      </c>
      <c r="AS115" t="b">
        <v>0</v>
      </c>
      <c r="AT115" t="b">
        <v>1</v>
      </c>
      <c r="AU115" t="s">
        <v>77</v>
      </c>
      <c r="AV115" t="s">
        <v>78</v>
      </c>
      <c r="AW115" t="s">
        <v>79</v>
      </c>
      <c r="AX115" t="s">
        <v>249</v>
      </c>
      <c r="AY115" t="s">
        <v>252</v>
      </c>
      <c r="AZ115" t="s">
        <v>109</v>
      </c>
      <c r="BA115">
        <v>20</v>
      </c>
      <c r="BB115">
        <v>0.02</v>
      </c>
      <c r="BC115">
        <v>1.6447369E-2</v>
      </c>
      <c r="BD115">
        <v>4.2236161269162102E-4</v>
      </c>
      <c r="BE115">
        <v>1.6869730612691598E-2</v>
      </c>
      <c r="BF115">
        <f>IF(AK115&lt;BE115,1,0)</f>
        <v>0</v>
      </c>
      <c r="BG115">
        <f>IF(AK115&lt;BC115,1,0)</f>
        <v>0</v>
      </c>
      <c r="BH115">
        <f>VLOOKUP($B115,[1]Data_Peer_with_peerVars!$B$2:$Z$1050,20,FALSE)</f>
        <v>5</v>
      </c>
      <c r="BI115">
        <f>VLOOKUP($B115,[1]Data_Peer_with_peerVars!$B$2:$Z$1050,21,FALSE)</f>
        <v>3</v>
      </c>
      <c r="BJ115">
        <f>VLOOKUP($B115,[1]Data_Peer_with_peerVars!$B$2:$Z$1050,22,FALSE)</f>
        <v>0.6</v>
      </c>
      <c r="BK115">
        <f>VLOOKUP($B115,[1]Data_Peer_with_peerVars!$B$2:$Z$1050,23,FALSE)</f>
        <v>61</v>
      </c>
      <c r="BL115">
        <f>VLOOKUP($B115,[1]Data_Peer_with_peerVars!$B$2:$Z$1050,24,FALSE)</f>
        <v>41</v>
      </c>
      <c r="BM115">
        <f>VLOOKUP($B115,[1]Data_Peer_with_peerVars!$B$2:$Z$1050,25,FALSE)</f>
        <v>0.67213114799999996</v>
      </c>
    </row>
    <row r="116" spans="1:65" x14ac:dyDescent="0.2">
      <c r="A116">
        <v>1</v>
      </c>
      <c r="B116" t="s">
        <v>289</v>
      </c>
      <c r="C116">
        <v>63</v>
      </c>
      <c r="D116" t="s">
        <v>68</v>
      </c>
      <c r="E116">
        <v>0</v>
      </c>
      <c r="F116">
        <v>269</v>
      </c>
      <c r="G116" t="s">
        <v>119</v>
      </c>
      <c r="H116" s="1">
        <v>7</v>
      </c>
      <c r="I116" t="s">
        <v>87</v>
      </c>
      <c r="J116" t="s">
        <v>88</v>
      </c>
      <c r="K116" t="s">
        <v>72</v>
      </c>
      <c r="L116">
        <v>1</v>
      </c>
      <c r="M116">
        <v>0</v>
      </c>
      <c r="N116">
        <v>0</v>
      </c>
      <c r="O116">
        <v>0</v>
      </c>
      <c r="P116">
        <v>0</v>
      </c>
      <c r="Q116">
        <v>6</v>
      </c>
      <c r="R116">
        <v>1</v>
      </c>
      <c r="S116">
        <v>1</v>
      </c>
      <c r="T116">
        <v>1</v>
      </c>
      <c r="U116">
        <v>1</v>
      </c>
      <c r="V116">
        <f t="shared" si="30"/>
        <v>0</v>
      </c>
      <c r="W116">
        <f t="shared" si="32"/>
        <v>0</v>
      </c>
      <c r="X116">
        <f t="shared" si="33"/>
        <v>0</v>
      </c>
      <c r="Y116">
        <f t="shared" si="34"/>
        <v>0</v>
      </c>
      <c r="Z116" t="s">
        <v>177</v>
      </c>
      <c r="AA116" s="5" t="s">
        <v>107</v>
      </c>
      <c r="AB116" s="5" t="s">
        <v>107</v>
      </c>
      <c r="AC116" t="s">
        <v>107</v>
      </c>
      <c r="AD116" t="s">
        <v>95</v>
      </c>
      <c r="AE116" s="5" t="s">
        <v>101</v>
      </c>
      <c r="AF116" t="s">
        <v>173</v>
      </c>
      <c r="AG116" t="s">
        <v>174</v>
      </c>
      <c r="AH116">
        <f t="shared" si="52"/>
        <v>9.4182829999999995E-3</v>
      </c>
      <c r="AI116">
        <f t="shared" si="51"/>
        <v>9.4182829999999995E-3</v>
      </c>
      <c r="AJ116">
        <f t="shared" si="31"/>
        <v>9.4182829999999995E-3</v>
      </c>
      <c r="AK116">
        <v>9.4182829999999995E-3</v>
      </c>
      <c r="AL116">
        <v>7.5346259999999998E-2</v>
      </c>
      <c r="AM116">
        <v>9.1763410000000004E-2</v>
      </c>
      <c r="AN116">
        <v>9.5290860000000005E-2</v>
      </c>
      <c r="AO116">
        <v>99.058171700000003</v>
      </c>
      <c r="AP116">
        <v>92.465373999999997</v>
      </c>
      <c r="AQ116">
        <v>90.823659000000006</v>
      </c>
      <c r="AR116">
        <v>90.470913999999993</v>
      </c>
      <c r="AS116" t="b">
        <v>0</v>
      </c>
      <c r="AT116" t="b">
        <v>0</v>
      </c>
      <c r="AU116" t="s">
        <v>77</v>
      </c>
      <c r="AV116" t="s">
        <v>78</v>
      </c>
      <c r="AW116" t="s">
        <v>79</v>
      </c>
      <c r="AX116" t="s">
        <v>249</v>
      </c>
      <c r="AY116" t="s">
        <v>252</v>
      </c>
      <c r="AZ116" t="s">
        <v>72</v>
      </c>
      <c r="BA116" t="s">
        <v>82</v>
      </c>
      <c r="BB116">
        <v>0.25</v>
      </c>
      <c r="BC116">
        <v>2.6475456000000001E-2</v>
      </c>
      <c r="BD116">
        <v>8.8330364056477401E-3</v>
      </c>
      <c r="BE116">
        <v>3.53084924056477E-2</v>
      </c>
      <c r="BF116">
        <f>IF(AK116&lt;BE116,1,0)</f>
        <v>1</v>
      </c>
      <c r="BG116">
        <f>IF(AK116&lt;BC116,1,0)</f>
        <v>1</v>
      </c>
      <c r="BH116">
        <f>VLOOKUP($B116,[1]Data_Peer_with_peerVars!$B$2:$Z$1050,20,FALSE)</f>
        <v>8</v>
      </c>
      <c r="BI116">
        <f>VLOOKUP($B116,[1]Data_Peer_with_peerVars!$B$2:$Z$1050,21,FALSE)</f>
        <v>7</v>
      </c>
      <c r="BJ116">
        <f>VLOOKUP($B116,[1]Data_Peer_with_peerVars!$B$2:$Z$1050,22,FALSE)</f>
        <v>0.875</v>
      </c>
      <c r="BK116">
        <f>VLOOKUP($B116,[1]Data_Peer_with_peerVars!$B$2:$Z$1050,23,FALSE)</f>
        <v>34</v>
      </c>
      <c r="BL116">
        <f>VLOOKUP($B116,[1]Data_Peer_with_peerVars!$B$2:$Z$1050,24,FALSE)</f>
        <v>26</v>
      </c>
      <c r="BM116">
        <f>VLOOKUP($B116,[1]Data_Peer_with_peerVars!$B$2:$Z$1050,25,FALSE)</f>
        <v>0.764705882</v>
      </c>
    </row>
    <row r="117" spans="1:65" x14ac:dyDescent="0.2">
      <c r="A117">
        <v>1</v>
      </c>
      <c r="B117" t="s">
        <v>290</v>
      </c>
      <c r="C117">
        <v>63</v>
      </c>
      <c r="D117" t="s">
        <v>68</v>
      </c>
      <c r="E117">
        <v>0</v>
      </c>
      <c r="F117">
        <v>269</v>
      </c>
      <c r="G117" t="s">
        <v>119</v>
      </c>
      <c r="H117" s="1">
        <v>7</v>
      </c>
      <c r="I117" t="s">
        <v>87</v>
      </c>
      <c r="J117" t="s">
        <v>88</v>
      </c>
      <c r="K117" t="s">
        <v>72</v>
      </c>
      <c r="L117">
        <v>1</v>
      </c>
      <c r="M117">
        <v>0</v>
      </c>
      <c r="N117">
        <v>0</v>
      </c>
      <c r="O117">
        <v>0</v>
      </c>
      <c r="P117">
        <v>0</v>
      </c>
      <c r="Q117">
        <v>6</v>
      </c>
      <c r="R117">
        <v>0</v>
      </c>
      <c r="S117">
        <v>0</v>
      </c>
      <c r="T117">
        <v>1</v>
      </c>
      <c r="U117">
        <v>1</v>
      </c>
      <c r="V117">
        <f t="shared" si="30"/>
        <v>0</v>
      </c>
      <c r="W117">
        <f t="shared" si="32"/>
        <v>0</v>
      </c>
      <c r="X117">
        <f t="shared" si="33"/>
        <v>0</v>
      </c>
      <c r="Y117">
        <f t="shared" si="34"/>
        <v>0</v>
      </c>
      <c r="Z117" t="s">
        <v>137</v>
      </c>
      <c r="AA117" s="5" t="s">
        <v>137</v>
      </c>
      <c r="AB117" s="5" t="s">
        <v>137</v>
      </c>
      <c r="AC117" t="s">
        <v>94</v>
      </c>
      <c r="AD117" t="s">
        <v>95</v>
      </c>
      <c r="AE117" s="5" t="s">
        <v>95</v>
      </c>
      <c r="AF117" t="s">
        <v>107</v>
      </c>
      <c r="AG117" t="s">
        <v>74</v>
      </c>
      <c r="AH117">
        <f t="shared" si="52"/>
        <v>1.6111415E-2</v>
      </c>
      <c r="AI117">
        <f t="shared" si="51"/>
        <v>1.6111415E-2</v>
      </c>
      <c r="AJ117">
        <f t="shared" si="31"/>
        <v>1.6111415E-2</v>
      </c>
      <c r="AK117">
        <v>1.6111415E-2</v>
      </c>
      <c r="AL117">
        <v>0.10776805</v>
      </c>
      <c r="AM117">
        <v>0.110471494</v>
      </c>
      <c r="AN117">
        <v>0.12554824000000001</v>
      </c>
      <c r="AO117">
        <v>98.388858499999998</v>
      </c>
      <c r="AP117">
        <v>89.223195000000004</v>
      </c>
      <c r="AQ117">
        <v>88.952850600000005</v>
      </c>
      <c r="AR117">
        <v>87.445176000000004</v>
      </c>
      <c r="AS117" t="b">
        <v>1</v>
      </c>
      <c r="AT117" t="b">
        <v>0</v>
      </c>
      <c r="AU117" t="s">
        <v>77</v>
      </c>
      <c r="AV117" t="s">
        <v>77</v>
      </c>
      <c r="AW117" t="s">
        <v>79</v>
      </c>
      <c r="AX117" t="s">
        <v>249</v>
      </c>
      <c r="AY117" t="s">
        <v>252</v>
      </c>
      <c r="AZ117" t="s">
        <v>72</v>
      </c>
      <c r="BA117" t="s">
        <v>82</v>
      </c>
      <c r="BB117">
        <v>0.25</v>
      </c>
      <c r="BC117">
        <v>1.6447369E-2</v>
      </c>
      <c r="BD117">
        <v>4.2236161269162102E-4</v>
      </c>
      <c r="BE117">
        <v>1.6869730612691598E-2</v>
      </c>
      <c r="BF117">
        <f>IF(AK117&lt;BE117,1,0)</f>
        <v>1</v>
      </c>
      <c r="BG117">
        <f>IF(AK117&lt;BC117,1,0)</f>
        <v>1</v>
      </c>
      <c r="BH117">
        <f>VLOOKUP($B117,[1]Data_Peer_with_peerVars!$B$2:$Z$1050,20,FALSE)</f>
        <v>8</v>
      </c>
      <c r="BI117">
        <f>VLOOKUP($B117,[1]Data_Peer_with_peerVars!$B$2:$Z$1050,21,FALSE)</f>
        <v>7</v>
      </c>
      <c r="BJ117">
        <f>VLOOKUP($B117,[1]Data_Peer_with_peerVars!$B$2:$Z$1050,22,FALSE)</f>
        <v>0.875</v>
      </c>
      <c r="BK117">
        <f>VLOOKUP($B117,[1]Data_Peer_with_peerVars!$B$2:$Z$1050,23,FALSE)</f>
        <v>34</v>
      </c>
      <c r="BL117">
        <f>VLOOKUP($B117,[1]Data_Peer_with_peerVars!$B$2:$Z$1050,24,FALSE)</f>
        <v>26</v>
      </c>
      <c r="BM117">
        <f>VLOOKUP($B117,[1]Data_Peer_with_peerVars!$B$2:$Z$1050,25,FALSE)</f>
        <v>0.764705882</v>
      </c>
    </row>
    <row r="118" spans="1:65" x14ac:dyDescent="0.2">
      <c r="A118">
        <v>1</v>
      </c>
      <c r="B118" t="s">
        <v>291</v>
      </c>
      <c r="C118">
        <v>63</v>
      </c>
      <c r="D118" t="s">
        <v>68</v>
      </c>
      <c r="E118">
        <v>0</v>
      </c>
      <c r="F118">
        <v>269</v>
      </c>
      <c r="G118" t="s">
        <v>119</v>
      </c>
      <c r="H118" s="1">
        <v>7</v>
      </c>
      <c r="I118" t="s">
        <v>87</v>
      </c>
      <c r="J118" t="s">
        <v>88</v>
      </c>
      <c r="K118" t="s">
        <v>72</v>
      </c>
      <c r="L118">
        <v>1</v>
      </c>
      <c r="M118">
        <v>0</v>
      </c>
      <c r="N118">
        <v>0</v>
      </c>
      <c r="O118">
        <v>0</v>
      </c>
      <c r="P118">
        <v>0</v>
      </c>
      <c r="Q118">
        <v>6</v>
      </c>
      <c r="R118">
        <v>0</v>
      </c>
      <c r="S118">
        <v>0</v>
      </c>
      <c r="T118">
        <v>0</v>
      </c>
      <c r="U118">
        <v>0</v>
      </c>
      <c r="V118">
        <f t="shared" si="30"/>
        <v>1</v>
      </c>
      <c r="W118">
        <v>1</v>
      </c>
      <c r="X118">
        <v>1</v>
      </c>
      <c r="Y118">
        <v>1</v>
      </c>
      <c r="Z118" t="s">
        <v>76</v>
      </c>
      <c r="AA118" s="5" t="s">
        <v>76</v>
      </c>
      <c r="AB118" s="5" t="s">
        <v>76</v>
      </c>
      <c r="AC118" t="s">
        <v>76</v>
      </c>
      <c r="AD118" t="s">
        <v>74</v>
      </c>
      <c r="AE118" s="5" t="s">
        <v>95</v>
      </c>
      <c r="AF118" t="s">
        <v>167</v>
      </c>
      <c r="AG118" t="s">
        <v>120</v>
      </c>
      <c r="AH118">
        <f t="shared" si="52"/>
        <v>7.8774616000000006E-2</v>
      </c>
      <c r="AI118">
        <f t="shared" si="51"/>
        <v>7.8774616000000006E-2</v>
      </c>
      <c r="AJ118">
        <f t="shared" si="31"/>
        <v>7.8774616000000006E-2</v>
      </c>
      <c r="AK118">
        <v>7.8774616000000006E-2</v>
      </c>
      <c r="AL118">
        <v>0.10394953</v>
      </c>
      <c r="AM118">
        <v>0.12616566000000001</v>
      </c>
      <c r="AN118">
        <v>0.12903224999999999</v>
      </c>
      <c r="AO118">
        <v>92.122538399999996</v>
      </c>
      <c r="AP118">
        <v>89.605046999999999</v>
      </c>
      <c r="AQ118">
        <v>87.383433999999994</v>
      </c>
      <c r="AR118">
        <v>87.096774999999994</v>
      </c>
      <c r="AS118" t="b">
        <v>0</v>
      </c>
      <c r="AT118" t="b">
        <v>0</v>
      </c>
      <c r="AU118" t="s">
        <v>77</v>
      </c>
      <c r="AV118" t="s">
        <v>78</v>
      </c>
      <c r="AW118" t="s">
        <v>79</v>
      </c>
      <c r="AX118" t="s">
        <v>249</v>
      </c>
      <c r="AY118" t="s">
        <v>252</v>
      </c>
      <c r="AZ118" t="s">
        <v>72</v>
      </c>
      <c r="BA118" t="s">
        <v>82</v>
      </c>
      <c r="BB118">
        <v>1.5</v>
      </c>
      <c r="BC118">
        <v>7.7070764999999999E-2</v>
      </c>
      <c r="BD118">
        <v>1.90190515067399E-3</v>
      </c>
      <c r="BE118">
        <v>7.8972670150673996E-2</v>
      </c>
      <c r="BF118">
        <f>IF(AK118&lt;BE118,1,0)</f>
        <v>1</v>
      </c>
      <c r="BG118">
        <f>IF(AK118&lt;BC118,1,0)</f>
        <v>0</v>
      </c>
      <c r="BH118">
        <f>VLOOKUP($B118,[1]Data_Peer_with_peerVars!$B$2:$Z$1050,20,FALSE)</f>
        <v>8</v>
      </c>
      <c r="BI118">
        <f>VLOOKUP($B118,[1]Data_Peer_with_peerVars!$B$2:$Z$1050,21,FALSE)</f>
        <v>7</v>
      </c>
      <c r="BJ118">
        <f>VLOOKUP($B118,[1]Data_Peer_with_peerVars!$B$2:$Z$1050,22,FALSE)</f>
        <v>0.875</v>
      </c>
      <c r="BK118">
        <f>VLOOKUP($B118,[1]Data_Peer_with_peerVars!$B$2:$Z$1050,23,FALSE)</f>
        <v>34</v>
      </c>
      <c r="BL118">
        <f>VLOOKUP($B118,[1]Data_Peer_with_peerVars!$B$2:$Z$1050,24,FALSE)</f>
        <v>26</v>
      </c>
      <c r="BM118">
        <f>VLOOKUP($B118,[1]Data_Peer_with_peerVars!$B$2:$Z$1050,25,FALSE)</f>
        <v>0.764705882</v>
      </c>
    </row>
    <row r="119" spans="1:65" x14ac:dyDescent="0.2">
      <c r="A119">
        <v>1</v>
      </c>
      <c r="B119" t="s">
        <v>292</v>
      </c>
      <c r="C119">
        <v>63</v>
      </c>
      <c r="D119" t="s">
        <v>68</v>
      </c>
      <c r="E119">
        <v>0</v>
      </c>
      <c r="F119">
        <v>269</v>
      </c>
      <c r="G119" t="s">
        <v>119</v>
      </c>
      <c r="H119" s="1">
        <v>7</v>
      </c>
      <c r="I119" t="s">
        <v>87</v>
      </c>
      <c r="J119" t="s">
        <v>88</v>
      </c>
      <c r="K119" t="s">
        <v>72</v>
      </c>
      <c r="L119">
        <v>1</v>
      </c>
      <c r="M119">
        <v>0</v>
      </c>
      <c r="N119">
        <v>0</v>
      </c>
      <c r="O119">
        <v>0</v>
      </c>
      <c r="P119">
        <v>0</v>
      </c>
      <c r="Q119">
        <v>6</v>
      </c>
      <c r="R119">
        <v>0</v>
      </c>
      <c r="S119">
        <v>0</v>
      </c>
      <c r="T119">
        <v>0</v>
      </c>
      <c r="U119">
        <v>0</v>
      </c>
      <c r="V119">
        <f t="shared" si="30"/>
        <v>1</v>
      </c>
      <c r="W119">
        <v>1</v>
      </c>
      <c r="X119">
        <v>1</v>
      </c>
      <c r="Y119">
        <v>1</v>
      </c>
      <c r="Z119" t="s">
        <v>73</v>
      </c>
      <c r="AA119" s="5" t="s">
        <v>73</v>
      </c>
      <c r="AB119" s="5" t="s">
        <v>73</v>
      </c>
      <c r="AC119" t="s">
        <v>73</v>
      </c>
      <c r="AD119" t="s">
        <v>94</v>
      </c>
      <c r="AE119" s="5" t="s">
        <v>74</v>
      </c>
      <c r="AF119" t="s">
        <v>75</v>
      </c>
      <c r="AG119" t="s">
        <v>95</v>
      </c>
      <c r="AH119">
        <f t="shared" si="52"/>
        <v>6.0523447000000001E-2</v>
      </c>
      <c r="AI119">
        <f t="shared" si="51"/>
        <v>6.0523447000000001E-2</v>
      </c>
      <c r="AJ119">
        <f t="shared" si="31"/>
        <v>6.0523447000000001E-2</v>
      </c>
      <c r="AK119">
        <v>6.0523447000000001E-2</v>
      </c>
      <c r="AL119">
        <v>0.12172489</v>
      </c>
      <c r="AM119">
        <v>0.13047044999999999</v>
      </c>
      <c r="AN119">
        <v>0.14043716000000001</v>
      </c>
      <c r="AO119">
        <v>93.947655299999994</v>
      </c>
      <c r="AP119">
        <v>87.827511000000001</v>
      </c>
      <c r="AQ119">
        <v>86.952955000000003</v>
      </c>
      <c r="AR119">
        <v>85.956283999999997</v>
      </c>
      <c r="AS119" t="b">
        <v>1</v>
      </c>
      <c r="AT119" t="b">
        <v>0</v>
      </c>
      <c r="AU119" t="s">
        <v>77</v>
      </c>
      <c r="AV119" t="s">
        <v>78</v>
      </c>
      <c r="AW119" t="s">
        <v>79</v>
      </c>
      <c r="AX119" t="s">
        <v>249</v>
      </c>
      <c r="AY119" t="s">
        <v>252</v>
      </c>
      <c r="AZ119" t="s">
        <v>72</v>
      </c>
      <c r="BA119" t="s">
        <v>82</v>
      </c>
      <c r="BB119">
        <v>2.5</v>
      </c>
      <c r="BC119">
        <v>4.1163553999999996E-3</v>
      </c>
      <c r="BD119">
        <v>1.4279989108178799E-4</v>
      </c>
      <c r="BE119">
        <v>4.2591552910817903E-3</v>
      </c>
      <c r="BF119">
        <f>IF(AK119&lt;BE119,1,0)</f>
        <v>0</v>
      </c>
      <c r="BG119">
        <f>IF(AK119&lt;BC119,1,0)</f>
        <v>0</v>
      </c>
      <c r="BH119">
        <f>VLOOKUP($B119,[1]Data_Peer_with_peerVars!$B$2:$Z$1050,20,FALSE)</f>
        <v>8</v>
      </c>
      <c r="BI119">
        <f>VLOOKUP($B119,[1]Data_Peer_with_peerVars!$B$2:$Z$1050,21,FALSE)</f>
        <v>7</v>
      </c>
      <c r="BJ119">
        <f>VLOOKUP($B119,[1]Data_Peer_with_peerVars!$B$2:$Z$1050,22,FALSE)</f>
        <v>0.875</v>
      </c>
      <c r="BK119">
        <f>VLOOKUP($B119,[1]Data_Peer_with_peerVars!$B$2:$Z$1050,23,FALSE)</f>
        <v>34</v>
      </c>
      <c r="BL119">
        <f>VLOOKUP($B119,[1]Data_Peer_with_peerVars!$B$2:$Z$1050,24,FALSE)</f>
        <v>26</v>
      </c>
      <c r="BM119">
        <f>VLOOKUP($B119,[1]Data_Peer_with_peerVars!$B$2:$Z$1050,25,FALSE)</f>
        <v>0.764705882</v>
      </c>
    </row>
    <row r="120" spans="1:65" x14ac:dyDescent="0.2">
      <c r="A120">
        <v>1</v>
      </c>
      <c r="B120" t="s">
        <v>293</v>
      </c>
      <c r="C120">
        <v>64</v>
      </c>
      <c r="D120" t="s">
        <v>68</v>
      </c>
      <c r="E120">
        <v>0</v>
      </c>
      <c r="F120">
        <v>270</v>
      </c>
      <c r="G120" t="s">
        <v>119</v>
      </c>
      <c r="H120" s="1">
        <v>7</v>
      </c>
      <c r="I120" t="s">
        <v>70</v>
      </c>
      <c r="J120" t="s">
        <v>71</v>
      </c>
      <c r="K120" t="s">
        <v>109</v>
      </c>
      <c r="L120">
        <v>1</v>
      </c>
      <c r="M120">
        <v>0</v>
      </c>
      <c r="N120">
        <v>0</v>
      </c>
      <c r="O120">
        <v>0</v>
      </c>
      <c r="P120">
        <v>0</v>
      </c>
      <c r="Q120">
        <v>11</v>
      </c>
      <c r="R120">
        <v>0</v>
      </c>
      <c r="S120">
        <v>0</v>
      </c>
      <c r="T120">
        <v>0</v>
      </c>
      <c r="U120">
        <v>0</v>
      </c>
      <c r="V120">
        <f t="shared" si="30"/>
        <v>1</v>
      </c>
      <c r="W120">
        <v>1</v>
      </c>
      <c r="X120">
        <v>1</v>
      </c>
      <c r="Y120">
        <v>1</v>
      </c>
      <c r="Z120" t="s">
        <v>76</v>
      </c>
      <c r="AA120" s="5" t="s">
        <v>76</v>
      </c>
      <c r="AB120" s="5" t="s">
        <v>76</v>
      </c>
      <c r="AC120" t="s">
        <v>76</v>
      </c>
      <c r="AD120" t="s">
        <v>74</v>
      </c>
      <c r="AE120" s="5" t="s">
        <v>94</v>
      </c>
      <c r="AF120" t="s">
        <v>75</v>
      </c>
      <c r="AG120" t="s">
        <v>120</v>
      </c>
      <c r="AH120">
        <f t="shared" si="52"/>
        <v>8.0054650000000005E-2</v>
      </c>
      <c r="AI120">
        <f t="shared" si="51"/>
        <v>8.0054650000000005E-2</v>
      </c>
      <c r="AJ120">
        <f t="shared" si="31"/>
        <v>8.0054650000000005E-2</v>
      </c>
      <c r="AK120">
        <v>8.0054650000000005E-2</v>
      </c>
      <c r="AL120">
        <v>9.2105259999999994E-2</v>
      </c>
      <c r="AM120">
        <v>0.120415986</v>
      </c>
      <c r="AN120">
        <v>0.1215847</v>
      </c>
      <c r="AO120">
        <v>91.994534999999999</v>
      </c>
      <c r="AP120">
        <v>90.789473999999998</v>
      </c>
      <c r="AQ120">
        <v>87.9584014</v>
      </c>
      <c r="AR120">
        <v>87.841530000000006</v>
      </c>
      <c r="AS120" t="b">
        <v>1</v>
      </c>
      <c r="AT120" t="b">
        <v>0</v>
      </c>
      <c r="AU120" t="s">
        <v>77</v>
      </c>
      <c r="AV120" t="s">
        <v>78</v>
      </c>
      <c r="AW120" t="s">
        <v>79</v>
      </c>
      <c r="AX120" t="s">
        <v>249</v>
      </c>
      <c r="AY120" t="s">
        <v>281</v>
      </c>
      <c r="AZ120" t="s">
        <v>109</v>
      </c>
      <c r="BA120">
        <v>1</v>
      </c>
      <c r="BB120" t="s">
        <v>82</v>
      </c>
      <c r="BC120">
        <v>7.7070764999999999E-2</v>
      </c>
      <c r="BD120">
        <v>1.90190515067399E-3</v>
      </c>
      <c r="BE120">
        <v>7.8972670150673996E-2</v>
      </c>
      <c r="BF120">
        <f>IF(AK120&lt;BE120,1,0)</f>
        <v>0</v>
      </c>
      <c r="BG120">
        <f>IF(AK120&lt;BC120,1,0)</f>
        <v>0</v>
      </c>
    </row>
    <row r="121" spans="1:65" x14ac:dyDescent="0.2">
      <c r="A121">
        <v>1</v>
      </c>
      <c r="B121" t="s">
        <v>294</v>
      </c>
      <c r="C121">
        <v>64</v>
      </c>
      <c r="D121" t="s">
        <v>68</v>
      </c>
      <c r="E121">
        <v>0</v>
      </c>
      <c r="F121">
        <v>270</v>
      </c>
      <c r="G121" t="s">
        <v>119</v>
      </c>
      <c r="H121" s="1">
        <v>7</v>
      </c>
      <c r="I121" t="s">
        <v>70</v>
      </c>
      <c r="J121" t="s">
        <v>71</v>
      </c>
      <c r="K121" t="s">
        <v>109</v>
      </c>
      <c r="L121">
        <v>1</v>
      </c>
      <c r="M121">
        <v>0</v>
      </c>
      <c r="N121">
        <v>0</v>
      </c>
      <c r="O121">
        <v>0</v>
      </c>
      <c r="P121">
        <v>0</v>
      </c>
      <c r="Q121">
        <v>11</v>
      </c>
      <c r="R121">
        <v>0</v>
      </c>
      <c r="S121">
        <v>0</v>
      </c>
      <c r="T121">
        <v>0</v>
      </c>
      <c r="U121">
        <v>0</v>
      </c>
      <c r="V121">
        <f t="shared" si="30"/>
        <v>1</v>
      </c>
      <c r="W121">
        <v>1</v>
      </c>
      <c r="X121">
        <v>1</v>
      </c>
      <c r="Y121">
        <v>1</v>
      </c>
      <c r="Z121" t="s">
        <v>73</v>
      </c>
      <c r="AA121" s="5" t="s">
        <v>73</v>
      </c>
      <c r="AB121" s="5" t="s">
        <v>73</v>
      </c>
      <c r="AC121" t="s">
        <v>73</v>
      </c>
      <c r="AD121" t="s">
        <v>75</v>
      </c>
      <c r="AE121" s="5" t="s">
        <v>74</v>
      </c>
      <c r="AF121" t="s">
        <v>74</v>
      </c>
      <c r="AG121" t="s">
        <v>120</v>
      </c>
      <c r="AH121">
        <f t="shared" si="52"/>
        <v>6.0796074999999998E-2</v>
      </c>
      <c r="AI121">
        <f t="shared" si="51"/>
        <v>6.0796074999999998E-2</v>
      </c>
      <c r="AJ121">
        <f t="shared" si="31"/>
        <v>6.0796074999999998E-2</v>
      </c>
      <c r="AK121">
        <v>6.0796074999999998E-2</v>
      </c>
      <c r="AL121">
        <v>8.5933220000000005E-2</v>
      </c>
      <c r="AM121">
        <v>0.123903506</v>
      </c>
      <c r="AN121">
        <v>0.12595628</v>
      </c>
      <c r="AO121">
        <v>93.920392500000005</v>
      </c>
      <c r="AP121">
        <v>91.406677999999999</v>
      </c>
      <c r="AQ121">
        <v>87.609649399999995</v>
      </c>
      <c r="AR121">
        <v>87.404371999999995</v>
      </c>
      <c r="AS121" t="b">
        <v>1</v>
      </c>
      <c r="AT121" t="b">
        <v>0</v>
      </c>
      <c r="AU121" t="s">
        <v>77</v>
      </c>
      <c r="AV121" t="s">
        <v>77</v>
      </c>
      <c r="AW121" t="s">
        <v>79</v>
      </c>
      <c r="AX121" t="s">
        <v>249</v>
      </c>
      <c r="AY121" t="s">
        <v>254</v>
      </c>
      <c r="AZ121" t="s">
        <v>109</v>
      </c>
      <c r="BA121">
        <v>2</v>
      </c>
      <c r="BB121">
        <v>2</v>
      </c>
      <c r="BC121">
        <v>4.1163553999999996E-3</v>
      </c>
      <c r="BD121">
        <v>1.4279989108178799E-4</v>
      </c>
      <c r="BE121">
        <v>4.2591552910817903E-3</v>
      </c>
      <c r="BF121">
        <f>IF(AK121&lt;BE121,1,0)</f>
        <v>0</v>
      </c>
      <c r="BG121">
        <f>IF(AK121&lt;BC121,1,0)</f>
        <v>0</v>
      </c>
    </row>
    <row r="122" spans="1:65" x14ac:dyDescent="0.2">
      <c r="A122">
        <v>1</v>
      </c>
      <c r="B122" t="s">
        <v>295</v>
      </c>
      <c r="C122">
        <v>65</v>
      </c>
      <c r="D122" t="s">
        <v>68</v>
      </c>
      <c r="E122">
        <v>1</v>
      </c>
      <c r="F122">
        <v>265</v>
      </c>
      <c r="G122" t="s">
        <v>86</v>
      </c>
      <c r="H122" s="1">
        <v>7</v>
      </c>
      <c r="I122" t="s">
        <v>70</v>
      </c>
      <c r="J122" t="s">
        <v>71</v>
      </c>
      <c r="K122" t="s">
        <v>72</v>
      </c>
      <c r="L122">
        <v>1</v>
      </c>
      <c r="M122">
        <v>0</v>
      </c>
      <c r="N122">
        <v>1</v>
      </c>
      <c r="O122">
        <v>0</v>
      </c>
      <c r="P122">
        <v>0</v>
      </c>
      <c r="Q122">
        <v>11</v>
      </c>
      <c r="R122">
        <v>0</v>
      </c>
      <c r="S122">
        <v>0</v>
      </c>
      <c r="T122">
        <v>0</v>
      </c>
      <c r="U122">
        <v>0</v>
      </c>
      <c r="V122">
        <f t="shared" si="30"/>
        <v>1</v>
      </c>
      <c r="W122">
        <v>1</v>
      </c>
      <c r="X122">
        <v>1</v>
      </c>
      <c r="Y122">
        <v>1</v>
      </c>
      <c r="Z122" t="s">
        <v>76</v>
      </c>
      <c r="AA122" s="5" t="s">
        <v>76</v>
      </c>
      <c r="AB122" s="5" t="s">
        <v>76</v>
      </c>
      <c r="AC122" t="s">
        <v>76</v>
      </c>
      <c r="AD122" t="s">
        <v>74</v>
      </c>
      <c r="AE122" s="5" t="s">
        <v>74</v>
      </c>
      <c r="AF122" t="s">
        <v>120</v>
      </c>
      <c r="AG122" t="s">
        <v>75</v>
      </c>
      <c r="AH122">
        <f t="shared" si="52"/>
        <v>8.1376299999999999E-2</v>
      </c>
      <c r="AI122">
        <f t="shared" si="51"/>
        <v>8.1376299999999999E-2</v>
      </c>
      <c r="AJ122">
        <f t="shared" si="31"/>
        <v>8.1376299999999999E-2</v>
      </c>
      <c r="AK122">
        <v>8.1376299999999999E-2</v>
      </c>
      <c r="AL122">
        <v>0.10739725999999999</v>
      </c>
      <c r="AM122">
        <v>0.12752594</v>
      </c>
      <c r="AN122">
        <v>0.12773523000000001</v>
      </c>
      <c r="AO122">
        <v>91.862369999999999</v>
      </c>
      <c r="AP122">
        <v>89.260273999999995</v>
      </c>
      <c r="AQ122">
        <v>87.247405999999998</v>
      </c>
      <c r="AR122">
        <v>87.226477000000003</v>
      </c>
      <c r="AS122" t="b">
        <v>1</v>
      </c>
      <c r="AT122" t="b">
        <v>0</v>
      </c>
      <c r="AU122" t="s">
        <v>77</v>
      </c>
      <c r="AV122" t="s">
        <v>78</v>
      </c>
      <c r="AW122" t="s">
        <v>79</v>
      </c>
      <c r="AX122" t="s">
        <v>249</v>
      </c>
      <c r="AY122" t="s">
        <v>281</v>
      </c>
      <c r="AZ122" t="s">
        <v>72</v>
      </c>
      <c r="BA122" t="s">
        <v>82</v>
      </c>
      <c r="BB122">
        <v>2.1</v>
      </c>
      <c r="BC122">
        <v>7.7070764999999999E-2</v>
      </c>
      <c r="BD122">
        <v>1.90190515067399E-3</v>
      </c>
      <c r="BE122">
        <v>7.8972670150673996E-2</v>
      </c>
      <c r="BF122">
        <f>IF(AK122&lt;BE122,1,0)</f>
        <v>0</v>
      </c>
      <c r="BG122">
        <f>IF(AK122&lt;BC122,1,0)</f>
        <v>0</v>
      </c>
      <c r="BH122">
        <f>VLOOKUP($B122,[1]Data_Peer_with_peerVars!$B$2:$Z$1050,20,FALSE)</f>
        <v>11</v>
      </c>
      <c r="BI122">
        <f>VLOOKUP($B122,[1]Data_Peer_with_peerVars!$B$2:$Z$1050,21,FALSE)</f>
        <v>8</v>
      </c>
      <c r="BJ122">
        <f>VLOOKUP($B122,[1]Data_Peer_with_peerVars!$B$2:$Z$1050,22,FALSE)</f>
        <v>0.72727272700000001</v>
      </c>
      <c r="BK122">
        <f>VLOOKUP($B122,[1]Data_Peer_with_peerVars!$B$2:$Z$1050,23,FALSE)</f>
        <v>38</v>
      </c>
      <c r="BL122">
        <f>VLOOKUP($B122,[1]Data_Peer_with_peerVars!$B$2:$Z$1050,24,FALSE)</f>
        <v>27</v>
      </c>
      <c r="BM122">
        <f>VLOOKUP($B122,[1]Data_Peer_with_peerVars!$B$2:$Z$1050,25,FALSE)</f>
        <v>0.71052631600000005</v>
      </c>
    </row>
    <row r="123" spans="1:65" x14ac:dyDescent="0.2">
      <c r="A123">
        <v>1</v>
      </c>
      <c r="B123" t="s">
        <v>296</v>
      </c>
      <c r="C123">
        <v>65</v>
      </c>
      <c r="D123" t="s">
        <v>68</v>
      </c>
      <c r="E123">
        <v>1</v>
      </c>
      <c r="F123">
        <v>265</v>
      </c>
      <c r="G123" t="s">
        <v>86</v>
      </c>
      <c r="H123" s="1">
        <v>7</v>
      </c>
      <c r="I123" t="s">
        <v>70</v>
      </c>
      <c r="J123" t="s">
        <v>71</v>
      </c>
      <c r="K123" t="s">
        <v>72</v>
      </c>
      <c r="L123">
        <v>1</v>
      </c>
      <c r="M123">
        <v>0</v>
      </c>
      <c r="N123">
        <v>1</v>
      </c>
      <c r="O123">
        <v>0</v>
      </c>
      <c r="P123">
        <v>0</v>
      </c>
      <c r="Q123">
        <v>11</v>
      </c>
      <c r="R123">
        <v>0</v>
      </c>
      <c r="S123">
        <v>0</v>
      </c>
      <c r="T123">
        <v>1</v>
      </c>
      <c r="U123">
        <v>1</v>
      </c>
      <c r="V123">
        <f t="shared" si="30"/>
        <v>1</v>
      </c>
      <c r="W123">
        <v>1</v>
      </c>
      <c r="X123">
        <v>1</v>
      </c>
      <c r="Y123">
        <v>1</v>
      </c>
      <c r="Z123" t="s">
        <v>73</v>
      </c>
      <c r="AA123" s="5" t="s">
        <v>73</v>
      </c>
      <c r="AB123" s="5" t="s">
        <v>73</v>
      </c>
      <c r="AC123" t="s">
        <v>73</v>
      </c>
      <c r="AD123" t="s">
        <v>94</v>
      </c>
      <c r="AE123" s="5" t="s">
        <v>106</v>
      </c>
      <c r="AF123" t="s">
        <v>107</v>
      </c>
      <c r="AG123" t="s">
        <v>95</v>
      </c>
      <c r="AH123">
        <f t="shared" si="52"/>
        <v>3.8188760000000001E-3</v>
      </c>
      <c r="AI123">
        <f t="shared" si="51"/>
        <v>3.8188760000000001E-3</v>
      </c>
      <c r="AJ123">
        <f t="shared" si="31"/>
        <v>3.8188760000000001E-3</v>
      </c>
      <c r="AK123">
        <v>3.8188760000000001E-3</v>
      </c>
      <c r="AL123">
        <v>0.13176599</v>
      </c>
      <c r="AM123">
        <v>0.13631377</v>
      </c>
      <c r="AN123">
        <v>0.13875206000000001</v>
      </c>
      <c r="AO123">
        <v>99.618112400000001</v>
      </c>
      <c r="AP123">
        <v>86.823401000000004</v>
      </c>
      <c r="AQ123">
        <v>86.368622999999999</v>
      </c>
      <c r="AR123">
        <v>86.124793999999994</v>
      </c>
      <c r="AS123" t="b">
        <v>1</v>
      </c>
      <c r="AT123" t="b">
        <v>0</v>
      </c>
      <c r="AU123" t="s">
        <v>77</v>
      </c>
      <c r="AV123" t="s">
        <v>108</v>
      </c>
      <c r="AW123" t="s">
        <v>79</v>
      </c>
      <c r="AX123" t="s">
        <v>249</v>
      </c>
      <c r="AY123" t="s">
        <v>281</v>
      </c>
      <c r="AZ123" t="s">
        <v>72</v>
      </c>
      <c r="BA123" t="s">
        <v>82</v>
      </c>
      <c r="BB123">
        <v>1.75</v>
      </c>
      <c r="BC123">
        <v>4.1163553999999996E-3</v>
      </c>
      <c r="BD123">
        <v>1.4279989108178799E-4</v>
      </c>
      <c r="BE123">
        <v>4.2591552910817903E-3</v>
      </c>
      <c r="BF123">
        <f>IF(AK123&lt;BE123,1,0)</f>
        <v>1</v>
      </c>
      <c r="BG123">
        <f>IF(AK123&lt;BC123,1,0)</f>
        <v>1</v>
      </c>
      <c r="BH123">
        <f>VLOOKUP($B123,[1]Data_Peer_with_peerVars!$B$2:$Z$1050,20,FALSE)</f>
        <v>11</v>
      </c>
      <c r="BI123">
        <f>VLOOKUP($B123,[1]Data_Peer_with_peerVars!$B$2:$Z$1050,21,FALSE)</f>
        <v>8</v>
      </c>
      <c r="BJ123">
        <f>VLOOKUP($B123,[1]Data_Peer_with_peerVars!$B$2:$Z$1050,22,FALSE)</f>
        <v>0.72727272700000001</v>
      </c>
      <c r="BK123">
        <f>VLOOKUP($B123,[1]Data_Peer_with_peerVars!$B$2:$Z$1050,23,FALSE)</f>
        <v>38</v>
      </c>
      <c r="BL123">
        <f>VLOOKUP($B123,[1]Data_Peer_with_peerVars!$B$2:$Z$1050,24,FALSE)</f>
        <v>27</v>
      </c>
      <c r="BM123">
        <f>VLOOKUP($B123,[1]Data_Peer_with_peerVars!$B$2:$Z$1050,25,FALSE)</f>
        <v>0.71052631600000005</v>
      </c>
    </row>
    <row r="124" spans="1:65" x14ac:dyDescent="0.2">
      <c r="A124">
        <v>1</v>
      </c>
      <c r="B124" t="s">
        <v>297</v>
      </c>
      <c r="C124">
        <v>66</v>
      </c>
      <c r="D124" t="s">
        <v>68</v>
      </c>
      <c r="E124">
        <v>1</v>
      </c>
      <c r="F124">
        <v>267</v>
      </c>
      <c r="G124" t="s">
        <v>69</v>
      </c>
      <c r="H124" s="1">
        <v>7</v>
      </c>
      <c r="I124" t="s">
        <v>87</v>
      </c>
      <c r="J124" t="s">
        <v>111</v>
      </c>
      <c r="K124" t="s">
        <v>109</v>
      </c>
      <c r="L124">
        <v>1</v>
      </c>
      <c r="M124">
        <v>0</v>
      </c>
      <c r="N124">
        <v>1</v>
      </c>
      <c r="O124">
        <v>0</v>
      </c>
      <c r="P124">
        <v>0</v>
      </c>
      <c r="Q124">
        <v>11</v>
      </c>
      <c r="R124">
        <v>0</v>
      </c>
      <c r="S124">
        <v>0</v>
      </c>
      <c r="T124">
        <v>0</v>
      </c>
      <c r="U124">
        <v>0</v>
      </c>
      <c r="V124">
        <f t="shared" si="30"/>
        <v>1</v>
      </c>
      <c r="W124">
        <v>1</v>
      </c>
      <c r="X124">
        <v>1</v>
      </c>
      <c r="Y124">
        <v>1</v>
      </c>
      <c r="Z124" t="s">
        <v>76</v>
      </c>
      <c r="AA124" s="5" t="s">
        <v>76</v>
      </c>
      <c r="AB124" s="5" t="s">
        <v>76</v>
      </c>
      <c r="AC124" t="s">
        <v>76</v>
      </c>
      <c r="AD124" t="s">
        <v>74</v>
      </c>
      <c r="AE124" s="5" t="s">
        <v>74</v>
      </c>
      <c r="AF124" t="s">
        <v>120</v>
      </c>
      <c r="AG124" t="s">
        <v>75</v>
      </c>
      <c r="AH124">
        <f t="shared" si="52"/>
        <v>8.7978139999999996E-2</v>
      </c>
      <c r="AI124">
        <f t="shared" si="51"/>
        <v>8.7978139999999996E-2</v>
      </c>
      <c r="AJ124">
        <f t="shared" si="31"/>
        <v>8.7978139999999996E-2</v>
      </c>
      <c r="AK124">
        <v>8.7978139999999996E-2</v>
      </c>
      <c r="AL124">
        <v>9.1008775E-2</v>
      </c>
      <c r="AM124">
        <v>0.11666667</v>
      </c>
      <c r="AN124">
        <v>0.11850027</v>
      </c>
      <c r="AO124">
        <v>91.202185999999998</v>
      </c>
      <c r="AP124">
        <v>90.899122500000004</v>
      </c>
      <c r="AQ124">
        <v>88.333332999999996</v>
      </c>
      <c r="AR124">
        <v>88.149973000000003</v>
      </c>
      <c r="AS124" t="b">
        <v>1</v>
      </c>
      <c r="AT124" t="b">
        <v>0</v>
      </c>
      <c r="AU124" t="s">
        <v>77</v>
      </c>
      <c r="AV124" t="s">
        <v>77</v>
      </c>
      <c r="AW124" t="s">
        <v>79</v>
      </c>
      <c r="AX124" t="s">
        <v>249</v>
      </c>
      <c r="AY124" t="s">
        <v>254</v>
      </c>
      <c r="AZ124" t="s">
        <v>109</v>
      </c>
      <c r="BA124">
        <v>2</v>
      </c>
      <c r="BB124">
        <v>2</v>
      </c>
      <c r="BC124">
        <v>7.7070764999999999E-2</v>
      </c>
      <c r="BD124">
        <v>1.90190515067399E-3</v>
      </c>
      <c r="BE124">
        <v>7.8972670150673996E-2</v>
      </c>
      <c r="BF124">
        <f>IF(AK124&lt;BE124,1,0)</f>
        <v>0</v>
      </c>
      <c r="BG124">
        <f>IF(AK124&lt;BC124,1,0)</f>
        <v>0</v>
      </c>
      <c r="BH124">
        <f>VLOOKUP($B124,[1]Data_Peer_with_peerVars!$B$2:$Z$1050,20,FALSE)</f>
        <v>13</v>
      </c>
      <c r="BI124">
        <f>VLOOKUP($B124,[1]Data_Peer_with_peerVars!$B$2:$Z$1050,21,FALSE)</f>
        <v>11</v>
      </c>
      <c r="BJ124">
        <f>VLOOKUP($B124,[1]Data_Peer_with_peerVars!$B$2:$Z$1050,22,FALSE)</f>
        <v>0.84615384599999999</v>
      </c>
      <c r="BK124">
        <f>VLOOKUP($B124,[1]Data_Peer_with_peerVars!$B$2:$Z$1050,23,FALSE)</f>
        <v>45</v>
      </c>
      <c r="BL124">
        <f>VLOOKUP($B124,[1]Data_Peer_with_peerVars!$B$2:$Z$1050,24,FALSE)</f>
        <v>34</v>
      </c>
      <c r="BM124">
        <f>VLOOKUP($B124,[1]Data_Peer_with_peerVars!$B$2:$Z$1050,25,FALSE)</f>
        <v>0.75555555600000002</v>
      </c>
    </row>
    <row r="125" spans="1:65" x14ac:dyDescent="0.2">
      <c r="A125">
        <v>1</v>
      </c>
      <c r="B125" t="s">
        <v>298</v>
      </c>
      <c r="C125">
        <v>67</v>
      </c>
      <c r="D125" t="s">
        <v>68</v>
      </c>
      <c r="E125">
        <v>1</v>
      </c>
      <c r="F125">
        <v>271</v>
      </c>
      <c r="G125" t="s">
        <v>69</v>
      </c>
      <c r="H125" s="1">
        <v>7</v>
      </c>
      <c r="I125" t="s">
        <v>70</v>
      </c>
      <c r="J125" t="s">
        <v>71</v>
      </c>
      <c r="K125" t="s">
        <v>72</v>
      </c>
      <c r="L125">
        <v>1</v>
      </c>
      <c r="M125">
        <v>0</v>
      </c>
      <c r="N125">
        <v>1</v>
      </c>
      <c r="O125">
        <v>0</v>
      </c>
      <c r="P125">
        <v>0</v>
      </c>
      <c r="Q125">
        <v>6</v>
      </c>
      <c r="R125">
        <v>0</v>
      </c>
      <c r="S125">
        <v>0</v>
      </c>
      <c r="T125">
        <v>0</v>
      </c>
      <c r="U125">
        <v>0</v>
      </c>
      <c r="V125">
        <f t="shared" si="30"/>
        <v>1</v>
      </c>
      <c r="W125">
        <v>1</v>
      </c>
      <c r="X125">
        <v>1</v>
      </c>
      <c r="Y125">
        <v>1</v>
      </c>
      <c r="Z125" t="s">
        <v>76</v>
      </c>
      <c r="AA125" s="5" t="s">
        <v>76</v>
      </c>
      <c r="AB125" s="5" t="s">
        <v>76</v>
      </c>
      <c r="AC125" t="s">
        <v>76</v>
      </c>
      <c r="AD125" t="s">
        <v>74</v>
      </c>
      <c r="AE125" s="5" t="s">
        <v>142</v>
      </c>
      <c r="AF125" t="s">
        <v>120</v>
      </c>
      <c r="AG125" t="s">
        <v>75</v>
      </c>
      <c r="AH125">
        <f t="shared" si="52"/>
        <v>7.8645549999999995E-2</v>
      </c>
      <c r="AI125">
        <f t="shared" si="51"/>
        <v>7.8645549999999995E-2</v>
      </c>
      <c r="AJ125">
        <f t="shared" si="31"/>
        <v>7.8645549999999995E-2</v>
      </c>
      <c r="AK125">
        <v>7.8645549999999995E-2</v>
      </c>
      <c r="AL125">
        <v>8.1369860000000002E-2</v>
      </c>
      <c r="AM125">
        <v>0.11523758000000001</v>
      </c>
      <c r="AN125">
        <v>0.11679431</v>
      </c>
      <c r="AO125">
        <v>92.135445000000004</v>
      </c>
      <c r="AP125">
        <v>91.863014000000007</v>
      </c>
      <c r="AQ125">
        <v>88.476241999999999</v>
      </c>
      <c r="AR125">
        <v>88.320569000000006</v>
      </c>
      <c r="AS125" t="b">
        <v>0</v>
      </c>
      <c r="AT125" t="b">
        <v>0</v>
      </c>
      <c r="AU125" t="s">
        <v>108</v>
      </c>
      <c r="AV125" t="s">
        <v>108</v>
      </c>
      <c r="AW125" t="s">
        <v>79</v>
      </c>
      <c r="AX125" t="s">
        <v>249</v>
      </c>
      <c r="AY125" t="s">
        <v>262</v>
      </c>
      <c r="AZ125" t="s">
        <v>72</v>
      </c>
      <c r="BA125" t="s">
        <v>82</v>
      </c>
      <c r="BB125">
        <v>3</v>
      </c>
      <c r="BC125">
        <v>7.7070764999999999E-2</v>
      </c>
      <c r="BD125">
        <v>1.90190515067399E-3</v>
      </c>
      <c r="BE125">
        <v>7.8972670150673996E-2</v>
      </c>
      <c r="BF125">
        <f>IF(AK125&lt;BE125,1,0)</f>
        <v>1</v>
      </c>
      <c r="BG125">
        <f>IF(AK125&lt;BC125,1,0)</f>
        <v>0</v>
      </c>
      <c r="BH125">
        <f>VLOOKUP($B125,[1]Data_Peer_with_peerVars!$B$2:$Z$1050,20,FALSE)</f>
        <v>13</v>
      </c>
      <c r="BI125">
        <f>VLOOKUP($B125,[1]Data_Peer_with_peerVars!$B$2:$Z$1050,21,FALSE)</f>
        <v>9</v>
      </c>
      <c r="BJ125">
        <f>VLOOKUP($B125,[1]Data_Peer_with_peerVars!$B$2:$Z$1050,22,FALSE)</f>
        <v>0.69230769199999997</v>
      </c>
      <c r="BK125">
        <f>VLOOKUP($B125,[1]Data_Peer_with_peerVars!$B$2:$Z$1050,23,FALSE)</f>
        <v>48</v>
      </c>
      <c r="BL125">
        <f>VLOOKUP($B125,[1]Data_Peer_with_peerVars!$B$2:$Z$1050,24,FALSE)</f>
        <v>35</v>
      </c>
      <c r="BM125">
        <f>VLOOKUP($B125,[1]Data_Peer_with_peerVars!$B$2:$Z$1050,25,FALSE)</f>
        <v>0.72916666699999999</v>
      </c>
    </row>
    <row r="126" spans="1:65" x14ac:dyDescent="0.2">
      <c r="A126">
        <v>1</v>
      </c>
      <c r="B126" t="s">
        <v>299</v>
      </c>
      <c r="C126">
        <v>67</v>
      </c>
      <c r="D126" t="s">
        <v>68</v>
      </c>
      <c r="E126">
        <v>1</v>
      </c>
      <c r="F126">
        <v>271</v>
      </c>
      <c r="G126" t="s">
        <v>69</v>
      </c>
      <c r="H126" s="1">
        <v>7</v>
      </c>
      <c r="I126" t="s">
        <v>70</v>
      </c>
      <c r="J126" t="s">
        <v>71</v>
      </c>
      <c r="K126" t="s">
        <v>72</v>
      </c>
      <c r="L126">
        <v>1</v>
      </c>
      <c r="M126">
        <v>0</v>
      </c>
      <c r="N126">
        <v>1</v>
      </c>
      <c r="O126">
        <v>0</v>
      </c>
      <c r="P126">
        <v>0</v>
      </c>
      <c r="Q126">
        <v>6</v>
      </c>
      <c r="R126">
        <v>0</v>
      </c>
      <c r="S126">
        <v>0</v>
      </c>
      <c r="T126">
        <v>1</v>
      </c>
      <c r="U126">
        <v>1</v>
      </c>
      <c r="V126">
        <f t="shared" si="30"/>
        <v>1</v>
      </c>
      <c r="W126">
        <v>1</v>
      </c>
      <c r="X126">
        <v>1</v>
      </c>
      <c r="Y126">
        <v>1</v>
      </c>
      <c r="Z126" t="s">
        <v>73</v>
      </c>
      <c r="AA126" s="5" t="s">
        <v>73</v>
      </c>
      <c r="AB126" s="5" t="s">
        <v>73</v>
      </c>
      <c r="AC126" t="s">
        <v>73</v>
      </c>
      <c r="AD126" t="s">
        <v>94</v>
      </c>
      <c r="AE126" s="5" t="s">
        <v>106</v>
      </c>
      <c r="AF126" t="s">
        <v>107</v>
      </c>
      <c r="AG126" t="s">
        <v>95</v>
      </c>
      <c r="AH126">
        <f t="shared" si="52"/>
        <v>4.0894219999999997E-3</v>
      </c>
      <c r="AI126">
        <f t="shared" si="51"/>
        <v>4.0894219999999997E-3</v>
      </c>
      <c r="AJ126">
        <f t="shared" si="31"/>
        <v>4.0894219999999997E-3</v>
      </c>
      <c r="AK126">
        <v>4.0894219999999997E-3</v>
      </c>
      <c r="AL126">
        <v>0.13142076</v>
      </c>
      <c r="AM126">
        <v>0.13596491999999999</v>
      </c>
      <c r="AN126">
        <v>0.13840263</v>
      </c>
      <c r="AO126">
        <v>99.591057800000002</v>
      </c>
      <c r="AP126">
        <v>86.857923999999997</v>
      </c>
      <c r="AQ126">
        <v>86.403508000000002</v>
      </c>
      <c r="AR126">
        <v>86.159737000000007</v>
      </c>
      <c r="AS126" t="b">
        <v>1</v>
      </c>
      <c r="AT126" t="b">
        <v>0</v>
      </c>
      <c r="AU126" t="s">
        <v>77</v>
      </c>
      <c r="AV126" t="s">
        <v>108</v>
      </c>
      <c r="AW126" t="s">
        <v>79</v>
      </c>
      <c r="AX126" t="s">
        <v>249</v>
      </c>
      <c r="AY126" t="s">
        <v>281</v>
      </c>
      <c r="AZ126" t="s">
        <v>109</v>
      </c>
      <c r="BA126">
        <v>2</v>
      </c>
      <c r="BB126">
        <v>1</v>
      </c>
      <c r="BC126">
        <v>4.1163553999999996E-3</v>
      </c>
      <c r="BD126">
        <v>1.4279989108178799E-4</v>
      </c>
      <c r="BE126">
        <v>4.2591552910817903E-3</v>
      </c>
      <c r="BF126">
        <f>IF(AK126&lt;BE126,1,0)</f>
        <v>1</v>
      </c>
      <c r="BG126">
        <f>IF(AK126&lt;BC126,1,0)</f>
        <v>1</v>
      </c>
      <c r="BH126">
        <f>VLOOKUP($B126,[1]Data_Peer_with_peerVars!$B$2:$Z$1050,20,FALSE)</f>
        <v>13</v>
      </c>
      <c r="BI126">
        <f>VLOOKUP($B126,[1]Data_Peer_with_peerVars!$B$2:$Z$1050,21,FALSE)</f>
        <v>9</v>
      </c>
      <c r="BJ126">
        <f>VLOOKUP($B126,[1]Data_Peer_with_peerVars!$B$2:$Z$1050,22,FALSE)</f>
        <v>0.69230769199999997</v>
      </c>
      <c r="BK126">
        <f>VLOOKUP($B126,[1]Data_Peer_with_peerVars!$B$2:$Z$1050,23,FALSE)</f>
        <v>48</v>
      </c>
      <c r="BL126">
        <f>VLOOKUP($B126,[1]Data_Peer_with_peerVars!$B$2:$Z$1050,24,FALSE)</f>
        <v>35</v>
      </c>
      <c r="BM126">
        <f>VLOOKUP($B126,[1]Data_Peer_with_peerVars!$B$2:$Z$1050,25,FALSE)</f>
        <v>0.72916666699999999</v>
      </c>
    </row>
    <row r="127" spans="1:65" x14ac:dyDescent="0.2">
      <c r="A127">
        <v>1</v>
      </c>
      <c r="B127" t="s">
        <v>300</v>
      </c>
      <c r="C127">
        <v>68</v>
      </c>
      <c r="D127" t="s">
        <v>68</v>
      </c>
      <c r="E127">
        <v>1</v>
      </c>
      <c r="F127">
        <v>273</v>
      </c>
      <c r="G127" t="s">
        <v>69</v>
      </c>
      <c r="H127" s="1">
        <v>7</v>
      </c>
      <c r="I127" t="s">
        <v>70</v>
      </c>
      <c r="J127" t="s">
        <v>301</v>
      </c>
      <c r="K127" t="s">
        <v>109</v>
      </c>
      <c r="L127">
        <v>1</v>
      </c>
      <c r="M127">
        <v>0</v>
      </c>
      <c r="N127">
        <v>1</v>
      </c>
      <c r="O127">
        <v>0</v>
      </c>
      <c r="P127">
        <v>0</v>
      </c>
      <c r="Q127">
        <v>11</v>
      </c>
      <c r="R127">
        <v>0</v>
      </c>
      <c r="S127">
        <v>0</v>
      </c>
      <c r="T127">
        <v>0</v>
      </c>
      <c r="U127">
        <v>0</v>
      </c>
      <c r="V127">
        <f t="shared" si="30"/>
        <v>1</v>
      </c>
      <c r="W127">
        <v>1</v>
      </c>
      <c r="X127">
        <v>1</v>
      </c>
      <c r="Y127">
        <v>1</v>
      </c>
      <c r="Z127" t="s">
        <v>76</v>
      </c>
      <c r="AA127" s="5" t="s">
        <v>76</v>
      </c>
      <c r="AB127" s="5" t="s">
        <v>76</v>
      </c>
      <c r="AC127" t="s">
        <v>76</v>
      </c>
      <c r="AD127" t="s">
        <v>74</v>
      </c>
      <c r="AE127" s="5" t="s">
        <v>74</v>
      </c>
      <c r="AF127" t="s">
        <v>120</v>
      </c>
      <c r="AG127" t="s">
        <v>75</v>
      </c>
      <c r="AH127">
        <f t="shared" si="52"/>
        <v>7.8142080000000003E-2</v>
      </c>
      <c r="AI127">
        <f t="shared" si="51"/>
        <v>7.8142080000000003E-2</v>
      </c>
      <c r="AJ127">
        <f t="shared" si="31"/>
        <v>7.8142080000000003E-2</v>
      </c>
      <c r="AK127">
        <v>7.8142080000000003E-2</v>
      </c>
      <c r="AL127">
        <v>9.1831140000000006E-2</v>
      </c>
      <c r="AM127">
        <v>0.12349727000000001</v>
      </c>
      <c r="AN127">
        <v>0.12370005000000001</v>
      </c>
      <c r="AO127">
        <v>92.185792000000006</v>
      </c>
      <c r="AP127">
        <v>90.816885999999997</v>
      </c>
      <c r="AQ127">
        <v>87.650272999999999</v>
      </c>
      <c r="AR127">
        <v>87.629994999999994</v>
      </c>
      <c r="AS127" t="b">
        <v>1</v>
      </c>
      <c r="AT127" t="b">
        <v>0</v>
      </c>
      <c r="AU127" t="s">
        <v>77</v>
      </c>
      <c r="AV127" t="s">
        <v>77</v>
      </c>
      <c r="AW127" t="s">
        <v>79</v>
      </c>
      <c r="AX127" t="s">
        <v>249</v>
      </c>
      <c r="AY127" t="s">
        <v>254</v>
      </c>
      <c r="AZ127" t="s">
        <v>109</v>
      </c>
      <c r="BA127">
        <v>2</v>
      </c>
      <c r="BB127">
        <v>2.5</v>
      </c>
      <c r="BC127">
        <v>7.7070764999999999E-2</v>
      </c>
      <c r="BD127">
        <v>1.90190515067399E-3</v>
      </c>
      <c r="BE127">
        <v>7.8972670150673996E-2</v>
      </c>
      <c r="BF127">
        <f>IF(AK127&lt;BE127,1,0)</f>
        <v>1</v>
      </c>
      <c r="BG127">
        <f>IF(AK127&lt;BC127,1,0)</f>
        <v>0</v>
      </c>
      <c r="BH127">
        <f>VLOOKUP($B127,[1]Data_Peer_with_peerVars!$B$2:$Z$1050,20,FALSE)</f>
        <v>12</v>
      </c>
      <c r="BI127">
        <f>VLOOKUP($B127,[1]Data_Peer_with_peerVars!$B$2:$Z$1050,21,FALSE)</f>
        <v>8</v>
      </c>
      <c r="BJ127">
        <f>VLOOKUP($B127,[1]Data_Peer_with_peerVars!$B$2:$Z$1050,22,FALSE)</f>
        <v>0.66666666699999999</v>
      </c>
      <c r="BK127">
        <f>VLOOKUP($B127,[1]Data_Peer_with_peerVars!$B$2:$Z$1050,23,FALSE)</f>
        <v>48</v>
      </c>
      <c r="BL127">
        <f>VLOOKUP($B127,[1]Data_Peer_with_peerVars!$B$2:$Z$1050,24,FALSE)</f>
        <v>28</v>
      </c>
      <c r="BM127">
        <f>VLOOKUP($B127,[1]Data_Peer_with_peerVars!$B$2:$Z$1050,25,FALSE)</f>
        <v>0.58333333300000001</v>
      </c>
    </row>
    <row r="128" spans="1:65" x14ac:dyDescent="0.2">
      <c r="A128">
        <v>1</v>
      </c>
      <c r="B128" t="s">
        <v>302</v>
      </c>
      <c r="C128">
        <v>69</v>
      </c>
      <c r="D128" t="s">
        <v>68</v>
      </c>
      <c r="E128">
        <v>1</v>
      </c>
      <c r="F128">
        <v>293</v>
      </c>
      <c r="G128" t="s">
        <v>69</v>
      </c>
      <c r="H128" s="1">
        <v>0</v>
      </c>
      <c r="I128" t="s">
        <v>87</v>
      </c>
      <c r="J128" t="s">
        <v>111</v>
      </c>
      <c r="K128" t="s">
        <v>109</v>
      </c>
      <c r="L128">
        <v>1</v>
      </c>
      <c r="M128">
        <v>0</v>
      </c>
      <c r="N128">
        <v>0</v>
      </c>
      <c r="O128">
        <v>0</v>
      </c>
      <c r="P128">
        <v>0</v>
      </c>
      <c r="Q128">
        <v>6</v>
      </c>
      <c r="R128">
        <v>0</v>
      </c>
      <c r="S128">
        <v>0</v>
      </c>
      <c r="T128">
        <v>0</v>
      </c>
      <c r="U128">
        <v>0</v>
      </c>
      <c r="V128">
        <f t="shared" si="30"/>
        <v>0</v>
      </c>
      <c r="W128">
        <f t="shared" si="32"/>
        <v>1</v>
      </c>
      <c r="X128">
        <v>1</v>
      </c>
      <c r="Y128">
        <v>1</v>
      </c>
      <c r="Z128" t="s">
        <v>76</v>
      </c>
      <c r="AA128" s="5" t="s">
        <v>76</v>
      </c>
      <c r="AB128" s="5" t="s">
        <v>76</v>
      </c>
      <c r="AC128" t="s">
        <v>74</v>
      </c>
      <c r="AD128" t="s">
        <v>76</v>
      </c>
      <c r="AE128" s="5" t="s">
        <v>76</v>
      </c>
      <c r="AF128" t="s">
        <v>120</v>
      </c>
      <c r="AG128" t="s">
        <v>75</v>
      </c>
      <c r="AH128">
        <f t="shared" si="52"/>
        <v>8.5612690000000005E-2</v>
      </c>
      <c r="AI128">
        <f>AJ128</f>
        <v>8.5612690000000005E-2</v>
      </c>
      <c r="AJ128">
        <f>AL128</f>
        <v>8.5612690000000005E-2</v>
      </c>
      <c r="AK128">
        <v>7.4876579999999998E-2</v>
      </c>
      <c r="AL128">
        <v>8.5612690000000005E-2</v>
      </c>
      <c r="AM128">
        <v>0.11180973</v>
      </c>
      <c r="AN128">
        <v>0.11254107000000001</v>
      </c>
      <c r="AO128">
        <v>92.512342000000004</v>
      </c>
      <c r="AP128">
        <v>91.438731000000004</v>
      </c>
      <c r="AQ128">
        <v>88.819027000000006</v>
      </c>
      <c r="AR128">
        <v>88.745892999999995</v>
      </c>
      <c r="AS128" t="b">
        <v>0</v>
      </c>
      <c r="AT128" t="b">
        <v>1</v>
      </c>
      <c r="AU128" t="s">
        <v>77</v>
      </c>
      <c r="AV128" t="s">
        <v>77</v>
      </c>
      <c r="AW128" t="s">
        <v>79</v>
      </c>
      <c r="AX128" t="s">
        <v>249</v>
      </c>
      <c r="AY128" t="s">
        <v>303</v>
      </c>
      <c r="AZ128" t="s">
        <v>109</v>
      </c>
      <c r="BA128">
        <v>4</v>
      </c>
      <c r="BB128">
        <v>0.7</v>
      </c>
      <c r="BC128">
        <v>2.4738868000000001E-3</v>
      </c>
      <c r="BD128">
        <v>1.4256942275279999E-4</v>
      </c>
      <c r="BE128">
        <v>2.6164562227527998E-3</v>
      </c>
      <c r="BF128">
        <f>IF(AK128&lt;BE128,1,0)</f>
        <v>0</v>
      </c>
      <c r="BG128">
        <f>IF(AK128&lt;BC128,1,0)</f>
        <v>0</v>
      </c>
      <c r="BH128">
        <f>VLOOKUP($B128,[1]Data_Peer_with_peerVars!$B$2:$Z$1050,20,FALSE)</f>
        <v>10</v>
      </c>
      <c r="BI128">
        <f>VLOOKUP($B128,[1]Data_Peer_with_peerVars!$B$2:$Z$1050,21,FALSE)</f>
        <v>7</v>
      </c>
      <c r="BJ128">
        <f>VLOOKUP($B128,[1]Data_Peer_with_peerVars!$B$2:$Z$1050,22,FALSE)</f>
        <v>0.7</v>
      </c>
      <c r="BK128">
        <f>VLOOKUP($B128,[1]Data_Peer_with_peerVars!$B$2:$Z$1050,23,FALSE)</f>
        <v>20</v>
      </c>
      <c r="BL128">
        <f>VLOOKUP($B128,[1]Data_Peer_with_peerVars!$B$2:$Z$1050,24,FALSE)</f>
        <v>14</v>
      </c>
      <c r="BM128">
        <f>VLOOKUP($B128,[1]Data_Peer_with_peerVars!$B$2:$Z$1050,25,FALSE)</f>
        <v>0.7</v>
      </c>
    </row>
    <row r="129" spans="1:65" x14ac:dyDescent="0.2">
      <c r="A129">
        <v>1</v>
      </c>
      <c r="B129" t="s">
        <v>304</v>
      </c>
      <c r="C129">
        <v>69</v>
      </c>
      <c r="D129" t="s">
        <v>68</v>
      </c>
      <c r="E129">
        <v>1</v>
      </c>
      <c r="F129">
        <v>293</v>
      </c>
      <c r="G129" t="s">
        <v>69</v>
      </c>
      <c r="H129" s="1">
        <v>0</v>
      </c>
      <c r="I129" t="s">
        <v>87</v>
      </c>
      <c r="J129" t="s">
        <v>111</v>
      </c>
      <c r="K129" t="s">
        <v>109</v>
      </c>
      <c r="L129">
        <v>1</v>
      </c>
      <c r="M129">
        <v>0</v>
      </c>
      <c r="N129">
        <v>0</v>
      </c>
      <c r="O129">
        <v>0</v>
      </c>
      <c r="P129">
        <v>0</v>
      </c>
      <c r="Q129">
        <v>6</v>
      </c>
      <c r="R129">
        <v>0</v>
      </c>
      <c r="S129">
        <v>0</v>
      </c>
      <c r="T129">
        <v>0</v>
      </c>
      <c r="U129">
        <v>0</v>
      </c>
      <c r="V129">
        <f t="shared" si="30"/>
        <v>1</v>
      </c>
      <c r="W129">
        <v>1</v>
      </c>
      <c r="X129">
        <v>1</v>
      </c>
      <c r="Y129">
        <v>1</v>
      </c>
      <c r="Z129" t="s">
        <v>73</v>
      </c>
      <c r="AA129" s="5" t="s">
        <v>73</v>
      </c>
      <c r="AB129" s="5" t="s">
        <v>73</v>
      </c>
      <c r="AC129" t="s">
        <v>73</v>
      </c>
      <c r="AD129" t="s">
        <v>137</v>
      </c>
      <c r="AE129" s="5" t="s">
        <v>305</v>
      </c>
      <c r="AF129" t="s">
        <v>91</v>
      </c>
      <c r="AG129" t="s">
        <v>103</v>
      </c>
      <c r="AH129">
        <f t="shared" si="52"/>
        <v>0.117436744</v>
      </c>
      <c r="AI129">
        <f>AJ129</f>
        <v>0.117436744</v>
      </c>
      <c r="AJ129">
        <f t="shared" si="31"/>
        <v>0.117436744</v>
      </c>
      <c r="AK129">
        <v>0.117436744</v>
      </c>
      <c r="AL129">
        <v>0.13738987</v>
      </c>
      <c r="AM129">
        <v>0.13879691</v>
      </c>
      <c r="AN129">
        <v>0.13956715</v>
      </c>
      <c r="AO129">
        <v>88.256325599999997</v>
      </c>
      <c r="AP129">
        <v>86.261013000000005</v>
      </c>
      <c r="AQ129">
        <v>86.120309000000006</v>
      </c>
      <c r="AR129">
        <v>86.043284999999997</v>
      </c>
      <c r="AS129" t="b">
        <v>1</v>
      </c>
      <c r="AT129" t="b">
        <v>0</v>
      </c>
      <c r="AU129" t="s">
        <v>78</v>
      </c>
      <c r="AV129" t="s">
        <v>108</v>
      </c>
      <c r="AW129" t="s">
        <v>79</v>
      </c>
      <c r="AX129" t="s">
        <v>249</v>
      </c>
      <c r="AY129" t="s">
        <v>303</v>
      </c>
      <c r="AZ129" t="s">
        <v>109</v>
      </c>
      <c r="BA129">
        <v>2</v>
      </c>
      <c r="BB129">
        <v>0.7</v>
      </c>
      <c r="BC129">
        <v>4.1163553999999996E-3</v>
      </c>
      <c r="BD129">
        <v>1.4279989108178799E-4</v>
      </c>
      <c r="BE129">
        <v>4.2591552910817903E-3</v>
      </c>
      <c r="BF129">
        <f>IF(AK129&lt;BE129,1,0)</f>
        <v>0</v>
      </c>
      <c r="BG129">
        <f>IF(AK129&lt;BC129,1,0)</f>
        <v>0</v>
      </c>
      <c r="BH129">
        <f>VLOOKUP($B129,[1]Data_Peer_with_peerVars!$B$2:$Z$1050,20,FALSE)</f>
        <v>10</v>
      </c>
      <c r="BI129">
        <f>VLOOKUP($B129,[1]Data_Peer_with_peerVars!$B$2:$Z$1050,21,FALSE)</f>
        <v>7</v>
      </c>
      <c r="BJ129">
        <f>VLOOKUP($B129,[1]Data_Peer_with_peerVars!$B$2:$Z$1050,22,FALSE)</f>
        <v>0.7</v>
      </c>
      <c r="BK129">
        <f>VLOOKUP($B129,[1]Data_Peer_with_peerVars!$B$2:$Z$1050,23,FALSE)</f>
        <v>20</v>
      </c>
      <c r="BL129">
        <f>VLOOKUP($B129,[1]Data_Peer_with_peerVars!$B$2:$Z$1050,24,FALSE)</f>
        <v>14</v>
      </c>
      <c r="BM129">
        <f>VLOOKUP($B129,[1]Data_Peer_with_peerVars!$B$2:$Z$1050,25,FALSE)</f>
        <v>0.7</v>
      </c>
    </row>
    <row r="130" spans="1:65" x14ac:dyDescent="0.2">
      <c r="A130">
        <v>1</v>
      </c>
      <c r="B130" t="s">
        <v>306</v>
      </c>
      <c r="C130">
        <v>69</v>
      </c>
      <c r="D130" t="s">
        <v>68</v>
      </c>
      <c r="E130">
        <v>1</v>
      </c>
      <c r="F130">
        <v>293</v>
      </c>
      <c r="G130" t="s">
        <v>69</v>
      </c>
      <c r="H130" s="1">
        <v>0</v>
      </c>
      <c r="I130" t="s">
        <v>87</v>
      </c>
      <c r="J130" t="s">
        <v>111</v>
      </c>
      <c r="K130" t="s">
        <v>109</v>
      </c>
      <c r="L130">
        <v>1</v>
      </c>
      <c r="M130">
        <v>0</v>
      </c>
      <c r="N130">
        <v>0</v>
      </c>
      <c r="O130">
        <v>0</v>
      </c>
      <c r="P130">
        <v>0</v>
      </c>
      <c r="Q130">
        <v>6</v>
      </c>
      <c r="R130">
        <v>0</v>
      </c>
      <c r="S130">
        <v>0</v>
      </c>
      <c r="T130">
        <v>0</v>
      </c>
      <c r="U130">
        <v>0</v>
      </c>
      <c r="V130">
        <f t="shared" si="30"/>
        <v>0</v>
      </c>
      <c r="W130">
        <f t="shared" si="32"/>
        <v>0</v>
      </c>
      <c r="X130">
        <f t="shared" si="33"/>
        <v>0</v>
      </c>
      <c r="Y130">
        <f t="shared" si="34"/>
        <v>0</v>
      </c>
      <c r="Z130" t="s">
        <v>89</v>
      </c>
      <c r="AA130" s="5" t="s">
        <v>101</v>
      </c>
      <c r="AB130" s="5" t="s">
        <v>307</v>
      </c>
      <c r="AC130" t="s">
        <v>73</v>
      </c>
      <c r="AD130" t="s">
        <v>137</v>
      </c>
      <c r="AE130" s="5" t="s">
        <v>308</v>
      </c>
      <c r="AF130" t="s">
        <v>113</v>
      </c>
      <c r="AG130" t="s">
        <v>103</v>
      </c>
      <c r="AH130">
        <f>AI130</f>
        <v>9.6237734000000005E-2</v>
      </c>
      <c r="AI130">
        <f>AJ130</f>
        <v>9.6237734000000005E-2</v>
      </c>
      <c r="AJ130">
        <f t="shared" si="31"/>
        <v>9.6237734000000005E-2</v>
      </c>
      <c r="AK130">
        <v>9.6237734000000005E-2</v>
      </c>
      <c r="AL130">
        <v>0.13380665999999999</v>
      </c>
      <c r="AM130">
        <v>0.13873626</v>
      </c>
      <c r="AN130">
        <v>0.14151983000000001</v>
      </c>
      <c r="AO130">
        <v>90.376226599999995</v>
      </c>
      <c r="AP130">
        <v>86.619333999999995</v>
      </c>
      <c r="AQ130">
        <v>86.126373999999998</v>
      </c>
      <c r="AR130">
        <v>85.848016999999999</v>
      </c>
      <c r="AS130" t="b">
        <v>0</v>
      </c>
      <c r="AT130" t="b">
        <v>0</v>
      </c>
      <c r="AU130" t="s">
        <v>92</v>
      </c>
      <c r="AV130" t="s">
        <v>92</v>
      </c>
      <c r="AW130" t="s">
        <v>79</v>
      </c>
      <c r="AX130" t="s">
        <v>249</v>
      </c>
      <c r="AY130" t="s">
        <v>303</v>
      </c>
      <c r="AZ130" t="s">
        <v>82</v>
      </c>
      <c r="BA130" t="s">
        <v>82</v>
      </c>
      <c r="BB130">
        <v>0.35</v>
      </c>
      <c r="BC130">
        <v>4.1163553999999996E-3</v>
      </c>
      <c r="BD130">
        <v>1.4279989108178799E-4</v>
      </c>
      <c r="BE130">
        <v>4.2591552910817903E-3</v>
      </c>
      <c r="BF130">
        <f>IF(AK130&lt;BE130,1,0)</f>
        <v>0</v>
      </c>
      <c r="BG130">
        <f>IF(AK130&lt;BC130,1,0)</f>
        <v>0</v>
      </c>
      <c r="BH130">
        <f>VLOOKUP($B130,[1]Data_Peer_with_peerVars!$B$2:$Z$1050,20,FALSE)</f>
        <v>10</v>
      </c>
      <c r="BI130">
        <f>VLOOKUP($B130,[1]Data_Peer_with_peerVars!$B$2:$Z$1050,21,FALSE)</f>
        <v>7</v>
      </c>
      <c r="BJ130">
        <f>VLOOKUP($B130,[1]Data_Peer_with_peerVars!$B$2:$Z$1050,22,FALSE)</f>
        <v>0.7</v>
      </c>
      <c r="BK130">
        <f>VLOOKUP($B130,[1]Data_Peer_with_peerVars!$B$2:$Z$1050,23,FALSE)</f>
        <v>20</v>
      </c>
      <c r="BL130">
        <f>VLOOKUP($B130,[1]Data_Peer_with_peerVars!$B$2:$Z$1050,24,FALSE)</f>
        <v>14</v>
      </c>
      <c r="BM130">
        <f>VLOOKUP($B130,[1]Data_Peer_with_peerVars!$B$2:$Z$1050,25,FALSE)</f>
        <v>0.7</v>
      </c>
    </row>
    <row r="131" spans="1:65" x14ac:dyDescent="0.2">
      <c r="A131">
        <v>1</v>
      </c>
      <c r="B131" t="s">
        <v>309</v>
      </c>
      <c r="C131">
        <v>69</v>
      </c>
      <c r="D131" t="s">
        <v>68</v>
      </c>
      <c r="E131">
        <v>1</v>
      </c>
      <c r="F131">
        <v>293</v>
      </c>
      <c r="G131" t="s">
        <v>69</v>
      </c>
      <c r="H131" s="1">
        <v>0</v>
      </c>
      <c r="I131" t="s">
        <v>87</v>
      </c>
      <c r="J131" t="s">
        <v>111</v>
      </c>
      <c r="K131" t="s">
        <v>109</v>
      </c>
      <c r="L131">
        <v>1</v>
      </c>
      <c r="M131">
        <v>0</v>
      </c>
      <c r="N131">
        <v>0</v>
      </c>
      <c r="O131">
        <v>0</v>
      </c>
      <c r="P131">
        <v>0</v>
      </c>
      <c r="Q131">
        <v>6</v>
      </c>
      <c r="R131">
        <v>0</v>
      </c>
      <c r="S131">
        <v>0</v>
      </c>
      <c r="T131">
        <v>0</v>
      </c>
      <c r="U131">
        <v>0</v>
      </c>
      <c r="V131">
        <f t="shared" ref="V131:V194" si="53">IF(Z131=AC131,1,0)</f>
        <v>1</v>
      </c>
      <c r="W131">
        <v>1</v>
      </c>
      <c r="X131">
        <v>1</v>
      </c>
      <c r="Y131">
        <v>1</v>
      </c>
      <c r="Z131" t="s">
        <v>103</v>
      </c>
      <c r="AA131" s="5" t="s">
        <v>103</v>
      </c>
      <c r="AB131" s="5" t="s">
        <v>103</v>
      </c>
      <c r="AC131" t="s">
        <v>103</v>
      </c>
      <c r="AD131" t="s">
        <v>101</v>
      </c>
      <c r="AE131" s="5" t="s">
        <v>101</v>
      </c>
      <c r="AF131" t="s">
        <v>99</v>
      </c>
      <c r="AG131" t="s">
        <v>137</v>
      </c>
      <c r="AH131">
        <f t="shared" ref="AH131:AH134" si="54">AI131</f>
        <v>1.6066482E-2</v>
      </c>
      <c r="AI131">
        <f>AJ131</f>
        <v>1.6066482E-2</v>
      </c>
      <c r="AJ131">
        <f t="shared" ref="AJ131:AJ194" si="55">AK131</f>
        <v>1.6066482E-2</v>
      </c>
      <c r="AK131">
        <v>1.6066482E-2</v>
      </c>
      <c r="AL131">
        <v>7.8133629999999996E-2</v>
      </c>
      <c r="AM131">
        <v>0.10932297000000001</v>
      </c>
      <c r="AN131">
        <v>0.1210121</v>
      </c>
      <c r="AO131">
        <v>98.393351800000005</v>
      </c>
      <c r="AP131">
        <v>92.186637000000005</v>
      </c>
      <c r="AQ131">
        <v>89.067702999999995</v>
      </c>
      <c r="AR131">
        <v>87.898790000000005</v>
      </c>
      <c r="AS131" t="b">
        <v>1</v>
      </c>
      <c r="AT131" t="b">
        <v>0</v>
      </c>
      <c r="AU131" t="s">
        <v>77</v>
      </c>
      <c r="AV131" t="s">
        <v>77</v>
      </c>
      <c r="AW131" t="s">
        <v>79</v>
      </c>
      <c r="AX131" t="s">
        <v>249</v>
      </c>
      <c r="AY131" t="s">
        <v>303</v>
      </c>
      <c r="AZ131" t="s">
        <v>109</v>
      </c>
      <c r="BA131">
        <v>10</v>
      </c>
      <c r="BB131">
        <v>6.25E-2</v>
      </c>
      <c r="BC131">
        <v>1.8406593999999998E-2</v>
      </c>
      <c r="BD131">
        <v>3.30705390234067E-4</v>
      </c>
      <c r="BE131">
        <v>1.8737299390234101E-2</v>
      </c>
      <c r="BF131">
        <f>IF(AK131&lt;BE131,1,0)</f>
        <v>1</v>
      </c>
      <c r="BG131">
        <f>IF(AK131&lt;BC131,1,0)</f>
        <v>1</v>
      </c>
      <c r="BH131">
        <f>VLOOKUP($B131,[1]Data_Peer_with_peerVars!$B$2:$Z$1050,20,FALSE)</f>
        <v>10</v>
      </c>
      <c r="BI131">
        <f>VLOOKUP($B131,[1]Data_Peer_with_peerVars!$B$2:$Z$1050,21,FALSE)</f>
        <v>7</v>
      </c>
      <c r="BJ131">
        <f>VLOOKUP($B131,[1]Data_Peer_with_peerVars!$B$2:$Z$1050,22,FALSE)</f>
        <v>0.7</v>
      </c>
      <c r="BK131">
        <f>VLOOKUP($B131,[1]Data_Peer_with_peerVars!$B$2:$Z$1050,23,FALSE)</f>
        <v>20</v>
      </c>
      <c r="BL131">
        <f>VLOOKUP($B131,[1]Data_Peer_with_peerVars!$B$2:$Z$1050,24,FALSE)</f>
        <v>14</v>
      </c>
      <c r="BM131">
        <f>VLOOKUP($B131,[1]Data_Peer_with_peerVars!$B$2:$Z$1050,25,FALSE)</f>
        <v>0.7</v>
      </c>
    </row>
    <row r="132" spans="1:65" x14ac:dyDescent="0.2">
      <c r="A132">
        <v>1</v>
      </c>
      <c r="B132" t="s">
        <v>310</v>
      </c>
      <c r="C132">
        <v>70</v>
      </c>
      <c r="D132" t="s">
        <v>68</v>
      </c>
      <c r="E132">
        <v>1</v>
      </c>
      <c r="F132">
        <v>329</v>
      </c>
      <c r="G132" t="s">
        <v>86</v>
      </c>
      <c r="H132" s="1">
        <v>7</v>
      </c>
      <c r="I132" t="s">
        <v>87</v>
      </c>
      <c r="J132" t="s">
        <v>111</v>
      </c>
      <c r="K132" t="s">
        <v>109</v>
      </c>
      <c r="L132">
        <v>1</v>
      </c>
      <c r="M132">
        <v>1</v>
      </c>
      <c r="N132">
        <v>1</v>
      </c>
      <c r="O132">
        <v>0</v>
      </c>
      <c r="P132">
        <v>0</v>
      </c>
      <c r="Q132">
        <v>6</v>
      </c>
      <c r="R132">
        <v>0</v>
      </c>
      <c r="S132">
        <v>0</v>
      </c>
      <c r="T132">
        <v>0</v>
      </c>
      <c r="U132">
        <v>0</v>
      </c>
      <c r="V132">
        <f t="shared" si="53"/>
        <v>0</v>
      </c>
      <c r="W132">
        <f t="shared" ref="W132:W194" si="56">IF(Z132=AD132,1,0)</f>
        <v>1</v>
      </c>
      <c r="X132">
        <v>1</v>
      </c>
      <c r="Y132">
        <v>1</v>
      </c>
      <c r="Z132" t="s">
        <v>76</v>
      </c>
      <c r="AA132" s="5" t="s">
        <v>76</v>
      </c>
      <c r="AB132" s="5" t="s">
        <v>76</v>
      </c>
      <c r="AC132" t="s">
        <v>74</v>
      </c>
      <c r="AD132" t="s">
        <v>76</v>
      </c>
      <c r="AE132" s="5" t="s">
        <v>76</v>
      </c>
      <c r="AF132" t="s">
        <v>102</v>
      </c>
      <c r="AG132" t="s">
        <v>101</v>
      </c>
      <c r="AH132">
        <f t="shared" si="54"/>
        <v>0.13326051999999999</v>
      </c>
      <c r="AI132">
        <f>AJ132</f>
        <v>0.13326051999999999</v>
      </c>
      <c r="AJ132">
        <f>AL132</f>
        <v>0.13326051999999999</v>
      </c>
      <c r="AK132">
        <v>0.13041095</v>
      </c>
      <c r="AL132">
        <v>0.13326051999999999</v>
      </c>
      <c r="AM132">
        <v>0.14285714999999999</v>
      </c>
      <c r="AN132">
        <v>0.14434688000000001</v>
      </c>
      <c r="AO132">
        <v>86.958905000000001</v>
      </c>
      <c r="AP132">
        <v>86.673947999999996</v>
      </c>
      <c r="AQ132">
        <v>85.714285000000004</v>
      </c>
      <c r="AR132">
        <v>85.565312000000006</v>
      </c>
      <c r="AS132" t="b">
        <v>0</v>
      </c>
      <c r="AT132" t="b">
        <v>1</v>
      </c>
      <c r="AU132" t="s">
        <v>78</v>
      </c>
      <c r="AV132" t="s">
        <v>78</v>
      </c>
      <c r="AW132" t="s">
        <v>79</v>
      </c>
      <c r="AX132" t="s">
        <v>249</v>
      </c>
      <c r="AY132" t="s">
        <v>303</v>
      </c>
      <c r="AZ132" t="s">
        <v>109</v>
      </c>
      <c r="BA132">
        <v>2</v>
      </c>
      <c r="BB132">
        <v>3.5</v>
      </c>
      <c r="BC132">
        <v>2.4738868000000001E-3</v>
      </c>
      <c r="BD132">
        <v>1.4256942275279999E-4</v>
      </c>
      <c r="BE132">
        <v>2.6164562227527998E-3</v>
      </c>
      <c r="BF132">
        <f>IF(AK132&lt;BE132,1,0)</f>
        <v>0</v>
      </c>
      <c r="BG132">
        <f>IF(AK132&lt;BC132,1,0)</f>
        <v>0</v>
      </c>
      <c r="BH132">
        <f>VLOOKUP($B132,[1]Data_Peer_with_peerVars!$B$2:$Z$1050,20,FALSE)</f>
        <v>4</v>
      </c>
      <c r="BI132">
        <f>VLOOKUP($B132,[1]Data_Peer_with_peerVars!$B$2:$Z$1050,21,FALSE)</f>
        <v>3</v>
      </c>
      <c r="BJ132">
        <f>VLOOKUP($B132,[1]Data_Peer_with_peerVars!$B$2:$Z$1050,22,FALSE)</f>
        <v>0.75</v>
      </c>
      <c r="BK132">
        <f>VLOOKUP($B132,[1]Data_Peer_with_peerVars!$B$2:$Z$1050,23,FALSE)</f>
        <v>16</v>
      </c>
      <c r="BL132">
        <f>VLOOKUP($B132,[1]Data_Peer_with_peerVars!$B$2:$Z$1050,24,FALSE)</f>
        <v>11</v>
      </c>
      <c r="BM132">
        <f>VLOOKUP($B132,[1]Data_Peer_with_peerVars!$B$2:$Z$1050,25,FALSE)</f>
        <v>0.6875</v>
      </c>
    </row>
    <row r="133" spans="1:65" x14ac:dyDescent="0.2">
      <c r="A133">
        <v>1</v>
      </c>
      <c r="B133" t="s">
        <v>311</v>
      </c>
      <c r="C133">
        <v>70</v>
      </c>
      <c r="D133" t="s">
        <v>68</v>
      </c>
      <c r="E133">
        <v>1</v>
      </c>
      <c r="F133">
        <v>329</v>
      </c>
      <c r="G133" t="s">
        <v>86</v>
      </c>
      <c r="H133" s="1">
        <v>7</v>
      </c>
      <c r="I133" t="s">
        <v>87</v>
      </c>
      <c r="J133" t="s">
        <v>111</v>
      </c>
      <c r="K133" t="s">
        <v>109</v>
      </c>
      <c r="L133">
        <v>1</v>
      </c>
      <c r="M133">
        <v>1</v>
      </c>
      <c r="N133">
        <v>1</v>
      </c>
      <c r="O133">
        <v>0</v>
      </c>
      <c r="P133">
        <v>0</v>
      </c>
      <c r="Q133">
        <v>6</v>
      </c>
      <c r="R133">
        <v>0</v>
      </c>
      <c r="S133">
        <v>0</v>
      </c>
      <c r="T133">
        <v>1</v>
      </c>
      <c r="U133">
        <v>1</v>
      </c>
      <c r="V133">
        <f t="shared" si="53"/>
        <v>1</v>
      </c>
      <c r="W133">
        <v>1</v>
      </c>
      <c r="X133">
        <v>1</v>
      </c>
      <c r="Y133">
        <v>1</v>
      </c>
      <c r="Z133" t="s">
        <v>73</v>
      </c>
      <c r="AA133" s="5" t="s">
        <v>73</v>
      </c>
      <c r="AB133" s="5" t="s">
        <v>117</v>
      </c>
      <c r="AC133" t="s">
        <v>73</v>
      </c>
      <c r="AD133" t="s">
        <v>94</v>
      </c>
      <c r="AE133" s="5" t="s">
        <v>106</v>
      </c>
      <c r="AF133" t="s">
        <v>107</v>
      </c>
      <c r="AG133" t="s">
        <v>95</v>
      </c>
      <c r="AH133">
        <f t="shared" si="54"/>
        <v>4.0916529999999998E-3</v>
      </c>
      <c r="AI133">
        <f t="shared" ref="AI133:AI134" si="57">AJ133</f>
        <v>4.0916529999999998E-3</v>
      </c>
      <c r="AJ133">
        <f t="shared" si="55"/>
        <v>4.0916529999999998E-3</v>
      </c>
      <c r="AK133">
        <v>4.0916529999999998E-3</v>
      </c>
      <c r="AL133">
        <v>0.13203936999999999</v>
      </c>
      <c r="AM133">
        <v>0.13658803999999999</v>
      </c>
      <c r="AN133">
        <v>0.13902571999999999</v>
      </c>
      <c r="AO133">
        <v>99.590834700000002</v>
      </c>
      <c r="AP133">
        <v>86.796063000000004</v>
      </c>
      <c r="AQ133">
        <v>86.341195999999997</v>
      </c>
      <c r="AR133">
        <v>86.097427999999994</v>
      </c>
      <c r="AS133" t="b">
        <v>1</v>
      </c>
      <c r="AT133" t="b">
        <v>0</v>
      </c>
      <c r="AU133" t="s">
        <v>77</v>
      </c>
      <c r="AV133" t="s">
        <v>108</v>
      </c>
      <c r="AW133" t="s">
        <v>79</v>
      </c>
      <c r="AX133" t="s">
        <v>249</v>
      </c>
      <c r="AY133" t="s">
        <v>303</v>
      </c>
      <c r="AZ133" t="s">
        <v>109</v>
      </c>
      <c r="BA133">
        <v>6</v>
      </c>
      <c r="BB133">
        <v>1.4</v>
      </c>
      <c r="BC133">
        <v>4.1163553999999996E-3</v>
      </c>
      <c r="BD133">
        <v>1.4279989108178799E-4</v>
      </c>
      <c r="BE133">
        <v>4.2591552910817903E-3</v>
      </c>
      <c r="BF133">
        <f>IF(AK133&lt;BE133,1,0)</f>
        <v>1</v>
      </c>
      <c r="BG133">
        <f>IF(AK133&lt;BC133,1,0)</f>
        <v>1</v>
      </c>
      <c r="BH133">
        <f>VLOOKUP($B133,[1]Data_Peer_with_peerVars!$B$2:$Z$1050,20,FALSE)</f>
        <v>4</v>
      </c>
      <c r="BI133">
        <f>VLOOKUP($B133,[1]Data_Peer_with_peerVars!$B$2:$Z$1050,21,FALSE)</f>
        <v>3</v>
      </c>
      <c r="BJ133">
        <f>VLOOKUP($B133,[1]Data_Peer_with_peerVars!$B$2:$Z$1050,22,FALSE)</f>
        <v>0.75</v>
      </c>
      <c r="BK133">
        <f>VLOOKUP($B133,[1]Data_Peer_with_peerVars!$B$2:$Z$1050,23,FALSE)</f>
        <v>16</v>
      </c>
      <c r="BL133">
        <f>VLOOKUP($B133,[1]Data_Peer_with_peerVars!$B$2:$Z$1050,24,FALSE)</f>
        <v>11</v>
      </c>
      <c r="BM133">
        <f>VLOOKUP($B133,[1]Data_Peer_with_peerVars!$B$2:$Z$1050,25,FALSE)</f>
        <v>0.6875</v>
      </c>
    </row>
    <row r="134" spans="1:65" x14ac:dyDescent="0.2">
      <c r="A134">
        <v>1</v>
      </c>
      <c r="B134" t="s">
        <v>312</v>
      </c>
      <c r="C134">
        <v>71</v>
      </c>
      <c r="D134" t="s">
        <v>68</v>
      </c>
      <c r="E134">
        <v>1</v>
      </c>
      <c r="F134">
        <v>372</v>
      </c>
      <c r="G134" t="s">
        <v>86</v>
      </c>
      <c r="H134" s="1">
        <v>6</v>
      </c>
      <c r="I134" t="s">
        <v>87</v>
      </c>
      <c r="J134" t="s">
        <v>111</v>
      </c>
      <c r="K134" t="s">
        <v>109</v>
      </c>
      <c r="L134">
        <v>1</v>
      </c>
      <c r="M134">
        <v>0</v>
      </c>
      <c r="N134">
        <v>1</v>
      </c>
      <c r="O134">
        <v>0</v>
      </c>
      <c r="P134">
        <v>0</v>
      </c>
      <c r="Q134">
        <v>10</v>
      </c>
      <c r="R134">
        <v>0</v>
      </c>
      <c r="S134">
        <v>0</v>
      </c>
      <c r="T134">
        <v>0</v>
      </c>
      <c r="U134">
        <v>0</v>
      </c>
      <c r="V134">
        <f t="shared" si="53"/>
        <v>1</v>
      </c>
      <c r="W134">
        <v>1</v>
      </c>
      <c r="X134">
        <v>1</v>
      </c>
      <c r="Y134">
        <v>1</v>
      </c>
      <c r="Z134" t="s">
        <v>73</v>
      </c>
      <c r="AA134" s="5" t="s">
        <v>73</v>
      </c>
      <c r="AB134" s="5" t="s">
        <v>73</v>
      </c>
      <c r="AC134" t="s">
        <v>73</v>
      </c>
      <c r="AD134" t="s">
        <v>94</v>
      </c>
      <c r="AE134" s="5" t="s">
        <v>94</v>
      </c>
      <c r="AF134" t="s">
        <v>75</v>
      </c>
      <c r="AG134" t="s">
        <v>95</v>
      </c>
      <c r="AH134">
        <f t="shared" si="54"/>
        <v>6.4067609999999997E-2</v>
      </c>
      <c r="AI134">
        <f t="shared" si="57"/>
        <v>6.4067609999999997E-2</v>
      </c>
      <c r="AJ134">
        <f t="shared" si="55"/>
        <v>6.4067609999999997E-2</v>
      </c>
      <c r="AK134">
        <v>6.4067609999999997E-2</v>
      </c>
      <c r="AL134">
        <v>0.11981441</v>
      </c>
      <c r="AM134">
        <v>0.13047044999999999</v>
      </c>
      <c r="AN134">
        <v>0.14262295</v>
      </c>
      <c r="AO134">
        <v>93.593238999999997</v>
      </c>
      <c r="AP134">
        <v>88.018558999999996</v>
      </c>
      <c r="AQ134">
        <v>86.952955000000003</v>
      </c>
      <c r="AR134">
        <v>85.737705000000005</v>
      </c>
      <c r="AS134" t="b">
        <v>1</v>
      </c>
      <c r="AT134" t="b">
        <v>0</v>
      </c>
      <c r="AU134" t="s">
        <v>77</v>
      </c>
      <c r="AV134" t="s">
        <v>78</v>
      </c>
      <c r="AW134" t="s">
        <v>79</v>
      </c>
      <c r="AX134" t="s">
        <v>249</v>
      </c>
      <c r="AY134" t="s">
        <v>303</v>
      </c>
      <c r="AZ134" t="s">
        <v>109</v>
      </c>
      <c r="BA134">
        <v>4</v>
      </c>
      <c r="BB134">
        <v>1.4</v>
      </c>
      <c r="BC134">
        <v>4.1163553999999996E-3</v>
      </c>
      <c r="BD134">
        <v>1.4279989108178799E-4</v>
      </c>
      <c r="BE134">
        <v>4.2591552910817903E-3</v>
      </c>
      <c r="BF134">
        <f>IF(AK134&lt;BE134,1,0)</f>
        <v>0</v>
      </c>
      <c r="BG134">
        <f>IF(AK134&lt;BC134,1,0)</f>
        <v>0</v>
      </c>
      <c r="BH134">
        <f>VLOOKUP($B134,[1]Data_Peer_with_peerVars!$B$2:$Z$1050,20,FALSE)</f>
        <v>3</v>
      </c>
      <c r="BI134">
        <f>VLOOKUP($B134,[1]Data_Peer_with_peerVars!$B$2:$Z$1050,21,FALSE)</f>
        <v>3</v>
      </c>
      <c r="BJ134">
        <f>VLOOKUP($B134,[1]Data_Peer_with_peerVars!$B$2:$Z$1050,22,FALSE)</f>
        <v>1</v>
      </c>
      <c r="BK134">
        <f>VLOOKUP($B134,[1]Data_Peer_with_peerVars!$B$2:$Z$1050,23,FALSE)</f>
        <v>12</v>
      </c>
      <c r="BL134">
        <f>VLOOKUP($B134,[1]Data_Peer_with_peerVars!$B$2:$Z$1050,24,FALSE)</f>
        <v>8</v>
      </c>
      <c r="BM134">
        <f>VLOOKUP($B134,[1]Data_Peer_with_peerVars!$B$2:$Z$1050,25,FALSE)</f>
        <v>0.66666666699999999</v>
      </c>
    </row>
    <row r="135" spans="1:65" x14ac:dyDescent="0.2">
      <c r="A135">
        <v>1</v>
      </c>
      <c r="B135" t="s">
        <v>313</v>
      </c>
      <c r="C135">
        <v>71</v>
      </c>
      <c r="D135" t="s">
        <v>68</v>
      </c>
      <c r="E135">
        <v>1</v>
      </c>
      <c r="F135">
        <v>372</v>
      </c>
      <c r="G135" t="s">
        <v>86</v>
      </c>
      <c r="H135" s="1">
        <v>6</v>
      </c>
      <c r="I135" t="s">
        <v>87</v>
      </c>
      <c r="J135" t="s">
        <v>111</v>
      </c>
      <c r="K135" t="s">
        <v>109</v>
      </c>
      <c r="L135">
        <v>1</v>
      </c>
      <c r="M135">
        <v>0</v>
      </c>
      <c r="N135">
        <v>1</v>
      </c>
      <c r="O135">
        <v>0</v>
      </c>
      <c r="P135">
        <v>0</v>
      </c>
      <c r="Q135">
        <v>10</v>
      </c>
      <c r="R135">
        <v>1</v>
      </c>
      <c r="S135">
        <v>1</v>
      </c>
      <c r="T135">
        <v>1</v>
      </c>
      <c r="U135">
        <v>1</v>
      </c>
      <c r="V135">
        <f t="shared" si="53"/>
        <v>0</v>
      </c>
      <c r="W135">
        <f t="shared" si="56"/>
        <v>0</v>
      </c>
      <c r="X135">
        <f t="shared" ref="X135:X195" si="58">IF(Z135=AF135,1,0)</f>
        <v>0</v>
      </c>
      <c r="Y135">
        <f t="shared" ref="Y135:Y194" si="59">IF(Z135=AG135,1,0)</f>
        <v>0</v>
      </c>
      <c r="Z135" t="s">
        <v>177</v>
      </c>
      <c r="AA135" s="5" t="s">
        <v>177</v>
      </c>
      <c r="AB135" s="5" t="s">
        <v>314</v>
      </c>
      <c r="AC135" t="s">
        <v>107</v>
      </c>
      <c r="AD135" t="s">
        <v>95</v>
      </c>
      <c r="AE135" s="5" t="s">
        <v>95</v>
      </c>
      <c r="AF135" t="s">
        <v>173</v>
      </c>
      <c r="AG135" t="s">
        <v>174</v>
      </c>
      <c r="AH135">
        <f>AI135</f>
        <v>9.3150690000000005E-3</v>
      </c>
      <c r="AI135">
        <f t="shared" ref="AI135:AI138" si="60">AJ135</f>
        <v>9.3150690000000005E-3</v>
      </c>
      <c r="AJ135">
        <f t="shared" si="55"/>
        <v>9.3150690000000005E-3</v>
      </c>
      <c r="AK135">
        <v>9.3150690000000005E-3</v>
      </c>
      <c r="AL135">
        <v>7.6712324999999998E-2</v>
      </c>
      <c r="AM135">
        <v>9.3271339999999994E-2</v>
      </c>
      <c r="AN135">
        <v>9.6986299999999998E-2</v>
      </c>
      <c r="AO135">
        <v>99.068493099999998</v>
      </c>
      <c r="AP135">
        <v>92.328767499999998</v>
      </c>
      <c r="AQ135">
        <v>90.672865999999999</v>
      </c>
      <c r="AR135">
        <v>90.301370000000006</v>
      </c>
      <c r="AS135" t="b">
        <v>0</v>
      </c>
      <c r="AT135" t="b">
        <v>0</v>
      </c>
      <c r="AU135" t="s">
        <v>92</v>
      </c>
      <c r="AV135" t="s">
        <v>92</v>
      </c>
      <c r="AW135" t="s">
        <v>79</v>
      </c>
      <c r="AX135" t="s">
        <v>249</v>
      </c>
      <c r="AY135" t="s">
        <v>303</v>
      </c>
      <c r="AZ135" t="s">
        <v>109</v>
      </c>
      <c r="BA135">
        <v>3</v>
      </c>
      <c r="BB135">
        <v>1.05</v>
      </c>
      <c r="BC135">
        <v>2.6475456000000001E-2</v>
      </c>
      <c r="BD135">
        <v>8.8330364056477401E-3</v>
      </c>
      <c r="BE135">
        <v>3.53084924056477E-2</v>
      </c>
      <c r="BF135">
        <f>IF(AK135&lt;BE135,1,0)</f>
        <v>1</v>
      </c>
      <c r="BG135">
        <f>IF(AK135&lt;BC135,1,0)</f>
        <v>1</v>
      </c>
      <c r="BH135">
        <f>VLOOKUP($B135,[1]Data_Peer_with_peerVars!$B$2:$Z$1050,20,FALSE)</f>
        <v>3</v>
      </c>
      <c r="BI135">
        <f>VLOOKUP($B135,[1]Data_Peer_with_peerVars!$B$2:$Z$1050,21,FALSE)</f>
        <v>3</v>
      </c>
      <c r="BJ135">
        <f>VLOOKUP($B135,[1]Data_Peer_with_peerVars!$B$2:$Z$1050,22,FALSE)</f>
        <v>1</v>
      </c>
      <c r="BK135">
        <f>VLOOKUP($B135,[1]Data_Peer_with_peerVars!$B$2:$Z$1050,23,FALSE)</f>
        <v>12</v>
      </c>
      <c r="BL135">
        <f>VLOOKUP($B135,[1]Data_Peer_with_peerVars!$B$2:$Z$1050,24,FALSE)</f>
        <v>8</v>
      </c>
      <c r="BM135">
        <f>VLOOKUP($B135,[1]Data_Peer_with_peerVars!$B$2:$Z$1050,25,FALSE)</f>
        <v>0.66666666699999999</v>
      </c>
    </row>
    <row r="136" spans="1:65" x14ac:dyDescent="0.2">
      <c r="A136">
        <v>1</v>
      </c>
      <c r="B136" t="s">
        <v>315</v>
      </c>
      <c r="C136">
        <v>71</v>
      </c>
      <c r="D136" t="s">
        <v>68</v>
      </c>
      <c r="E136">
        <v>1</v>
      </c>
      <c r="F136">
        <v>372</v>
      </c>
      <c r="G136" t="s">
        <v>86</v>
      </c>
      <c r="H136" s="1">
        <v>6</v>
      </c>
      <c r="I136" t="s">
        <v>87</v>
      </c>
      <c r="J136" t="s">
        <v>111</v>
      </c>
      <c r="K136" t="s">
        <v>109</v>
      </c>
      <c r="L136">
        <v>1</v>
      </c>
      <c r="M136">
        <v>0</v>
      </c>
      <c r="N136">
        <v>1</v>
      </c>
      <c r="O136">
        <v>0</v>
      </c>
      <c r="P136">
        <v>0</v>
      </c>
      <c r="Q136">
        <v>10</v>
      </c>
      <c r="R136">
        <v>0</v>
      </c>
      <c r="S136">
        <v>0</v>
      </c>
      <c r="T136">
        <v>0</v>
      </c>
      <c r="U136">
        <v>0</v>
      </c>
      <c r="V136">
        <f t="shared" si="53"/>
        <v>0</v>
      </c>
      <c r="W136">
        <f t="shared" si="56"/>
        <v>1</v>
      </c>
      <c r="X136">
        <v>1</v>
      </c>
      <c r="Y136">
        <v>1</v>
      </c>
      <c r="Z136" t="s">
        <v>76</v>
      </c>
      <c r="AA136" s="5" t="s">
        <v>76</v>
      </c>
      <c r="AB136" s="5" t="s">
        <v>76</v>
      </c>
      <c r="AC136" t="s">
        <v>74</v>
      </c>
      <c r="AD136" t="s">
        <v>76</v>
      </c>
      <c r="AE136" s="5" t="s">
        <v>76</v>
      </c>
      <c r="AF136" t="s">
        <v>75</v>
      </c>
      <c r="AG136" t="s">
        <v>120</v>
      </c>
      <c r="AH136">
        <f t="shared" ref="AH136:AH138" si="61">AI136</f>
        <v>8.3833969999999994E-2</v>
      </c>
      <c r="AI136">
        <f t="shared" si="60"/>
        <v>8.3833969999999994E-2</v>
      </c>
      <c r="AJ136">
        <f>AL136</f>
        <v>8.3833969999999994E-2</v>
      </c>
      <c r="AK136">
        <v>6.6575339999999997E-2</v>
      </c>
      <c r="AL136">
        <v>8.3833969999999994E-2</v>
      </c>
      <c r="AM136">
        <v>0.11323851</v>
      </c>
      <c r="AN136">
        <v>0.11578372000000001</v>
      </c>
      <c r="AO136">
        <v>93.342466000000002</v>
      </c>
      <c r="AP136">
        <v>91.616602999999998</v>
      </c>
      <c r="AQ136">
        <v>88.676148999999995</v>
      </c>
      <c r="AR136">
        <v>88.421627999999998</v>
      </c>
      <c r="AS136" t="b">
        <v>0</v>
      </c>
      <c r="AT136" t="b">
        <v>1</v>
      </c>
      <c r="AU136" t="s">
        <v>77</v>
      </c>
      <c r="AV136" t="s">
        <v>77</v>
      </c>
      <c r="AW136" t="s">
        <v>79</v>
      </c>
      <c r="AX136" t="s">
        <v>249</v>
      </c>
      <c r="AY136" t="s">
        <v>303</v>
      </c>
      <c r="AZ136" t="s">
        <v>72</v>
      </c>
      <c r="BA136" t="s">
        <v>82</v>
      </c>
      <c r="BB136">
        <v>0.875</v>
      </c>
      <c r="BC136">
        <v>2.4738868000000001E-3</v>
      </c>
      <c r="BD136">
        <v>1.4256942275279999E-4</v>
      </c>
      <c r="BE136">
        <v>2.6164562227527998E-3</v>
      </c>
      <c r="BF136">
        <f>IF(AK136&lt;BE136,1,0)</f>
        <v>0</v>
      </c>
      <c r="BG136">
        <f>IF(AK136&lt;BC136,1,0)</f>
        <v>0</v>
      </c>
      <c r="BH136">
        <f>VLOOKUP($B136,[1]Data_Peer_with_peerVars!$B$2:$Z$1050,20,FALSE)</f>
        <v>3</v>
      </c>
      <c r="BI136">
        <f>VLOOKUP($B136,[1]Data_Peer_with_peerVars!$B$2:$Z$1050,21,FALSE)</f>
        <v>3</v>
      </c>
      <c r="BJ136">
        <f>VLOOKUP($B136,[1]Data_Peer_with_peerVars!$B$2:$Z$1050,22,FALSE)</f>
        <v>1</v>
      </c>
      <c r="BK136">
        <f>VLOOKUP($B136,[1]Data_Peer_with_peerVars!$B$2:$Z$1050,23,FALSE)</f>
        <v>12</v>
      </c>
      <c r="BL136">
        <f>VLOOKUP($B136,[1]Data_Peer_with_peerVars!$B$2:$Z$1050,24,FALSE)</f>
        <v>8</v>
      </c>
      <c r="BM136">
        <f>VLOOKUP($B136,[1]Data_Peer_with_peerVars!$B$2:$Z$1050,25,FALSE)</f>
        <v>0.66666666699999999</v>
      </c>
    </row>
    <row r="137" spans="1:65" x14ac:dyDescent="0.2">
      <c r="A137">
        <v>1</v>
      </c>
      <c r="B137" t="s">
        <v>316</v>
      </c>
      <c r="C137">
        <v>72</v>
      </c>
      <c r="D137" t="s">
        <v>68</v>
      </c>
      <c r="E137">
        <v>1</v>
      </c>
      <c r="F137">
        <v>373</v>
      </c>
      <c r="G137" t="s">
        <v>69</v>
      </c>
      <c r="H137" s="1">
        <v>7</v>
      </c>
      <c r="I137" t="s">
        <v>87</v>
      </c>
      <c r="J137" t="s">
        <v>111</v>
      </c>
      <c r="K137" t="s">
        <v>109</v>
      </c>
      <c r="L137">
        <v>1</v>
      </c>
      <c r="M137">
        <v>0</v>
      </c>
      <c r="N137">
        <v>1</v>
      </c>
      <c r="O137">
        <v>0</v>
      </c>
      <c r="P137">
        <v>0</v>
      </c>
      <c r="Q137">
        <v>4</v>
      </c>
      <c r="R137">
        <v>0</v>
      </c>
      <c r="S137">
        <v>0</v>
      </c>
      <c r="T137">
        <v>0</v>
      </c>
      <c r="U137">
        <v>0</v>
      </c>
      <c r="V137">
        <f t="shared" si="53"/>
        <v>1</v>
      </c>
      <c r="W137">
        <v>1</v>
      </c>
      <c r="X137">
        <v>1</v>
      </c>
      <c r="Y137">
        <v>1</v>
      </c>
      <c r="Z137" t="s">
        <v>73</v>
      </c>
      <c r="AA137" s="5" t="s">
        <v>73</v>
      </c>
      <c r="AB137" s="5" t="s">
        <v>73</v>
      </c>
      <c r="AC137" t="s">
        <v>73</v>
      </c>
      <c r="AD137" t="s">
        <v>94</v>
      </c>
      <c r="AE137" s="5" t="s">
        <v>94</v>
      </c>
      <c r="AF137" t="s">
        <v>75</v>
      </c>
      <c r="AG137" t="s">
        <v>95</v>
      </c>
      <c r="AH137">
        <f t="shared" si="61"/>
        <v>6.0556463999999997E-2</v>
      </c>
      <c r="AI137">
        <f t="shared" si="60"/>
        <v>6.0556463999999997E-2</v>
      </c>
      <c r="AJ137">
        <f t="shared" si="55"/>
        <v>6.0556463999999997E-2</v>
      </c>
      <c r="AK137">
        <v>6.0556463999999997E-2</v>
      </c>
      <c r="AL137">
        <v>0.12042600000000001</v>
      </c>
      <c r="AM137">
        <v>0.13081555</v>
      </c>
      <c r="AN137">
        <v>0.14078731999999999</v>
      </c>
      <c r="AO137">
        <v>93.944353599999999</v>
      </c>
      <c r="AP137">
        <v>87.957400000000007</v>
      </c>
      <c r="AQ137">
        <v>86.918445000000006</v>
      </c>
      <c r="AR137">
        <v>85.921267999999998</v>
      </c>
      <c r="AS137" t="b">
        <v>1</v>
      </c>
      <c r="AT137" t="b">
        <v>0</v>
      </c>
      <c r="AU137" t="s">
        <v>77</v>
      </c>
      <c r="AV137" t="s">
        <v>78</v>
      </c>
      <c r="AW137" t="s">
        <v>79</v>
      </c>
      <c r="AX137" t="s">
        <v>249</v>
      </c>
      <c r="AY137" t="s">
        <v>317</v>
      </c>
      <c r="AZ137" t="s">
        <v>109</v>
      </c>
      <c r="BA137">
        <v>4</v>
      </c>
      <c r="BB137">
        <v>1.5</v>
      </c>
      <c r="BC137">
        <v>4.1163553999999996E-3</v>
      </c>
      <c r="BD137">
        <v>1.4279989108178799E-4</v>
      </c>
      <c r="BE137">
        <v>4.2591552910817903E-3</v>
      </c>
      <c r="BF137">
        <f>IF(AK137&lt;BE137,1,0)</f>
        <v>0</v>
      </c>
      <c r="BG137">
        <f>IF(AK137&lt;BC137,1,0)</f>
        <v>0</v>
      </c>
      <c r="BH137">
        <f>VLOOKUP($B137,[1]Data_Peer_with_peerVars!$B$2:$Z$1050,20,FALSE)</f>
        <v>0</v>
      </c>
      <c r="BI137">
        <f>VLOOKUP($B137,[1]Data_Peer_with_peerVars!$B$2:$Z$1050,21,FALSE)</f>
        <v>0</v>
      </c>
      <c r="BJ137">
        <v>0</v>
      </c>
      <c r="BK137">
        <f>VLOOKUP($B137,[1]Data_Peer_with_peerVars!$B$2:$Z$1050,23,FALSE)</f>
        <v>0</v>
      </c>
      <c r="BL137">
        <f>VLOOKUP($B137,[1]Data_Peer_with_peerVars!$B$2:$Z$1050,24,FALSE)</f>
        <v>0</v>
      </c>
      <c r="BM137" t="str">
        <f>VLOOKUP($B137,[1]Data_Peer_with_peerVars!$B$2:$Z$1050,25,FALSE)</f>
        <v>NA</v>
      </c>
    </row>
    <row r="138" spans="1:65" x14ac:dyDescent="0.2">
      <c r="A138">
        <v>1</v>
      </c>
      <c r="B138" t="s">
        <v>318</v>
      </c>
      <c r="C138">
        <v>73</v>
      </c>
      <c r="D138" t="s">
        <v>68</v>
      </c>
      <c r="E138">
        <v>0</v>
      </c>
      <c r="F138">
        <v>294</v>
      </c>
      <c r="G138" t="s">
        <v>119</v>
      </c>
      <c r="H138" s="1">
        <v>7</v>
      </c>
      <c r="I138" t="s">
        <v>87</v>
      </c>
      <c r="J138" t="s">
        <v>111</v>
      </c>
      <c r="K138" t="s">
        <v>109</v>
      </c>
      <c r="L138">
        <v>1</v>
      </c>
      <c r="M138">
        <v>0</v>
      </c>
      <c r="N138">
        <v>0</v>
      </c>
      <c r="O138">
        <v>0</v>
      </c>
      <c r="P138">
        <v>0</v>
      </c>
      <c r="Q138">
        <v>6</v>
      </c>
      <c r="R138">
        <v>0</v>
      </c>
      <c r="S138">
        <v>0</v>
      </c>
      <c r="T138">
        <v>0</v>
      </c>
      <c r="U138">
        <v>0</v>
      </c>
      <c r="V138">
        <f t="shared" si="53"/>
        <v>1</v>
      </c>
      <c r="W138">
        <v>1</v>
      </c>
      <c r="X138">
        <v>1</v>
      </c>
      <c r="Y138">
        <v>1</v>
      </c>
      <c r="Z138" t="s">
        <v>73</v>
      </c>
      <c r="AA138" s="5" t="s">
        <v>73</v>
      </c>
      <c r="AB138" s="5" t="s">
        <v>73</v>
      </c>
      <c r="AC138" t="s">
        <v>73</v>
      </c>
      <c r="AD138" t="s">
        <v>94</v>
      </c>
      <c r="AE138" s="5" t="s">
        <v>94</v>
      </c>
      <c r="AF138" t="s">
        <v>75</v>
      </c>
      <c r="AG138" t="s">
        <v>95</v>
      </c>
      <c r="AH138">
        <f t="shared" si="61"/>
        <v>6.3249730000000004E-2</v>
      </c>
      <c r="AI138">
        <f t="shared" si="60"/>
        <v>6.3249730000000004E-2</v>
      </c>
      <c r="AJ138">
        <f t="shared" si="55"/>
        <v>6.3249730000000004E-2</v>
      </c>
      <c r="AK138">
        <v>6.3249730000000004E-2</v>
      </c>
      <c r="AL138">
        <v>0.12145197000000001</v>
      </c>
      <c r="AM138">
        <v>0.12910284</v>
      </c>
      <c r="AN138">
        <v>0.14207649999999999</v>
      </c>
      <c r="AO138">
        <v>93.675027</v>
      </c>
      <c r="AP138">
        <v>87.854803000000004</v>
      </c>
      <c r="AQ138">
        <v>87.089715999999996</v>
      </c>
      <c r="AR138">
        <v>85.792349999999999</v>
      </c>
      <c r="AS138" t="b">
        <v>1</v>
      </c>
      <c r="AT138" t="b">
        <v>0</v>
      </c>
      <c r="AU138" t="s">
        <v>77</v>
      </c>
      <c r="AV138" t="s">
        <v>78</v>
      </c>
      <c r="AW138" t="s">
        <v>79</v>
      </c>
      <c r="AX138" t="s">
        <v>249</v>
      </c>
      <c r="AY138" t="s">
        <v>319</v>
      </c>
      <c r="AZ138" t="s">
        <v>109</v>
      </c>
      <c r="BA138">
        <v>3</v>
      </c>
      <c r="BB138">
        <v>2.8</v>
      </c>
      <c r="BC138">
        <v>4.1163553999999996E-3</v>
      </c>
      <c r="BD138">
        <v>1.4279989108178799E-4</v>
      </c>
      <c r="BE138">
        <v>4.2591552910817903E-3</v>
      </c>
      <c r="BF138">
        <f>IF(AK138&lt;BE138,1,0)</f>
        <v>0</v>
      </c>
      <c r="BG138">
        <f>IF(AK138&lt;BC138,1,0)</f>
        <v>0</v>
      </c>
      <c r="BH138">
        <f>VLOOKUP($B138,[1]Data_Peer_with_peerVars!$B$2:$Z$1050,20,FALSE)</f>
        <v>16</v>
      </c>
      <c r="BI138">
        <f>VLOOKUP($B138,[1]Data_Peer_with_peerVars!$B$2:$Z$1050,21,FALSE)</f>
        <v>13</v>
      </c>
      <c r="BJ138">
        <f>VLOOKUP($B138,[1]Data_Peer_with_peerVars!$B$2:$Z$1050,22,FALSE)</f>
        <v>0.8125</v>
      </c>
      <c r="BK138">
        <f>VLOOKUP($B138,[1]Data_Peer_with_peerVars!$B$2:$Z$1050,23,FALSE)</f>
        <v>42</v>
      </c>
      <c r="BL138">
        <f>VLOOKUP($B138,[1]Data_Peer_with_peerVars!$B$2:$Z$1050,24,FALSE)</f>
        <v>32</v>
      </c>
      <c r="BM138">
        <f>VLOOKUP($B138,[1]Data_Peer_with_peerVars!$B$2:$Z$1050,25,FALSE)</f>
        <v>0.76190476200000001</v>
      </c>
    </row>
    <row r="139" spans="1:65" x14ac:dyDescent="0.2">
      <c r="A139">
        <v>1</v>
      </c>
      <c r="B139" t="s">
        <v>320</v>
      </c>
      <c r="C139">
        <v>73</v>
      </c>
      <c r="D139" t="s">
        <v>68</v>
      </c>
      <c r="E139">
        <v>0</v>
      </c>
      <c r="F139">
        <v>294</v>
      </c>
      <c r="G139" t="s">
        <v>119</v>
      </c>
      <c r="H139" s="1">
        <v>7</v>
      </c>
      <c r="I139" t="s">
        <v>87</v>
      </c>
      <c r="J139" t="s">
        <v>111</v>
      </c>
      <c r="K139" t="s">
        <v>109</v>
      </c>
      <c r="L139">
        <v>1</v>
      </c>
      <c r="M139">
        <v>0</v>
      </c>
      <c r="N139">
        <v>0</v>
      </c>
      <c r="O139">
        <v>0</v>
      </c>
      <c r="P139">
        <v>0</v>
      </c>
      <c r="Q139">
        <v>6</v>
      </c>
      <c r="R139">
        <v>0</v>
      </c>
      <c r="S139">
        <v>0</v>
      </c>
      <c r="T139">
        <v>1</v>
      </c>
      <c r="U139">
        <v>1</v>
      </c>
      <c r="V139">
        <f t="shared" si="53"/>
        <v>0</v>
      </c>
      <c r="W139">
        <f t="shared" si="56"/>
        <v>0</v>
      </c>
      <c r="X139">
        <f t="shared" si="58"/>
        <v>0</v>
      </c>
      <c r="Y139">
        <f t="shared" si="59"/>
        <v>0</v>
      </c>
      <c r="Z139" t="s">
        <v>170</v>
      </c>
      <c r="AA139" s="5" t="s">
        <v>170</v>
      </c>
      <c r="AB139" s="5" t="s">
        <v>321</v>
      </c>
      <c r="AC139" t="s">
        <v>94</v>
      </c>
      <c r="AD139" t="s">
        <v>95</v>
      </c>
      <c r="AE139" s="5" t="s">
        <v>95</v>
      </c>
      <c r="AF139" t="s">
        <v>107</v>
      </c>
      <c r="AG139" t="s">
        <v>173</v>
      </c>
      <c r="AH139">
        <f>AI139</f>
        <v>0.12090611499999999</v>
      </c>
      <c r="AI139">
        <f>AJ139</f>
        <v>0.12090611499999999</v>
      </c>
      <c r="AJ139">
        <f t="shared" si="55"/>
        <v>0.12090611499999999</v>
      </c>
      <c r="AK139">
        <v>0.12090611499999999</v>
      </c>
      <c r="AL139">
        <v>0.12540983999999999</v>
      </c>
      <c r="AM139">
        <v>0.13636364000000001</v>
      </c>
      <c r="AN139">
        <v>0.14184397000000001</v>
      </c>
      <c r="AO139">
        <v>87.909388500000006</v>
      </c>
      <c r="AP139">
        <v>87.459016000000005</v>
      </c>
      <c r="AQ139">
        <v>86.363636</v>
      </c>
      <c r="AR139">
        <v>85.815602999999996</v>
      </c>
      <c r="AS139" t="b">
        <v>0</v>
      </c>
      <c r="AT139" t="b">
        <v>0</v>
      </c>
      <c r="AU139" t="s">
        <v>92</v>
      </c>
      <c r="AV139" t="s">
        <v>92</v>
      </c>
      <c r="AW139" t="s">
        <v>79</v>
      </c>
      <c r="AX139" t="s">
        <v>249</v>
      </c>
      <c r="AY139" t="s">
        <v>319</v>
      </c>
      <c r="AZ139" t="s">
        <v>109</v>
      </c>
      <c r="BA139">
        <v>3</v>
      </c>
      <c r="BB139">
        <v>1.4</v>
      </c>
      <c r="BC139">
        <v>1.6447369E-2</v>
      </c>
      <c r="BD139">
        <v>4.2236161269162102E-4</v>
      </c>
      <c r="BE139">
        <v>1.6869730612691598E-2</v>
      </c>
      <c r="BF139">
        <f>IF(AK139&lt;BE139,1,0)</f>
        <v>0</v>
      </c>
      <c r="BG139">
        <f>IF(AK139&lt;BC139,1,0)</f>
        <v>0</v>
      </c>
      <c r="BH139">
        <f>VLOOKUP($B139,[1]Data_Peer_with_peerVars!$B$2:$Z$1050,20,FALSE)</f>
        <v>16</v>
      </c>
      <c r="BI139">
        <f>VLOOKUP($B139,[1]Data_Peer_with_peerVars!$B$2:$Z$1050,21,FALSE)</f>
        <v>13</v>
      </c>
      <c r="BJ139">
        <f>VLOOKUP($B139,[1]Data_Peer_with_peerVars!$B$2:$Z$1050,22,FALSE)</f>
        <v>0.8125</v>
      </c>
      <c r="BK139">
        <f>VLOOKUP($B139,[1]Data_Peer_with_peerVars!$B$2:$Z$1050,23,FALSE)</f>
        <v>42</v>
      </c>
      <c r="BL139">
        <f>VLOOKUP($B139,[1]Data_Peer_with_peerVars!$B$2:$Z$1050,24,FALSE)</f>
        <v>32</v>
      </c>
      <c r="BM139">
        <f>VLOOKUP($B139,[1]Data_Peer_with_peerVars!$B$2:$Z$1050,25,FALSE)</f>
        <v>0.76190476200000001</v>
      </c>
    </row>
    <row r="140" spans="1:65" x14ac:dyDescent="0.2">
      <c r="A140">
        <v>1</v>
      </c>
      <c r="B140" t="s">
        <v>322</v>
      </c>
      <c r="C140">
        <v>73</v>
      </c>
      <c r="D140" t="s">
        <v>68</v>
      </c>
      <c r="E140">
        <v>0</v>
      </c>
      <c r="F140">
        <v>294</v>
      </c>
      <c r="G140" t="s">
        <v>119</v>
      </c>
      <c r="H140" s="1">
        <v>7</v>
      </c>
      <c r="I140" t="s">
        <v>87</v>
      </c>
      <c r="J140" t="s">
        <v>111</v>
      </c>
      <c r="K140" t="s">
        <v>109</v>
      </c>
      <c r="L140">
        <v>1</v>
      </c>
      <c r="M140">
        <v>0</v>
      </c>
      <c r="N140">
        <v>0</v>
      </c>
      <c r="O140">
        <v>0</v>
      </c>
      <c r="P140">
        <v>0</v>
      </c>
      <c r="Q140">
        <v>6</v>
      </c>
      <c r="R140">
        <v>0</v>
      </c>
      <c r="S140">
        <v>0</v>
      </c>
      <c r="T140">
        <v>0</v>
      </c>
      <c r="U140">
        <v>0</v>
      </c>
      <c r="V140">
        <f t="shared" si="53"/>
        <v>1</v>
      </c>
      <c r="W140">
        <v>1</v>
      </c>
      <c r="X140">
        <v>1</v>
      </c>
      <c r="Y140">
        <v>1</v>
      </c>
      <c r="Z140" t="s">
        <v>76</v>
      </c>
      <c r="AA140" s="5" t="s">
        <v>76</v>
      </c>
      <c r="AB140" s="5" t="s">
        <v>76</v>
      </c>
      <c r="AC140" t="s">
        <v>76</v>
      </c>
      <c r="AD140" t="s">
        <v>74</v>
      </c>
      <c r="AE140" s="5" t="s">
        <v>74</v>
      </c>
      <c r="AF140" t="s">
        <v>94</v>
      </c>
      <c r="AG140" t="s">
        <v>120</v>
      </c>
      <c r="AH140">
        <f t="shared" ref="AH140:AH153" si="62">AI140</f>
        <v>0.11441835</v>
      </c>
      <c r="AI140">
        <f t="shared" ref="AI140:AI153" si="63">AJ140</f>
        <v>0.11441835</v>
      </c>
      <c r="AJ140">
        <f t="shared" si="55"/>
        <v>0.11441835</v>
      </c>
      <c r="AK140">
        <v>0.11441835</v>
      </c>
      <c r="AL140">
        <v>0.120821916</v>
      </c>
      <c r="AM140">
        <v>0.12827511</v>
      </c>
      <c r="AN140">
        <v>0.13926816</v>
      </c>
      <c r="AO140">
        <v>88.558165000000002</v>
      </c>
      <c r="AP140">
        <v>87.917808399999998</v>
      </c>
      <c r="AQ140">
        <v>87.172488999999999</v>
      </c>
      <c r="AR140">
        <v>86.073183999999998</v>
      </c>
      <c r="AS140" t="b">
        <v>1</v>
      </c>
      <c r="AT140" t="b">
        <v>0</v>
      </c>
      <c r="AU140" t="s">
        <v>78</v>
      </c>
      <c r="AV140" t="s">
        <v>78</v>
      </c>
      <c r="AW140" t="s">
        <v>79</v>
      </c>
      <c r="AX140" t="s">
        <v>249</v>
      </c>
      <c r="AY140" t="s">
        <v>319</v>
      </c>
      <c r="AZ140" t="s">
        <v>109</v>
      </c>
      <c r="BA140">
        <v>2</v>
      </c>
      <c r="BB140">
        <v>0.7</v>
      </c>
      <c r="BC140">
        <v>7.7070764999999999E-2</v>
      </c>
      <c r="BD140">
        <v>1.90190515067399E-3</v>
      </c>
      <c r="BE140">
        <v>7.8972670150673996E-2</v>
      </c>
      <c r="BF140">
        <f>IF(AK140&lt;BE140,1,0)</f>
        <v>0</v>
      </c>
      <c r="BG140">
        <f>IF(AK140&lt;BC140,1,0)</f>
        <v>0</v>
      </c>
      <c r="BH140">
        <f>VLOOKUP($B140,[1]Data_Peer_with_peerVars!$B$2:$Z$1050,20,FALSE)</f>
        <v>16</v>
      </c>
      <c r="BI140">
        <f>VLOOKUP($B140,[1]Data_Peer_with_peerVars!$B$2:$Z$1050,21,FALSE)</f>
        <v>13</v>
      </c>
      <c r="BJ140">
        <f>VLOOKUP($B140,[1]Data_Peer_with_peerVars!$B$2:$Z$1050,22,FALSE)</f>
        <v>0.8125</v>
      </c>
      <c r="BK140">
        <f>VLOOKUP($B140,[1]Data_Peer_with_peerVars!$B$2:$Z$1050,23,FALSE)</f>
        <v>42</v>
      </c>
      <c r="BL140">
        <f>VLOOKUP($B140,[1]Data_Peer_with_peerVars!$B$2:$Z$1050,24,FALSE)</f>
        <v>32</v>
      </c>
      <c r="BM140">
        <f>VLOOKUP($B140,[1]Data_Peer_with_peerVars!$B$2:$Z$1050,25,FALSE)</f>
        <v>0.76190476200000001</v>
      </c>
    </row>
    <row r="141" spans="1:65" x14ac:dyDescent="0.2">
      <c r="A141">
        <v>1</v>
      </c>
      <c r="B141" t="s">
        <v>323</v>
      </c>
      <c r="C141">
        <v>74</v>
      </c>
      <c r="D141" t="s">
        <v>68</v>
      </c>
      <c r="E141">
        <v>0</v>
      </c>
      <c r="F141">
        <v>295</v>
      </c>
      <c r="G141" t="s">
        <v>119</v>
      </c>
      <c r="H141" s="1">
        <v>7</v>
      </c>
      <c r="I141" t="s">
        <v>87</v>
      </c>
      <c r="J141" t="s">
        <v>111</v>
      </c>
      <c r="K141" t="s">
        <v>109</v>
      </c>
      <c r="L141">
        <v>1</v>
      </c>
      <c r="M141">
        <v>0</v>
      </c>
      <c r="N141">
        <v>0</v>
      </c>
      <c r="O141">
        <v>0</v>
      </c>
      <c r="P141">
        <v>0</v>
      </c>
      <c r="Q141">
        <v>6</v>
      </c>
      <c r="R141">
        <v>0</v>
      </c>
      <c r="S141">
        <v>0</v>
      </c>
      <c r="T141">
        <v>0</v>
      </c>
      <c r="U141">
        <v>0</v>
      </c>
      <c r="V141">
        <f t="shared" si="53"/>
        <v>1</v>
      </c>
      <c r="W141">
        <v>1</v>
      </c>
      <c r="X141">
        <v>1</v>
      </c>
      <c r="Y141">
        <v>1</v>
      </c>
      <c r="Z141" t="s">
        <v>76</v>
      </c>
      <c r="AA141" s="5" t="s">
        <v>76</v>
      </c>
      <c r="AB141" s="5" t="s">
        <v>76</v>
      </c>
      <c r="AC141" t="s">
        <v>76</v>
      </c>
      <c r="AD141" t="s">
        <v>74</v>
      </c>
      <c r="AE141" s="5" t="s">
        <v>74</v>
      </c>
      <c r="AF141" t="s">
        <v>75</v>
      </c>
      <c r="AG141" t="s">
        <v>120</v>
      </c>
      <c r="AH141">
        <f t="shared" si="62"/>
        <v>7.1350460000000004E-2</v>
      </c>
      <c r="AI141">
        <f t="shared" si="63"/>
        <v>7.1350460000000004E-2</v>
      </c>
      <c r="AJ141">
        <f t="shared" si="55"/>
        <v>7.1350460000000004E-2</v>
      </c>
      <c r="AK141">
        <v>7.1350460000000004E-2</v>
      </c>
      <c r="AL141">
        <v>9.6269880000000002E-2</v>
      </c>
      <c r="AM141">
        <v>0.12185103999999999</v>
      </c>
      <c r="AN141">
        <v>0.123838164</v>
      </c>
      <c r="AO141">
        <v>92.864953999999997</v>
      </c>
      <c r="AP141">
        <v>90.373012000000003</v>
      </c>
      <c r="AQ141">
        <v>87.814896000000005</v>
      </c>
      <c r="AR141">
        <v>87.616183599999999</v>
      </c>
      <c r="AS141" t="b">
        <v>1</v>
      </c>
      <c r="AT141" t="b">
        <v>0</v>
      </c>
      <c r="AU141" t="s">
        <v>77</v>
      </c>
      <c r="AV141" t="s">
        <v>77</v>
      </c>
      <c r="AW141" t="s">
        <v>79</v>
      </c>
      <c r="AX141" t="s">
        <v>249</v>
      </c>
      <c r="AY141" t="s">
        <v>319</v>
      </c>
      <c r="AZ141" t="s">
        <v>109</v>
      </c>
      <c r="BA141">
        <v>2</v>
      </c>
      <c r="BB141">
        <v>1.4</v>
      </c>
      <c r="BC141">
        <v>7.7070764999999999E-2</v>
      </c>
      <c r="BD141">
        <v>1.90190515067399E-3</v>
      </c>
      <c r="BE141">
        <v>7.8972670150673996E-2</v>
      </c>
      <c r="BF141">
        <f>IF(AK141&lt;BE141,1,0)</f>
        <v>1</v>
      </c>
      <c r="BG141">
        <f>IF(AK141&lt;BC141,1,0)</f>
        <v>1</v>
      </c>
      <c r="BH141">
        <f>VLOOKUP($B141,[1]Data_Peer_with_peerVars!$B$2:$Z$1050,20,FALSE)</f>
        <v>0</v>
      </c>
      <c r="BI141">
        <f>VLOOKUP($B141,[1]Data_Peer_with_peerVars!$B$2:$Z$1050,21,FALSE)</f>
        <v>0</v>
      </c>
      <c r="BJ141">
        <v>0</v>
      </c>
      <c r="BK141">
        <f>VLOOKUP($B141,[1]Data_Peer_with_peerVars!$B$2:$Z$1050,23,FALSE)</f>
        <v>33</v>
      </c>
      <c r="BL141">
        <f>VLOOKUP($B141,[1]Data_Peer_with_peerVars!$B$2:$Z$1050,24,FALSE)</f>
        <v>25</v>
      </c>
      <c r="BM141">
        <f>VLOOKUP($B141,[1]Data_Peer_with_peerVars!$B$2:$Z$1050,25,FALSE)</f>
        <v>0.75757575799999999</v>
      </c>
    </row>
    <row r="142" spans="1:65" x14ac:dyDescent="0.2">
      <c r="A142">
        <v>1</v>
      </c>
      <c r="B142" t="s">
        <v>324</v>
      </c>
      <c r="C142">
        <v>75</v>
      </c>
      <c r="D142" t="s">
        <v>68</v>
      </c>
      <c r="E142">
        <v>0</v>
      </c>
      <c r="F142">
        <v>296</v>
      </c>
      <c r="G142" t="s">
        <v>119</v>
      </c>
      <c r="H142" s="1">
        <v>7</v>
      </c>
      <c r="I142" t="s">
        <v>87</v>
      </c>
      <c r="J142" t="s">
        <v>111</v>
      </c>
      <c r="K142" t="s">
        <v>109</v>
      </c>
      <c r="L142">
        <v>1</v>
      </c>
      <c r="M142">
        <v>0</v>
      </c>
      <c r="N142">
        <v>0</v>
      </c>
      <c r="O142">
        <v>0</v>
      </c>
      <c r="P142">
        <v>0</v>
      </c>
      <c r="Q142">
        <v>6</v>
      </c>
      <c r="R142">
        <v>0</v>
      </c>
      <c r="S142">
        <v>0</v>
      </c>
      <c r="T142">
        <v>0</v>
      </c>
      <c r="U142">
        <v>0</v>
      </c>
      <c r="V142">
        <f t="shared" si="53"/>
        <v>1</v>
      </c>
      <c r="W142">
        <v>1</v>
      </c>
      <c r="X142">
        <v>1</v>
      </c>
      <c r="Y142">
        <v>1</v>
      </c>
      <c r="Z142" t="s">
        <v>76</v>
      </c>
      <c r="AA142" s="5" t="s">
        <v>76</v>
      </c>
      <c r="AB142" s="5" t="s">
        <v>76</v>
      </c>
      <c r="AC142" t="s">
        <v>76</v>
      </c>
      <c r="AD142" t="s">
        <v>74</v>
      </c>
      <c r="AE142" s="5" t="s">
        <v>74</v>
      </c>
      <c r="AF142" t="s">
        <v>75</v>
      </c>
      <c r="AG142" t="s">
        <v>120</v>
      </c>
      <c r="AH142">
        <f t="shared" si="62"/>
        <v>7.2131150000000005E-2</v>
      </c>
      <c r="AI142">
        <f t="shared" si="63"/>
        <v>7.2131150000000005E-2</v>
      </c>
      <c r="AJ142">
        <f t="shared" si="55"/>
        <v>7.2131150000000005E-2</v>
      </c>
      <c r="AK142">
        <v>7.2131150000000005E-2</v>
      </c>
      <c r="AL142">
        <v>9.7861840000000005E-2</v>
      </c>
      <c r="AM142">
        <v>0.121784344</v>
      </c>
      <c r="AN142">
        <v>0.12404372</v>
      </c>
      <c r="AO142">
        <v>92.786884999999998</v>
      </c>
      <c r="AP142">
        <v>90.213815999999994</v>
      </c>
      <c r="AQ142">
        <v>87.8215656</v>
      </c>
      <c r="AR142">
        <v>87.595628000000005</v>
      </c>
      <c r="AS142" t="b">
        <v>1</v>
      </c>
      <c r="AT142" t="b">
        <v>0</v>
      </c>
      <c r="AU142" t="s">
        <v>77</v>
      </c>
      <c r="AV142" t="s">
        <v>77</v>
      </c>
      <c r="AW142" t="s">
        <v>79</v>
      </c>
      <c r="AX142" t="s">
        <v>249</v>
      </c>
      <c r="AY142" t="s">
        <v>319</v>
      </c>
      <c r="AZ142" t="s">
        <v>109</v>
      </c>
      <c r="BA142">
        <v>2</v>
      </c>
      <c r="BB142">
        <v>0.5</v>
      </c>
      <c r="BC142">
        <v>7.7070764999999999E-2</v>
      </c>
      <c r="BD142">
        <v>1.90190515067399E-3</v>
      </c>
      <c r="BE142">
        <v>7.8972670150673996E-2</v>
      </c>
      <c r="BF142">
        <f>IF(AK142&lt;BE142,1,0)</f>
        <v>1</v>
      </c>
      <c r="BG142">
        <f>IF(AK142&lt;BC142,1,0)</f>
        <v>1</v>
      </c>
      <c r="BH142">
        <f>VLOOKUP($B142,[1]Data_Peer_with_peerVars!$B$2:$Z$1050,20,FALSE)</f>
        <v>0</v>
      </c>
      <c r="BI142">
        <f>VLOOKUP($B142,[1]Data_Peer_with_peerVars!$B$2:$Z$1050,21,FALSE)</f>
        <v>0</v>
      </c>
      <c r="BJ142">
        <v>0</v>
      </c>
      <c r="BK142">
        <f>VLOOKUP($B142,[1]Data_Peer_with_peerVars!$B$2:$Z$1050,23,FALSE)</f>
        <v>10</v>
      </c>
      <c r="BL142">
        <f>VLOOKUP($B142,[1]Data_Peer_with_peerVars!$B$2:$Z$1050,24,FALSE)</f>
        <v>8</v>
      </c>
      <c r="BM142">
        <f>VLOOKUP($B142,[1]Data_Peer_with_peerVars!$B$2:$Z$1050,25,FALSE)</f>
        <v>0.8</v>
      </c>
    </row>
    <row r="143" spans="1:65" x14ac:dyDescent="0.2">
      <c r="A143">
        <v>1</v>
      </c>
      <c r="B143" t="s">
        <v>325</v>
      </c>
      <c r="C143">
        <v>75</v>
      </c>
      <c r="D143" t="s">
        <v>68</v>
      </c>
      <c r="E143">
        <v>0</v>
      </c>
      <c r="F143">
        <v>296</v>
      </c>
      <c r="G143" t="s">
        <v>119</v>
      </c>
      <c r="H143" s="1">
        <v>7</v>
      </c>
      <c r="I143" t="s">
        <v>87</v>
      </c>
      <c r="J143" t="s">
        <v>111</v>
      </c>
      <c r="K143" t="s">
        <v>109</v>
      </c>
      <c r="L143">
        <v>1</v>
      </c>
      <c r="M143">
        <v>0</v>
      </c>
      <c r="N143">
        <v>0</v>
      </c>
      <c r="O143">
        <v>0</v>
      </c>
      <c r="P143">
        <v>0</v>
      </c>
      <c r="Q143">
        <v>6</v>
      </c>
      <c r="R143">
        <v>0</v>
      </c>
      <c r="S143">
        <v>1</v>
      </c>
      <c r="T143">
        <v>1</v>
      </c>
      <c r="U143">
        <v>1</v>
      </c>
      <c r="V143">
        <f t="shared" si="53"/>
        <v>1</v>
      </c>
      <c r="W143">
        <v>1</v>
      </c>
      <c r="X143">
        <v>1</v>
      </c>
      <c r="Y143">
        <v>1</v>
      </c>
      <c r="Z143" t="s">
        <v>73</v>
      </c>
      <c r="AA143" s="5" t="s">
        <v>73</v>
      </c>
      <c r="AB143" s="5" t="s">
        <v>73</v>
      </c>
      <c r="AC143" t="s">
        <v>73</v>
      </c>
      <c r="AD143" t="s">
        <v>107</v>
      </c>
      <c r="AE143" s="5" t="s">
        <v>326</v>
      </c>
      <c r="AF143" t="s">
        <v>94</v>
      </c>
      <c r="AG143" t="s">
        <v>95</v>
      </c>
      <c r="AH143">
        <f t="shared" si="62"/>
        <v>2.2367702999999999E-2</v>
      </c>
      <c r="AI143">
        <f t="shared" si="63"/>
        <v>2.2367702999999999E-2</v>
      </c>
      <c r="AJ143">
        <f t="shared" si="55"/>
        <v>2.2367702999999999E-2</v>
      </c>
      <c r="AK143">
        <v>2.2367702999999999E-2</v>
      </c>
      <c r="AL143">
        <v>0.1334978</v>
      </c>
      <c r="AM143">
        <v>0.13504647</v>
      </c>
      <c r="AN143">
        <v>0.13574164999999999</v>
      </c>
      <c r="AO143">
        <v>97.763229699999997</v>
      </c>
      <c r="AP143">
        <v>86.650220000000004</v>
      </c>
      <c r="AQ143">
        <v>86.495352999999994</v>
      </c>
      <c r="AR143">
        <v>86.425835000000006</v>
      </c>
      <c r="AS143" t="b">
        <v>1</v>
      </c>
      <c r="AT143" t="b">
        <v>0</v>
      </c>
      <c r="AU143" t="s">
        <v>77</v>
      </c>
      <c r="AV143" t="s">
        <v>108</v>
      </c>
      <c r="AW143" t="s">
        <v>79</v>
      </c>
      <c r="AX143" t="s">
        <v>249</v>
      </c>
      <c r="AY143" t="s">
        <v>319</v>
      </c>
      <c r="AZ143" t="s">
        <v>109</v>
      </c>
      <c r="BA143">
        <v>4</v>
      </c>
      <c r="BB143">
        <v>1</v>
      </c>
      <c r="BC143">
        <v>4.1163553999999996E-3</v>
      </c>
      <c r="BD143">
        <v>1.4279989108178799E-4</v>
      </c>
      <c r="BE143">
        <v>4.2591552910817903E-3</v>
      </c>
      <c r="BF143">
        <f>IF(AK143&lt;BE143,1,0)</f>
        <v>0</v>
      </c>
      <c r="BG143">
        <f>IF(AK143&lt;BC143,1,0)</f>
        <v>0</v>
      </c>
      <c r="BH143">
        <f>VLOOKUP($B143,[1]Data_Peer_with_peerVars!$B$2:$Z$1050,20,FALSE)</f>
        <v>0</v>
      </c>
      <c r="BI143">
        <f>VLOOKUP($B143,[1]Data_Peer_with_peerVars!$B$2:$Z$1050,21,FALSE)</f>
        <v>0</v>
      </c>
      <c r="BJ143">
        <v>0</v>
      </c>
      <c r="BK143">
        <f>VLOOKUP($B143,[1]Data_Peer_with_peerVars!$B$2:$Z$1050,23,FALSE)</f>
        <v>10</v>
      </c>
      <c r="BL143">
        <f>VLOOKUP($B143,[1]Data_Peer_with_peerVars!$B$2:$Z$1050,24,FALSE)</f>
        <v>8</v>
      </c>
      <c r="BM143">
        <f>VLOOKUP($B143,[1]Data_Peer_with_peerVars!$B$2:$Z$1050,25,FALSE)</f>
        <v>0.8</v>
      </c>
    </row>
    <row r="144" spans="1:65" x14ac:dyDescent="0.2">
      <c r="A144">
        <v>1</v>
      </c>
      <c r="B144" t="s">
        <v>327</v>
      </c>
      <c r="C144">
        <v>76</v>
      </c>
      <c r="D144" t="s">
        <v>68</v>
      </c>
      <c r="E144">
        <v>0</v>
      </c>
      <c r="F144">
        <v>312</v>
      </c>
      <c r="G144" t="s">
        <v>119</v>
      </c>
      <c r="H144" s="1">
        <v>7</v>
      </c>
      <c r="I144" t="s">
        <v>87</v>
      </c>
      <c r="J144" t="s">
        <v>111</v>
      </c>
      <c r="K144" t="s">
        <v>109</v>
      </c>
      <c r="L144">
        <v>1</v>
      </c>
      <c r="M144">
        <v>0</v>
      </c>
      <c r="N144">
        <v>0</v>
      </c>
      <c r="O144">
        <v>0</v>
      </c>
      <c r="P144">
        <v>0</v>
      </c>
      <c r="Q144">
        <v>7</v>
      </c>
      <c r="R144">
        <v>0</v>
      </c>
      <c r="S144">
        <v>0</v>
      </c>
      <c r="T144">
        <v>0</v>
      </c>
      <c r="U144">
        <v>0</v>
      </c>
      <c r="V144">
        <f t="shared" si="53"/>
        <v>1</v>
      </c>
      <c r="W144">
        <v>1</v>
      </c>
      <c r="X144">
        <v>1</v>
      </c>
      <c r="Y144">
        <v>1</v>
      </c>
      <c r="Z144" t="s">
        <v>73</v>
      </c>
      <c r="AA144" s="5" t="s">
        <v>73</v>
      </c>
      <c r="AB144" s="5" t="s">
        <v>73</v>
      </c>
      <c r="AC144" t="s">
        <v>73</v>
      </c>
      <c r="AD144" t="s">
        <v>75</v>
      </c>
      <c r="AE144" s="5" t="s">
        <v>75</v>
      </c>
      <c r="AF144" t="s">
        <v>94</v>
      </c>
      <c r="AG144" t="s">
        <v>74</v>
      </c>
      <c r="AH144">
        <f t="shared" si="62"/>
        <v>9.6782989999999999E-2</v>
      </c>
      <c r="AI144">
        <f t="shared" si="63"/>
        <v>9.6782989999999999E-2</v>
      </c>
      <c r="AJ144">
        <f t="shared" si="55"/>
        <v>9.6782989999999999E-2</v>
      </c>
      <c r="AK144">
        <v>9.6782989999999999E-2</v>
      </c>
      <c r="AL144">
        <v>0.13512035</v>
      </c>
      <c r="AM144">
        <v>0.13891922000000001</v>
      </c>
      <c r="AN144">
        <v>0.14575342999999999</v>
      </c>
      <c r="AO144">
        <v>90.321701000000004</v>
      </c>
      <c r="AP144">
        <v>86.487965000000003</v>
      </c>
      <c r="AQ144">
        <v>86.108078000000006</v>
      </c>
      <c r="AR144">
        <v>85.424656999999996</v>
      </c>
      <c r="AS144" t="b">
        <v>1</v>
      </c>
      <c r="AT144" t="b">
        <v>0</v>
      </c>
      <c r="AU144" t="s">
        <v>77</v>
      </c>
      <c r="AV144" t="s">
        <v>78</v>
      </c>
      <c r="AW144" t="s">
        <v>79</v>
      </c>
      <c r="AX144" t="s">
        <v>249</v>
      </c>
      <c r="AY144" t="s">
        <v>319</v>
      </c>
      <c r="AZ144" t="s">
        <v>109</v>
      </c>
      <c r="BA144">
        <v>2</v>
      </c>
      <c r="BB144">
        <v>4.2</v>
      </c>
      <c r="BC144">
        <v>4.1163553999999996E-3</v>
      </c>
      <c r="BD144">
        <v>1.4279989108178799E-4</v>
      </c>
      <c r="BE144">
        <v>4.2591552910817903E-3</v>
      </c>
      <c r="BF144">
        <f>IF(AK144&lt;BE144,1,0)</f>
        <v>0</v>
      </c>
      <c r="BG144">
        <f>IF(AK144&lt;BC144,1,0)</f>
        <v>0</v>
      </c>
      <c r="BH144">
        <f>VLOOKUP($B144,[1]Data_Peer_with_peerVars!$B$2:$Z$1050,20,FALSE)</f>
        <v>0</v>
      </c>
      <c r="BI144">
        <f>VLOOKUP($B144,[1]Data_Peer_with_peerVars!$B$2:$Z$1050,21,FALSE)</f>
        <v>0</v>
      </c>
      <c r="BJ144">
        <v>0</v>
      </c>
      <c r="BK144">
        <f>VLOOKUP($B144,[1]Data_Peer_with_peerVars!$B$2:$Z$1050,23,FALSE)</f>
        <v>10</v>
      </c>
      <c r="BL144">
        <f>VLOOKUP($B144,[1]Data_Peer_with_peerVars!$B$2:$Z$1050,24,FALSE)</f>
        <v>8</v>
      </c>
      <c r="BM144">
        <f>VLOOKUP($B144,[1]Data_Peer_with_peerVars!$B$2:$Z$1050,25,FALSE)</f>
        <v>0.8</v>
      </c>
    </row>
    <row r="145" spans="1:65" x14ac:dyDescent="0.2">
      <c r="A145">
        <v>1</v>
      </c>
      <c r="B145" t="s">
        <v>328</v>
      </c>
      <c r="C145">
        <v>76</v>
      </c>
      <c r="D145" t="s">
        <v>68</v>
      </c>
      <c r="E145">
        <v>0</v>
      </c>
      <c r="F145">
        <v>312</v>
      </c>
      <c r="G145" t="s">
        <v>119</v>
      </c>
      <c r="H145" s="1">
        <v>7</v>
      </c>
      <c r="I145" t="s">
        <v>87</v>
      </c>
      <c r="J145" t="s">
        <v>111</v>
      </c>
      <c r="K145" t="s">
        <v>109</v>
      </c>
      <c r="L145">
        <v>1</v>
      </c>
      <c r="M145">
        <v>0</v>
      </c>
      <c r="N145">
        <v>0</v>
      </c>
      <c r="O145">
        <v>0</v>
      </c>
      <c r="P145">
        <v>0</v>
      </c>
      <c r="Q145">
        <v>7</v>
      </c>
      <c r="R145">
        <v>0</v>
      </c>
      <c r="S145">
        <v>0</v>
      </c>
      <c r="T145">
        <v>0</v>
      </c>
      <c r="U145">
        <v>0</v>
      </c>
      <c r="V145">
        <f t="shared" si="53"/>
        <v>1</v>
      </c>
      <c r="W145">
        <v>1</v>
      </c>
      <c r="X145">
        <v>1</v>
      </c>
      <c r="Y145">
        <v>1</v>
      </c>
      <c r="Z145" t="s">
        <v>76</v>
      </c>
      <c r="AA145" s="5" t="s">
        <v>76</v>
      </c>
      <c r="AB145" s="5" t="s">
        <v>76</v>
      </c>
      <c r="AC145" t="s">
        <v>76</v>
      </c>
      <c r="AD145" t="s">
        <v>74</v>
      </c>
      <c r="AE145" s="5" t="s">
        <v>74</v>
      </c>
      <c r="AF145" t="s">
        <v>120</v>
      </c>
      <c r="AG145" t="s">
        <v>75</v>
      </c>
      <c r="AH145">
        <f t="shared" si="62"/>
        <v>7.6734029999999995E-2</v>
      </c>
      <c r="AI145">
        <f t="shared" si="63"/>
        <v>7.6734029999999995E-2</v>
      </c>
      <c r="AJ145">
        <f t="shared" si="55"/>
        <v>7.6734029999999995E-2</v>
      </c>
      <c r="AK145">
        <v>7.6734029999999995E-2</v>
      </c>
      <c r="AL145">
        <v>9.6164379999999994E-2</v>
      </c>
      <c r="AM145">
        <v>0.12288367</v>
      </c>
      <c r="AN145">
        <v>0.12691467000000001</v>
      </c>
      <c r="AO145">
        <v>92.326597000000007</v>
      </c>
      <c r="AP145">
        <v>90.383561999999998</v>
      </c>
      <c r="AQ145">
        <v>87.711633000000006</v>
      </c>
      <c r="AR145">
        <v>87.308532999999997</v>
      </c>
      <c r="AS145" t="b">
        <v>1</v>
      </c>
      <c r="AT145" t="b">
        <v>0</v>
      </c>
      <c r="AU145" t="s">
        <v>77</v>
      </c>
      <c r="AV145" t="s">
        <v>77</v>
      </c>
      <c r="AW145" t="s">
        <v>79</v>
      </c>
      <c r="AX145" t="s">
        <v>249</v>
      </c>
      <c r="AY145" t="s">
        <v>319</v>
      </c>
      <c r="AZ145" t="s">
        <v>109</v>
      </c>
      <c r="BA145">
        <v>2</v>
      </c>
      <c r="BB145">
        <v>5.6</v>
      </c>
      <c r="BC145">
        <v>7.7070764999999999E-2</v>
      </c>
      <c r="BD145">
        <v>1.90190515067399E-3</v>
      </c>
      <c r="BE145">
        <v>7.8972670150673996E-2</v>
      </c>
      <c r="BF145">
        <f>IF(AK145&lt;BE145,1,0)</f>
        <v>1</v>
      </c>
      <c r="BG145">
        <f>IF(AK145&lt;BC145,1,0)</f>
        <v>1</v>
      </c>
      <c r="BH145">
        <f>VLOOKUP($B145,[1]Data_Peer_with_peerVars!$B$2:$Z$1050,20,FALSE)</f>
        <v>0</v>
      </c>
      <c r="BI145">
        <f>VLOOKUP($B145,[1]Data_Peer_with_peerVars!$B$2:$Z$1050,21,FALSE)</f>
        <v>0</v>
      </c>
      <c r="BJ145">
        <v>0</v>
      </c>
      <c r="BK145">
        <f>VLOOKUP($B145,[1]Data_Peer_with_peerVars!$B$2:$Z$1050,23,FALSE)</f>
        <v>10</v>
      </c>
      <c r="BL145">
        <f>VLOOKUP($B145,[1]Data_Peer_with_peerVars!$B$2:$Z$1050,24,FALSE)</f>
        <v>8</v>
      </c>
      <c r="BM145">
        <f>VLOOKUP($B145,[1]Data_Peer_with_peerVars!$B$2:$Z$1050,25,FALSE)</f>
        <v>0.8</v>
      </c>
    </row>
    <row r="146" spans="1:65" x14ac:dyDescent="0.2">
      <c r="A146">
        <v>1</v>
      </c>
      <c r="B146" t="s">
        <v>329</v>
      </c>
      <c r="C146">
        <v>77</v>
      </c>
      <c r="D146" t="s">
        <v>68</v>
      </c>
      <c r="E146">
        <v>1</v>
      </c>
      <c r="F146">
        <v>313</v>
      </c>
      <c r="G146" t="s">
        <v>69</v>
      </c>
      <c r="H146" s="1">
        <v>7</v>
      </c>
      <c r="I146" t="s">
        <v>87</v>
      </c>
      <c r="J146" t="s">
        <v>111</v>
      </c>
      <c r="K146" t="s">
        <v>109</v>
      </c>
      <c r="L146">
        <v>2</v>
      </c>
      <c r="M146">
        <v>0</v>
      </c>
      <c r="N146">
        <v>1</v>
      </c>
      <c r="O146">
        <v>0</v>
      </c>
      <c r="P146">
        <v>0</v>
      </c>
      <c r="Q146">
        <v>6</v>
      </c>
      <c r="R146">
        <v>0</v>
      </c>
      <c r="S146">
        <v>0</v>
      </c>
      <c r="T146">
        <v>0</v>
      </c>
      <c r="U146">
        <v>0</v>
      </c>
      <c r="V146">
        <f t="shared" si="53"/>
        <v>1</v>
      </c>
      <c r="W146">
        <v>1</v>
      </c>
      <c r="X146">
        <v>1</v>
      </c>
      <c r="Y146">
        <v>1</v>
      </c>
      <c r="Z146" t="s">
        <v>76</v>
      </c>
      <c r="AA146" s="5" t="s">
        <v>76</v>
      </c>
      <c r="AB146" s="5" t="s">
        <v>76</v>
      </c>
      <c r="AC146" t="s">
        <v>76</v>
      </c>
      <c r="AD146" t="s">
        <v>74</v>
      </c>
      <c r="AE146" s="5" t="s">
        <v>74</v>
      </c>
      <c r="AF146" t="s">
        <v>120</v>
      </c>
      <c r="AG146" t="s">
        <v>75</v>
      </c>
      <c r="AH146">
        <f t="shared" si="62"/>
        <v>0.11551065000000001</v>
      </c>
      <c r="AI146">
        <f t="shared" si="63"/>
        <v>0.11551065000000001</v>
      </c>
      <c r="AJ146">
        <f t="shared" si="55"/>
        <v>0.11551065000000001</v>
      </c>
      <c r="AK146">
        <v>0.11551065000000001</v>
      </c>
      <c r="AL146">
        <v>0.12739724999999999</v>
      </c>
      <c r="AM146">
        <v>0.14117968</v>
      </c>
      <c r="AN146">
        <v>0.14387307999999999</v>
      </c>
      <c r="AO146">
        <v>88.448935000000006</v>
      </c>
      <c r="AP146">
        <v>87.260274999999993</v>
      </c>
      <c r="AQ146">
        <v>85.882031999999995</v>
      </c>
      <c r="AR146">
        <v>85.612691999999996</v>
      </c>
      <c r="AS146" t="b">
        <v>1</v>
      </c>
      <c r="AT146" t="b">
        <v>0</v>
      </c>
      <c r="AU146" t="s">
        <v>78</v>
      </c>
      <c r="AV146" t="s">
        <v>78</v>
      </c>
      <c r="AW146" t="s">
        <v>79</v>
      </c>
      <c r="AX146" t="s">
        <v>129</v>
      </c>
      <c r="AY146" t="s">
        <v>319</v>
      </c>
      <c r="AZ146" t="s">
        <v>109</v>
      </c>
      <c r="BA146">
        <v>16</v>
      </c>
      <c r="BB146">
        <v>2.1</v>
      </c>
      <c r="BC146">
        <v>7.7070764999999999E-2</v>
      </c>
      <c r="BD146">
        <v>1.90190515067399E-3</v>
      </c>
      <c r="BE146">
        <v>7.8972670150673996E-2</v>
      </c>
      <c r="BF146">
        <f>IF(AK146&lt;BE146,1,0)</f>
        <v>0</v>
      </c>
      <c r="BG146">
        <f>IF(AK146&lt;BC146,1,0)</f>
        <v>0</v>
      </c>
      <c r="BH146">
        <f>VLOOKUP($B146,[1]Data_Peer_with_peerVars!$B$2:$Z$1050,20,FALSE)</f>
        <v>0</v>
      </c>
      <c r="BI146">
        <f>VLOOKUP($B146,[1]Data_Peer_with_peerVars!$B$2:$Z$1050,21,FALSE)</f>
        <v>0</v>
      </c>
      <c r="BJ146">
        <v>0</v>
      </c>
      <c r="BK146">
        <f>VLOOKUP($B146,[1]Data_Peer_with_peerVars!$B$2:$Z$1050,23,FALSE)</f>
        <v>33</v>
      </c>
      <c r="BL146">
        <f>VLOOKUP($B146,[1]Data_Peer_with_peerVars!$B$2:$Z$1050,24,FALSE)</f>
        <v>24</v>
      </c>
      <c r="BM146">
        <f>VLOOKUP($B146,[1]Data_Peer_with_peerVars!$B$2:$Z$1050,25,FALSE)</f>
        <v>0.72727272700000001</v>
      </c>
    </row>
    <row r="147" spans="1:65" x14ac:dyDescent="0.2">
      <c r="A147">
        <v>1</v>
      </c>
      <c r="B147" t="s">
        <v>330</v>
      </c>
      <c r="C147">
        <v>78</v>
      </c>
      <c r="D147" t="s">
        <v>68</v>
      </c>
      <c r="E147">
        <v>0</v>
      </c>
      <c r="F147">
        <v>274</v>
      </c>
      <c r="G147" t="s">
        <v>119</v>
      </c>
      <c r="H147" s="1">
        <v>7</v>
      </c>
      <c r="I147" t="s">
        <v>87</v>
      </c>
      <c r="J147" t="s">
        <v>111</v>
      </c>
      <c r="K147" t="s">
        <v>72</v>
      </c>
      <c r="L147">
        <v>1</v>
      </c>
      <c r="M147">
        <v>0</v>
      </c>
      <c r="N147">
        <v>0</v>
      </c>
      <c r="O147">
        <v>0</v>
      </c>
      <c r="P147">
        <v>0</v>
      </c>
      <c r="Q147">
        <v>6</v>
      </c>
      <c r="R147">
        <v>0</v>
      </c>
      <c r="S147">
        <v>0</v>
      </c>
      <c r="T147">
        <v>0</v>
      </c>
      <c r="U147">
        <v>0</v>
      </c>
      <c r="V147">
        <f t="shared" si="53"/>
        <v>1</v>
      </c>
      <c r="W147">
        <v>1</v>
      </c>
      <c r="X147">
        <v>1</v>
      </c>
      <c r="Y147">
        <v>1</v>
      </c>
      <c r="Z147" t="s">
        <v>76</v>
      </c>
      <c r="AA147" s="5" t="s">
        <v>76</v>
      </c>
      <c r="AB147" s="5" t="s">
        <v>76</v>
      </c>
      <c r="AC147" t="s">
        <v>76</v>
      </c>
      <c r="AD147" t="s">
        <v>74</v>
      </c>
      <c r="AE147" s="5" t="s">
        <v>74</v>
      </c>
      <c r="AF147" t="s">
        <v>120</v>
      </c>
      <c r="AG147" t="s">
        <v>75</v>
      </c>
      <c r="AH147">
        <f t="shared" si="62"/>
        <v>0.10185690999999999</v>
      </c>
      <c r="AI147">
        <f t="shared" si="63"/>
        <v>0.10185690999999999</v>
      </c>
      <c r="AJ147">
        <f t="shared" si="55"/>
        <v>0.10185690999999999</v>
      </c>
      <c r="AK147">
        <v>0.10185690999999999</v>
      </c>
      <c r="AL147">
        <v>0.10739725999999999</v>
      </c>
      <c r="AM147">
        <v>0.12916440000000001</v>
      </c>
      <c r="AN147">
        <v>0.1321116</v>
      </c>
      <c r="AO147">
        <v>89.814308999999994</v>
      </c>
      <c r="AP147">
        <v>89.260273999999995</v>
      </c>
      <c r="AQ147">
        <v>87.083560000000006</v>
      </c>
      <c r="AR147">
        <v>86.788839999999993</v>
      </c>
      <c r="AS147" t="b">
        <v>1</v>
      </c>
      <c r="AT147" t="b">
        <v>0</v>
      </c>
      <c r="AU147" t="s">
        <v>78</v>
      </c>
      <c r="AV147" t="s">
        <v>78</v>
      </c>
      <c r="AW147" t="s">
        <v>79</v>
      </c>
      <c r="AX147" t="s">
        <v>249</v>
      </c>
      <c r="AY147" t="s">
        <v>249</v>
      </c>
      <c r="AZ147" t="s">
        <v>72</v>
      </c>
      <c r="BA147" t="s">
        <v>82</v>
      </c>
      <c r="BB147">
        <v>2.1</v>
      </c>
      <c r="BC147">
        <v>7.7070764999999999E-2</v>
      </c>
      <c r="BD147">
        <v>1.90190515067399E-3</v>
      </c>
      <c r="BE147">
        <v>7.8972670150673996E-2</v>
      </c>
      <c r="BF147">
        <f>IF(AK147&lt;BE147,1,0)</f>
        <v>0</v>
      </c>
      <c r="BG147">
        <f>IF(AK147&lt;BC147,1,0)</f>
        <v>0</v>
      </c>
      <c r="BH147">
        <f>VLOOKUP($B147,[1]Data_Peer_with_peerVars!$B$2:$Z$1050,20,FALSE)</f>
        <v>11</v>
      </c>
      <c r="BI147">
        <f>VLOOKUP($B147,[1]Data_Peer_with_peerVars!$B$2:$Z$1050,21,FALSE)</f>
        <v>7</v>
      </c>
      <c r="BJ147">
        <f>VLOOKUP($B147,[1]Data_Peer_with_peerVars!$B$2:$Z$1050,22,FALSE)</f>
        <v>0.63636363600000001</v>
      </c>
      <c r="BK147">
        <f>VLOOKUP($B147,[1]Data_Peer_with_peerVars!$B$2:$Z$1050,23,FALSE)</f>
        <v>23</v>
      </c>
      <c r="BL147">
        <f>VLOOKUP($B147,[1]Data_Peer_with_peerVars!$B$2:$Z$1050,24,FALSE)</f>
        <v>16</v>
      </c>
      <c r="BM147">
        <f>VLOOKUP($B147,[1]Data_Peer_with_peerVars!$B$2:$Z$1050,25,FALSE)</f>
        <v>0.69565217400000001</v>
      </c>
    </row>
    <row r="148" spans="1:65" x14ac:dyDescent="0.2">
      <c r="A148">
        <v>1</v>
      </c>
      <c r="B148" t="s">
        <v>331</v>
      </c>
      <c r="C148">
        <v>78</v>
      </c>
      <c r="D148" t="s">
        <v>68</v>
      </c>
      <c r="E148">
        <v>0</v>
      </c>
      <c r="F148">
        <v>274</v>
      </c>
      <c r="G148" t="s">
        <v>119</v>
      </c>
      <c r="H148" s="1">
        <v>7</v>
      </c>
      <c r="I148" t="s">
        <v>87</v>
      </c>
      <c r="J148" t="s">
        <v>111</v>
      </c>
      <c r="K148" t="s">
        <v>72</v>
      </c>
      <c r="L148">
        <v>1</v>
      </c>
      <c r="M148">
        <v>0</v>
      </c>
      <c r="N148">
        <v>0</v>
      </c>
      <c r="O148">
        <v>0</v>
      </c>
      <c r="P148">
        <v>0</v>
      </c>
      <c r="Q148">
        <v>6</v>
      </c>
      <c r="R148">
        <v>0</v>
      </c>
      <c r="S148">
        <v>0</v>
      </c>
      <c r="T148">
        <v>1</v>
      </c>
      <c r="U148">
        <v>1</v>
      </c>
      <c r="V148">
        <f t="shared" si="53"/>
        <v>1</v>
      </c>
      <c r="W148">
        <v>1</v>
      </c>
      <c r="X148">
        <v>1</v>
      </c>
      <c r="Y148">
        <v>1</v>
      </c>
      <c r="Z148" t="s">
        <v>73</v>
      </c>
      <c r="AA148" s="5" t="s">
        <v>73</v>
      </c>
      <c r="AB148" s="5" t="s">
        <v>73</v>
      </c>
      <c r="AC148" t="s">
        <v>73</v>
      </c>
      <c r="AD148" t="s">
        <v>94</v>
      </c>
      <c r="AE148" s="5" t="s">
        <v>106</v>
      </c>
      <c r="AF148" t="s">
        <v>107</v>
      </c>
      <c r="AG148" t="s">
        <v>95</v>
      </c>
      <c r="AH148">
        <f t="shared" si="62"/>
        <v>3.8167940000000001E-3</v>
      </c>
      <c r="AI148">
        <f t="shared" si="63"/>
        <v>3.8167940000000001E-3</v>
      </c>
      <c r="AJ148">
        <f t="shared" si="55"/>
        <v>3.8167940000000001E-3</v>
      </c>
      <c r="AK148">
        <v>3.8167940000000001E-3</v>
      </c>
      <c r="AL148">
        <v>0.13169399000000001</v>
      </c>
      <c r="AM148">
        <v>0.13623904000000001</v>
      </c>
      <c r="AN148">
        <v>0.13867615</v>
      </c>
      <c r="AO148">
        <v>99.618320600000004</v>
      </c>
      <c r="AP148">
        <v>86.830601000000001</v>
      </c>
      <c r="AQ148">
        <v>86.376096000000004</v>
      </c>
      <c r="AR148">
        <v>86.132384999999999</v>
      </c>
      <c r="AS148" t="b">
        <v>1</v>
      </c>
      <c r="AT148" t="b">
        <v>0</v>
      </c>
      <c r="AU148" t="s">
        <v>77</v>
      </c>
      <c r="AV148" t="s">
        <v>108</v>
      </c>
      <c r="AW148" t="s">
        <v>79</v>
      </c>
      <c r="AX148" t="s">
        <v>249</v>
      </c>
      <c r="AY148" t="s">
        <v>249</v>
      </c>
      <c r="AZ148" t="s">
        <v>82</v>
      </c>
      <c r="BA148" t="s">
        <v>82</v>
      </c>
      <c r="BB148">
        <v>1.4</v>
      </c>
      <c r="BC148">
        <v>4.1163553999999996E-3</v>
      </c>
      <c r="BD148">
        <v>1.4279989108178799E-4</v>
      </c>
      <c r="BE148">
        <v>4.2591552910817903E-3</v>
      </c>
      <c r="BF148">
        <f>IF(AK148&lt;BE148,1,0)</f>
        <v>1</v>
      </c>
      <c r="BG148">
        <f>IF(AK148&lt;BC148,1,0)</f>
        <v>1</v>
      </c>
      <c r="BH148">
        <f>VLOOKUP($B148,[1]Data_Peer_with_peerVars!$B$2:$Z$1050,20,FALSE)</f>
        <v>11</v>
      </c>
      <c r="BI148">
        <f>VLOOKUP($B148,[1]Data_Peer_with_peerVars!$B$2:$Z$1050,21,FALSE)</f>
        <v>7</v>
      </c>
      <c r="BJ148">
        <f>VLOOKUP($B148,[1]Data_Peer_with_peerVars!$B$2:$Z$1050,22,FALSE)</f>
        <v>0.63636363600000001</v>
      </c>
      <c r="BK148">
        <f>VLOOKUP($B148,[1]Data_Peer_with_peerVars!$B$2:$Z$1050,23,FALSE)</f>
        <v>23</v>
      </c>
      <c r="BL148">
        <f>VLOOKUP($B148,[1]Data_Peer_with_peerVars!$B$2:$Z$1050,24,FALSE)</f>
        <v>16</v>
      </c>
      <c r="BM148">
        <f>VLOOKUP($B148,[1]Data_Peer_with_peerVars!$B$2:$Z$1050,25,FALSE)</f>
        <v>0.69565217400000001</v>
      </c>
    </row>
    <row r="149" spans="1:65" x14ac:dyDescent="0.2">
      <c r="A149">
        <v>1</v>
      </c>
      <c r="B149" t="s">
        <v>332</v>
      </c>
      <c r="C149">
        <v>78</v>
      </c>
      <c r="D149" t="s">
        <v>68</v>
      </c>
      <c r="E149">
        <v>0</v>
      </c>
      <c r="F149">
        <v>274</v>
      </c>
      <c r="G149" t="s">
        <v>119</v>
      </c>
      <c r="H149" s="1">
        <v>7</v>
      </c>
      <c r="I149" t="s">
        <v>87</v>
      </c>
      <c r="J149" t="s">
        <v>111</v>
      </c>
      <c r="K149" t="s">
        <v>72</v>
      </c>
      <c r="L149">
        <v>1</v>
      </c>
      <c r="M149">
        <v>0</v>
      </c>
      <c r="N149">
        <v>0</v>
      </c>
      <c r="O149">
        <v>0</v>
      </c>
      <c r="P149">
        <v>0</v>
      </c>
      <c r="Q149">
        <v>6</v>
      </c>
      <c r="R149">
        <v>0</v>
      </c>
      <c r="S149">
        <v>0</v>
      </c>
      <c r="T149">
        <v>0</v>
      </c>
      <c r="U149">
        <v>0</v>
      </c>
      <c r="V149">
        <v>1</v>
      </c>
      <c r="W149">
        <v>1</v>
      </c>
      <c r="X149">
        <v>1</v>
      </c>
      <c r="Y149">
        <v>1</v>
      </c>
      <c r="Z149" t="s">
        <v>98</v>
      </c>
      <c r="AA149" s="5" t="s">
        <v>284</v>
      </c>
      <c r="AB149" s="5" t="s">
        <v>284</v>
      </c>
      <c r="AC149" t="s">
        <v>99</v>
      </c>
      <c r="AD149" t="s">
        <v>101</v>
      </c>
      <c r="AE149" s="5" t="s">
        <v>101</v>
      </c>
      <c r="AF149" t="s">
        <v>102</v>
      </c>
      <c r="AG149" t="s">
        <v>103</v>
      </c>
      <c r="AH149">
        <f t="shared" si="62"/>
        <v>2.0936639999999999E-2</v>
      </c>
      <c r="AI149">
        <f t="shared" si="63"/>
        <v>2.0936639999999999E-2</v>
      </c>
      <c r="AJ149">
        <f t="shared" si="55"/>
        <v>2.0936639999999999E-2</v>
      </c>
      <c r="AK149">
        <v>2.0936639999999999E-2</v>
      </c>
      <c r="AL149">
        <v>7.4958815999999998E-2</v>
      </c>
      <c r="AM149">
        <v>0.10098253</v>
      </c>
      <c r="AN149">
        <v>0.11300992</v>
      </c>
      <c r="AO149">
        <v>97.906335999999996</v>
      </c>
      <c r="AP149">
        <v>92.504118399999996</v>
      </c>
      <c r="AQ149">
        <v>89.901747</v>
      </c>
      <c r="AR149">
        <v>88.699008000000006</v>
      </c>
      <c r="AS149" t="b">
        <v>0</v>
      </c>
      <c r="AT149" t="b">
        <v>0</v>
      </c>
      <c r="AU149" t="s">
        <v>77</v>
      </c>
      <c r="AV149" t="s">
        <v>77</v>
      </c>
      <c r="AW149" t="s">
        <v>79</v>
      </c>
      <c r="AX149" t="s">
        <v>249</v>
      </c>
      <c r="AY149" t="s">
        <v>249</v>
      </c>
      <c r="AZ149" t="s">
        <v>109</v>
      </c>
      <c r="BA149">
        <v>3</v>
      </c>
      <c r="BB149">
        <v>0.28000000000000003</v>
      </c>
      <c r="BC149">
        <v>2.4711695999999998E-2</v>
      </c>
      <c r="BD149">
        <v>1.72884756304863E-3</v>
      </c>
      <c r="BE149">
        <v>2.6440543563048601E-2</v>
      </c>
      <c r="BF149">
        <f>IF(AK149&lt;BE149,1,0)</f>
        <v>1</v>
      </c>
      <c r="BG149">
        <f>IF(AK149&lt;BC149,1,0)</f>
        <v>1</v>
      </c>
      <c r="BH149">
        <f>VLOOKUP($B149,[1]Data_Peer_with_peerVars!$B$2:$Z$1050,20,FALSE)</f>
        <v>11</v>
      </c>
      <c r="BI149">
        <f>VLOOKUP($B149,[1]Data_Peer_with_peerVars!$B$2:$Z$1050,21,FALSE)</f>
        <v>7</v>
      </c>
      <c r="BJ149">
        <f>VLOOKUP($B149,[1]Data_Peer_with_peerVars!$B$2:$Z$1050,22,FALSE)</f>
        <v>0.63636363600000001</v>
      </c>
      <c r="BK149">
        <f>VLOOKUP($B149,[1]Data_Peer_with_peerVars!$B$2:$Z$1050,23,FALSE)</f>
        <v>23</v>
      </c>
      <c r="BL149">
        <f>VLOOKUP($B149,[1]Data_Peer_with_peerVars!$B$2:$Z$1050,24,FALSE)</f>
        <v>16</v>
      </c>
      <c r="BM149">
        <f>VLOOKUP($B149,[1]Data_Peer_with_peerVars!$B$2:$Z$1050,25,FALSE)</f>
        <v>0.69565217400000001</v>
      </c>
    </row>
    <row r="150" spans="1:65" x14ac:dyDescent="0.2">
      <c r="A150">
        <v>1</v>
      </c>
      <c r="B150" t="s">
        <v>333</v>
      </c>
      <c r="C150">
        <v>79</v>
      </c>
      <c r="D150" t="s">
        <v>68</v>
      </c>
      <c r="E150">
        <v>0</v>
      </c>
      <c r="F150">
        <v>275</v>
      </c>
      <c r="G150" t="s">
        <v>119</v>
      </c>
      <c r="H150" s="1">
        <v>7</v>
      </c>
      <c r="M150">
        <v>1</v>
      </c>
      <c r="N150">
        <v>0</v>
      </c>
      <c r="R150">
        <v>0</v>
      </c>
      <c r="S150">
        <v>0</v>
      </c>
      <c r="T150">
        <v>0</v>
      </c>
      <c r="U150">
        <v>0</v>
      </c>
      <c r="V150">
        <f t="shared" si="53"/>
        <v>1</v>
      </c>
      <c r="W150">
        <v>1</v>
      </c>
      <c r="X150">
        <v>1</v>
      </c>
      <c r="Y150">
        <v>1</v>
      </c>
      <c r="Z150" t="s">
        <v>76</v>
      </c>
      <c r="AA150" s="5" t="s">
        <v>76</v>
      </c>
      <c r="AB150" s="5" t="s">
        <v>76</v>
      </c>
      <c r="AC150" t="s">
        <v>76</v>
      </c>
      <c r="AD150" t="s">
        <v>74</v>
      </c>
      <c r="AE150" s="5" t="s">
        <v>74</v>
      </c>
      <c r="AF150" t="s">
        <v>75</v>
      </c>
      <c r="AG150" t="s">
        <v>120</v>
      </c>
      <c r="AH150">
        <f t="shared" si="62"/>
        <v>7.9813494999999998E-2</v>
      </c>
      <c r="AI150">
        <f t="shared" si="63"/>
        <v>7.9813494999999998E-2</v>
      </c>
      <c r="AJ150">
        <f t="shared" si="55"/>
        <v>7.9813494999999998E-2</v>
      </c>
      <c r="AK150">
        <v>7.9813494999999998E-2</v>
      </c>
      <c r="AL150">
        <v>8.9708309999999999E-2</v>
      </c>
      <c r="AM150">
        <v>0.11703297</v>
      </c>
      <c r="AN150">
        <v>0.11903456</v>
      </c>
      <c r="AO150">
        <v>92.018650500000007</v>
      </c>
      <c r="AP150">
        <v>91.029168999999996</v>
      </c>
      <c r="AQ150">
        <v>88.296702999999994</v>
      </c>
      <c r="AR150">
        <v>88.096543999999994</v>
      </c>
      <c r="AS150" t="b">
        <v>1</v>
      </c>
      <c r="AT150" t="b">
        <v>0</v>
      </c>
      <c r="AU150" t="s">
        <v>77</v>
      </c>
      <c r="AV150" t="s">
        <v>77</v>
      </c>
      <c r="AW150" t="s">
        <v>79</v>
      </c>
      <c r="AX150" t="s">
        <v>249</v>
      </c>
      <c r="AY150" t="s">
        <v>334</v>
      </c>
      <c r="AZ150" t="s">
        <v>72</v>
      </c>
      <c r="BA150" t="s">
        <v>82</v>
      </c>
      <c r="BB150">
        <v>2.1</v>
      </c>
      <c r="BC150">
        <v>7.7070764999999999E-2</v>
      </c>
      <c r="BD150">
        <v>1.90190515067399E-3</v>
      </c>
      <c r="BE150">
        <v>7.8972670150673996E-2</v>
      </c>
      <c r="BF150">
        <f>IF(AK150&lt;BE150,1,0)</f>
        <v>0</v>
      </c>
      <c r="BG150">
        <f>IF(AK150&lt;BC150,1,0)</f>
        <v>0</v>
      </c>
    </row>
    <row r="151" spans="1:65" x14ac:dyDescent="0.2">
      <c r="A151">
        <v>1</v>
      </c>
      <c r="B151" t="s">
        <v>335</v>
      </c>
      <c r="C151">
        <v>79</v>
      </c>
      <c r="D151" t="s">
        <v>68</v>
      </c>
      <c r="E151">
        <v>0</v>
      </c>
      <c r="F151">
        <v>275</v>
      </c>
      <c r="G151" t="s">
        <v>119</v>
      </c>
      <c r="H151" s="1">
        <v>7</v>
      </c>
      <c r="M151">
        <v>1</v>
      </c>
      <c r="N151">
        <v>0</v>
      </c>
      <c r="R151">
        <v>0</v>
      </c>
      <c r="S151">
        <v>0</v>
      </c>
      <c r="T151">
        <v>0</v>
      </c>
      <c r="U151">
        <v>0</v>
      </c>
      <c r="V151">
        <f t="shared" si="53"/>
        <v>1</v>
      </c>
      <c r="W151">
        <v>1</v>
      </c>
      <c r="X151">
        <v>1</v>
      </c>
      <c r="Y151">
        <v>1</v>
      </c>
      <c r="Z151" t="s">
        <v>73</v>
      </c>
      <c r="AA151" s="5" t="s">
        <v>73</v>
      </c>
      <c r="AB151" s="5" t="s">
        <v>73</v>
      </c>
      <c r="AC151" t="s">
        <v>73</v>
      </c>
      <c r="AD151" t="s">
        <v>137</v>
      </c>
      <c r="AE151" s="5" t="s">
        <v>336</v>
      </c>
      <c r="AF151" t="s">
        <v>99</v>
      </c>
      <c r="AG151" t="s">
        <v>103</v>
      </c>
      <c r="AH151">
        <f t="shared" si="62"/>
        <v>0.10125546000000001</v>
      </c>
      <c r="AI151">
        <f t="shared" si="63"/>
        <v>0.10125546000000001</v>
      </c>
      <c r="AJ151">
        <f t="shared" si="55"/>
        <v>0.10125546000000001</v>
      </c>
      <c r="AK151">
        <v>0.10125546000000001</v>
      </c>
      <c r="AL151">
        <v>0.14078731999999999</v>
      </c>
      <c r="AM151">
        <v>0.14147820999999999</v>
      </c>
      <c r="AN151">
        <v>0.14250275000000001</v>
      </c>
      <c r="AO151">
        <v>89.874454</v>
      </c>
      <c r="AP151">
        <v>85.921267999999998</v>
      </c>
      <c r="AQ151">
        <v>85.852179000000007</v>
      </c>
      <c r="AR151">
        <v>85.749724999999998</v>
      </c>
      <c r="AS151" t="b">
        <v>1</v>
      </c>
      <c r="AT151" t="b">
        <v>0</v>
      </c>
      <c r="AU151" t="s">
        <v>78</v>
      </c>
      <c r="AV151" t="s">
        <v>108</v>
      </c>
      <c r="AW151" t="s">
        <v>79</v>
      </c>
      <c r="AX151" t="s">
        <v>249</v>
      </c>
      <c r="AY151" t="s">
        <v>334</v>
      </c>
      <c r="AZ151" t="s">
        <v>72</v>
      </c>
      <c r="BA151" t="s">
        <v>82</v>
      </c>
      <c r="BB151">
        <v>0.7</v>
      </c>
      <c r="BC151">
        <v>4.1163553999999996E-3</v>
      </c>
      <c r="BD151">
        <v>1.4279989108178799E-4</v>
      </c>
      <c r="BE151">
        <v>4.2591552910817903E-3</v>
      </c>
      <c r="BF151">
        <f>IF(AK151&lt;BE151,1,0)</f>
        <v>0</v>
      </c>
      <c r="BG151">
        <f>IF(AK151&lt;BC151,1,0)</f>
        <v>0</v>
      </c>
    </row>
    <row r="152" spans="1:65" x14ac:dyDescent="0.2">
      <c r="A152">
        <v>1</v>
      </c>
      <c r="B152" t="s">
        <v>337</v>
      </c>
      <c r="C152">
        <v>79</v>
      </c>
      <c r="D152" t="s">
        <v>68</v>
      </c>
      <c r="E152">
        <v>0</v>
      </c>
      <c r="F152">
        <v>275</v>
      </c>
      <c r="G152" t="s">
        <v>119</v>
      </c>
      <c r="H152" s="1">
        <v>7</v>
      </c>
      <c r="M152">
        <v>1</v>
      </c>
      <c r="N152">
        <v>0</v>
      </c>
      <c r="R152">
        <v>0</v>
      </c>
      <c r="S152">
        <v>0</v>
      </c>
      <c r="T152">
        <v>0</v>
      </c>
      <c r="U152">
        <v>0</v>
      </c>
      <c r="V152">
        <f t="shared" si="53"/>
        <v>1</v>
      </c>
      <c r="W152">
        <v>1</v>
      </c>
      <c r="X152">
        <v>1</v>
      </c>
      <c r="Y152">
        <v>1</v>
      </c>
      <c r="Z152" t="s">
        <v>103</v>
      </c>
      <c r="AA152" s="5" t="s">
        <v>103</v>
      </c>
      <c r="AB152" s="5" t="s">
        <v>103</v>
      </c>
      <c r="AC152" t="s">
        <v>103</v>
      </c>
      <c r="AD152" t="s">
        <v>101</v>
      </c>
      <c r="AE152" s="5" t="s">
        <v>101</v>
      </c>
      <c r="AF152" t="s">
        <v>99</v>
      </c>
      <c r="AG152" t="s">
        <v>137</v>
      </c>
      <c r="AH152">
        <f t="shared" si="62"/>
        <v>1.6510732E-2</v>
      </c>
      <c r="AI152">
        <f t="shared" si="63"/>
        <v>1.6510732E-2</v>
      </c>
      <c r="AJ152">
        <f t="shared" si="55"/>
        <v>1.6510732E-2</v>
      </c>
      <c r="AK152">
        <v>1.6510732E-2</v>
      </c>
      <c r="AL152">
        <v>7.9857300000000006E-2</v>
      </c>
      <c r="AM152">
        <v>0.11196911</v>
      </c>
      <c r="AN152">
        <v>0.12779902000000001</v>
      </c>
      <c r="AO152">
        <v>98.348926800000001</v>
      </c>
      <c r="AP152">
        <v>92.014269999999996</v>
      </c>
      <c r="AQ152">
        <v>88.803089</v>
      </c>
      <c r="AR152">
        <v>87.220097999999993</v>
      </c>
      <c r="AS152" t="b">
        <v>1</v>
      </c>
      <c r="AT152" t="b">
        <v>0</v>
      </c>
      <c r="AU152" t="s">
        <v>77</v>
      </c>
      <c r="AV152" t="s">
        <v>77</v>
      </c>
      <c r="AW152" t="s">
        <v>79</v>
      </c>
      <c r="AX152" t="s">
        <v>249</v>
      </c>
      <c r="AY152" t="s">
        <v>334</v>
      </c>
      <c r="AZ152" t="s">
        <v>109</v>
      </c>
      <c r="BA152">
        <v>6</v>
      </c>
      <c r="BB152">
        <v>2.1</v>
      </c>
      <c r="BC152">
        <v>1.8406593999999998E-2</v>
      </c>
      <c r="BD152">
        <v>3.30705390234067E-4</v>
      </c>
      <c r="BE152">
        <v>1.8737299390234101E-2</v>
      </c>
      <c r="BF152">
        <f>IF(AK152&lt;BE152,1,0)</f>
        <v>1</v>
      </c>
      <c r="BG152">
        <f>IF(AK152&lt;BC152,1,0)</f>
        <v>1</v>
      </c>
    </row>
    <row r="153" spans="1:65" x14ac:dyDescent="0.2">
      <c r="A153">
        <v>1</v>
      </c>
      <c r="B153" t="s">
        <v>338</v>
      </c>
      <c r="C153">
        <v>80</v>
      </c>
      <c r="D153" t="s">
        <v>68</v>
      </c>
      <c r="E153">
        <v>0</v>
      </c>
      <c r="F153">
        <v>276</v>
      </c>
      <c r="G153" t="s">
        <v>119</v>
      </c>
      <c r="H153" s="1">
        <v>7</v>
      </c>
      <c r="I153" t="s">
        <v>87</v>
      </c>
      <c r="J153" t="s">
        <v>150</v>
      </c>
      <c r="K153" t="s">
        <v>72</v>
      </c>
      <c r="L153">
        <v>1</v>
      </c>
      <c r="M153">
        <v>1</v>
      </c>
      <c r="N153">
        <v>0</v>
      </c>
      <c r="O153">
        <v>0</v>
      </c>
      <c r="P153">
        <v>0</v>
      </c>
      <c r="Q153">
        <v>6</v>
      </c>
      <c r="R153">
        <v>0</v>
      </c>
      <c r="S153">
        <v>0</v>
      </c>
      <c r="T153">
        <v>0</v>
      </c>
      <c r="U153">
        <v>0</v>
      </c>
      <c r="V153">
        <f t="shared" si="53"/>
        <v>1</v>
      </c>
      <c r="W153">
        <v>1</v>
      </c>
      <c r="X153">
        <v>1</v>
      </c>
      <c r="Y153">
        <v>1</v>
      </c>
      <c r="Z153" t="s">
        <v>73</v>
      </c>
      <c r="AA153" s="5" t="s">
        <v>73</v>
      </c>
      <c r="AB153" s="5" t="s">
        <v>73</v>
      </c>
      <c r="AC153" t="s">
        <v>73</v>
      </c>
      <c r="AD153" t="s">
        <v>94</v>
      </c>
      <c r="AE153" s="5" t="s">
        <v>94</v>
      </c>
      <c r="AF153" t="s">
        <v>75</v>
      </c>
      <c r="AG153" t="s">
        <v>95</v>
      </c>
      <c r="AH153">
        <f t="shared" si="62"/>
        <v>6.8974919999999995E-2</v>
      </c>
      <c r="AI153">
        <f t="shared" si="63"/>
        <v>6.8974919999999995E-2</v>
      </c>
      <c r="AJ153">
        <f t="shared" si="55"/>
        <v>6.8974919999999995E-2</v>
      </c>
      <c r="AK153">
        <v>6.8974919999999995E-2</v>
      </c>
      <c r="AL153">
        <v>0.118449785</v>
      </c>
      <c r="AM153">
        <v>0.13074398000000001</v>
      </c>
      <c r="AN153">
        <v>0.14289618000000001</v>
      </c>
      <c r="AO153">
        <v>93.102508</v>
      </c>
      <c r="AP153">
        <v>88.155021500000004</v>
      </c>
      <c r="AQ153">
        <v>86.925601999999998</v>
      </c>
      <c r="AR153">
        <v>85.710381999999996</v>
      </c>
      <c r="AS153" t="b">
        <v>1</v>
      </c>
      <c r="AT153" t="b">
        <v>0</v>
      </c>
      <c r="AU153" t="s">
        <v>77</v>
      </c>
      <c r="AV153" t="s">
        <v>78</v>
      </c>
      <c r="AW153" t="s">
        <v>79</v>
      </c>
      <c r="AX153" t="s">
        <v>249</v>
      </c>
      <c r="AY153" t="s">
        <v>249</v>
      </c>
      <c r="AZ153" t="s">
        <v>72</v>
      </c>
      <c r="BA153" t="s">
        <v>82</v>
      </c>
      <c r="BB153">
        <v>2</v>
      </c>
      <c r="BC153">
        <v>4.1163553999999996E-3</v>
      </c>
      <c r="BD153">
        <v>1.4279989108178799E-4</v>
      </c>
      <c r="BE153">
        <v>4.2591552910817903E-3</v>
      </c>
      <c r="BF153">
        <f>IF(AK153&lt;BE153,1,0)</f>
        <v>0</v>
      </c>
      <c r="BG153">
        <f>IF(AK153&lt;BC153,1,0)</f>
        <v>0</v>
      </c>
      <c r="BH153">
        <f>VLOOKUP($B153,[1]Data_Peer_with_peerVars!$B$2:$Z$1050,20,FALSE)</f>
        <v>0</v>
      </c>
      <c r="BI153">
        <f>VLOOKUP($B153,[1]Data_Peer_with_peerVars!$B$2:$Z$1050,21,FALSE)</f>
        <v>0</v>
      </c>
      <c r="BJ153">
        <v>0</v>
      </c>
      <c r="BK153">
        <f>VLOOKUP($B153,[1]Data_Peer_with_peerVars!$B$2:$Z$1050,23,FALSE)</f>
        <v>15</v>
      </c>
      <c r="BL153">
        <f>VLOOKUP($B153,[1]Data_Peer_with_peerVars!$B$2:$Z$1050,24,FALSE)</f>
        <v>11</v>
      </c>
      <c r="BM153">
        <f>VLOOKUP($B153,[1]Data_Peer_with_peerVars!$B$2:$Z$1050,25,FALSE)</f>
        <v>0.73333333300000003</v>
      </c>
    </row>
    <row r="154" spans="1:65" x14ac:dyDescent="0.2">
      <c r="A154">
        <v>1</v>
      </c>
      <c r="B154" t="s">
        <v>339</v>
      </c>
      <c r="C154">
        <v>80</v>
      </c>
      <c r="D154" t="s">
        <v>68</v>
      </c>
      <c r="E154">
        <v>0</v>
      </c>
      <c r="F154">
        <v>276</v>
      </c>
      <c r="G154" t="s">
        <v>119</v>
      </c>
      <c r="H154" s="1">
        <v>7</v>
      </c>
      <c r="I154" t="s">
        <v>87</v>
      </c>
      <c r="J154" t="s">
        <v>150</v>
      </c>
      <c r="K154" t="s">
        <v>72</v>
      </c>
      <c r="L154">
        <v>1</v>
      </c>
      <c r="M154">
        <v>1</v>
      </c>
      <c r="N154">
        <v>0</v>
      </c>
      <c r="O154">
        <v>0</v>
      </c>
      <c r="P154">
        <v>0</v>
      </c>
      <c r="Q154">
        <v>6</v>
      </c>
      <c r="R154">
        <v>1</v>
      </c>
      <c r="S154">
        <v>1</v>
      </c>
      <c r="T154">
        <v>1</v>
      </c>
      <c r="U154">
        <v>1</v>
      </c>
      <c r="V154">
        <f t="shared" si="53"/>
        <v>0</v>
      </c>
      <c r="W154">
        <f t="shared" si="56"/>
        <v>0</v>
      </c>
      <c r="X154">
        <f t="shared" si="58"/>
        <v>0</v>
      </c>
      <c r="Y154">
        <f t="shared" si="59"/>
        <v>0</v>
      </c>
      <c r="Z154" t="s">
        <v>98</v>
      </c>
      <c r="AA154" s="5" t="s">
        <v>99</v>
      </c>
      <c r="AB154" s="5" t="s">
        <v>238</v>
      </c>
      <c r="AC154" t="s">
        <v>107</v>
      </c>
      <c r="AD154" t="s">
        <v>94</v>
      </c>
      <c r="AE154" s="5" t="s">
        <v>106</v>
      </c>
      <c r="AF154" t="s">
        <v>95</v>
      </c>
      <c r="AG154" t="s">
        <v>173</v>
      </c>
      <c r="AH154">
        <f>AI154</f>
        <v>6.1062432999999999E-2</v>
      </c>
      <c r="AI154">
        <f>AJ154</f>
        <v>6.1062432999999999E-2</v>
      </c>
      <c r="AJ154">
        <f t="shared" si="55"/>
        <v>6.1062432999999999E-2</v>
      </c>
      <c r="AK154">
        <v>6.1062432999999999E-2</v>
      </c>
      <c r="AL154">
        <v>6.5502179999999993E-2</v>
      </c>
      <c r="AM154">
        <v>9.3169399999999999E-2</v>
      </c>
      <c r="AN154">
        <v>0.11156574</v>
      </c>
      <c r="AO154">
        <v>93.893756699999997</v>
      </c>
      <c r="AP154">
        <v>93.449781999999999</v>
      </c>
      <c r="AQ154">
        <v>90.683059999999998</v>
      </c>
      <c r="AR154">
        <v>88.843425999999994</v>
      </c>
      <c r="AS154" t="b">
        <v>0</v>
      </c>
      <c r="AT154" t="b">
        <v>0</v>
      </c>
      <c r="AU154" t="s">
        <v>108</v>
      </c>
      <c r="AV154" t="s">
        <v>108</v>
      </c>
      <c r="AW154" t="s">
        <v>79</v>
      </c>
      <c r="AX154" t="s">
        <v>249</v>
      </c>
      <c r="AY154" t="s">
        <v>249</v>
      </c>
      <c r="AZ154" t="s">
        <v>72</v>
      </c>
      <c r="BA154" t="s">
        <v>82</v>
      </c>
      <c r="BB154">
        <v>0.5</v>
      </c>
      <c r="BC154">
        <v>2.6475456000000001E-2</v>
      </c>
      <c r="BD154">
        <v>8.8330364056477401E-3</v>
      </c>
      <c r="BE154">
        <v>3.53084924056477E-2</v>
      </c>
      <c r="BF154">
        <f>IF(AK154&lt;BE154,1,0)</f>
        <v>0</v>
      </c>
      <c r="BG154">
        <f>IF(AK154&lt;BC154,1,0)</f>
        <v>0</v>
      </c>
      <c r="BH154">
        <f>VLOOKUP($B154,[1]Data_Peer_with_peerVars!$B$2:$Z$1050,20,FALSE)</f>
        <v>0</v>
      </c>
      <c r="BI154">
        <f>VLOOKUP($B154,[1]Data_Peer_with_peerVars!$B$2:$Z$1050,21,FALSE)</f>
        <v>0</v>
      </c>
      <c r="BJ154">
        <v>0</v>
      </c>
      <c r="BK154">
        <f>VLOOKUP($B154,[1]Data_Peer_with_peerVars!$B$2:$Z$1050,23,FALSE)</f>
        <v>15</v>
      </c>
      <c r="BL154">
        <f>VLOOKUP($B154,[1]Data_Peer_with_peerVars!$B$2:$Z$1050,24,FALSE)</f>
        <v>11</v>
      </c>
      <c r="BM154">
        <f>VLOOKUP($B154,[1]Data_Peer_with_peerVars!$B$2:$Z$1050,25,FALSE)</f>
        <v>0.73333333300000003</v>
      </c>
    </row>
    <row r="155" spans="1:65" x14ac:dyDescent="0.2">
      <c r="A155">
        <v>1</v>
      </c>
      <c r="B155" t="s">
        <v>340</v>
      </c>
      <c r="C155">
        <v>81</v>
      </c>
      <c r="D155" t="s">
        <v>68</v>
      </c>
      <c r="E155">
        <v>0</v>
      </c>
      <c r="F155">
        <v>280</v>
      </c>
      <c r="G155" t="s">
        <v>119</v>
      </c>
      <c r="H155" s="1">
        <v>7</v>
      </c>
      <c r="I155" t="s">
        <v>87</v>
      </c>
      <c r="J155" t="s">
        <v>111</v>
      </c>
      <c r="K155" t="s">
        <v>109</v>
      </c>
      <c r="L155">
        <v>1</v>
      </c>
      <c r="M155">
        <v>1</v>
      </c>
      <c r="N155">
        <v>0</v>
      </c>
      <c r="O155">
        <v>0</v>
      </c>
      <c r="P155">
        <v>0</v>
      </c>
      <c r="Q155">
        <v>11</v>
      </c>
      <c r="R155">
        <v>0</v>
      </c>
      <c r="S155">
        <v>0</v>
      </c>
      <c r="T155">
        <v>1</v>
      </c>
      <c r="U155">
        <v>1</v>
      </c>
      <c r="V155">
        <f t="shared" si="53"/>
        <v>1</v>
      </c>
      <c r="W155">
        <v>1</v>
      </c>
      <c r="X155">
        <v>1</v>
      </c>
      <c r="Y155">
        <v>1</v>
      </c>
      <c r="Z155" t="s">
        <v>73</v>
      </c>
      <c r="AA155" s="5" t="s">
        <v>73</v>
      </c>
      <c r="AB155" s="5" t="s">
        <v>73</v>
      </c>
      <c r="AC155" t="s">
        <v>73</v>
      </c>
      <c r="AD155" t="s">
        <v>94</v>
      </c>
      <c r="AE155" s="5" t="s">
        <v>106</v>
      </c>
      <c r="AF155" t="s">
        <v>107</v>
      </c>
      <c r="AG155" t="s">
        <v>95</v>
      </c>
      <c r="AH155">
        <f t="shared" ref="AH155:AH157" si="64">AI155</f>
        <v>3.8209606000000002E-3</v>
      </c>
      <c r="AI155">
        <f t="shared" ref="AI155:AI157" si="65">AJ155</f>
        <v>3.8209606000000002E-3</v>
      </c>
      <c r="AJ155">
        <f t="shared" si="55"/>
        <v>3.8209606000000002E-3</v>
      </c>
      <c r="AK155">
        <v>3.8209606000000002E-3</v>
      </c>
      <c r="AL155">
        <v>0.13183807</v>
      </c>
      <c r="AM155">
        <v>0.13611417000000001</v>
      </c>
      <c r="AN155">
        <v>0.13855422000000001</v>
      </c>
      <c r="AO155">
        <v>99.617903940000005</v>
      </c>
      <c r="AP155">
        <v>86.816192999999998</v>
      </c>
      <c r="AQ155">
        <v>86.388582999999997</v>
      </c>
      <c r="AR155">
        <v>86.144577999999996</v>
      </c>
      <c r="AS155" t="b">
        <v>1</v>
      </c>
      <c r="AT155" t="b">
        <v>0</v>
      </c>
      <c r="AU155" t="s">
        <v>77</v>
      </c>
      <c r="AV155" t="s">
        <v>108</v>
      </c>
      <c r="AW155" t="s">
        <v>79</v>
      </c>
      <c r="AX155" t="s">
        <v>249</v>
      </c>
      <c r="AY155" t="s">
        <v>341</v>
      </c>
      <c r="AZ155" t="s">
        <v>109</v>
      </c>
      <c r="BA155">
        <v>3</v>
      </c>
      <c r="BB155">
        <v>2.1</v>
      </c>
      <c r="BC155">
        <v>4.1163553999999996E-3</v>
      </c>
      <c r="BD155">
        <v>1.4279989108178799E-4</v>
      </c>
      <c r="BE155">
        <v>4.2591552910817903E-3</v>
      </c>
      <c r="BF155">
        <f>IF(AK155&lt;BE155,1,0)</f>
        <v>1</v>
      </c>
      <c r="BG155">
        <f>IF(AK155&lt;BC155,1,0)</f>
        <v>1</v>
      </c>
      <c r="BH155">
        <f>VLOOKUP($B155,[1]Data_Peer_with_peerVars!$B$2:$Z$1050,20,FALSE)</f>
        <v>0</v>
      </c>
      <c r="BI155">
        <f>VLOOKUP($B155,[1]Data_Peer_with_peerVars!$B$2:$Z$1050,21,FALSE)</f>
        <v>0</v>
      </c>
      <c r="BJ155">
        <v>0</v>
      </c>
      <c r="BK155">
        <f>VLOOKUP($B155,[1]Data_Peer_with_peerVars!$B$2:$Z$1050,23,FALSE)</f>
        <v>0</v>
      </c>
      <c r="BL155">
        <f>VLOOKUP($B155,[1]Data_Peer_with_peerVars!$B$2:$Z$1050,24,FALSE)</f>
        <v>0</v>
      </c>
      <c r="BM155" t="str">
        <f>VLOOKUP($B155,[1]Data_Peer_with_peerVars!$B$2:$Z$1050,25,FALSE)</f>
        <v>NA</v>
      </c>
    </row>
    <row r="156" spans="1:65" x14ac:dyDescent="0.2">
      <c r="A156">
        <v>1</v>
      </c>
      <c r="B156" t="s">
        <v>342</v>
      </c>
      <c r="C156">
        <v>81</v>
      </c>
      <c r="D156" t="s">
        <v>68</v>
      </c>
      <c r="E156">
        <v>0</v>
      </c>
      <c r="F156">
        <v>280</v>
      </c>
      <c r="G156" t="s">
        <v>119</v>
      </c>
      <c r="H156" s="1">
        <v>7</v>
      </c>
      <c r="I156" t="s">
        <v>87</v>
      </c>
      <c r="J156" t="s">
        <v>111</v>
      </c>
      <c r="K156" t="s">
        <v>109</v>
      </c>
      <c r="L156">
        <v>1</v>
      </c>
      <c r="M156">
        <v>1</v>
      </c>
      <c r="N156">
        <v>0</v>
      </c>
      <c r="O156">
        <v>0</v>
      </c>
      <c r="P156">
        <v>0</v>
      </c>
      <c r="Q156">
        <v>11</v>
      </c>
      <c r="R156">
        <v>0</v>
      </c>
      <c r="S156">
        <v>0</v>
      </c>
      <c r="T156">
        <v>0</v>
      </c>
      <c r="U156">
        <v>0</v>
      </c>
      <c r="V156">
        <f t="shared" si="53"/>
        <v>1</v>
      </c>
      <c r="W156">
        <v>1</v>
      </c>
      <c r="X156">
        <v>1</v>
      </c>
      <c r="Y156">
        <v>1</v>
      </c>
      <c r="Z156" t="s">
        <v>76</v>
      </c>
      <c r="AA156" s="5" t="s">
        <v>76</v>
      </c>
      <c r="AB156" s="5" t="s">
        <v>76</v>
      </c>
      <c r="AC156" t="s">
        <v>76</v>
      </c>
      <c r="AD156" t="s">
        <v>74</v>
      </c>
      <c r="AE156" s="5" t="s">
        <v>74</v>
      </c>
      <c r="AF156" t="s">
        <v>75</v>
      </c>
      <c r="AG156" t="s">
        <v>120</v>
      </c>
      <c r="AH156">
        <f t="shared" si="64"/>
        <v>7.2762220000000002E-2</v>
      </c>
      <c r="AI156">
        <f t="shared" si="65"/>
        <v>7.2762220000000002E-2</v>
      </c>
      <c r="AJ156">
        <f t="shared" si="55"/>
        <v>7.2762220000000002E-2</v>
      </c>
      <c r="AK156">
        <v>7.2762220000000002E-2</v>
      </c>
      <c r="AL156">
        <v>9.9173549999999999E-2</v>
      </c>
      <c r="AM156">
        <v>0.12321232</v>
      </c>
      <c r="AN156">
        <v>0.12548049999999999</v>
      </c>
      <c r="AO156">
        <v>92.723777999999996</v>
      </c>
      <c r="AP156">
        <v>90.082644999999999</v>
      </c>
      <c r="AQ156">
        <v>87.678768000000005</v>
      </c>
      <c r="AR156">
        <v>87.451949999999997</v>
      </c>
      <c r="AS156" t="b">
        <v>1</v>
      </c>
      <c r="AT156" t="b">
        <v>0</v>
      </c>
      <c r="AU156" t="s">
        <v>77</v>
      </c>
      <c r="AV156" t="s">
        <v>77</v>
      </c>
      <c r="AW156" t="s">
        <v>79</v>
      </c>
      <c r="AX156" t="s">
        <v>249</v>
      </c>
      <c r="AY156" t="s">
        <v>341</v>
      </c>
      <c r="AZ156" t="s">
        <v>109</v>
      </c>
      <c r="BA156">
        <v>3</v>
      </c>
      <c r="BB156">
        <v>2.1</v>
      </c>
      <c r="BC156">
        <v>7.7070764999999999E-2</v>
      </c>
      <c r="BD156">
        <v>1.90190515067399E-3</v>
      </c>
      <c r="BE156">
        <v>7.8972670150673996E-2</v>
      </c>
      <c r="BF156">
        <f>IF(AK156&lt;BE156,1,0)</f>
        <v>1</v>
      </c>
      <c r="BG156">
        <f>IF(AK156&lt;BC156,1,0)</f>
        <v>1</v>
      </c>
      <c r="BH156">
        <f>VLOOKUP($B156,[1]Data_Peer_with_peerVars!$B$2:$Z$1050,20,FALSE)</f>
        <v>0</v>
      </c>
      <c r="BI156">
        <f>VLOOKUP($B156,[1]Data_Peer_with_peerVars!$B$2:$Z$1050,21,FALSE)</f>
        <v>0</v>
      </c>
      <c r="BJ156">
        <v>0</v>
      </c>
      <c r="BK156">
        <f>VLOOKUP($B156,[1]Data_Peer_with_peerVars!$B$2:$Z$1050,23,FALSE)</f>
        <v>0</v>
      </c>
      <c r="BL156">
        <f>VLOOKUP($B156,[1]Data_Peer_with_peerVars!$B$2:$Z$1050,24,FALSE)</f>
        <v>0</v>
      </c>
      <c r="BM156" t="str">
        <f>VLOOKUP($B156,[1]Data_Peer_with_peerVars!$B$2:$Z$1050,25,FALSE)</f>
        <v>NA</v>
      </c>
    </row>
    <row r="157" spans="1:65" x14ac:dyDescent="0.2">
      <c r="A157">
        <v>1</v>
      </c>
      <c r="B157" t="s">
        <v>343</v>
      </c>
      <c r="C157">
        <v>82</v>
      </c>
      <c r="D157" t="s">
        <v>68</v>
      </c>
      <c r="E157">
        <v>0</v>
      </c>
      <c r="F157">
        <v>283</v>
      </c>
      <c r="G157" t="s">
        <v>119</v>
      </c>
      <c r="H157" s="1">
        <v>7</v>
      </c>
      <c r="I157" t="s">
        <v>87</v>
      </c>
      <c r="J157" t="s">
        <v>88</v>
      </c>
      <c r="K157" t="s">
        <v>72</v>
      </c>
      <c r="L157">
        <v>1</v>
      </c>
      <c r="M157">
        <v>1</v>
      </c>
      <c r="N157">
        <v>0</v>
      </c>
      <c r="O157">
        <v>0</v>
      </c>
      <c r="P157">
        <v>0</v>
      </c>
      <c r="Q157">
        <v>6</v>
      </c>
      <c r="R157">
        <v>0</v>
      </c>
      <c r="S157">
        <v>0</v>
      </c>
      <c r="T157">
        <v>0</v>
      </c>
      <c r="U157">
        <v>0</v>
      </c>
      <c r="V157">
        <f t="shared" si="53"/>
        <v>1</v>
      </c>
      <c r="W157">
        <v>1</v>
      </c>
      <c r="X157">
        <v>1</v>
      </c>
      <c r="Y157">
        <v>1</v>
      </c>
      <c r="Z157" t="s">
        <v>76</v>
      </c>
      <c r="AA157" s="5" t="s">
        <v>76</v>
      </c>
      <c r="AB157" s="5" t="s">
        <v>76</v>
      </c>
      <c r="AC157" t="s">
        <v>76</v>
      </c>
      <c r="AD157" t="s">
        <v>74</v>
      </c>
      <c r="AE157" s="5" t="s">
        <v>74</v>
      </c>
      <c r="AF157" t="s">
        <v>120</v>
      </c>
      <c r="AG157" t="s">
        <v>75</v>
      </c>
      <c r="AH157">
        <f t="shared" si="64"/>
        <v>7.5914800000000004E-2</v>
      </c>
      <c r="AI157">
        <f t="shared" si="65"/>
        <v>7.5914800000000004E-2</v>
      </c>
      <c r="AJ157">
        <f t="shared" si="55"/>
        <v>7.5914800000000004E-2</v>
      </c>
      <c r="AK157">
        <v>7.5914800000000004E-2</v>
      </c>
      <c r="AL157">
        <v>9.6164379999999994E-2</v>
      </c>
      <c r="AM157">
        <v>0.12342982</v>
      </c>
      <c r="AN157">
        <v>0.12664114000000001</v>
      </c>
      <c r="AO157">
        <v>92.408519999999996</v>
      </c>
      <c r="AP157">
        <v>90.383561999999998</v>
      </c>
      <c r="AQ157">
        <v>87.657017999999994</v>
      </c>
      <c r="AR157">
        <v>87.335886000000002</v>
      </c>
      <c r="AS157" t="b">
        <v>1</v>
      </c>
      <c r="AT157" t="b">
        <v>0</v>
      </c>
      <c r="AU157" t="s">
        <v>77</v>
      </c>
      <c r="AV157" t="s">
        <v>77</v>
      </c>
      <c r="AW157" t="s">
        <v>79</v>
      </c>
      <c r="AX157" t="s">
        <v>249</v>
      </c>
      <c r="AY157" t="s">
        <v>249</v>
      </c>
      <c r="AZ157" t="s">
        <v>72</v>
      </c>
      <c r="BA157" t="s">
        <v>82</v>
      </c>
      <c r="BB157">
        <v>2.8</v>
      </c>
      <c r="BC157">
        <v>7.7070764999999999E-2</v>
      </c>
      <c r="BD157">
        <v>1.90190515067399E-3</v>
      </c>
      <c r="BE157">
        <v>7.8972670150673996E-2</v>
      </c>
      <c r="BF157">
        <f>IF(AK157&lt;BE157,1,0)</f>
        <v>1</v>
      </c>
      <c r="BG157">
        <f>IF(AK157&lt;BC157,1,0)</f>
        <v>1</v>
      </c>
      <c r="BH157">
        <f>VLOOKUP($B157,[1]Data_Peer_with_peerVars!$B$2:$Z$1050,20,FALSE)</f>
        <v>12</v>
      </c>
      <c r="BI157">
        <f>VLOOKUP($B157,[1]Data_Peer_with_peerVars!$B$2:$Z$1050,21,FALSE)</f>
        <v>9</v>
      </c>
      <c r="BJ157">
        <f>VLOOKUP($B157,[1]Data_Peer_with_peerVars!$B$2:$Z$1050,22,FALSE)</f>
        <v>0.75</v>
      </c>
      <c r="BK157">
        <f>VLOOKUP($B157,[1]Data_Peer_with_peerVars!$B$2:$Z$1050,23,FALSE)</f>
        <v>25</v>
      </c>
      <c r="BL157">
        <f>VLOOKUP($B157,[1]Data_Peer_with_peerVars!$B$2:$Z$1050,24,FALSE)</f>
        <v>18</v>
      </c>
      <c r="BM157">
        <f>VLOOKUP($B157,[1]Data_Peer_with_peerVars!$B$2:$Z$1050,25,FALSE)</f>
        <v>0.72</v>
      </c>
    </row>
    <row r="158" spans="1:65" x14ac:dyDescent="0.2">
      <c r="A158">
        <v>1</v>
      </c>
      <c r="B158" t="s">
        <v>344</v>
      </c>
      <c r="C158">
        <v>82</v>
      </c>
      <c r="D158" t="s">
        <v>68</v>
      </c>
      <c r="E158">
        <v>0</v>
      </c>
      <c r="F158">
        <v>283</v>
      </c>
      <c r="G158" t="s">
        <v>119</v>
      </c>
      <c r="H158" s="1">
        <v>7</v>
      </c>
      <c r="I158" t="s">
        <v>87</v>
      </c>
      <c r="J158" t="s">
        <v>88</v>
      </c>
      <c r="K158" t="s">
        <v>72</v>
      </c>
      <c r="L158">
        <v>1</v>
      </c>
      <c r="M158">
        <v>1</v>
      </c>
      <c r="N158">
        <v>0</v>
      </c>
      <c r="O158">
        <v>0</v>
      </c>
      <c r="P158">
        <v>0</v>
      </c>
      <c r="Q158">
        <v>6</v>
      </c>
      <c r="R158">
        <v>0</v>
      </c>
      <c r="S158">
        <v>0</v>
      </c>
      <c r="T158">
        <v>0</v>
      </c>
      <c r="U158">
        <v>0</v>
      </c>
      <c r="V158">
        <f t="shared" si="53"/>
        <v>0</v>
      </c>
      <c r="W158">
        <f t="shared" si="56"/>
        <v>0</v>
      </c>
      <c r="X158">
        <f t="shared" si="58"/>
        <v>0</v>
      </c>
      <c r="Y158">
        <f t="shared" si="59"/>
        <v>0</v>
      </c>
      <c r="Z158" t="s">
        <v>89</v>
      </c>
      <c r="AA158" s="5" t="s">
        <v>273</v>
      </c>
      <c r="AB158" s="5" t="s">
        <v>345</v>
      </c>
      <c r="AC158" t="s">
        <v>76</v>
      </c>
      <c r="AD158" t="s">
        <v>74</v>
      </c>
      <c r="AE158" s="5" t="s">
        <v>74</v>
      </c>
      <c r="AF158" t="s">
        <v>75</v>
      </c>
      <c r="AG158" t="s">
        <v>120</v>
      </c>
      <c r="AH158">
        <f t="shared" ref="AH158:AH163" si="66">AI158</f>
        <v>7.3457129999999995E-2</v>
      </c>
      <c r="AI158">
        <f t="shared" ref="AI158:AI163" si="67">AJ158</f>
        <v>7.3457129999999995E-2</v>
      </c>
      <c r="AJ158">
        <f t="shared" si="55"/>
        <v>7.3457129999999995E-2</v>
      </c>
      <c r="AK158">
        <v>7.3457129999999995E-2</v>
      </c>
      <c r="AL158">
        <v>9.6712329999999999E-2</v>
      </c>
      <c r="AM158">
        <v>0.12226476999999999</v>
      </c>
      <c r="AN158">
        <v>0.1226106</v>
      </c>
      <c r="AO158">
        <v>92.654286999999997</v>
      </c>
      <c r="AP158">
        <v>90.328766999999999</v>
      </c>
      <c r="AQ158">
        <v>87.773522999999997</v>
      </c>
      <c r="AR158">
        <v>87.738939999999999</v>
      </c>
      <c r="AS158" t="b">
        <v>0</v>
      </c>
      <c r="AT158" t="b">
        <v>0</v>
      </c>
      <c r="AU158" t="s">
        <v>92</v>
      </c>
      <c r="AV158" t="s">
        <v>92</v>
      </c>
      <c r="AW158" t="s">
        <v>79</v>
      </c>
      <c r="AX158" t="s">
        <v>249</v>
      </c>
      <c r="AY158" t="s">
        <v>249</v>
      </c>
      <c r="AZ158" t="s">
        <v>72</v>
      </c>
      <c r="BA158" t="s">
        <v>82</v>
      </c>
      <c r="BB158">
        <v>2.1</v>
      </c>
      <c r="BC158">
        <v>7.7070764999999999E-2</v>
      </c>
      <c r="BD158">
        <v>1.90190515067399E-3</v>
      </c>
      <c r="BE158">
        <v>7.8972670150673996E-2</v>
      </c>
      <c r="BF158">
        <f>IF(AK158&lt;BE158,1,0)</f>
        <v>1</v>
      </c>
      <c r="BG158">
        <f>IF(AK158&lt;BC158,1,0)</f>
        <v>1</v>
      </c>
      <c r="BH158">
        <f>VLOOKUP($B158,[1]Data_Peer_with_peerVars!$B$2:$Z$1050,20,FALSE)</f>
        <v>12</v>
      </c>
      <c r="BI158">
        <f>VLOOKUP($B158,[1]Data_Peer_with_peerVars!$B$2:$Z$1050,21,FALSE)</f>
        <v>9</v>
      </c>
      <c r="BJ158">
        <f>VLOOKUP($B158,[1]Data_Peer_with_peerVars!$B$2:$Z$1050,22,FALSE)</f>
        <v>0.75</v>
      </c>
      <c r="BK158">
        <f>VLOOKUP($B158,[1]Data_Peer_with_peerVars!$B$2:$Z$1050,23,FALSE)</f>
        <v>25</v>
      </c>
      <c r="BL158">
        <f>VLOOKUP($B158,[1]Data_Peer_with_peerVars!$B$2:$Z$1050,24,FALSE)</f>
        <v>18</v>
      </c>
      <c r="BM158">
        <f>VLOOKUP($B158,[1]Data_Peer_with_peerVars!$B$2:$Z$1050,25,FALSE)</f>
        <v>0.72</v>
      </c>
    </row>
    <row r="159" spans="1:65" x14ac:dyDescent="0.2">
      <c r="A159">
        <v>1</v>
      </c>
      <c r="B159" t="s">
        <v>346</v>
      </c>
      <c r="C159">
        <v>83</v>
      </c>
      <c r="D159" t="s">
        <v>68</v>
      </c>
      <c r="E159">
        <v>0</v>
      </c>
      <c r="F159">
        <v>191</v>
      </c>
      <c r="G159" t="s">
        <v>119</v>
      </c>
      <c r="H159" s="1">
        <v>7</v>
      </c>
      <c r="I159" t="s">
        <v>87</v>
      </c>
      <c r="J159" t="s">
        <v>88</v>
      </c>
      <c r="K159" t="s">
        <v>109</v>
      </c>
      <c r="L159">
        <v>1</v>
      </c>
      <c r="M159">
        <v>0</v>
      </c>
      <c r="N159">
        <v>0</v>
      </c>
      <c r="O159">
        <v>0</v>
      </c>
      <c r="P159">
        <v>0</v>
      </c>
      <c r="Q159">
        <v>6</v>
      </c>
      <c r="R159">
        <v>0</v>
      </c>
      <c r="S159">
        <v>0</v>
      </c>
      <c r="T159">
        <v>1</v>
      </c>
      <c r="U159">
        <v>1</v>
      </c>
      <c r="V159">
        <f t="shared" si="53"/>
        <v>0</v>
      </c>
      <c r="W159">
        <f t="shared" si="56"/>
        <v>0</v>
      </c>
      <c r="X159">
        <f t="shared" si="58"/>
        <v>0</v>
      </c>
      <c r="Y159">
        <f t="shared" si="59"/>
        <v>0</v>
      </c>
      <c r="Z159" t="s">
        <v>170</v>
      </c>
      <c r="AA159" s="5" t="s">
        <v>170</v>
      </c>
      <c r="AB159" s="5" t="s">
        <v>347</v>
      </c>
      <c r="AC159" t="s">
        <v>95</v>
      </c>
      <c r="AD159" t="s">
        <v>94</v>
      </c>
      <c r="AE159" s="5" t="s">
        <v>94</v>
      </c>
      <c r="AF159" t="s">
        <v>107</v>
      </c>
      <c r="AG159" t="s">
        <v>173</v>
      </c>
      <c r="AH159">
        <f t="shared" si="66"/>
        <v>6.4824945999999994E-2</v>
      </c>
      <c r="AI159">
        <f t="shared" si="67"/>
        <v>6.4824945999999994E-2</v>
      </c>
      <c r="AJ159">
        <f t="shared" si="55"/>
        <v>6.4824945999999994E-2</v>
      </c>
      <c r="AK159">
        <v>6.4824945999999994E-2</v>
      </c>
      <c r="AL159">
        <v>7.9508200000000001E-2</v>
      </c>
      <c r="AM159">
        <v>8.6301370000000002E-2</v>
      </c>
      <c r="AN159">
        <v>8.706332E-2</v>
      </c>
      <c r="AO159">
        <v>93.517505400000005</v>
      </c>
      <c r="AP159">
        <v>92.049180000000007</v>
      </c>
      <c r="AQ159">
        <v>91.369862999999995</v>
      </c>
      <c r="AR159">
        <v>91.293667999999997</v>
      </c>
      <c r="AS159" t="b">
        <v>0</v>
      </c>
      <c r="AT159" t="b">
        <v>0</v>
      </c>
      <c r="AU159" t="s">
        <v>92</v>
      </c>
      <c r="AV159" t="s">
        <v>92</v>
      </c>
      <c r="AW159" t="s">
        <v>79</v>
      </c>
      <c r="AX159" t="s">
        <v>249</v>
      </c>
      <c r="AY159" t="s">
        <v>257</v>
      </c>
      <c r="AZ159" t="s">
        <v>109</v>
      </c>
      <c r="BA159">
        <v>3</v>
      </c>
      <c r="BB159">
        <v>0.5</v>
      </c>
      <c r="BC159">
        <v>4.2676209999999999E-2</v>
      </c>
      <c r="BD159">
        <v>1.50718657428557E-3</v>
      </c>
      <c r="BE159">
        <v>4.4183396574285598E-2</v>
      </c>
      <c r="BF159">
        <f>IF(AK159&lt;BE159,1,0)</f>
        <v>0</v>
      </c>
      <c r="BG159">
        <f>IF(AK159&lt;BC159,1,0)</f>
        <v>0</v>
      </c>
      <c r="BH159">
        <f>VLOOKUP($B159,[1]Data_Peer_with_peerVars!$B$2:$Z$1050,20,FALSE)</f>
        <v>9</v>
      </c>
      <c r="BI159">
        <f>VLOOKUP($B159,[1]Data_Peer_with_peerVars!$B$2:$Z$1050,21,FALSE)</f>
        <v>3</v>
      </c>
      <c r="BJ159">
        <f>VLOOKUP($B159,[1]Data_Peer_with_peerVars!$B$2:$Z$1050,22,FALSE)</f>
        <v>0.33333333300000001</v>
      </c>
      <c r="BK159">
        <f>VLOOKUP($B159,[1]Data_Peer_with_peerVars!$B$2:$Z$1050,23,FALSE)</f>
        <v>22</v>
      </c>
      <c r="BL159">
        <f>VLOOKUP($B159,[1]Data_Peer_with_peerVars!$B$2:$Z$1050,24,FALSE)</f>
        <v>13</v>
      </c>
      <c r="BM159">
        <f>VLOOKUP($B159,[1]Data_Peer_with_peerVars!$B$2:$Z$1050,25,FALSE)</f>
        <v>0.590909091</v>
      </c>
    </row>
    <row r="160" spans="1:65" x14ac:dyDescent="0.2">
      <c r="A160">
        <v>1</v>
      </c>
      <c r="B160" t="s">
        <v>348</v>
      </c>
      <c r="C160">
        <v>83</v>
      </c>
      <c r="D160" t="s">
        <v>68</v>
      </c>
      <c r="E160">
        <v>0</v>
      </c>
      <c r="F160">
        <v>191</v>
      </c>
      <c r="G160" t="s">
        <v>119</v>
      </c>
      <c r="H160" s="1">
        <v>7</v>
      </c>
      <c r="I160" t="s">
        <v>87</v>
      </c>
      <c r="J160" t="s">
        <v>88</v>
      </c>
      <c r="K160" t="s">
        <v>109</v>
      </c>
      <c r="L160">
        <v>1</v>
      </c>
      <c r="M160">
        <v>0</v>
      </c>
      <c r="N160">
        <v>0</v>
      </c>
      <c r="O160">
        <v>0</v>
      </c>
      <c r="P160">
        <v>0</v>
      </c>
      <c r="Q160">
        <v>6</v>
      </c>
      <c r="R160">
        <v>0</v>
      </c>
      <c r="S160">
        <v>0</v>
      </c>
      <c r="T160">
        <v>0</v>
      </c>
      <c r="U160">
        <v>0</v>
      </c>
      <c r="V160">
        <f t="shared" si="53"/>
        <v>0</v>
      </c>
      <c r="W160">
        <f t="shared" si="56"/>
        <v>0</v>
      </c>
      <c r="X160">
        <f t="shared" si="58"/>
        <v>0</v>
      </c>
      <c r="Y160">
        <f t="shared" si="59"/>
        <v>0</v>
      </c>
      <c r="Z160" t="s">
        <v>98</v>
      </c>
      <c r="AA160" s="5" t="s">
        <v>141</v>
      </c>
      <c r="AB160" s="5" t="s">
        <v>141</v>
      </c>
      <c r="AC160" t="s">
        <v>74</v>
      </c>
      <c r="AD160" t="s">
        <v>101</v>
      </c>
      <c r="AE160" s="5" t="s">
        <v>101</v>
      </c>
      <c r="AF160" t="s">
        <v>76</v>
      </c>
      <c r="AG160" t="s">
        <v>102</v>
      </c>
      <c r="AH160">
        <f t="shared" si="66"/>
        <v>9.6986299999999998E-2</v>
      </c>
      <c r="AI160">
        <f t="shared" si="67"/>
        <v>9.6986299999999998E-2</v>
      </c>
      <c r="AJ160">
        <f t="shared" si="55"/>
        <v>9.6986299999999998E-2</v>
      </c>
      <c r="AK160">
        <v>9.6986299999999998E-2</v>
      </c>
      <c r="AL160">
        <v>0.11909989</v>
      </c>
      <c r="AM160">
        <v>0.1269798</v>
      </c>
      <c r="AN160">
        <v>0.13004362999999999</v>
      </c>
      <c r="AO160">
        <v>90.301370000000006</v>
      </c>
      <c r="AP160">
        <v>88.090011000000004</v>
      </c>
      <c r="AQ160">
        <v>87.302019999999999</v>
      </c>
      <c r="AR160">
        <v>86.995637000000002</v>
      </c>
      <c r="AS160" t="b">
        <v>0</v>
      </c>
      <c r="AT160" t="b">
        <v>0</v>
      </c>
      <c r="AU160" t="s">
        <v>77</v>
      </c>
      <c r="AV160" t="s">
        <v>78</v>
      </c>
      <c r="AW160" t="s">
        <v>79</v>
      </c>
      <c r="AX160" t="s">
        <v>249</v>
      </c>
      <c r="AY160" t="s">
        <v>257</v>
      </c>
      <c r="AZ160" t="s">
        <v>72</v>
      </c>
      <c r="BA160" t="s">
        <v>82</v>
      </c>
      <c r="BB160">
        <v>0.5</v>
      </c>
      <c r="BC160">
        <v>2.4738868000000001E-3</v>
      </c>
      <c r="BD160">
        <v>1.4256942275279999E-4</v>
      </c>
      <c r="BE160">
        <v>2.6164562227527998E-3</v>
      </c>
      <c r="BF160">
        <f>IF(AK160&lt;BE160,1,0)</f>
        <v>0</v>
      </c>
      <c r="BG160">
        <f>IF(AK160&lt;BC160,1,0)</f>
        <v>0</v>
      </c>
      <c r="BH160">
        <f>VLOOKUP($B160,[1]Data_Peer_with_peerVars!$B$2:$Z$1050,20,FALSE)</f>
        <v>9</v>
      </c>
      <c r="BI160">
        <f>VLOOKUP($B160,[1]Data_Peer_with_peerVars!$B$2:$Z$1050,21,FALSE)</f>
        <v>3</v>
      </c>
      <c r="BJ160">
        <f>VLOOKUP($B160,[1]Data_Peer_with_peerVars!$B$2:$Z$1050,22,FALSE)</f>
        <v>0.33333333300000001</v>
      </c>
      <c r="BK160">
        <f>VLOOKUP($B160,[1]Data_Peer_with_peerVars!$B$2:$Z$1050,23,FALSE)</f>
        <v>22</v>
      </c>
      <c r="BL160">
        <f>VLOOKUP($B160,[1]Data_Peer_with_peerVars!$B$2:$Z$1050,24,FALSE)</f>
        <v>13</v>
      </c>
      <c r="BM160">
        <f>VLOOKUP($B160,[1]Data_Peer_with_peerVars!$B$2:$Z$1050,25,FALSE)</f>
        <v>0.590909091</v>
      </c>
    </row>
    <row r="161" spans="1:65" x14ac:dyDescent="0.2">
      <c r="A161">
        <v>1</v>
      </c>
      <c r="B161" t="s">
        <v>349</v>
      </c>
      <c r="C161">
        <v>84</v>
      </c>
      <c r="D161" t="s">
        <v>68</v>
      </c>
      <c r="E161">
        <v>0</v>
      </c>
      <c r="F161">
        <v>194</v>
      </c>
      <c r="G161" t="s">
        <v>119</v>
      </c>
      <c r="H161" s="1">
        <v>7</v>
      </c>
      <c r="I161" t="s">
        <v>70</v>
      </c>
      <c r="J161" t="s">
        <v>71</v>
      </c>
      <c r="K161" t="s">
        <v>72</v>
      </c>
      <c r="L161">
        <v>1</v>
      </c>
      <c r="M161">
        <v>0</v>
      </c>
      <c r="N161">
        <v>0</v>
      </c>
      <c r="O161">
        <v>0</v>
      </c>
      <c r="P161">
        <v>0</v>
      </c>
      <c r="Q161">
        <v>6</v>
      </c>
      <c r="R161">
        <v>0</v>
      </c>
      <c r="S161">
        <v>0</v>
      </c>
      <c r="T161">
        <v>0</v>
      </c>
      <c r="U161">
        <v>0</v>
      </c>
      <c r="V161">
        <f t="shared" si="53"/>
        <v>1</v>
      </c>
      <c r="W161">
        <v>1</v>
      </c>
      <c r="X161">
        <v>1</v>
      </c>
      <c r="Y161">
        <v>1</v>
      </c>
      <c r="Z161" t="s">
        <v>76</v>
      </c>
      <c r="AA161" s="5" t="s">
        <v>76</v>
      </c>
      <c r="AB161" s="5" t="s">
        <v>76</v>
      </c>
      <c r="AC161" t="s">
        <v>76</v>
      </c>
      <c r="AD161" t="s">
        <v>74</v>
      </c>
      <c r="AE161" s="5" t="s">
        <v>74</v>
      </c>
      <c r="AF161" t="s">
        <v>75</v>
      </c>
      <c r="AG161" t="s">
        <v>120</v>
      </c>
      <c r="AH161">
        <f t="shared" si="66"/>
        <v>7.291098E-2</v>
      </c>
      <c r="AI161">
        <f t="shared" si="67"/>
        <v>7.291098E-2</v>
      </c>
      <c r="AJ161">
        <f t="shared" si="55"/>
        <v>7.291098E-2</v>
      </c>
      <c r="AK161">
        <v>7.291098E-2</v>
      </c>
      <c r="AL161">
        <v>9.4794519999999993E-2</v>
      </c>
      <c r="AM161">
        <v>0.12089716</v>
      </c>
      <c r="AN161">
        <v>0.12288367</v>
      </c>
      <c r="AO161">
        <v>92.708901999999995</v>
      </c>
      <c r="AP161">
        <v>90.520548000000005</v>
      </c>
      <c r="AQ161">
        <v>87.910284000000004</v>
      </c>
      <c r="AR161">
        <v>87.711633000000006</v>
      </c>
      <c r="AS161" t="b">
        <v>1</v>
      </c>
      <c r="AT161" t="b">
        <v>0</v>
      </c>
      <c r="AU161" t="s">
        <v>77</v>
      </c>
      <c r="AV161" t="s">
        <v>77</v>
      </c>
      <c r="AW161" t="s">
        <v>79</v>
      </c>
      <c r="AX161" t="s">
        <v>249</v>
      </c>
      <c r="AY161" t="s">
        <v>350</v>
      </c>
      <c r="AZ161" t="s">
        <v>72</v>
      </c>
      <c r="BA161" t="s">
        <v>82</v>
      </c>
      <c r="BB161">
        <v>8</v>
      </c>
      <c r="BC161">
        <v>7.7070764999999999E-2</v>
      </c>
      <c r="BD161">
        <v>1.90190515067399E-3</v>
      </c>
      <c r="BE161">
        <v>7.8972670150673996E-2</v>
      </c>
      <c r="BF161">
        <f>IF(AK161&lt;BE161,1,0)</f>
        <v>1</v>
      </c>
      <c r="BG161">
        <f>IF(AK161&lt;BC161,1,0)</f>
        <v>1</v>
      </c>
      <c r="BH161">
        <f>VLOOKUP($B161,[1]Data_Peer_with_peerVars!$B$2:$Z$1050,20,FALSE)</f>
        <v>2</v>
      </c>
      <c r="BI161">
        <f>VLOOKUP($B161,[1]Data_Peer_with_peerVars!$B$2:$Z$1050,21,FALSE)</f>
        <v>2</v>
      </c>
      <c r="BJ161">
        <f>VLOOKUP($B161,[1]Data_Peer_with_peerVars!$B$2:$Z$1050,22,FALSE)</f>
        <v>1</v>
      </c>
      <c r="BK161">
        <f>VLOOKUP($B161,[1]Data_Peer_with_peerVars!$B$2:$Z$1050,23,FALSE)</f>
        <v>17</v>
      </c>
      <c r="BL161">
        <f>VLOOKUP($B161,[1]Data_Peer_with_peerVars!$B$2:$Z$1050,24,FALSE)</f>
        <v>11</v>
      </c>
      <c r="BM161">
        <f>VLOOKUP($B161,[1]Data_Peer_with_peerVars!$B$2:$Z$1050,25,FALSE)</f>
        <v>0.64705882400000003</v>
      </c>
    </row>
    <row r="162" spans="1:65" x14ac:dyDescent="0.2">
      <c r="A162">
        <v>1</v>
      </c>
      <c r="B162" t="s">
        <v>351</v>
      </c>
      <c r="C162">
        <v>85</v>
      </c>
      <c r="D162" t="s">
        <v>155</v>
      </c>
      <c r="E162">
        <v>0</v>
      </c>
      <c r="F162" s="14" t="s">
        <v>82</v>
      </c>
      <c r="G162" s="14" t="s">
        <v>82</v>
      </c>
      <c r="H162" s="1">
        <v>7</v>
      </c>
      <c r="M162">
        <v>1</v>
      </c>
      <c r="N162">
        <v>0</v>
      </c>
      <c r="R162">
        <v>0</v>
      </c>
      <c r="S162">
        <v>0</v>
      </c>
      <c r="T162">
        <v>1</v>
      </c>
      <c r="U162">
        <v>1</v>
      </c>
      <c r="V162">
        <f t="shared" si="53"/>
        <v>1</v>
      </c>
      <c r="W162">
        <v>1</v>
      </c>
      <c r="X162">
        <v>1</v>
      </c>
      <c r="Y162">
        <v>1</v>
      </c>
      <c r="Z162" t="s">
        <v>73</v>
      </c>
      <c r="AA162" s="5" t="s">
        <v>73</v>
      </c>
      <c r="AB162" s="5" t="s">
        <v>73</v>
      </c>
      <c r="AC162" t="s">
        <v>73</v>
      </c>
      <c r="AD162" t="s">
        <v>94</v>
      </c>
      <c r="AE162" s="5" t="s">
        <v>106</v>
      </c>
      <c r="AF162" t="s">
        <v>107</v>
      </c>
      <c r="AG162" t="s">
        <v>95</v>
      </c>
      <c r="AH162">
        <f t="shared" si="66"/>
        <v>3.8167940000000001E-3</v>
      </c>
      <c r="AI162">
        <f t="shared" si="67"/>
        <v>3.8167940000000001E-3</v>
      </c>
      <c r="AJ162">
        <f t="shared" si="55"/>
        <v>3.8167940000000001E-3</v>
      </c>
      <c r="AK162">
        <v>3.8167940000000001E-3</v>
      </c>
      <c r="AL162">
        <v>0.13169399000000001</v>
      </c>
      <c r="AM162">
        <v>0.13623904000000001</v>
      </c>
      <c r="AN162">
        <v>0.13867615</v>
      </c>
      <c r="AO162">
        <v>99.618320600000004</v>
      </c>
      <c r="AP162">
        <v>86.830601000000001</v>
      </c>
      <c r="AQ162">
        <v>86.376096000000004</v>
      </c>
      <c r="AR162">
        <v>86.132384999999999</v>
      </c>
      <c r="AS162" t="b">
        <v>1</v>
      </c>
      <c r="AT162" t="b">
        <v>0</v>
      </c>
      <c r="AU162" t="s">
        <v>77</v>
      </c>
      <c r="AV162" t="s">
        <v>108</v>
      </c>
      <c r="AW162" t="s">
        <v>79</v>
      </c>
      <c r="AX162" t="s">
        <v>249</v>
      </c>
      <c r="AY162" t="s">
        <v>249</v>
      </c>
      <c r="AZ162" t="s">
        <v>72</v>
      </c>
      <c r="BA162" t="s">
        <v>82</v>
      </c>
      <c r="BB162">
        <v>2</v>
      </c>
      <c r="BC162">
        <v>4.1163553999999996E-3</v>
      </c>
      <c r="BD162">
        <v>1.4279989108178799E-4</v>
      </c>
      <c r="BE162">
        <v>4.2591552910817903E-3</v>
      </c>
      <c r="BF162">
        <f>IF(AK162&lt;BE162,1,0)</f>
        <v>1</v>
      </c>
      <c r="BG162">
        <f>IF(AK162&lt;BC162,1,0)</f>
        <v>1</v>
      </c>
    </row>
    <row r="163" spans="1:65" x14ac:dyDescent="0.2">
      <c r="A163">
        <v>1</v>
      </c>
      <c r="B163" t="s">
        <v>352</v>
      </c>
      <c r="C163">
        <v>85</v>
      </c>
      <c r="D163" t="s">
        <v>155</v>
      </c>
      <c r="E163">
        <v>0</v>
      </c>
      <c r="F163" s="14" t="s">
        <v>82</v>
      </c>
      <c r="G163" s="14" t="s">
        <v>82</v>
      </c>
      <c r="H163" s="1">
        <v>7</v>
      </c>
      <c r="M163">
        <v>1</v>
      </c>
      <c r="N163">
        <v>0</v>
      </c>
      <c r="R163">
        <v>0</v>
      </c>
      <c r="S163">
        <v>0</v>
      </c>
      <c r="T163">
        <v>0</v>
      </c>
      <c r="U163">
        <v>0</v>
      </c>
      <c r="V163">
        <f t="shared" si="53"/>
        <v>1</v>
      </c>
      <c r="W163">
        <v>1</v>
      </c>
      <c r="X163">
        <v>1</v>
      </c>
      <c r="Y163">
        <v>1</v>
      </c>
      <c r="Z163" t="s">
        <v>76</v>
      </c>
      <c r="AA163" s="5" t="s">
        <v>76</v>
      </c>
      <c r="AB163" s="5" t="s">
        <v>76</v>
      </c>
      <c r="AC163" t="s">
        <v>76</v>
      </c>
      <c r="AD163" t="s">
        <v>74</v>
      </c>
      <c r="AE163" s="5" t="s">
        <v>74</v>
      </c>
      <c r="AF163" t="s">
        <v>75</v>
      </c>
      <c r="AG163" t="s">
        <v>120</v>
      </c>
      <c r="AH163">
        <f t="shared" si="66"/>
        <v>8.7657020000000002E-2</v>
      </c>
      <c r="AI163">
        <f t="shared" si="67"/>
        <v>8.7657020000000002E-2</v>
      </c>
      <c r="AJ163">
        <f t="shared" si="55"/>
        <v>8.7657020000000002E-2</v>
      </c>
      <c r="AK163">
        <v>8.7657020000000002E-2</v>
      </c>
      <c r="AL163">
        <v>0.10109588999999999</v>
      </c>
      <c r="AM163">
        <v>0.125</v>
      </c>
      <c r="AN163">
        <v>0.12506825999999999</v>
      </c>
      <c r="AO163">
        <v>91.234297999999995</v>
      </c>
      <c r="AP163">
        <v>89.890411</v>
      </c>
      <c r="AQ163">
        <v>87.5</v>
      </c>
      <c r="AR163">
        <v>87.493173999999996</v>
      </c>
      <c r="AS163" t="b">
        <v>1</v>
      </c>
      <c r="AT163" t="b">
        <v>0</v>
      </c>
      <c r="AU163" t="s">
        <v>77</v>
      </c>
      <c r="AV163" t="s">
        <v>78</v>
      </c>
      <c r="AW163" t="s">
        <v>79</v>
      </c>
      <c r="AX163" t="s">
        <v>249</v>
      </c>
      <c r="AY163" t="s">
        <v>249</v>
      </c>
      <c r="AZ163" t="s">
        <v>109</v>
      </c>
      <c r="BA163">
        <v>2</v>
      </c>
      <c r="BB163">
        <v>1</v>
      </c>
      <c r="BC163">
        <v>7.7070764999999999E-2</v>
      </c>
      <c r="BD163">
        <v>1.90190515067399E-3</v>
      </c>
      <c r="BE163">
        <v>7.8972670150673996E-2</v>
      </c>
      <c r="BF163">
        <f>IF(AK163&lt;BE163,1,0)</f>
        <v>0</v>
      </c>
      <c r="BG163">
        <f>IF(AK163&lt;BC163,1,0)</f>
        <v>0</v>
      </c>
    </row>
    <row r="164" spans="1:65" x14ac:dyDescent="0.2">
      <c r="A164">
        <v>1</v>
      </c>
      <c r="B164" t="s">
        <v>353</v>
      </c>
      <c r="C164">
        <v>86</v>
      </c>
      <c r="D164" t="s">
        <v>155</v>
      </c>
      <c r="E164">
        <v>0</v>
      </c>
      <c r="F164" s="14" t="s">
        <v>82</v>
      </c>
      <c r="G164" s="14" t="s">
        <v>82</v>
      </c>
      <c r="H164" s="1">
        <v>6</v>
      </c>
      <c r="I164" t="s">
        <v>87</v>
      </c>
      <c r="J164" t="s">
        <v>88</v>
      </c>
      <c r="K164" t="s">
        <v>109</v>
      </c>
      <c r="L164">
        <v>1</v>
      </c>
      <c r="M164">
        <v>1</v>
      </c>
      <c r="N164">
        <v>0</v>
      </c>
      <c r="O164">
        <v>0</v>
      </c>
      <c r="P164">
        <v>0</v>
      </c>
      <c r="Q164">
        <v>0</v>
      </c>
      <c r="R164">
        <v>0</v>
      </c>
      <c r="S164">
        <v>0</v>
      </c>
      <c r="T164">
        <v>0</v>
      </c>
      <c r="U164">
        <v>0</v>
      </c>
      <c r="V164">
        <f t="shared" si="53"/>
        <v>0</v>
      </c>
      <c r="W164">
        <f t="shared" si="56"/>
        <v>0</v>
      </c>
      <c r="X164">
        <f t="shared" si="58"/>
        <v>0</v>
      </c>
      <c r="Y164">
        <f t="shared" si="59"/>
        <v>0</v>
      </c>
      <c r="Z164" t="s">
        <v>89</v>
      </c>
      <c r="AA164" s="5" t="s">
        <v>273</v>
      </c>
      <c r="AB164" s="5" t="s">
        <v>354</v>
      </c>
      <c r="AC164" t="s">
        <v>76</v>
      </c>
      <c r="AD164" t="s">
        <v>74</v>
      </c>
      <c r="AE164" s="5" t="s">
        <v>142</v>
      </c>
      <c r="AF164" t="s">
        <v>167</v>
      </c>
      <c r="AG164" t="s">
        <v>120</v>
      </c>
      <c r="AH164">
        <f t="shared" ref="AH164:AH169" si="68">AI164</f>
        <v>0.13032787000000001</v>
      </c>
      <c r="AI164">
        <f t="shared" ref="AI164:AI166" si="69">AJ164</f>
        <v>0.13032787000000001</v>
      </c>
      <c r="AJ164">
        <f t="shared" si="55"/>
        <v>0.13032787000000001</v>
      </c>
      <c r="AK164">
        <v>0.13032787000000001</v>
      </c>
      <c r="AL164">
        <v>0.13130483000000001</v>
      </c>
      <c r="AM164">
        <v>0.14857455999999999</v>
      </c>
      <c r="AN164">
        <v>0.14863388</v>
      </c>
      <c r="AO164">
        <v>86.967213000000001</v>
      </c>
      <c r="AP164">
        <v>86.869517000000002</v>
      </c>
      <c r="AQ164">
        <v>85.142544000000001</v>
      </c>
      <c r="AR164">
        <v>85.136612</v>
      </c>
      <c r="AS164" t="b">
        <v>0</v>
      </c>
      <c r="AT164" t="b">
        <v>0</v>
      </c>
      <c r="AU164" t="s">
        <v>92</v>
      </c>
      <c r="AV164" t="s">
        <v>92</v>
      </c>
      <c r="AW164" t="s">
        <v>79</v>
      </c>
      <c r="AX164" t="s">
        <v>249</v>
      </c>
      <c r="AY164" t="s">
        <v>249</v>
      </c>
      <c r="AZ164" t="s">
        <v>109</v>
      </c>
      <c r="BA164">
        <v>2</v>
      </c>
      <c r="BB164">
        <v>1.05</v>
      </c>
      <c r="BC164">
        <v>7.7070764999999999E-2</v>
      </c>
      <c r="BD164">
        <v>1.90190515067399E-3</v>
      </c>
      <c r="BE164">
        <v>7.8972670150673996E-2</v>
      </c>
      <c r="BF164">
        <f>IF(AK164&lt;BE164,1,0)</f>
        <v>0</v>
      </c>
      <c r="BG164">
        <f>IF(AK164&lt;BC164,1,0)</f>
        <v>0</v>
      </c>
      <c r="BH164">
        <f>VLOOKUP($B164,[1]Data_Peer_with_peerVars!$B$2:$Z$1050,20,FALSE)</f>
        <v>11</v>
      </c>
      <c r="BI164">
        <f>VLOOKUP($B164,[1]Data_Peer_with_peerVars!$B$2:$Z$1050,21,FALSE)</f>
        <v>9</v>
      </c>
      <c r="BJ164">
        <f>VLOOKUP($B164,[1]Data_Peer_with_peerVars!$B$2:$Z$1050,22,FALSE)</f>
        <v>0.81818181800000001</v>
      </c>
      <c r="BK164">
        <f>VLOOKUP($B164,[1]Data_Peer_with_peerVars!$B$2:$Z$1050,23,FALSE)</f>
        <v>21</v>
      </c>
      <c r="BL164">
        <f>VLOOKUP($B164,[1]Data_Peer_with_peerVars!$B$2:$Z$1050,24,FALSE)</f>
        <v>16</v>
      </c>
      <c r="BM164">
        <f>VLOOKUP($B164,[1]Data_Peer_with_peerVars!$B$2:$Z$1050,25,FALSE)</f>
        <v>0.76190476200000001</v>
      </c>
    </row>
    <row r="165" spans="1:65" x14ac:dyDescent="0.2">
      <c r="A165">
        <v>1</v>
      </c>
      <c r="B165" t="s">
        <v>355</v>
      </c>
      <c r="C165">
        <v>86</v>
      </c>
      <c r="D165" t="s">
        <v>155</v>
      </c>
      <c r="E165">
        <v>0</v>
      </c>
      <c r="F165" s="14" t="s">
        <v>82</v>
      </c>
      <c r="G165" s="14" t="s">
        <v>82</v>
      </c>
      <c r="H165" s="1">
        <v>6</v>
      </c>
      <c r="I165" t="s">
        <v>87</v>
      </c>
      <c r="J165" t="s">
        <v>88</v>
      </c>
      <c r="K165" t="s">
        <v>109</v>
      </c>
      <c r="L165">
        <v>1</v>
      </c>
      <c r="M165">
        <v>1</v>
      </c>
      <c r="N165">
        <v>0</v>
      </c>
      <c r="O165">
        <v>0</v>
      </c>
      <c r="P165">
        <v>0</v>
      </c>
      <c r="Q165">
        <v>0</v>
      </c>
      <c r="R165">
        <v>0</v>
      </c>
      <c r="S165">
        <v>0</v>
      </c>
      <c r="T165">
        <v>0</v>
      </c>
      <c r="U165">
        <v>0</v>
      </c>
      <c r="V165">
        <f t="shared" si="53"/>
        <v>0</v>
      </c>
      <c r="W165">
        <f t="shared" si="56"/>
        <v>0</v>
      </c>
      <c r="X165">
        <f t="shared" si="58"/>
        <v>0</v>
      </c>
      <c r="Y165">
        <f t="shared" si="59"/>
        <v>0</v>
      </c>
      <c r="Z165" t="s">
        <v>287</v>
      </c>
      <c r="AA165" s="5" t="s">
        <v>287</v>
      </c>
      <c r="AB165" s="5" t="s">
        <v>287</v>
      </c>
      <c r="AC165" t="s">
        <v>73</v>
      </c>
      <c r="AD165" t="s">
        <v>94</v>
      </c>
      <c r="AE165" s="5" t="s">
        <v>356</v>
      </c>
      <c r="AF165" t="s">
        <v>75</v>
      </c>
      <c r="AG165" t="s">
        <v>137</v>
      </c>
      <c r="AH165">
        <f t="shared" si="68"/>
        <v>0.10032716</v>
      </c>
      <c r="AI165">
        <f t="shared" si="69"/>
        <v>0.10032716</v>
      </c>
      <c r="AJ165">
        <f t="shared" si="55"/>
        <v>0.10032716</v>
      </c>
      <c r="AK165">
        <v>0.10032716</v>
      </c>
      <c r="AL165">
        <v>0.14055677</v>
      </c>
      <c r="AM165">
        <v>0.14086433000000001</v>
      </c>
      <c r="AN165">
        <v>0.14328601999999999</v>
      </c>
      <c r="AO165">
        <v>89.967284000000006</v>
      </c>
      <c r="AP165">
        <v>85.944322999999997</v>
      </c>
      <c r="AQ165">
        <v>85.913567</v>
      </c>
      <c r="AR165">
        <v>85.671397999999996</v>
      </c>
      <c r="AS165" t="b">
        <v>0</v>
      </c>
      <c r="AT165" t="b">
        <v>0</v>
      </c>
      <c r="AU165" t="s">
        <v>78</v>
      </c>
      <c r="AV165" t="s">
        <v>108</v>
      </c>
      <c r="AW165" t="s">
        <v>79</v>
      </c>
      <c r="AX165" t="s">
        <v>249</v>
      </c>
      <c r="AY165" t="s">
        <v>303</v>
      </c>
      <c r="AZ165" t="s">
        <v>109</v>
      </c>
      <c r="BA165">
        <v>3</v>
      </c>
      <c r="BB165">
        <v>1.05</v>
      </c>
      <c r="BC165">
        <v>4.1163553999999996E-3</v>
      </c>
      <c r="BD165">
        <v>1.4279989108178799E-4</v>
      </c>
      <c r="BE165">
        <v>4.2591552910817903E-3</v>
      </c>
      <c r="BF165">
        <f>IF(AK165&lt;BE165,1,0)</f>
        <v>0</v>
      </c>
      <c r="BG165">
        <f>IF(AK165&lt;BC165,1,0)</f>
        <v>0</v>
      </c>
      <c r="BH165">
        <f>VLOOKUP($B165,[1]Data_Peer_with_peerVars!$B$2:$Z$1050,20,FALSE)</f>
        <v>11</v>
      </c>
      <c r="BI165">
        <f>VLOOKUP($B165,[1]Data_Peer_with_peerVars!$B$2:$Z$1050,21,FALSE)</f>
        <v>9</v>
      </c>
      <c r="BJ165">
        <f>VLOOKUP($B165,[1]Data_Peer_with_peerVars!$B$2:$Z$1050,22,FALSE)</f>
        <v>0.81818181800000001</v>
      </c>
      <c r="BK165">
        <f>VLOOKUP($B165,[1]Data_Peer_with_peerVars!$B$2:$Z$1050,23,FALSE)</f>
        <v>21</v>
      </c>
      <c r="BL165">
        <f>VLOOKUP($B165,[1]Data_Peer_with_peerVars!$B$2:$Z$1050,24,FALSE)</f>
        <v>16</v>
      </c>
      <c r="BM165">
        <f>VLOOKUP($B165,[1]Data_Peer_with_peerVars!$B$2:$Z$1050,25,FALSE)</f>
        <v>0.76190476200000001</v>
      </c>
    </row>
    <row r="166" spans="1:65" x14ac:dyDescent="0.2">
      <c r="A166">
        <v>1</v>
      </c>
      <c r="B166" t="s">
        <v>357</v>
      </c>
      <c r="C166">
        <v>86</v>
      </c>
      <c r="D166" t="s">
        <v>155</v>
      </c>
      <c r="E166">
        <v>0</v>
      </c>
      <c r="F166" s="14" t="s">
        <v>82</v>
      </c>
      <c r="G166" s="14" t="s">
        <v>82</v>
      </c>
      <c r="H166" s="1">
        <v>6</v>
      </c>
      <c r="I166" t="s">
        <v>87</v>
      </c>
      <c r="J166" t="s">
        <v>88</v>
      </c>
      <c r="K166" t="s">
        <v>109</v>
      </c>
      <c r="L166">
        <v>1</v>
      </c>
      <c r="M166">
        <v>1</v>
      </c>
      <c r="N166">
        <v>0</v>
      </c>
      <c r="O166">
        <v>0</v>
      </c>
      <c r="P166">
        <v>0</v>
      </c>
      <c r="Q166">
        <v>0</v>
      </c>
      <c r="R166">
        <v>0</v>
      </c>
      <c r="S166">
        <v>0</v>
      </c>
      <c r="T166">
        <v>0</v>
      </c>
      <c r="U166">
        <v>0</v>
      </c>
      <c r="V166">
        <f t="shared" si="53"/>
        <v>0</v>
      </c>
      <c r="W166">
        <f t="shared" si="56"/>
        <v>1</v>
      </c>
      <c r="X166">
        <v>1</v>
      </c>
      <c r="Y166">
        <v>1</v>
      </c>
      <c r="Z166" t="s">
        <v>76</v>
      </c>
      <c r="AA166" s="5" t="s">
        <v>76</v>
      </c>
      <c r="AB166" s="5" t="s">
        <v>76</v>
      </c>
      <c r="AC166" t="s">
        <v>74</v>
      </c>
      <c r="AD166" t="s">
        <v>76</v>
      </c>
      <c r="AE166" s="5" t="s">
        <v>76</v>
      </c>
      <c r="AF166" t="s">
        <v>102</v>
      </c>
      <c r="AG166" t="s">
        <v>101</v>
      </c>
      <c r="AH166">
        <f t="shared" si="68"/>
        <v>0.12397597</v>
      </c>
      <c r="AI166">
        <f t="shared" si="69"/>
        <v>0.12397597</v>
      </c>
      <c r="AJ166">
        <f>AL166</f>
        <v>0.12397597</v>
      </c>
      <c r="AK166">
        <v>0.11917808000000001</v>
      </c>
      <c r="AL166">
        <v>0.12397597</v>
      </c>
      <c r="AM166">
        <v>0.13386041000000001</v>
      </c>
      <c r="AN166">
        <v>0.13419320000000001</v>
      </c>
      <c r="AO166">
        <v>88.082192000000006</v>
      </c>
      <c r="AP166">
        <v>87.602402999999995</v>
      </c>
      <c r="AQ166">
        <v>86.613958999999994</v>
      </c>
      <c r="AR166">
        <v>86.580680000000001</v>
      </c>
      <c r="AS166" t="b">
        <v>0</v>
      </c>
      <c r="AT166" t="b">
        <v>1</v>
      </c>
      <c r="AU166" t="s">
        <v>78</v>
      </c>
      <c r="AV166" t="s">
        <v>78</v>
      </c>
      <c r="AW166" t="s">
        <v>79</v>
      </c>
      <c r="AX166" t="s">
        <v>249</v>
      </c>
      <c r="AY166" t="s">
        <v>249</v>
      </c>
      <c r="AZ166" t="s">
        <v>72</v>
      </c>
      <c r="BA166" t="s">
        <v>82</v>
      </c>
      <c r="BB166">
        <v>0.35</v>
      </c>
      <c r="BC166">
        <v>2.4738868000000001E-3</v>
      </c>
      <c r="BD166">
        <v>1.4256942275279999E-4</v>
      </c>
      <c r="BE166">
        <v>2.6164562227527998E-3</v>
      </c>
      <c r="BF166">
        <f>IF(AK166&lt;BE166,1,0)</f>
        <v>0</v>
      </c>
      <c r="BG166">
        <f>IF(AK166&lt;BC166,1,0)</f>
        <v>0</v>
      </c>
      <c r="BH166">
        <f>VLOOKUP($B166,[1]Data_Peer_with_peerVars!$B$2:$Z$1050,20,FALSE)</f>
        <v>11</v>
      </c>
      <c r="BI166">
        <f>VLOOKUP($B166,[1]Data_Peer_with_peerVars!$B$2:$Z$1050,21,FALSE)</f>
        <v>9</v>
      </c>
      <c r="BJ166">
        <f>VLOOKUP($B166,[1]Data_Peer_with_peerVars!$B$2:$Z$1050,22,FALSE)</f>
        <v>0.81818181800000001</v>
      </c>
      <c r="BK166">
        <f>VLOOKUP($B166,[1]Data_Peer_with_peerVars!$B$2:$Z$1050,23,FALSE)</f>
        <v>21</v>
      </c>
      <c r="BL166">
        <f>VLOOKUP($B166,[1]Data_Peer_with_peerVars!$B$2:$Z$1050,24,FALSE)</f>
        <v>16</v>
      </c>
      <c r="BM166">
        <f>VLOOKUP($B166,[1]Data_Peer_with_peerVars!$B$2:$Z$1050,25,FALSE)</f>
        <v>0.76190476200000001</v>
      </c>
    </row>
    <row r="167" spans="1:65" x14ac:dyDescent="0.2">
      <c r="A167">
        <v>1</v>
      </c>
      <c r="B167" t="s">
        <v>358</v>
      </c>
      <c r="C167">
        <v>87</v>
      </c>
      <c r="D167" t="s">
        <v>155</v>
      </c>
      <c r="E167">
        <v>0</v>
      </c>
      <c r="F167" s="14" t="s">
        <v>82</v>
      </c>
      <c r="G167" s="14" t="s">
        <v>82</v>
      </c>
      <c r="H167" s="1">
        <v>7</v>
      </c>
      <c r="I167" t="s">
        <v>87</v>
      </c>
      <c r="J167" t="s">
        <v>150</v>
      </c>
      <c r="K167" t="s">
        <v>72</v>
      </c>
      <c r="L167">
        <v>1</v>
      </c>
      <c r="M167">
        <v>1</v>
      </c>
      <c r="N167">
        <v>0</v>
      </c>
      <c r="O167">
        <v>0</v>
      </c>
      <c r="P167">
        <v>0</v>
      </c>
      <c r="Q167">
        <v>6</v>
      </c>
      <c r="R167">
        <v>0</v>
      </c>
      <c r="S167">
        <v>0</v>
      </c>
      <c r="T167">
        <v>0</v>
      </c>
      <c r="U167">
        <v>0</v>
      </c>
      <c r="V167">
        <f t="shared" si="53"/>
        <v>1</v>
      </c>
      <c r="W167">
        <v>1</v>
      </c>
      <c r="X167">
        <v>1</v>
      </c>
      <c r="Y167">
        <v>1</v>
      </c>
      <c r="Z167" t="s">
        <v>73</v>
      </c>
      <c r="AA167" s="5" t="s">
        <v>73</v>
      </c>
      <c r="AB167" s="5" t="s">
        <v>73</v>
      </c>
      <c r="AC167" t="s">
        <v>73</v>
      </c>
      <c r="AD167" t="s">
        <v>94</v>
      </c>
      <c r="AE167" s="5" t="s">
        <v>94</v>
      </c>
      <c r="AF167" t="s">
        <v>75</v>
      </c>
      <c r="AG167" t="s">
        <v>137</v>
      </c>
      <c r="AH167">
        <f t="shared" si="68"/>
        <v>0.10365521</v>
      </c>
      <c r="AI167">
        <f>AJ167</f>
        <v>0.10365521</v>
      </c>
      <c r="AJ167">
        <f t="shared" si="55"/>
        <v>0.10365521</v>
      </c>
      <c r="AK167">
        <v>0.10365521</v>
      </c>
      <c r="AL167">
        <v>0.13790278</v>
      </c>
      <c r="AM167">
        <v>0.14340448</v>
      </c>
      <c r="AN167">
        <v>0.14937191999999999</v>
      </c>
      <c r="AO167">
        <v>89.634478999999999</v>
      </c>
      <c r="AP167">
        <v>86.209721999999999</v>
      </c>
      <c r="AQ167">
        <v>85.659552000000005</v>
      </c>
      <c r="AR167">
        <v>85.062808000000004</v>
      </c>
      <c r="AS167" t="b">
        <v>1</v>
      </c>
      <c r="AT167" t="b">
        <v>0</v>
      </c>
      <c r="AU167" t="s">
        <v>78</v>
      </c>
      <c r="AV167" t="s">
        <v>78</v>
      </c>
      <c r="AW167" t="s">
        <v>79</v>
      </c>
      <c r="AX167" t="s">
        <v>249</v>
      </c>
      <c r="AY167" t="s">
        <v>303</v>
      </c>
      <c r="AZ167" t="s">
        <v>72</v>
      </c>
      <c r="BA167" t="s">
        <v>82</v>
      </c>
      <c r="BB167">
        <v>0.7</v>
      </c>
      <c r="BC167">
        <v>4.1163553999999996E-3</v>
      </c>
      <c r="BD167">
        <v>1.4279989108178799E-4</v>
      </c>
      <c r="BE167">
        <v>4.2591552910817903E-3</v>
      </c>
      <c r="BF167">
        <f>IF(AK167&lt;BE167,1,0)</f>
        <v>0</v>
      </c>
      <c r="BG167">
        <f>IF(AK167&lt;BC167,1,0)</f>
        <v>0</v>
      </c>
      <c r="BH167">
        <f>VLOOKUP($B167,[1]Data_Peer_with_peerVars!$B$2:$Z$1050,20,FALSE)</f>
        <v>5</v>
      </c>
      <c r="BI167">
        <f>VLOOKUP($B167,[1]Data_Peer_with_peerVars!$B$2:$Z$1050,21,FALSE)</f>
        <v>4</v>
      </c>
      <c r="BJ167">
        <f>VLOOKUP($B167,[1]Data_Peer_with_peerVars!$B$2:$Z$1050,22,FALSE)</f>
        <v>0.8</v>
      </c>
      <c r="BK167">
        <f>VLOOKUP($B167,[1]Data_Peer_with_peerVars!$B$2:$Z$1050,23,FALSE)</f>
        <v>5</v>
      </c>
      <c r="BL167">
        <f>VLOOKUP($B167,[1]Data_Peer_with_peerVars!$B$2:$Z$1050,24,FALSE)</f>
        <v>4</v>
      </c>
      <c r="BM167">
        <f>VLOOKUP($B167,[1]Data_Peer_with_peerVars!$B$2:$Z$1050,25,FALSE)</f>
        <v>0.8</v>
      </c>
    </row>
    <row r="168" spans="1:65" x14ac:dyDescent="0.2">
      <c r="A168">
        <v>1</v>
      </c>
      <c r="B168" t="s">
        <v>359</v>
      </c>
      <c r="C168">
        <v>88</v>
      </c>
      <c r="D168" t="s">
        <v>155</v>
      </c>
      <c r="E168">
        <v>0</v>
      </c>
      <c r="F168" s="14" t="s">
        <v>82</v>
      </c>
      <c r="G168" s="14" t="s">
        <v>82</v>
      </c>
      <c r="H168" s="1">
        <v>7</v>
      </c>
      <c r="I168" t="s">
        <v>87</v>
      </c>
      <c r="J168" t="s">
        <v>111</v>
      </c>
      <c r="K168" t="s">
        <v>109</v>
      </c>
      <c r="L168">
        <v>1</v>
      </c>
      <c r="M168">
        <v>1</v>
      </c>
      <c r="N168">
        <v>0</v>
      </c>
      <c r="O168">
        <v>0</v>
      </c>
      <c r="P168">
        <v>0</v>
      </c>
      <c r="Q168">
        <v>6</v>
      </c>
      <c r="R168">
        <v>0</v>
      </c>
      <c r="S168">
        <v>0</v>
      </c>
      <c r="T168">
        <v>0</v>
      </c>
      <c r="U168">
        <v>0</v>
      </c>
      <c r="V168">
        <f t="shared" si="53"/>
        <v>0</v>
      </c>
      <c r="W168">
        <f t="shared" si="56"/>
        <v>1</v>
      </c>
      <c r="X168">
        <v>1</v>
      </c>
      <c r="Y168">
        <v>1</v>
      </c>
      <c r="Z168" t="s">
        <v>76</v>
      </c>
      <c r="AA168" s="5" t="s">
        <v>76</v>
      </c>
      <c r="AB168" s="5" t="s">
        <v>76</v>
      </c>
      <c r="AC168" t="s">
        <v>74</v>
      </c>
      <c r="AD168" t="s">
        <v>76</v>
      </c>
      <c r="AE168" s="5" t="s">
        <v>76</v>
      </c>
      <c r="AF168" t="s">
        <v>120</v>
      </c>
      <c r="AG168" t="s">
        <v>75</v>
      </c>
      <c r="AH168">
        <f t="shared" si="68"/>
        <v>8.3378895999999994E-2</v>
      </c>
      <c r="AI168">
        <f>AJ168</f>
        <v>8.3378895999999994E-2</v>
      </c>
      <c r="AJ168">
        <f>AL168</f>
        <v>8.3378895999999994E-2</v>
      </c>
      <c r="AK168">
        <v>7.5932020000000003E-2</v>
      </c>
      <c r="AL168">
        <v>8.3378895999999994E-2</v>
      </c>
      <c r="AM168">
        <v>0.11092895999999999</v>
      </c>
      <c r="AN168">
        <v>0.11247948000000001</v>
      </c>
      <c r="AO168">
        <v>92.406797999999995</v>
      </c>
      <c r="AP168">
        <v>91.662110400000003</v>
      </c>
      <c r="AQ168">
        <v>88.907104000000004</v>
      </c>
      <c r="AR168">
        <v>88.752052000000006</v>
      </c>
      <c r="AS168" t="b">
        <v>0</v>
      </c>
      <c r="AT168" t="b">
        <v>1</v>
      </c>
      <c r="AU168" t="s">
        <v>77</v>
      </c>
      <c r="AV168" t="s">
        <v>77</v>
      </c>
      <c r="AW168" t="s">
        <v>79</v>
      </c>
      <c r="AX168" t="s">
        <v>249</v>
      </c>
      <c r="AY168" t="s">
        <v>254</v>
      </c>
      <c r="AZ168" t="s">
        <v>109</v>
      </c>
      <c r="BA168">
        <v>9</v>
      </c>
      <c r="BB168">
        <v>2.8</v>
      </c>
      <c r="BC168">
        <v>2.4738868000000001E-3</v>
      </c>
      <c r="BD168">
        <v>1.4256942275279999E-4</v>
      </c>
      <c r="BE168">
        <v>2.6164562227527998E-3</v>
      </c>
      <c r="BF168">
        <f>IF(AK168&lt;BE168,1,0)</f>
        <v>0</v>
      </c>
      <c r="BG168">
        <f>IF(AK168&lt;BC168,1,0)</f>
        <v>0</v>
      </c>
      <c r="BH168">
        <f>VLOOKUP($B168,[1]Data_Peer_with_peerVars!$B$2:$Z$1050,20,FALSE)</f>
        <v>8</v>
      </c>
      <c r="BI168">
        <f>VLOOKUP($B168,[1]Data_Peer_with_peerVars!$B$2:$Z$1050,21,FALSE)</f>
        <v>6</v>
      </c>
      <c r="BJ168">
        <f>VLOOKUP($B168,[1]Data_Peer_with_peerVars!$B$2:$Z$1050,22,FALSE)</f>
        <v>0.75</v>
      </c>
      <c r="BK168">
        <f>VLOOKUP($B168,[1]Data_Peer_with_peerVars!$B$2:$Z$1050,23,FALSE)</f>
        <v>61</v>
      </c>
      <c r="BL168">
        <f>VLOOKUP($B168,[1]Data_Peer_with_peerVars!$B$2:$Z$1050,24,FALSE)</f>
        <v>42</v>
      </c>
      <c r="BM168">
        <f>VLOOKUP($B168,[1]Data_Peer_with_peerVars!$B$2:$Z$1050,25,FALSE)</f>
        <v>0.68852458999999999</v>
      </c>
    </row>
    <row r="169" spans="1:65" x14ac:dyDescent="0.2">
      <c r="A169">
        <v>1</v>
      </c>
      <c r="B169" t="s">
        <v>360</v>
      </c>
      <c r="C169">
        <v>88</v>
      </c>
      <c r="D169" t="s">
        <v>155</v>
      </c>
      <c r="E169">
        <v>0</v>
      </c>
      <c r="F169" s="14" t="s">
        <v>82</v>
      </c>
      <c r="G169" s="14" t="s">
        <v>82</v>
      </c>
      <c r="H169" s="1">
        <v>7</v>
      </c>
      <c r="I169" t="s">
        <v>87</v>
      </c>
      <c r="J169" t="s">
        <v>111</v>
      </c>
      <c r="K169" t="s">
        <v>109</v>
      </c>
      <c r="L169">
        <v>1</v>
      </c>
      <c r="M169">
        <v>1</v>
      </c>
      <c r="N169">
        <v>0</v>
      </c>
      <c r="O169">
        <v>0</v>
      </c>
      <c r="P169">
        <v>0</v>
      </c>
      <c r="Q169">
        <v>6</v>
      </c>
      <c r="R169">
        <v>0</v>
      </c>
      <c r="S169">
        <v>0</v>
      </c>
      <c r="T169">
        <v>0</v>
      </c>
      <c r="U169">
        <v>0</v>
      </c>
      <c r="V169">
        <f t="shared" si="53"/>
        <v>1</v>
      </c>
      <c r="W169">
        <v>1</v>
      </c>
      <c r="X169">
        <v>1</v>
      </c>
      <c r="Y169">
        <v>1</v>
      </c>
      <c r="Z169" t="s">
        <v>287</v>
      </c>
      <c r="AA169" s="5" t="s">
        <v>287</v>
      </c>
      <c r="AB169" s="5" t="s">
        <v>287</v>
      </c>
      <c r="AC169" t="s">
        <v>287</v>
      </c>
      <c r="AD169" t="s">
        <v>137</v>
      </c>
      <c r="AE169" s="5" t="s">
        <v>305</v>
      </c>
      <c r="AF169" t="s">
        <v>91</v>
      </c>
      <c r="AG169" t="s">
        <v>113</v>
      </c>
      <c r="AH169">
        <f t="shared" si="68"/>
        <v>4.2053524000000002E-2</v>
      </c>
      <c r="AI169">
        <f>AJ169</f>
        <v>4.2053524000000002E-2</v>
      </c>
      <c r="AJ169">
        <f t="shared" si="55"/>
        <v>4.2053524000000002E-2</v>
      </c>
      <c r="AK169">
        <v>4.2053524000000002E-2</v>
      </c>
      <c r="AL169">
        <v>0.10922993</v>
      </c>
      <c r="AM169">
        <v>0.12171772</v>
      </c>
      <c r="AN169">
        <v>0.12527473</v>
      </c>
      <c r="AO169">
        <v>95.794647600000005</v>
      </c>
      <c r="AP169">
        <v>89.077006999999995</v>
      </c>
      <c r="AQ169">
        <v>87.828227999999996</v>
      </c>
      <c r="AR169">
        <v>87.472526999999999</v>
      </c>
      <c r="AS169" t="b">
        <v>1</v>
      </c>
      <c r="AT169" t="b">
        <v>0</v>
      </c>
      <c r="AU169" t="s">
        <v>77</v>
      </c>
      <c r="AV169" t="s">
        <v>108</v>
      </c>
      <c r="AW169" t="s">
        <v>79</v>
      </c>
      <c r="AX169" t="s">
        <v>249</v>
      </c>
      <c r="AY169" t="s">
        <v>254</v>
      </c>
      <c r="AZ169" t="s">
        <v>109</v>
      </c>
      <c r="BA169">
        <v>2</v>
      </c>
      <c r="BB169">
        <v>0.15</v>
      </c>
      <c r="BC169">
        <v>5.5106750000000003E-2</v>
      </c>
      <c r="BD169">
        <v>2.4361461616194298E-3</v>
      </c>
      <c r="BE169">
        <v>5.7542896161619402E-2</v>
      </c>
      <c r="BF169">
        <f>IF(AK169&lt;BE169,1,0)</f>
        <v>1</v>
      </c>
      <c r="BG169">
        <f>IF(AK169&lt;BC169,1,0)</f>
        <v>1</v>
      </c>
      <c r="BH169">
        <f>VLOOKUP($B169,[1]Data_Peer_with_peerVars!$B$2:$Z$1050,20,FALSE)</f>
        <v>8</v>
      </c>
      <c r="BI169">
        <f>VLOOKUP($B169,[1]Data_Peer_with_peerVars!$B$2:$Z$1050,21,FALSE)</f>
        <v>6</v>
      </c>
      <c r="BJ169">
        <f>VLOOKUP($B169,[1]Data_Peer_with_peerVars!$B$2:$Z$1050,22,FALSE)</f>
        <v>0.75</v>
      </c>
      <c r="BK169">
        <f>VLOOKUP($B169,[1]Data_Peer_with_peerVars!$B$2:$Z$1050,23,FALSE)</f>
        <v>61</v>
      </c>
      <c r="BL169">
        <f>VLOOKUP($B169,[1]Data_Peer_with_peerVars!$B$2:$Z$1050,24,FALSE)</f>
        <v>42</v>
      </c>
      <c r="BM169">
        <f>VLOOKUP($B169,[1]Data_Peer_with_peerVars!$B$2:$Z$1050,25,FALSE)</f>
        <v>0.68852458999999999</v>
      </c>
    </row>
    <row r="170" spans="1:65" x14ac:dyDescent="0.2">
      <c r="A170">
        <v>1</v>
      </c>
      <c r="B170" t="s">
        <v>361</v>
      </c>
      <c r="C170">
        <v>88</v>
      </c>
      <c r="D170" t="s">
        <v>155</v>
      </c>
      <c r="E170">
        <v>0</v>
      </c>
      <c r="F170" s="14" t="s">
        <v>82</v>
      </c>
      <c r="G170" s="14" t="s">
        <v>82</v>
      </c>
      <c r="H170" s="1">
        <v>7</v>
      </c>
      <c r="I170" t="s">
        <v>87</v>
      </c>
      <c r="J170" t="s">
        <v>111</v>
      </c>
      <c r="K170" t="s">
        <v>109</v>
      </c>
      <c r="L170">
        <v>1</v>
      </c>
      <c r="M170">
        <v>1</v>
      </c>
      <c r="N170">
        <v>0</v>
      </c>
      <c r="O170">
        <v>0</v>
      </c>
      <c r="P170">
        <v>0</v>
      </c>
      <c r="Q170">
        <v>6</v>
      </c>
      <c r="R170">
        <v>0</v>
      </c>
      <c r="S170">
        <v>0</v>
      </c>
      <c r="T170">
        <v>0</v>
      </c>
      <c r="U170">
        <v>0</v>
      </c>
      <c r="V170">
        <f t="shared" si="53"/>
        <v>0</v>
      </c>
      <c r="W170">
        <f t="shared" si="56"/>
        <v>0</v>
      </c>
      <c r="X170">
        <f t="shared" si="58"/>
        <v>0</v>
      </c>
      <c r="Y170">
        <f t="shared" si="59"/>
        <v>0</v>
      </c>
      <c r="Z170" t="s">
        <v>170</v>
      </c>
      <c r="AA170" s="5" t="s">
        <v>170</v>
      </c>
      <c r="AB170" s="5" t="s">
        <v>362</v>
      </c>
      <c r="AC170" t="s">
        <v>101</v>
      </c>
      <c r="AD170" t="s">
        <v>99</v>
      </c>
      <c r="AE170" s="5" t="s">
        <v>99</v>
      </c>
      <c r="AF170" t="s">
        <v>103</v>
      </c>
      <c r="AG170" t="s">
        <v>102</v>
      </c>
      <c r="AH170">
        <f t="shared" ref="AH170:AH171" si="70">AI170</f>
        <v>5.6718062999999999E-2</v>
      </c>
      <c r="AI170">
        <f t="shared" ref="AI170:AI171" si="71">AJ170</f>
        <v>5.6718062999999999E-2</v>
      </c>
      <c r="AJ170">
        <f t="shared" si="55"/>
        <v>5.6718062999999999E-2</v>
      </c>
      <c r="AK170">
        <v>5.6718062999999999E-2</v>
      </c>
      <c r="AL170">
        <v>8.3840620000000005E-2</v>
      </c>
      <c r="AM170">
        <v>9.8060939999999999E-2</v>
      </c>
      <c r="AN170">
        <v>0.12733259999999999</v>
      </c>
      <c r="AO170">
        <v>94.3281937</v>
      </c>
      <c r="AP170">
        <v>91.615938</v>
      </c>
      <c r="AQ170">
        <v>90.193905999999998</v>
      </c>
      <c r="AR170">
        <v>87.266739999999999</v>
      </c>
      <c r="AS170" t="b">
        <v>0</v>
      </c>
      <c r="AT170" t="b">
        <v>0</v>
      </c>
      <c r="AU170" t="s">
        <v>92</v>
      </c>
      <c r="AV170" t="s">
        <v>92</v>
      </c>
      <c r="AW170" t="s">
        <v>79</v>
      </c>
      <c r="AX170" t="s">
        <v>249</v>
      </c>
      <c r="AY170" t="s">
        <v>254</v>
      </c>
      <c r="AZ170" t="s">
        <v>109</v>
      </c>
      <c r="BA170">
        <v>6</v>
      </c>
      <c r="BB170">
        <v>1.2E-2</v>
      </c>
      <c r="BC170">
        <v>1.4096186E-2</v>
      </c>
      <c r="BD170">
        <v>1.55088650053763E-3</v>
      </c>
      <c r="BE170">
        <v>1.5647072500537599E-2</v>
      </c>
      <c r="BF170">
        <f>IF(AK170&lt;BE170,1,0)</f>
        <v>0</v>
      </c>
      <c r="BG170">
        <f>IF(AK170&lt;BC170,1,0)</f>
        <v>0</v>
      </c>
      <c r="BH170">
        <f>VLOOKUP($B170,[1]Data_Peer_with_peerVars!$B$2:$Z$1050,20,FALSE)</f>
        <v>8</v>
      </c>
      <c r="BI170">
        <f>VLOOKUP($B170,[1]Data_Peer_with_peerVars!$B$2:$Z$1050,21,FALSE)</f>
        <v>6</v>
      </c>
      <c r="BJ170">
        <f>VLOOKUP($B170,[1]Data_Peer_with_peerVars!$B$2:$Z$1050,22,FALSE)</f>
        <v>0.75</v>
      </c>
      <c r="BK170">
        <f>VLOOKUP($B170,[1]Data_Peer_with_peerVars!$B$2:$Z$1050,23,FALSE)</f>
        <v>61</v>
      </c>
      <c r="BL170">
        <f>VLOOKUP($B170,[1]Data_Peer_with_peerVars!$B$2:$Z$1050,24,FALSE)</f>
        <v>42</v>
      </c>
      <c r="BM170">
        <f>VLOOKUP($B170,[1]Data_Peer_with_peerVars!$B$2:$Z$1050,25,FALSE)</f>
        <v>0.68852458999999999</v>
      </c>
    </row>
    <row r="171" spans="1:65" x14ac:dyDescent="0.2">
      <c r="A171">
        <v>1</v>
      </c>
      <c r="B171" t="s">
        <v>363</v>
      </c>
      <c r="C171">
        <v>88</v>
      </c>
      <c r="D171" t="s">
        <v>155</v>
      </c>
      <c r="E171">
        <v>0</v>
      </c>
      <c r="F171" s="14" t="s">
        <v>82</v>
      </c>
      <c r="G171" s="14" t="s">
        <v>82</v>
      </c>
      <c r="H171" s="1">
        <v>7</v>
      </c>
      <c r="I171" t="s">
        <v>87</v>
      </c>
      <c r="J171" t="s">
        <v>111</v>
      </c>
      <c r="K171" t="s">
        <v>109</v>
      </c>
      <c r="L171">
        <v>1</v>
      </c>
      <c r="M171">
        <v>1</v>
      </c>
      <c r="N171">
        <v>0</v>
      </c>
      <c r="O171">
        <v>0</v>
      </c>
      <c r="P171">
        <v>0</v>
      </c>
      <c r="Q171">
        <v>6</v>
      </c>
      <c r="R171">
        <v>0</v>
      </c>
      <c r="S171">
        <v>0</v>
      </c>
      <c r="T171">
        <v>0</v>
      </c>
      <c r="U171">
        <v>0</v>
      </c>
      <c r="V171">
        <f t="shared" si="53"/>
        <v>0</v>
      </c>
      <c r="W171">
        <f t="shared" si="56"/>
        <v>0</v>
      </c>
      <c r="X171">
        <f t="shared" si="58"/>
        <v>0</v>
      </c>
      <c r="Y171">
        <f t="shared" si="59"/>
        <v>0</v>
      </c>
      <c r="Z171" t="s">
        <v>170</v>
      </c>
      <c r="AA171" s="5" t="s">
        <v>170</v>
      </c>
      <c r="AB171" s="5" t="s">
        <v>364</v>
      </c>
      <c r="AC171" t="s">
        <v>101</v>
      </c>
      <c r="AD171" t="s">
        <v>99</v>
      </c>
      <c r="AE171" s="5" t="s">
        <v>99</v>
      </c>
      <c r="AF171" t="s">
        <v>103</v>
      </c>
      <c r="AG171" t="s">
        <v>102</v>
      </c>
      <c r="AH171">
        <f t="shared" si="70"/>
        <v>5.6899394999999998E-2</v>
      </c>
      <c r="AI171">
        <f t="shared" si="71"/>
        <v>5.6899394999999998E-2</v>
      </c>
      <c r="AJ171">
        <f t="shared" si="55"/>
        <v>5.6899394999999998E-2</v>
      </c>
      <c r="AK171">
        <v>5.6899394999999998E-2</v>
      </c>
      <c r="AL171">
        <v>8.3747920000000003E-2</v>
      </c>
      <c r="AM171">
        <v>9.8174780000000003E-2</v>
      </c>
      <c r="AN171">
        <v>0.12739724999999999</v>
      </c>
      <c r="AO171">
        <v>94.310060500000006</v>
      </c>
      <c r="AP171">
        <v>91.625208000000001</v>
      </c>
      <c r="AQ171">
        <v>90.182522000000006</v>
      </c>
      <c r="AR171">
        <v>87.260274999999993</v>
      </c>
      <c r="AS171" t="b">
        <v>0</v>
      </c>
      <c r="AT171" t="b">
        <v>0</v>
      </c>
      <c r="AU171" t="s">
        <v>92</v>
      </c>
      <c r="AV171" t="s">
        <v>92</v>
      </c>
      <c r="AW171" t="s">
        <v>79</v>
      </c>
      <c r="AX171" t="s">
        <v>249</v>
      </c>
      <c r="AY171" t="s">
        <v>254</v>
      </c>
      <c r="AZ171" t="s">
        <v>109</v>
      </c>
      <c r="BA171">
        <v>2</v>
      </c>
      <c r="BB171">
        <v>1.2E-2</v>
      </c>
      <c r="BC171">
        <v>1.4096186E-2</v>
      </c>
      <c r="BD171">
        <v>1.55088650053763E-3</v>
      </c>
      <c r="BE171">
        <v>1.5647072500537599E-2</v>
      </c>
      <c r="BF171">
        <f>IF(AK171&lt;BE171,1,0)</f>
        <v>0</v>
      </c>
      <c r="BG171">
        <f>IF(AK171&lt;BC171,1,0)</f>
        <v>0</v>
      </c>
      <c r="BH171">
        <f>VLOOKUP($B171,[1]Data_Peer_with_peerVars!$B$2:$Z$1050,20,FALSE)</f>
        <v>8</v>
      </c>
      <c r="BI171">
        <f>VLOOKUP($B171,[1]Data_Peer_with_peerVars!$B$2:$Z$1050,21,FALSE)</f>
        <v>6</v>
      </c>
      <c r="BJ171">
        <f>VLOOKUP($B171,[1]Data_Peer_with_peerVars!$B$2:$Z$1050,22,FALSE)</f>
        <v>0.75</v>
      </c>
      <c r="BK171">
        <f>VLOOKUP($B171,[1]Data_Peer_with_peerVars!$B$2:$Z$1050,23,FALSE)</f>
        <v>61</v>
      </c>
      <c r="BL171">
        <f>VLOOKUP($B171,[1]Data_Peer_with_peerVars!$B$2:$Z$1050,24,FALSE)</f>
        <v>42</v>
      </c>
      <c r="BM171">
        <f>VLOOKUP($B171,[1]Data_Peer_with_peerVars!$B$2:$Z$1050,25,FALSE)</f>
        <v>0.68852458999999999</v>
      </c>
    </row>
    <row r="172" spans="1:65" x14ac:dyDescent="0.2">
      <c r="A172">
        <v>1</v>
      </c>
      <c r="B172" t="s">
        <v>365</v>
      </c>
      <c r="C172">
        <v>88</v>
      </c>
      <c r="D172" t="s">
        <v>155</v>
      </c>
      <c r="E172">
        <v>0</v>
      </c>
      <c r="F172" s="14" t="s">
        <v>82</v>
      </c>
      <c r="G172" s="14" t="s">
        <v>82</v>
      </c>
      <c r="H172" s="1">
        <v>7</v>
      </c>
      <c r="I172" t="s">
        <v>87</v>
      </c>
      <c r="J172" t="s">
        <v>111</v>
      </c>
      <c r="K172" t="s">
        <v>109</v>
      </c>
      <c r="L172">
        <v>1</v>
      </c>
      <c r="M172">
        <v>1</v>
      </c>
      <c r="N172">
        <v>0</v>
      </c>
      <c r="O172">
        <v>0</v>
      </c>
      <c r="P172">
        <v>0</v>
      </c>
      <c r="Q172">
        <v>6</v>
      </c>
      <c r="R172">
        <v>0</v>
      </c>
      <c r="S172">
        <v>0</v>
      </c>
      <c r="T172">
        <v>0</v>
      </c>
      <c r="U172">
        <v>0</v>
      </c>
      <c r="V172">
        <f t="shared" si="53"/>
        <v>1</v>
      </c>
      <c r="W172">
        <v>1</v>
      </c>
      <c r="X172">
        <v>1</v>
      </c>
      <c r="Y172">
        <v>1</v>
      </c>
      <c r="Z172" t="s">
        <v>103</v>
      </c>
      <c r="AA172" s="5" t="s">
        <v>103</v>
      </c>
      <c r="AB172" s="5" t="s">
        <v>103</v>
      </c>
      <c r="AC172" t="s">
        <v>103</v>
      </c>
      <c r="AD172" t="s">
        <v>101</v>
      </c>
      <c r="AE172" s="5" t="s">
        <v>101</v>
      </c>
      <c r="AF172" t="s">
        <v>99</v>
      </c>
      <c r="AG172" t="s">
        <v>137</v>
      </c>
      <c r="AH172">
        <f>AI172</f>
        <v>1.6235553E-2</v>
      </c>
      <c r="AI172">
        <f>AJ172</f>
        <v>1.6235553E-2</v>
      </c>
      <c r="AJ172">
        <f t="shared" si="55"/>
        <v>1.6235553E-2</v>
      </c>
      <c r="AK172">
        <v>1.6235553E-2</v>
      </c>
      <c r="AL172">
        <v>8.1229419999999997E-2</v>
      </c>
      <c r="AM172">
        <v>0.11258277999999999</v>
      </c>
      <c r="AN172">
        <v>0.12377049</v>
      </c>
      <c r="AO172">
        <v>98.376444699999993</v>
      </c>
      <c r="AP172">
        <v>91.877058000000005</v>
      </c>
      <c r="AQ172">
        <v>88.741721999999996</v>
      </c>
      <c r="AR172">
        <v>87.622951</v>
      </c>
      <c r="AS172" t="b">
        <v>1</v>
      </c>
      <c r="AT172" t="b">
        <v>0</v>
      </c>
      <c r="AU172" t="s">
        <v>77</v>
      </c>
      <c r="AV172" t="s">
        <v>77</v>
      </c>
      <c r="AW172" t="s">
        <v>79</v>
      </c>
      <c r="AX172" t="s">
        <v>249</v>
      </c>
      <c r="AY172" t="s">
        <v>254</v>
      </c>
      <c r="AZ172" t="s">
        <v>109</v>
      </c>
      <c r="BA172">
        <v>4</v>
      </c>
      <c r="BB172">
        <v>1.2E-2</v>
      </c>
      <c r="BC172">
        <v>1.8406593999999998E-2</v>
      </c>
      <c r="BD172">
        <v>3.30705390234067E-4</v>
      </c>
      <c r="BE172">
        <v>1.8737299390234101E-2</v>
      </c>
      <c r="BF172">
        <f>IF(AK172&lt;BE172,1,0)</f>
        <v>1</v>
      </c>
      <c r="BG172">
        <f>IF(AK172&lt;BC172,1,0)</f>
        <v>1</v>
      </c>
      <c r="BH172">
        <f>VLOOKUP($B172,[1]Data_Peer_with_peerVars!$B$2:$Z$1050,20,FALSE)</f>
        <v>8</v>
      </c>
      <c r="BI172">
        <f>VLOOKUP($B172,[1]Data_Peer_with_peerVars!$B$2:$Z$1050,21,FALSE)</f>
        <v>6</v>
      </c>
      <c r="BJ172">
        <f>VLOOKUP($B172,[1]Data_Peer_with_peerVars!$B$2:$Z$1050,22,FALSE)</f>
        <v>0.75</v>
      </c>
      <c r="BK172">
        <f>VLOOKUP($B172,[1]Data_Peer_with_peerVars!$B$2:$Z$1050,23,FALSE)</f>
        <v>61</v>
      </c>
      <c r="BL172">
        <f>VLOOKUP($B172,[1]Data_Peer_with_peerVars!$B$2:$Z$1050,24,FALSE)</f>
        <v>42</v>
      </c>
      <c r="BM172">
        <f>VLOOKUP($B172,[1]Data_Peer_with_peerVars!$B$2:$Z$1050,25,FALSE)</f>
        <v>0.68852458999999999</v>
      </c>
    </row>
    <row r="173" spans="1:65" x14ac:dyDescent="0.2">
      <c r="A173">
        <v>1</v>
      </c>
      <c r="B173" t="s">
        <v>366</v>
      </c>
      <c r="C173">
        <v>89</v>
      </c>
      <c r="D173" t="s">
        <v>155</v>
      </c>
      <c r="E173">
        <v>0</v>
      </c>
      <c r="F173" s="14" t="s">
        <v>82</v>
      </c>
      <c r="G173" s="14" t="s">
        <v>82</v>
      </c>
      <c r="H173" s="1">
        <v>6</v>
      </c>
      <c r="I173" t="s">
        <v>70</v>
      </c>
      <c r="J173" t="s">
        <v>71</v>
      </c>
      <c r="K173" t="s">
        <v>72</v>
      </c>
      <c r="L173">
        <v>1</v>
      </c>
      <c r="M173">
        <v>1</v>
      </c>
      <c r="N173">
        <v>0</v>
      </c>
      <c r="O173">
        <v>0</v>
      </c>
      <c r="P173">
        <v>0</v>
      </c>
      <c r="Q173">
        <v>4</v>
      </c>
      <c r="R173">
        <v>0</v>
      </c>
      <c r="S173">
        <v>0</v>
      </c>
      <c r="T173">
        <v>0</v>
      </c>
      <c r="U173">
        <v>0</v>
      </c>
      <c r="V173">
        <f t="shared" si="53"/>
        <v>0</v>
      </c>
      <c r="W173">
        <f t="shared" si="56"/>
        <v>0</v>
      </c>
      <c r="X173">
        <f t="shared" si="58"/>
        <v>0</v>
      </c>
      <c r="Y173">
        <f t="shared" si="59"/>
        <v>0</v>
      </c>
      <c r="Z173" t="s">
        <v>89</v>
      </c>
      <c r="AA173" s="5" t="s">
        <v>273</v>
      </c>
      <c r="AB173" s="5" t="s">
        <v>273</v>
      </c>
      <c r="AC173" t="s">
        <v>76</v>
      </c>
      <c r="AD173" t="s">
        <v>74</v>
      </c>
      <c r="AE173" s="5" t="s">
        <v>241</v>
      </c>
      <c r="AF173" t="s">
        <v>120</v>
      </c>
      <c r="AG173" t="s">
        <v>75</v>
      </c>
      <c r="AH173">
        <f t="shared" ref="AH173:AH176" si="72">AI173</f>
        <v>8.6018570000000003E-2</v>
      </c>
      <c r="AI173">
        <f t="shared" ref="AI173:AI176" si="73">AJ173</f>
        <v>8.6018570000000003E-2</v>
      </c>
      <c r="AJ173">
        <f t="shared" si="55"/>
        <v>8.6018570000000003E-2</v>
      </c>
      <c r="AK173">
        <v>8.6018570000000003E-2</v>
      </c>
      <c r="AL173">
        <v>8.6575343999999999E-2</v>
      </c>
      <c r="AM173">
        <v>0.11878755000000001</v>
      </c>
      <c r="AN173">
        <v>0.12062363</v>
      </c>
      <c r="AO173">
        <v>91.398143000000005</v>
      </c>
      <c r="AP173">
        <v>91.342465599999997</v>
      </c>
      <c r="AQ173">
        <v>88.121245000000002</v>
      </c>
      <c r="AR173">
        <v>87.937636999999995</v>
      </c>
      <c r="AS173" t="b">
        <v>0</v>
      </c>
      <c r="AT173" t="b">
        <v>0</v>
      </c>
      <c r="AU173" t="s">
        <v>92</v>
      </c>
      <c r="AV173" t="s">
        <v>92</v>
      </c>
      <c r="AW173" t="s">
        <v>79</v>
      </c>
      <c r="AX173" t="s">
        <v>249</v>
      </c>
      <c r="AY173" t="s">
        <v>281</v>
      </c>
      <c r="AZ173" t="s">
        <v>72</v>
      </c>
      <c r="BA173" t="s">
        <v>82</v>
      </c>
      <c r="BB173">
        <v>2</v>
      </c>
      <c r="BC173">
        <v>7.7070764999999999E-2</v>
      </c>
      <c r="BD173">
        <v>1.90190515067399E-3</v>
      </c>
      <c r="BE173">
        <v>7.8972670150673996E-2</v>
      </c>
      <c r="BF173">
        <f>IF(AK173&lt;BE173,1,0)</f>
        <v>0</v>
      </c>
      <c r="BG173">
        <f>IF(AK173&lt;BC173,1,0)</f>
        <v>0</v>
      </c>
      <c r="BH173">
        <f>VLOOKUP($B173,[1]Data_Peer_with_peerVars!$B$2:$Z$1050,20,FALSE)</f>
        <v>0</v>
      </c>
      <c r="BI173">
        <f>VLOOKUP($B173,[1]Data_Peer_with_peerVars!$B$2:$Z$1050,21,FALSE)</f>
        <v>0</v>
      </c>
      <c r="BJ173">
        <v>0</v>
      </c>
      <c r="BK173">
        <f>VLOOKUP($B173,[1]Data_Peer_with_peerVars!$B$2:$Z$1050,23,FALSE)</f>
        <v>39</v>
      </c>
      <c r="BL173">
        <f>VLOOKUP($B173,[1]Data_Peer_with_peerVars!$B$2:$Z$1050,24,FALSE)</f>
        <v>30</v>
      </c>
      <c r="BM173">
        <f>VLOOKUP($B173,[1]Data_Peer_with_peerVars!$B$2:$Z$1050,25,FALSE)</f>
        <v>0.76923076899999998</v>
      </c>
    </row>
    <row r="174" spans="1:65" x14ac:dyDescent="0.2">
      <c r="A174">
        <v>1</v>
      </c>
      <c r="B174" t="s">
        <v>367</v>
      </c>
      <c r="C174">
        <v>89</v>
      </c>
      <c r="D174" t="s">
        <v>155</v>
      </c>
      <c r="E174">
        <v>0</v>
      </c>
      <c r="F174" s="14" t="s">
        <v>82</v>
      </c>
      <c r="G174" s="14" t="s">
        <v>82</v>
      </c>
      <c r="H174" s="1">
        <v>6</v>
      </c>
      <c r="I174" t="s">
        <v>70</v>
      </c>
      <c r="J174" t="s">
        <v>71</v>
      </c>
      <c r="K174" t="s">
        <v>72</v>
      </c>
      <c r="L174">
        <v>1</v>
      </c>
      <c r="M174">
        <v>1</v>
      </c>
      <c r="N174">
        <v>0</v>
      </c>
      <c r="O174">
        <v>0</v>
      </c>
      <c r="P174">
        <v>0</v>
      </c>
      <c r="Q174">
        <v>4</v>
      </c>
      <c r="R174">
        <v>0</v>
      </c>
      <c r="S174">
        <v>0</v>
      </c>
      <c r="T174">
        <v>1</v>
      </c>
      <c r="U174">
        <v>1</v>
      </c>
      <c r="V174">
        <f t="shared" si="53"/>
        <v>0</v>
      </c>
      <c r="W174">
        <f t="shared" si="56"/>
        <v>0</v>
      </c>
      <c r="X174">
        <f t="shared" si="58"/>
        <v>0</v>
      </c>
      <c r="Y174">
        <f t="shared" si="59"/>
        <v>0</v>
      </c>
      <c r="Z174" t="s">
        <v>89</v>
      </c>
      <c r="AA174" s="5" t="s">
        <v>268</v>
      </c>
      <c r="AB174" s="5" t="s">
        <v>268</v>
      </c>
      <c r="AC174" t="s">
        <v>73</v>
      </c>
      <c r="AD174" t="s">
        <v>94</v>
      </c>
      <c r="AE174" s="5" t="s">
        <v>106</v>
      </c>
      <c r="AF174" t="s">
        <v>107</v>
      </c>
      <c r="AG174" t="s">
        <v>95</v>
      </c>
      <c r="AH174">
        <f t="shared" si="72"/>
        <v>3.8167940000000001E-3</v>
      </c>
      <c r="AI174">
        <f t="shared" si="73"/>
        <v>3.8167940000000001E-3</v>
      </c>
      <c r="AJ174">
        <f t="shared" si="55"/>
        <v>3.8167940000000001E-3</v>
      </c>
      <c r="AK174">
        <v>3.8167940000000001E-3</v>
      </c>
      <c r="AL174">
        <v>0.13196722</v>
      </c>
      <c r="AM174">
        <v>0.13623904000000001</v>
      </c>
      <c r="AN174">
        <v>0.13894967999999999</v>
      </c>
      <c r="AO174">
        <v>99.618320600000004</v>
      </c>
      <c r="AP174">
        <v>86.803278000000006</v>
      </c>
      <c r="AQ174">
        <v>86.376096000000004</v>
      </c>
      <c r="AR174">
        <v>86.105031999999994</v>
      </c>
      <c r="AS174" t="b">
        <v>0</v>
      </c>
      <c r="AT174" t="b">
        <v>0</v>
      </c>
      <c r="AU174" t="s">
        <v>92</v>
      </c>
      <c r="AV174" t="s">
        <v>92</v>
      </c>
      <c r="AW174" t="s">
        <v>79</v>
      </c>
      <c r="AX174" t="s">
        <v>249</v>
      </c>
      <c r="AY174" t="s">
        <v>281</v>
      </c>
      <c r="AZ174" t="s">
        <v>72</v>
      </c>
      <c r="BA174" t="s">
        <v>82</v>
      </c>
      <c r="BB174">
        <v>1</v>
      </c>
      <c r="BC174">
        <v>4.1163553999999996E-3</v>
      </c>
      <c r="BD174">
        <v>1.4279989108178799E-4</v>
      </c>
      <c r="BE174">
        <v>4.2591552910817903E-3</v>
      </c>
      <c r="BF174">
        <f>IF(AK174&lt;BE174,1,0)</f>
        <v>1</v>
      </c>
      <c r="BG174">
        <f>IF(AK174&lt;BC174,1,0)</f>
        <v>1</v>
      </c>
      <c r="BH174">
        <f>VLOOKUP($B174,[1]Data_Peer_with_peerVars!$B$2:$Z$1050,20,FALSE)</f>
        <v>0</v>
      </c>
      <c r="BI174">
        <f>VLOOKUP($B174,[1]Data_Peer_with_peerVars!$B$2:$Z$1050,21,FALSE)</f>
        <v>0</v>
      </c>
      <c r="BJ174">
        <v>0</v>
      </c>
      <c r="BK174">
        <f>VLOOKUP($B174,[1]Data_Peer_with_peerVars!$B$2:$Z$1050,23,FALSE)</f>
        <v>39</v>
      </c>
      <c r="BL174">
        <f>VLOOKUP($B174,[1]Data_Peer_with_peerVars!$B$2:$Z$1050,24,FALSE)</f>
        <v>30</v>
      </c>
      <c r="BM174">
        <f>VLOOKUP($B174,[1]Data_Peer_with_peerVars!$B$2:$Z$1050,25,FALSE)</f>
        <v>0.76923076899999998</v>
      </c>
    </row>
    <row r="175" spans="1:65" x14ac:dyDescent="0.2">
      <c r="A175">
        <v>1</v>
      </c>
      <c r="B175" t="s">
        <v>368</v>
      </c>
      <c r="C175">
        <v>90</v>
      </c>
      <c r="D175" t="s">
        <v>155</v>
      </c>
      <c r="E175">
        <v>0</v>
      </c>
      <c r="F175" s="14" t="s">
        <v>82</v>
      </c>
      <c r="G175" s="14" t="s">
        <v>82</v>
      </c>
      <c r="H175" s="1">
        <v>7</v>
      </c>
      <c r="I175" t="s">
        <v>87</v>
      </c>
      <c r="J175" t="s">
        <v>111</v>
      </c>
      <c r="K175" t="s">
        <v>109</v>
      </c>
      <c r="L175">
        <v>1</v>
      </c>
      <c r="M175">
        <v>1</v>
      </c>
      <c r="N175">
        <v>0</v>
      </c>
      <c r="O175">
        <v>0</v>
      </c>
      <c r="P175">
        <v>0</v>
      </c>
      <c r="Q175">
        <v>11</v>
      </c>
      <c r="R175">
        <v>0</v>
      </c>
      <c r="S175">
        <v>0</v>
      </c>
      <c r="T175">
        <v>0</v>
      </c>
      <c r="U175">
        <v>0</v>
      </c>
      <c r="V175">
        <f t="shared" si="53"/>
        <v>1</v>
      </c>
      <c r="W175">
        <v>1</v>
      </c>
      <c r="X175">
        <v>1</v>
      </c>
      <c r="Y175">
        <v>1</v>
      </c>
      <c r="Z175" t="s">
        <v>76</v>
      </c>
      <c r="AA175" s="5" t="s">
        <v>76</v>
      </c>
      <c r="AB175" s="5" t="s">
        <v>76</v>
      </c>
      <c r="AC175" t="s">
        <v>76</v>
      </c>
      <c r="AD175" t="s">
        <v>74</v>
      </c>
      <c r="AE175" s="5" t="s">
        <v>74</v>
      </c>
      <c r="AF175" t="s">
        <v>120</v>
      </c>
      <c r="AG175" t="s">
        <v>75</v>
      </c>
      <c r="AH175">
        <f t="shared" si="72"/>
        <v>8.1738660000000005E-2</v>
      </c>
      <c r="AI175">
        <f t="shared" si="73"/>
        <v>8.1738660000000005E-2</v>
      </c>
      <c r="AJ175">
        <f t="shared" si="55"/>
        <v>8.1738660000000005E-2</v>
      </c>
      <c r="AK175">
        <v>8.1738660000000005E-2</v>
      </c>
      <c r="AL175">
        <v>8.8315963999999997E-2</v>
      </c>
      <c r="AM175">
        <v>0.11864406600000001</v>
      </c>
      <c r="AN175">
        <v>0.12075575</v>
      </c>
      <c r="AO175">
        <v>91.826133999999996</v>
      </c>
      <c r="AP175">
        <v>91.168403600000005</v>
      </c>
      <c r="AQ175">
        <v>88.135593400000005</v>
      </c>
      <c r="AR175">
        <v>87.924424999999999</v>
      </c>
      <c r="AS175" t="b">
        <v>1</v>
      </c>
      <c r="AT175" t="b">
        <v>0</v>
      </c>
      <c r="AU175" t="s">
        <v>77</v>
      </c>
      <c r="AV175" t="s">
        <v>77</v>
      </c>
      <c r="AW175" t="s">
        <v>79</v>
      </c>
      <c r="AX175" t="s">
        <v>249</v>
      </c>
      <c r="AY175" t="s">
        <v>249</v>
      </c>
      <c r="AZ175" t="s">
        <v>109</v>
      </c>
      <c r="BA175">
        <v>2</v>
      </c>
      <c r="BB175">
        <v>3.5</v>
      </c>
      <c r="BC175">
        <v>7.7070764999999999E-2</v>
      </c>
      <c r="BD175">
        <v>1.90190515067399E-3</v>
      </c>
      <c r="BE175">
        <v>7.8972670150673996E-2</v>
      </c>
      <c r="BF175">
        <f>IF(AK175&lt;BE175,1,0)</f>
        <v>0</v>
      </c>
      <c r="BG175">
        <f>IF(AK175&lt;BC175,1,0)</f>
        <v>0</v>
      </c>
      <c r="BH175">
        <f>VLOOKUP($B175,[1]Data_Peer_with_peerVars!$B$2:$Z$1050,20,FALSE)</f>
        <v>12</v>
      </c>
      <c r="BI175">
        <f>VLOOKUP($B175,[1]Data_Peer_with_peerVars!$B$2:$Z$1050,21,FALSE)</f>
        <v>8</v>
      </c>
      <c r="BJ175">
        <f>VLOOKUP($B175,[1]Data_Peer_with_peerVars!$B$2:$Z$1050,22,FALSE)</f>
        <v>0.66666666699999999</v>
      </c>
      <c r="BK175">
        <f>VLOOKUP($B175,[1]Data_Peer_with_peerVars!$B$2:$Z$1050,23,FALSE)</f>
        <v>24</v>
      </c>
      <c r="BL175">
        <f>VLOOKUP($B175,[1]Data_Peer_with_peerVars!$B$2:$Z$1050,24,FALSE)</f>
        <v>17</v>
      </c>
      <c r="BM175">
        <f>VLOOKUP($B175,[1]Data_Peer_with_peerVars!$B$2:$Z$1050,25,FALSE)</f>
        <v>0.70833333300000001</v>
      </c>
    </row>
    <row r="176" spans="1:65" x14ac:dyDescent="0.2">
      <c r="A176">
        <v>1</v>
      </c>
      <c r="B176" t="s">
        <v>369</v>
      </c>
      <c r="C176">
        <v>90</v>
      </c>
      <c r="D176" t="s">
        <v>155</v>
      </c>
      <c r="E176">
        <v>0</v>
      </c>
      <c r="F176" s="14" t="s">
        <v>82</v>
      </c>
      <c r="G176" s="14" t="s">
        <v>82</v>
      </c>
      <c r="H176" s="1">
        <v>7</v>
      </c>
      <c r="I176" t="s">
        <v>87</v>
      </c>
      <c r="J176" t="s">
        <v>111</v>
      </c>
      <c r="K176" t="s">
        <v>109</v>
      </c>
      <c r="L176">
        <v>1</v>
      </c>
      <c r="M176">
        <v>1</v>
      </c>
      <c r="N176">
        <v>0</v>
      </c>
      <c r="O176">
        <v>0</v>
      </c>
      <c r="P176">
        <v>0</v>
      </c>
      <c r="Q176">
        <v>11</v>
      </c>
      <c r="R176">
        <v>0</v>
      </c>
      <c r="S176">
        <v>0</v>
      </c>
      <c r="T176">
        <v>0</v>
      </c>
      <c r="U176">
        <v>0</v>
      </c>
      <c r="V176">
        <f t="shared" si="53"/>
        <v>1</v>
      </c>
      <c r="W176">
        <v>1</v>
      </c>
      <c r="X176">
        <v>1</v>
      </c>
      <c r="Y176">
        <v>1</v>
      </c>
      <c r="Z176" t="s">
        <v>73</v>
      </c>
      <c r="AA176" s="5" t="s">
        <v>73</v>
      </c>
      <c r="AB176" s="5" t="s">
        <v>73</v>
      </c>
      <c r="AC176" t="s">
        <v>73</v>
      </c>
      <c r="AD176" t="s">
        <v>94</v>
      </c>
      <c r="AE176" s="5" t="s">
        <v>94</v>
      </c>
      <c r="AF176" t="s">
        <v>75</v>
      </c>
      <c r="AG176" t="s">
        <v>95</v>
      </c>
      <c r="AH176">
        <f t="shared" si="72"/>
        <v>7.470011E-2</v>
      </c>
      <c r="AI176">
        <f t="shared" si="73"/>
        <v>7.470011E-2</v>
      </c>
      <c r="AJ176">
        <f t="shared" si="55"/>
        <v>7.470011E-2</v>
      </c>
      <c r="AK176">
        <v>7.470011E-2</v>
      </c>
      <c r="AL176">
        <v>0.10780568</v>
      </c>
      <c r="AM176">
        <v>0.13238512</v>
      </c>
      <c r="AN176">
        <v>0.13715847</v>
      </c>
      <c r="AO176">
        <v>92.529989</v>
      </c>
      <c r="AP176">
        <v>89.219431999999998</v>
      </c>
      <c r="AQ176">
        <v>86.761488</v>
      </c>
      <c r="AR176">
        <v>86.284153000000003</v>
      </c>
      <c r="AS176" t="b">
        <v>1</v>
      </c>
      <c r="AT176" t="b">
        <v>0</v>
      </c>
      <c r="AU176" t="s">
        <v>77</v>
      </c>
      <c r="AV176" t="s">
        <v>78</v>
      </c>
      <c r="AW176" t="s">
        <v>79</v>
      </c>
      <c r="AX176" t="s">
        <v>249</v>
      </c>
      <c r="AY176" t="s">
        <v>249</v>
      </c>
      <c r="AZ176" t="s">
        <v>109</v>
      </c>
      <c r="BA176">
        <v>2</v>
      </c>
      <c r="BB176">
        <v>2.8</v>
      </c>
      <c r="BC176">
        <v>4.1163553999999996E-3</v>
      </c>
      <c r="BD176">
        <v>1.4279989108178799E-4</v>
      </c>
      <c r="BE176">
        <v>4.2591552910817903E-3</v>
      </c>
      <c r="BF176">
        <f>IF(AK176&lt;BE176,1,0)</f>
        <v>0</v>
      </c>
      <c r="BG176">
        <f>IF(AK176&lt;BC176,1,0)</f>
        <v>0</v>
      </c>
      <c r="BH176">
        <f>VLOOKUP($B176,[1]Data_Peer_with_peerVars!$B$2:$Z$1050,20,FALSE)</f>
        <v>12</v>
      </c>
      <c r="BI176">
        <f>VLOOKUP($B176,[1]Data_Peer_with_peerVars!$B$2:$Z$1050,21,FALSE)</f>
        <v>8</v>
      </c>
      <c r="BJ176">
        <f>VLOOKUP($B176,[1]Data_Peer_with_peerVars!$B$2:$Z$1050,22,FALSE)</f>
        <v>0.66666666699999999</v>
      </c>
      <c r="BK176">
        <f>VLOOKUP($B176,[1]Data_Peer_with_peerVars!$B$2:$Z$1050,23,FALSE)</f>
        <v>24</v>
      </c>
      <c r="BL176">
        <f>VLOOKUP($B176,[1]Data_Peer_with_peerVars!$B$2:$Z$1050,24,FALSE)</f>
        <v>17</v>
      </c>
      <c r="BM176">
        <f>VLOOKUP($B176,[1]Data_Peer_with_peerVars!$B$2:$Z$1050,25,FALSE)</f>
        <v>0.70833333300000001</v>
      </c>
    </row>
    <row r="177" spans="1:65" x14ac:dyDescent="0.2">
      <c r="A177">
        <v>1</v>
      </c>
      <c r="B177" t="s">
        <v>370</v>
      </c>
      <c r="C177">
        <v>91</v>
      </c>
      <c r="D177" t="s">
        <v>155</v>
      </c>
      <c r="E177">
        <v>0</v>
      </c>
      <c r="F177" s="14" t="s">
        <v>82</v>
      </c>
      <c r="G177" s="14" t="s">
        <v>82</v>
      </c>
      <c r="H177" s="1">
        <v>7</v>
      </c>
      <c r="I177" t="s">
        <v>87</v>
      </c>
      <c r="J177" t="s">
        <v>88</v>
      </c>
      <c r="K177" t="s">
        <v>72</v>
      </c>
      <c r="L177">
        <v>1</v>
      </c>
      <c r="M177">
        <v>1</v>
      </c>
      <c r="N177">
        <v>0</v>
      </c>
      <c r="O177">
        <v>0</v>
      </c>
      <c r="P177">
        <v>0</v>
      </c>
      <c r="Q177">
        <v>1</v>
      </c>
      <c r="R177">
        <v>1</v>
      </c>
      <c r="S177">
        <v>1</v>
      </c>
      <c r="T177">
        <v>1</v>
      </c>
      <c r="U177">
        <v>1</v>
      </c>
      <c r="V177">
        <f t="shared" si="53"/>
        <v>0</v>
      </c>
      <c r="W177">
        <f t="shared" si="56"/>
        <v>0</v>
      </c>
      <c r="X177">
        <f t="shared" si="58"/>
        <v>0</v>
      </c>
      <c r="Y177">
        <f t="shared" si="59"/>
        <v>0</v>
      </c>
      <c r="Z177" t="s">
        <v>177</v>
      </c>
      <c r="AA177" s="5" t="s">
        <v>107</v>
      </c>
      <c r="AB177" s="5" t="s">
        <v>107</v>
      </c>
      <c r="AC177" t="s">
        <v>196</v>
      </c>
      <c r="AD177" t="s">
        <v>198</v>
      </c>
      <c r="AE177" s="5" t="s">
        <v>197</v>
      </c>
      <c r="AF177" t="s">
        <v>173</v>
      </c>
      <c r="AG177" t="s">
        <v>95</v>
      </c>
      <c r="AH177">
        <f>AI177</f>
        <v>2.1655700999999999E-2</v>
      </c>
      <c r="AI177">
        <f>AJ177</f>
        <v>2.1655700999999999E-2</v>
      </c>
      <c r="AJ177">
        <f t="shared" si="55"/>
        <v>2.1655700999999999E-2</v>
      </c>
      <c r="AK177">
        <v>2.1655700999999999E-2</v>
      </c>
      <c r="AL177">
        <v>3.9053905999999999E-2</v>
      </c>
      <c r="AM177">
        <v>4.0503558000000002E-2</v>
      </c>
      <c r="AN177">
        <v>4.7697370000000003E-2</v>
      </c>
      <c r="AO177">
        <v>97.834429900000003</v>
      </c>
      <c r="AP177">
        <v>96.094609399999996</v>
      </c>
      <c r="AQ177">
        <v>95.949644199999994</v>
      </c>
      <c r="AR177">
        <v>95.230262999999994</v>
      </c>
      <c r="AS177" t="b">
        <v>0</v>
      </c>
      <c r="AT177" t="b">
        <v>0</v>
      </c>
      <c r="AU177" t="s">
        <v>77</v>
      </c>
      <c r="AV177" t="s">
        <v>108</v>
      </c>
      <c r="AW177" t="s">
        <v>79</v>
      </c>
      <c r="AX177" t="s">
        <v>249</v>
      </c>
      <c r="AY177" t="s">
        <v>265</v>
      </c>
      <c r="AZ177" t="s">
        <v>72</v>
      </c>
      <c r="BA177" t="s">
        <v>82</v>
      </c>
      <c r="BB177">
        <v>0.17499999999999899</v>
      </c>
      <c r="BC177">
        <v>2.6736494E-2</v>
      </c>
      <c r="BD177">
        <v>2.13125818054995E-3</v>
      </c>
      <c r="BE177">
        <v>2.8867752180549901E-2</v>
      </c>
      <c r="BF177">
        <f>IF(AK177&lt;BE177,1,0)</f>
        <v>1</v>
      </c>
      <c r="BG177">
        <f>IF(AK177&lt;BC177,1,0)</f>
        <v>1</v>
      </c>
      <c r="BH177">
        <f>VLOOKUP($B177,[1]Data_Peer_with_peerVars!$B$2:$Z$1050,20,FALSE)</f>
        <v>0</v>
      </c>
      <c r="BI177">
        <f>VLOOKUP($B177,[1]Data_Peer_with_peerVars!$B$2:$Z$1050,21,FALSE)</f>
        <v>0</v>
      </c>
      <c r="BJ177">
        <v>0</v>
      </c>
      <c r="BK177">
        <f>VLOOKUP($B177,[1]Data_Peer_with_peerVars!$B$2:$Z$1050,23,FALSE)</f>
        <v>37</v>
      </c>
      <c r="BL177">
        <f>VLOOKUP($B177,[1]Data_Peer_with_peerVars!$B$2:$Z$1050,24,FALSE)</f>
        <v>30</v>
      </c>
      <c r="BM177">
        <f>VLOOKUP($B177,[1]Data_Peer_with_peerVars!$B$2:$Z$1050,25,FALSE)</f>
        <v>0.81081081099999996</v>
      </c>
    </row>
    <row r="178" spans="1:65" x14ac:dyDescent="0.2">
      <c r="A178">
        <v>1</v>
      </c>
      <c r="B178" t="s">
        <v>371</v>
      </c>
      <c r="C178">
        <v>91</v>
      </c>
      <c r="D178" t="s">
        <v>155</v>
      </c>
      <c r="E178">
        <v>0</v>
      </c>
      <c r="F178" s="14" t="s">
        <v>82</v>
      </c>
      <c r="G178" s="14" t="s">
        <v>82</v>
      </c>
      <c r="H178" s="1">
        <v>7</v>
      </c>
      <c r="I178" t="s">
        <v>87</v>
      </c>
      <c r="J178" t="s">
        <v>88</v>
      </c>
      <c r="K178" t="s">
        <v>72</v>
      </c>
      <c r="L178">
        <v>1</v>
      </c>
      <c r="M178">
        <v>1</v>
      </c>
      <c r="N178">
        <v>0</v>
      </c>
      <c r="O178">
        <v>0</v>
      </c>
      <c r="P178">
        <v>0</v>
      </c>
      <c r="Q178">
        <v>1</v>
      </c>
      <c r="R178">
        <v>0</v>
      </c>
      <c r="S178">
        <v>0</v>
      </c>
      <c r="T178">
        <v>0</v>
      </c>
      <c r="U178">
        <v>0</v>
      </c>
      <c r="V178">
        <f t="shared" si="53"/>
        <v>1</v>
      </c>
      <c r="W178">
        <v>1</v>
      </c>
      <c r="X178">
        <v>1</v>
      </c>
      <c r="Y178">
        <v>1</v>
      </c>
      <c r="Z178" t="s">
        <v>76</v>
      </c>
      <c r="AA178" s="5" t="s">
        <v>76</v>
      </c>
      <c r="AB178" s="5" t="s">
        <v>76</v>
      </c>
      <c r="AC178" t="s">
        <v>76</v>
      </c>
      <c r="AD178" t="s">
        <v>74</v>
      </c>
      <c r="AE178" s="5" t="s">
        <v>74</v>
      </c>
      <c r="AF178" t="s">
        <v>75</v>
      </c>
      <c r="AG178" t="s">
        <v>120</v>
      </c>
      <c r="AH178">
        <f t="shared" ref="AH178:AH180" si="74">AI178</f>
        <v>7.5724440000000004E-2</v>
      </c>
      <c r="AI178">
        <f t="shared" ref="AI178:AI180" si="75">AJ178</f>
        <v>7.5724440000000004E-2</v>
      </c>
      <c r="AJ178">
        <f t="shared" si="55"/>
        <v>7.5724440000000004E-2</v>
      </c>
      <c r="AK178">
        <v>7.5724440000000004E-2</v>
      </c>
      <c r="AL178">
        <v>9.1831140000000006E-2</v>
      </c>
      <c r="AM178">
        <v>0.115763545</v>
      </c>
      <c r="AN178">
        <v>0.11775956</v>
      </c>
      <c r="AO178">
        <v>92.427555999999996</v>
      </c>
      <c r="AP178">
        <v>90.816885999999997</v>
      </c>
      <c r="AQ178">
        <v>88.423645500000006</v>
      </c>
      <c r="AR178">
        <v>88.224044000000006</v>
      </c>
      <c r="AS178" t="b">
        <v>1</v>
      </c>
      <c r="AT178" t="b">
        <v>0</v>
      </c>
      <c r="AU178" t="s">
        <v>77</v>
      </c>
      <c r="AV178" t="s">
        <v>77</v>
      </c>
      <c r="AW178" t="s">
        <v>79</v>
      </c>
      <c r="AX178" t="s">
        <v>249</v>
      </c>
      <c r="AY178" t="s">
        <v>252</v>
      </c>
      <c r="AZ178" t="s">
        <v>109</v>
      </c>
      <c r="BA178">
        <v>3</v>
      </c>
      <c r="BB178">
        <v>0.7</v>
      </c>
      <c r="BC178">
        <v>7.7070764999999999E-2</v>
      </c>
      <c r="BD178">
        <v>1.90190515067399E-3</v>
      </c>
      <c r="BE178">
        <v>7.8972670150673996E-2</v>
      </c>
      <c r="BF178">
        <f>IF(AK178&lt;BE178,1,0)</f>
        <v>1</v>
      </c>
      <c r="BG178">
        <f>IF(AK178&lt;BC178,1,0)</f>
        <v>1</v>
      </c>
      <c r="BH178">
        <f>VLOOKUP($B178,[1]Data_Peer_with_peerVars!$B$2:$Z$1050,20,FALSE)</f>
        <v>0</v>
      </c>
      <c r="BI178">
        <f>VLOOKUP($B178,[1]Data_Peer_with_peerVars!$B$2:$Z$1050,21,FALSE)</f>
        <v>0</v>
      </c>
      <c r="BJ178">
        <v>0</v>
      </c>
      <c r="BK178">
        <f>VLOOKUP($B178,[1]Data_Peer_with_peerVars!$B$2:$Z$1050,23,FALSE)</f>
        <v>37</v>
      </c>
      <c r="BL178">
        <f>VLOOKUP($B178,[1]Data_Peer_with_peerVars!$B$2:$Z$1050,24,FALSE)</f>
        <v>30</v>
      </c>
      <c r="BM178">
        <f>VLOOKUP($B178,[1]Data_Peer_with_peerVars!$B$2:$Z$1050,25,FALSE)</f>
        <v>0.81081081099999996</v>
      </c>
    </row>
    <row r="179" spans="1:65" x14ac:dyDescent="0.2">
      <c r="A179">
        <v>1</v>
      </c>
      <c r="B179" t="s">
        <v>372</v>
      </c>
      <c r="C179">
        <v>92</v>
      </c>
      <c r="D179" t="s">
        <v>155</v>
      </c>
      <c r="E179">
        <v>0</v>
      </c>
      <c r="F179" s="14" t="s">
        <v>82</v>
      </c>
      <c r="G179" s="14" t="s">
        <v>82</v>
      </c>
      <c r="H179" s="1">
        <v>7</v>
      </c>
      <c r="I179" t="s">
        <v>87</v>
      </c>
      <c r="J179" t="s">
        <v>111</v>
      </c>
      <c r="K179" t="s">
        <v>109</v>
      </c>
      <c r="L179">
        <v>1</v>
      </c>
      <c r="M179">
        <v>1</v>
      </c>
      <c r="N179">
        <v>0</v>
      </c>
      <c r="O179">
        <v>0</v>
      </c>
      <c r="P179">
        <v>0</v>
      </c>
      <c r="Q179">
        <v>6</v>
      </c>
      <c r="R179">
        <v>0</v>
      </c>
      <c r="S179">
        <v>0</v>
      </c>
      <c r="T179">
        <v>0</v>
      </c>
      <c r="U179">
        <v>0</v>
      </c>
      <c r="V179">
        <f t="shared" si="53"/>
        <v>1</v>
      </c>
      <c r="W179">
        <v>1</v>
      </c>
      <c r="X179">
        <v>1</v>
      </c>
      <c r="Y179">
        <v>1</v>
      </c>
      <c r="Z179" t="s">
        <v>76</v>
      </c>
      <c r="AA179" s="5" t="s">
        <v>76</v>
      </c>
      <c r="AB179" s="5" t="s">
        <v>76</v>
      </c>
      <c r="AC179" t="s">
        <v>76</v>
      </c>
      <c r="AD179" t="s">
        <v>74</v>
      </c>
      <c r="AE179" s="5" t="s">
        <v>74</v>
      </c>
      <c r="AF179" t="s">
        <v>120</v>
      </c>
      <c r="AG179" t="s">
        <v>75</v>
      </c>
      <c r="AH179">
        <f t="shared" si="74"/>
        <v>8.0283999999999994E-2</v>
      </c>
      <c r="AI179">
        <f t="shared" si="75"/>
        <v>8.0283999999999994E-2</v>
      </c>
      <c r="AJ179">
        <f t="shared" si="55"/>
        <v>8.0283999999999994E-2</v>
      </c>
      <c r="AK179">
        <v>8.0283999999999994E-2</v>
      </c>
      <c r="AL179">
        <v>8.8767126000000002E-2</v>
      </c>
      <c r="AM179">
        <v>0.1160568</v>
      </c>
      <c r="AN179">
        <v>0.11843545</v>
      </c>
      <c r="AO179">
        <v>91.971599999999995</v>
      </c>
      <c r="AP179">
        <v>91.123287399999995</v>
      </c>
      <c r="AQ179">
        <v>88.394319999999993</v>
      </c>
      <c r="AR179">
        <v>88.156454999999994</v>
      </c>
      <c r="AS179" t="b">
        <v>1</v>
      </c>
      <c r="AT179" t="b">
        <v>0</v>
      </c>
      <c r="AU179" t="s">
        <v>77</v>
      </c>
      <c r="AV179" t="s">
        <v>77</v>
      </c>
      <c r="AW179" t="s">
        <v>79</v>
      </c>
      <c r="AX179" t="s">
        <v>249</v>
      </c>
      <c r="AY179" t="s">
        <v>262</v>
      </c>
      <c r="AZ179" t="s">
        <v>109</v>
      </c>
      <c r="BA179">
        <v>2</v>
      </c>
      <c r="BB179">
        <v>5</v>
      </c>
      <c r="BC179">
        <v>7.7070764999999999E-2</v>
      </c>
      <c r="BD179">
        <v>1.90190515067399E-3</v>
      </c>
      <c r="BE179">
        <v>7.8972670150673996E-2</v>
      </c>
      <c r="BF179">
        <f>IF(AK179&lt;BE179,1,0)</f>
        <v>0</v>
      </c>
      <c r="BG179">
        <f>IF(AK179&lt;BC179,1,0)</f>
        <v>0</v>
      </c>
      <c r="BH179">
        <f>VLOOKUP($B179,[1]Data_Peer_with_peerVars!$B$2:$Z$1050,20,FALSE)</f>
        <v>3</v>
      </c>
      <c r="BI179">
        <f>VLOOKUP($B179,[1]Data_Peer_with_peerVars!$B$2:$Z$1050,21,FALSE)</f>
        <v>3</v>
      </c>
      <c r="BJ179">
        <f>VLOOKUP($B179,[1]Data_Peer_with_peerVars!$B$2:$Z$1050,22,FALSE)</f>
        <v>1</v>
      </c>
      <c r="BK179">
        <f>VLOOKUP($B179,[1]Data_Peer_with_peerVars!$B$2:$Z$1050,23,FALSE)</f>
        <v>42</v>
      </c>
      <c r="BL179">
        <f>VLOOKUP($B179,[1]Data_Peer_with_peerVars!$B$2:$Z$1050,24,FALSE)</f>
        <v>31</v>
      </c>
      <c r="BM179">
        <f>VLOOKUP($B179,[1]Data_Peer_with_peerVars!$B$2:$Z$1050,25,FALSE)</f>
        <v>0.73809523799999999</v>
      </c>
    </row>
    <row r="180" spans="1:65" x14ac:dyDescent="0.2">
      <c r="A180">
        <v>1</v>
      </c>
      <c r="B180" t="s">
        <v>373</v>
      </c>
      <c r="C180">
        <v>93</v>
      </c>
      <c r="D180" t="s">
        <v>155</v>
      </c>
      <c r="E180">
        <v>0</v>
      </c>
      <c r="F180" s="14" t="s">
        <v>82</v>
      </c>
      <c r="G180" s="14" t="s">
        <v>82</v>
      </c>
      <c r="H180" s="1">
        <v>7</v>
      </c>
      <c r="I180" t="s">
        <v>87</v>
      </c>
      <c r="J180" t="s">
        <v>111</v>
      </c>
      <c r="K180" t="s">
        <v>109</v>
      </c>
      <c r="L180">
        <v>1</v>
      </c>
      <c r="M180">
        <v>1</v>
      </c>
      <c r="N180">
        <v>0</v>
      </c>
      <c r="O180">
        <v>0</v>
      </c>
      <c r="P180">
        <v>0</v>
      </c>
      <c r="Q180">
        <v>0</v>
      </c>
      <c r="R180">
        <v>0</v>
      </c>
      <c r="S180">
        <v>0</v>
      </c>
      <c r="T180">
        <v>0</v>
      </c>
      <c r="U180">
        <v>0</v>
      </c>
      <c r="V180">
        <f t="shared" si="53"/>
        <v>1</v>
      </c>
      <c r="W180">
        <v>1</v>
      </c>
      <c r="X180">
        <v>1</v>
      </c>
      <c r="Y180">
        <v>1</v>
      </c>
      <c r="Z180" t="s">
        <v>76</v>
      </c>
      <c r="AA180" s="5" t="s">
        <v>76</v>
      </c>
      <c r="AB180" s="5" t="s">
        <v>76</v>
      </c>
      <c r="AC180" t="s">
        <v>76</v>
      </c>
      <c r="AD180" t="s">
        <v>74</v>
      </c>
      <c r="AE180" s="5" t="s">
        <v>74</v>
      </c>
      <c r="AF180" t="s">
        <v>75</v>
      </c>
      <c r="AG180" t="s">
        <v>120</v>
      </c>
      <c r="AH180">
        <f t="shared" si="74"/>
        <v>7.6817930000000006E-2</v>
      </c>
      <c r="AI180">
        <f t="shared" si="75"/>
        <v>7.6817930000000006E-2</v>
      </c>
      <c r="AJ180">
        <f t="shared" si="55"/>
        <v>7.6817930000000006E-2</v>
      </c>
      <c r="AK180">
        <v>7.6817930000000006E-2</v>
      </c>
      <c r="AL180">
        <v>9.2978604000000006E-2</v>
      </c>
      <c r="AM180">
        <v>0.12185103999999999</v>
      </c>
      <c r="AN180">
        <v>0.12192455000000001</v>
      </c>
      <c r="AO180">
        <v>92.318207000000001</v>
      </c>
      <c r="AP180">
        <v>90.702139599999995</v>
      </c>
      <c r="AQ180">
        <v>87.814896000000005</v>
      </c>
      <c r="AR180">
        <v>87.807545000000005</v>
      </c>
      <c r="AS180" t="b">
        <v>1</v>
      </c>
      <c r="AT180" t="b">
        <v>0</v>
      </c>
      <c r="AU180" t="s">
        <v>77</v>
      </c>
      <c r="AV180" t="s">
        <v>77</v>
      </c>
      <c r="AW180" t="s">
        <v>79</v>
      </c>
      <c r="AX180" t="s">
        <v>249</v>
      </c>
      <c r="AY180" t="s">
        <v>262</v>
      </c>
      <c r="AZ180" t="s">
        <v>109</v>
      </c>
      <c r="BA180">
        <v>2</v>
      </c>
      <c r="BB180">
        <v>7</v>
      </c>
      <c r="BC180">
        <v>7.7070764999999999E-2</v>
      </c>
      <c r="BD180">
        <v>1.90190515067399E-3</v>
      </c>
      <c r="BE180">
        <v>7.8972670150673996E-2</v>
      </c>
      <c r="BF180">
        <f>IF(AK180&lt;BE180,1,0)</f>
        <v>1</v>
      </c>
      <c r="BG180">
        <f>IF(AK180&lt;BC180,1,0)</f>
        <v>1</v>
      </c>
      <c r="BH180">
        <f>VLOOKUP($B180,[1]Data_Peer_with_peerVars!$B$2:$Z$1050,20,FALSE)</f>
        <v>13</v>
      </c>
      <c r="BI180">
        <f>VLOOKUP($B180,[1]Data_Peer_with_peerVars!$B$2:$Z$1050,21,FALSE)</f>
        <v>10</v>
      </c>
      <c r="BJ180">
        <f>VLOOKUP($B180,[1]Data_Peer_with_peerVars!$B$2:$Z$1050,22,FALSE)</f>
        <v>0.76923076899999998</v>
      </c>
      <c r="BK180">
        <f>VLOOKUP($B180,[1]Data_Peer_with_peerVars!$B$2:$Z$1050,23,FALSE)</f>
        <v>46</v>
      </c>
      <c r="BL180">
        <f>VLOOKUP($B180,[1]Data_Peer_with_peerVars!$B$2:$Z$1050,24,FALSE)</f>
        <v>35</v>
      </c>
      <c r="BM180">
        <f>VLOOKUP($B180,[1]Data_Peer_with_peerVars!$B$2:$Z$1050,25,FALSE)</f>
        <v>0.76086956500000003</v>
      </c>
    </row>
    <row r="181" spans="1:65" x14ac:dyDescent="0.2">
      <c r="A181">
        <v>1</v>
      </c>
      <c r="B181" t="s">
        <v>374</v>
      </c>
      <c r="C181">
        <v>94</v>
      </c>
      <c r="D181" t="s">
        <v>68</v>
      </c>
      <c r="E181">
        <v>0</v>
      </c>
      <c r="F181">
        <v>188</v>
      </c>
      <c r="G181" t="s">
        <v>119</v>
      </c>
      <c r="H181" s="1">
        <v>6</v>
      </c>
      <c r="I181" t="s">
        <v>87</v>
      </c>
      <c r="J181" t="s">
        <v>111</v>
      </c>
      <c r="K181" t="s">
        <v>109</v>
      </c>
      <c r="L181">
        <v>1</v>
      </c>
      <c r="M181">
        <v>0</v>
      </c>
      <c r="N181">
        <v>0</v>
      </c>
      <c r="O181">
        <v>1</v>
      </c>
      <c r="P181">
        <v>0</v>
      </c>
      <c r="Q181">
        <v>6</v>
      </c>
      <c r="R181">
        <v>0</v>
      </c>
      <c r="S181">
        <v>0</v>
      </c>
      <c r="T181">
        <v>0</v>
      </c>
      <c r="U181">
        <v>0</v>
      </c>
      <c r="V181">
        <f t="shared" si="53"/>
        <v>0</v>
      </c>
      <c r="W181">
        <f t="shared" si="56"/>
        <v>0</v>
      </c>
      <c r="X181">
        <f t="shared" si="58"/>
        <v>0</v>
      </c>
      <c r="Y181">
        <f t="shared" si="59"/>
        <v>0</v>
      </c>
      <c r="Z181" t="s">
        <v>89</v>
      </c>
      <c r="AA181" s="5" t="s">
        <v>268</v>
      </c>
      <c r="AB181" s="5" t="s">
        <v>269</v>
      </c>
      <c r="AC181" t="s">
        <v>73</v>
      </c>
      <c r="AD181" t="s">
        <v>94</v>
      </c>
      <c r="AE181" s="5" t="s">
        <v>375</v>
      </c>
      <c r="AF181" t="s">
        <v>75</v>
      </c>
      <c r="AG181" t="s">
        <v>137</v>
      </c>
      <c r="AH181">
        <f t="shared" ref="AH181:AH191" si="76">AI181</f>
        <v>0.10632497</v>
      </c>
      <c r="AI181">
        <f t="shared" ref="AI181:AI187" si="77">AJ181</f>
        <v>0.10632497</v>
      </c>
      <c r="AJ181">
        <f t="shared" si="55"/>
        <v>0.10632497</v>
      </c>
      <c r="AK181">
        <v>0.10632497</v>
      </c>
      <c r="AL181">
        <v>0.13946506</v>
      </c>
      <c r="AM181">
        <v>0.14332603999999999</v>
      </c>
      <c r="AN181">
        <v>0.14465064999999999</v>
      </c>
      <c r="AO181">
        <v>89.367502999999999</v>
      </c>
      <c r="AP181">
        <v>86.053494000000001</v>
      </c>
      <c r="AQ181">
        <v>85.667395999999997</v>
      </c>
      <c r="AR181">
        <v>85.534935000000004</v>
      </c>
      <c r="AS181" t="b">
        <v>0</v>
      </c>
      <c r="AT181" t="b">
        <v>0</v>
      </c>
      <c r="AU181" t="s">
        <v>92</v>
      </c>
      <c r="AV181" t="s">
        <v>92</v>
      </c>
      <c r="AW181" t="s">
        <v>79</v>
      </c>
      <c r="AX181" t="s">
        <v>249</v>
      </c>
      <c r="AY181" t="s">
        <v>270</v>
      </c>
      <c r="AZ181" t="s">
        <v>109</v>
      </c>
      <c r="BA181">
        <v>2</v>
      </c>
      <c r="BB181">
        <v>0.25</v>
      </c>
      <c r="BC181">
        <v>4.1163553999999996E-3</v>
      </c>
      <c r="BD181">
        <v>1.4279989108178799E-4</v>
      </c>
      <c r="BE181">
        <v>4.2591552910817903E-3</v>
      </c>
      <c r="BF181">
        <f>IF(AK181&lt;BE181,1,0)</f>
        <v>0</v>
      </c>
      <c r="BG181">
        <f>IF(AK181&lt;BC181,1,0)</f>
        <v>0</v>
      </c>
      <c r="BH181">
        <f>VLOOKUP($B181,[1]Data_Peer_with_peerVars!$B$2:$Z$1050,20,FALSE)</f>
        <v>5</v>
      </c>
      <c r="BI181">
        <f>VLOOKUP($B181,[1]Data_Peer_with_peerVars!$B$2:$Z$1050,21,FALSE)</f>
        <v>1</v>
      </c>
      <c r="BJ181">
        <f>VLOOKUP($B181,[1]Data_Peer_with_peerVars!$B$2:$Z$1050,22,FALSE)</f>
        <v>0.2</v>
      </c>
      <c r="BK181">
        <f>VLOOKUP($B181,[1]Data_Peer_with_peerVars!$B$2:$Z$1050,23,FALSE)</f>
        <v>19</v>
      </c>
      <c r="BL181">
        <f>VLOOKUP($B181,[1]Data_Peer_with_peerVars!$B$2:$Z$1050,24,FALSE)</f>
        <v>11</v>
      </c>
      <c r="BM181">
        <f>VLOOKUP($B181,[1]Data_Peer_with_peerVars!$B$2:$Z$1050,25,FALSE)</f>
        <v>0.57894736800000002</v>
      </c>
    </row>
    <row r="182" spans="1:65" x14ac:dyDescent="0.2">
      <c r="A182">
        <v>1</v>
      </c>
      <c r="B182" t="s">
        <v>376</v>
      </c>
      <c r="C182">
        <v>94</v>
      </c>
      <c r="D182" t="s">
        <v>68</v>
      </c>
      <c r="E182">
        <v>0</v>
      </c>
      <c r="F182">
        <v>188</v>
      </c>
      <c r="G182" t="s">
        <v>119</v>
      </c>
      <c r="H182" s="1">
        <v>6</v>
      </c>
      <c r="I182" t="s">
        <v>87</v>
      </c>
      <c r="J182" t="s">
        <v>111</v>
      </c>
      <c r="K182" t="s">
        <v>109</v>
      </c>
      <c r="L182">
        <v>1</v>
      </c>
      <c r="M182">
        <v>0</v>
      </c>
      <c r="N182">
        <v>0</v>
      </c>
      <c r="O182">
        <v>1</v>
      </c>
      <c r="P182">
        <v>0</v>
      </c>
      <c r="Q182">
        <v>6</v>
      </c>
      <c r="R182">
        <v>0</v>
      </c>
      <c r="S182">
        <v>0</v>
      </c>
      <c r="T182">
        <v>1</v>
      </c>
      <c r="U182">
        <v>1</v>
      </c>
      <c r="V182">
        <f t="shared" si="53"/>
        <v>0</v>
      </c>
      <c r="W182">
        <f t="shared" si="56"/>
        <v>0</v>
      </c>
      <c r="X182">
        <f t="shared" si="58"/>
        <v>0</v>
      </c>
      <c r="Y182">
        <f t="shared" si="59"/>
        <v>0</v>
      </c>
      <c r="Z182" t="s">
        <v>89</v>
      </c>
      <c r="AA182" s="5" t="s">
        <v>273</v>
      </c>
      <c r="AB182" s="5" t="s">
        <v>377</v>
      </c>
      <c r="AC182" t="s">
        <v>94</v>
      </c>
      <c r="AD182" t="s">
        <v>95</v>
      </c>
      <c r="AE182" s="5" t="s">
        <v>95</v>
      </c>
      <c r="AF182" t="s">
        <v>107</v>
      </c>
      <c r="AG182" t="s">
        <v>74</v>
      </c>
      <c r="AH182">
        <f t="shared" si="76"/>
        <v>8.1643834999999998E-2</v>
      </c>
      <c r="AI182">
        <f t="shared" si="77"/>
        <v>8.1643834999999998E-2</v>
      </c>
      <c r="AJ182">
        <f t="shared" si="55"/>
        <v>8.1643834999999998E-2</v>
      </c>
      <c r="AK182">
        <v>8.1643834999999998E-2</v>
      </c>
      <c r="AL182">
        <v>0.12589138999999999</v>
      </c>
      <c r="AM182">
        <v>0.13194063</v>
      </c>
      <c r="AN182">
        <v>0.13366337</v>
      </c>
      <c r="AO182">
        <v>91.8356165</v>
      </c>
      <c r="AP182">
        <v>87.410860999999997</v>
      </c>
      <c r="AQ182">
        <v>86.805937</v>
      </c>
      <c r="AR182">
        <v>86.633662999999999</v>
      </c>
      <c r="AS182" t="b">
        <v>0</v>
      </c>
      <c r="AT182" t="b">
        <v>0</v>
      </c>
      <c r="AU182" t="s">
        <v>92</v>
      </c>
      <c r="AV182" t="s">
        <v>92</v>
      </c>
      <c r="AW182" t="s">
        <v>79</v>
      </c>
      <c r="AX182" t="s">
        <v>249</v>
      </c>
      <c r="AY182" t="s">
        <v>270</v>
      </c>
      <c r="AZ182" t="s">
        <v>109</v>
      </c>
      <c r="BA182">
        <v>8</v>
      </c>
      <c r="BB182">
        <v>0.52500000000000002</v>
      </c>
      <c r="BC182">
        <v>1.6447369E-2</v>
      </c>
      <c r="BD182">
        <v>4.2236161269162102E-4</v>
      </c>
      <c r="BE182">
        <v>1.6869730612691598E-2</v>
      </c>
      <c r="BF182">
        <f>IF(AK182&lt;BE182,1,0)</f>
        <v>0</v>
      </c>
      <c r="BG182">
        <f>IF(AK182&lt;BC182,1,0)</f>
        <v>0</v>
      </c>
      <c r="BH182">
        <f>VLOOKUP($B182,[1]Data_Peer_with_peerVars!$B$2:$Z$1050,20,FALSE)</f>
        <v>5</v>
      </c>
      <c r="BI182">
        <f>VLOOKUP($B182,[1]Data_Peer_with_peerVars!$B$2:$Z$1050,21,FALSE)</f>
        <v>1</v>
      </c>
      <c r="BJ182">
        <f>VLOOKUP($B182,[1]Data_Peer_with_peerVars!$B$2:$Z$1050,22,FALSE)</f>
        <v>0.2</v>
      </c>
      <c r="BK182">
        <f>VLOOKUP($B182,[1]Data_Peer_with_peerVars!$B$2:$Z$1050,23,FALSE)</f>
        <v>19</v>
      </c>
      <c r="BL182">
        <f>VLOOKUP($B182,[1]Data_Peer_with_peerVars!$B$2:$Z$1050,24,FALSE)</f>
        <v>11</v>
      </c>
      <c r="BM182">
        <f>VLOOKUP($B182,[1]Data_Peer_with_peerVars!$B$2:$Z$1050,25,FALSE)</f>
        <v>0.57894736800000002</v>
      </c>
    </row>
    <row r="183" spans="1:65" x14ac:dyDescent="0.2">
      <c r="A183">
        <v>1</v>
      </c>
      <c r="B183" t="s">
        <v>378</v>
      </c>
      <c r="C183">
        <v>94</v>
      </c>
      <c r="D183" t="s">
        <v>68</v>
      </c>
      <c r="E183">
        <v>0</v>
      </c>
      <c r="F183">
        <v>188</v>
      </c>
      <c r="G183" t="s">
        <v>119</v>
      </c>
      <c r="H183" s="1">
        <v>6</v>
      </c>
      <c r="I183" t="s">
        <v>87</v>
      </c>
      <c r="J183" t="s">
        <v>111</v>
      </c>
      <c r="K183" t="s">
        <v>109</v>
      </c>
      <c r="L183">
        <v>1</v>
      </c>
      <c r="M183">
        <v>0</v>
      </c>
      <c r="N183">
        <v>0</v>
      </c>
      <c r="O183">
        <v>1</v>
      </c>
      <c r="P183">
        <v>0</v>
      </c>
      <c r="Q183">
        <v>6</v>
      </c>
      <c r="R183">
        <v>0</v>
      </c>
      <c r="S183">
        <v>0</v>
      </c>
      <c r="T183">
        <v>1</v>
      </c>
      <c r="U183">
        <v>1</v>
      </c>
      <c r="V183">
        <f t="shared" si="53"/>
        <v>0</v>
      </c>
      <c r="W183">
        <f t="shared" si="56"/>
        <v>0</v>
      </c>
      <c r="X183">
        <f t="shared" si="58"/>
        <v>0</v>
      </c>
      <c r="Y183">
        <f t="shared" si="59"/>
        <v>0</v>
      </c>
      <c r="Z183" t="s">
        <v>89</v>
      </c>
      <c r="AA183" s="5" t="s">
        <v>273</v>
      </c>
      <c r="AB183" s="5" t="s">
        <v>345</v>
      </c>
      <c r="AC183" t="s">
        <v>94</v>
      </c>
      <c r="AD183" t="s">
        <v>95</v>
      </c>
      <c r="AE183" s="5" t="s">
        <v>95</v>
      </c>
      <c r="AF183" t="s">
        <v>107</v>
      </c>
      <c r="AG183" t="s">
        <v>73</v>
      </c>
      <c r="AH183">
        <f t="shared" si="76"/>
        <v>1.4754098E-2</v>
      </c>
      <c r="AI183">
        <f t="shared" si="77"/>
        <v>1.4754098E-2</v>
      </c>
      <c r="AJ183">
        <f t="shared" si="55"/>
        <v>1.4754098E-2</v>
      </c>
      <c r="AK183">
        <v>1.4754098E-2</v>
      </c>
      <c r="AL183">
        <v>0.10810071</v>
      </c>
      <c r="AM183">
        <v>0.11135491</v>
      </c>
      <c r="AN183">
        <v>0.1269798</v>
      </c>
      <c r="AO183">
        <v>98.524590200000006</v>
      </c>
      <c r="AP183">
        <v>89.189929000000006</v>
      </c>
      <c r="AQ183">
        <v>88.864508999999998</v>
      </c>
      <c r="AR183">
        <v>87.302019999999999</v>
      </c>
      <c r="AS183" t="b">
        <v>0</v>
      </c>
      <c r="AT183" t="b">
        <v>0</v>
      </c>
      <c r="AU183" t="s">
        <v>92</v>
      </c>
      <c r="AV183" t="s">
        <v>92</v>
      </c>
      <c r="AW183" t="s">
        <v>79</v>
      </c>
      <c r="AX183" t="s">
        <v>249</v>
      </c>
      <c r="AY183" t="s">
        <v>270</v>
      </c>
      <c r="AZ183" t="s">
        <v>109</v>
      </c>
      <c r="BA183">
        <v>4</v>
      </c>
      <c r="BB183">
        <v>0.17499999999999899</v>
      </c>
      <c r="BC183">
        <v>1.6447369E-2</v>
      </c>
      <c r="BD183">
        <v>4.2236161269162102E-4</v>
      </c>
      <c r="BE183">
        <v>1.6869730612691598E-2</v>
      </c>
      <c r="BF183">
        <f>IF(AK183&lt;BE183,1,0)</f>
        <v>1</v>
      </c>
      <c r="BG183">
        <f>IF(AK183&lt;BC183,1,0)</f>
        <v>1</v>
      </c>
      <c r="BH183">
        <f>VLOOKUP($B183,[1]Data_Peer_with_peerVars!$B$2:$Z$1050,20,FALSE)</f>
        <v>5</v>
      </c>
      <c r="BI183">
        <f>VLOOKUP($B183,[1]Data_Peer_with_peerVars!$B$2:$Z$1050,21,FALSE)</f>
        <v>1</v>
      </c>
      <c r="BJ183">
        <f>VLOOKUP($B183,[1]Data_Peer_with_peerVars!$B$2:$Z$1050,22,FALSE)</f>
        <v>0.2</v>
      </c>
      <c r="BK183">
        <f>VLOOKUP($B183,[1]Data_Peer_with_peerVars!$B$2:$Z$1050,23,FALSE)</f>
        <v>19</v>
      </c>
      <c r="BL183">
        <f>VLOOKUP($B183,[1]Data_Peer_with_peerVars!$B$2:$Z$1050,24,FALSE)</f>
        <v>11</v>
      </c>
      <c r="BM183">
        <f>VLOOKUP($B183,[1]Data_Peer_with_peerVars!$B$2:$Z$1050,25,FALSE)</f>
        <v>0.57894736800000002</v>
      </c>
    </row>
    <row r="184" spans="1:65" x14ac:dyDescent="0.2">
      <c r="A184">
        <v>1</v>
      </c>
      <c r="B184" t="s">
        <v>379</v>
      </c>
      <c r="C184">
        <v>94</v>
      </c>
      <c r="D184" t="s">
        <v>68</v>
      </c>
      <c r="E184">
        <v>0</v>
      </c>
      <c r="F184">
        <v>188</v>
      </c>
      <c r="G184" t="s">
        <v>119</v>
      </c>
      <c r="H184" s="1">
        <v>6</v>
      </c>
      <c r="I184" t="s">
        <v>87</v>
      </c>
      <c r="J184" t="s">
        <v>111</v>
      </c>
      <c r="K184" t="s">
        <v>109</v>
      </c>
      <c r="L184">
        <v>1</v>
      </c>
      <c r="M184">
        <v>0</v>
      </c>
      <c r="N184">
        <v>0</v>
      </c>
      <c r="O184">
        <v>1</v>
      </c>
      <c r="P184">
        <v>0</v>
      </c>
      <c r="Q184">
        <v>6</v>
      </c>
      <c r="R184">
        <v>0</v>
      </c>
      <c r="S184">
        <v>0</v>
      </c>
      <c r="T184">
        <v>0</v>
      </c>
      <c r="U184">
        <v>0</v>
      </c>
      <c r="V184">
        <f t="shared" si="53"/>
        <v>1</v>
      </c>
      <c r="W184">
        <v>1</v>
      </c>
      <c r="X184">
        <v>1</v>
      </c>
      <c r="Y184">
        <v>1</v>
      </c>
      <c r="Z184" t="s">
        <v>76</v>
      </c>
      <c r="AA184" s="5" t="s">
        <v>76</v>
      </c>
      <c r="AB184" s="5" t="s">
        <v>76</v>
      </c>
      <c r="AC184" t="s">
        <v>76</v>
      </c>
      <c r="AD184" t="s">
        <v>74</v>
      </c>
      <c r="AE184" s="5" t="s">
        <v>142</v>
      </c>
      <c r="AF184" t="s">
        <v>120</v>
      </c>
      <c r="AG184" t="s">
        <v>75</v>
      </c>
      <c r="AH184">
        <f t="shared" si="76"/>
        <v>8.0098409999999995E-2</v>
      </c>
      <c r="AI184">
        <f t="shared" si="77"/>
        <v>8.0098409999999995E-2</v>
      </c>
      <c r="AJ184">
        <f t="shared" si="55"/>
        <v>8.0098409999999995E-2</v>
      </c>
      <c r="AK184">
        <v>8.0098409999999995E-2</v>
      </c>
      <c r="AL184">
        <v>8.1414476E-2</v>
      </c>
      <c r="AM184">
        <v>0.11147541</v>
      </c>
      <c r="AN184">
        <v>0.11494253</v>
      </c>
      <c r="AO184">
        <v>91.990159000000006</v>
      </c>
      <c r="AP184">
        <v>91.858552399999994</v>
      </c>
      <c r="AQ184">
        <v>88.852458999999996</v>
      </c>
      <c r="AR184">
        <v>88.505747</v>
      </c>
      <c r="AS184" t="b">
        <v>0</v>
      </c>
      <c r="AT184" t="b">
        <v>0</v>
      </c>
      <c r="AU184" t="s">
        <v>108</v>
      </c>
      <c r="AV184" t="s">
        <v>108</v>
      </c>
      <c r="AW184" t="s">
        <v>79</v>
      </c>
      <c r="AX184" t="s">
        <v>249</v>
      </c>
      <c r="AY184" t="s">
        <v>270</v>
      </c>
      <c r="AZ184" t="s">
        <v>109</v>
      </c>
      <c r="BA184">
        <v>2</v>
      </c>
      <c r="BB184">
        <v>0.7</v>
      </c>
      <c r="BC184">
        <v>7.7070764999999999E-2</v>
      </c>
      <c r="BD184">
        <v>1.90190515067399E-3</v>
      </c>
      <c r="BE184">
        <v>7.8972670150673996E-2</v>
      </c>
      <c r="BF184">
        <f>IF(AK184&lt;BE184,1,0)</f>
        <v>0</v>
      </c>
      <c r="BG184">
        <f>IF(AK184&lt;BC184,1,0)</f>
        <v>0</v>
      </c>
      <c r="BH184">
        <f>VLOOKUP($B184,[1]Data_Peer_with_peerVars!$B$2:$Z$1050,20,FALSE)</f>
        <v>5</v>
      </c>
      <c r="BI184">
        <f>VLOOKUP($B184,[1]Data_Peer_with_peerVars!$B$2:$Z$1050,21,FALSE)</f>
        <v>1</v>
      </c>
      <c r="BJ184">
        <f>VLOOKUP($B184,[1]Data_Peer_with_peerVars!$B$2:$Z$1050,22,FALSE)</f>
        <v>0.2</v>
      </c>
      <c r="BK184">
        <f>VLOOKUP($B184,[1]Data_Peer_with_peerVars!$B$2:$Z$1050,23,FALSE)</f>
        <v>19</v>
      </c>
      <c r="BL184">
        <f>VLOOKUP($B184,[1]Data_Peer_with_peerVars!$B$2:$Z$1050,24,FALSE)</f>
        <v>11</v>
      </c>
      <c r="BM184">
        <f>VLOOKUP($B184,[1]Data_Peer_with_peerVars!$B$2:$Z$1050,25,FALSE)</f>
        <v>0.57894736800000002</v>
      </c>
    </row>
    <row r="185" spans="1:65" x14ac:dyDescent="0.2">
      <c r="A185">
        <v>1</v>
      </c>
      <c r="B185" t="s">
        <v>380</v>
      </c>
      <c r="C185">
        <v>95</v>
      </c>
      <c r="D185" t="s">
        <v>68</v>
      </c>
      <c r="E185">
        <v>0</v>
      </c>
      <c r="F185">
        <v>192</v>
      </c>
      <c r="G185" t="s">
        <v>119</v>
      </c>
      <c r="H185" s="1">
        <v>7</v>
      </c>
      <c r="I185" t="s">
        <v>87</v>
      </c>
      <c r="J185" t="s">
        <v>111</v>
      </c>
      <c r="K185" t="s">
        <v>109</v>
      </c>
      <c r="L185">
        <v>1</v>
      </c>
      <c r="M185">
        <v>1</v>
      </c>
      <c r="N185">
        <v>0</v>
      </c>
      <c r="O185">
        <v>0</v>
      </c>
      <c r="P185">
        <v>0</v>
      </c>
      <c r="Q185">
        <v>0</v>
      </c>
      <c r="R185">
        <v>0</v>
      </c>
      <c r="S185">
        <v>0</v>
      </c>
      <c r="T185">
        <v>0</v>
      </c>
      <c r="U185">
        <v>0</v>
      </c>
      <c r="V185">
        <f t="shared" si="53"/>
        <v>1</v>
      </c>
      <c r="W185">
        <v>1</v>
      </c>
      <c r="X185">
        <v>1</v>
      </c>
      <c r="Y185">
        <v>1</v>
      </c>
      <c r="Z185" t="s">
        <v>76</v>
      </c>
      <c r="AA185" s="5" t="s">
        <v>76</v>
      </c>
      <c r="AB185" s="5" t="s">
        <v>76</v>
      </c>
      <c r="AC185" t="s">
        <v>76</v>
      </c>
      <c r="AD185" t="s">
        <v>74</v>
      </c>
      <c r="AE185" s="5" t="s">
        <v>74</v>
      </c>
      <c r="AF185" t="s">
        <v>120</v>
      </c>
      <c r="AG185" t="s">
        <v>75</v>
      </c>
      <c r="AH185">
        <f t="shared" si="76"/>
        <v>8.0830150000000003E-2</v>
      </c>
      <c r="AI185">
        <f t="shared" si="77"/>
        <v>8.0830150000000003E-2</v>
      </c>
      <c r="AJ185">
        <f t="shared" si="55"/>
        <v>8.0830150000000003E-2</v>
      </c>
      <c r="AK185">
        <v>8.0830150000000003E-2</v>
      </c>
      <c r="AL185">
        <v>8.9041099999999998E-2</v>
      </c>
      <c r="AM185">
        <v>0.11769525</v>
      </c>
      <c r="AN185">
        <v>0.11952954</v>
      </c>
      <c r="AO185">
        <v>91.916984999999997</v>
      </c>
      <c r="AP185">
        <v>91.095889999999997</v>
      </c>
      <c r="AQ185">
        <v>88.230474999999998</v>
      </c>
      <c r="AR185">
        <v>88.047045999999995</v>
      </c>
      <c r="AS185" t="b">
        <v>1</v>
      </c>
      <c r="AT185" t="b">
        <v>0</v>
      </c>
      <c r="AU185" t="s">
        <v>77</v>
      </c>
      <c r="AV185" t="s">
        <v>77</v>
      </c>
      <c r="AW185" t="s">
        <v>79</v>
      </c>
      <c r="AX185" t="s">
        <v>249</v>
      </c>
      <c r="AY185" t="s">
        <v>270</v>
      </c>
      <c r="AZ185" t="s">
        <v>109</v>
      </c>
      <c r="BA185">
        <v>5</v>
      </c>
      <c r="BB185">
        <v>2</v>
      </c>
      <c r="BC185">
        <v>7.7070764999999999E-2</v>
      </c>
      <c r="BD185">
        <v>1.90190515067399E-3</v>
      </c>
      <c r="BE185">
        <v>7.8972670150673996E-2</v>
      </c>
      <c r="BF185">
        <f>IF(AK185&lt;BE185,1,0)</f>
        <v>0</v>
      </c>
      <c r="BG185">
        <f>IF(AK185&lt;BC185,1,0)</f>
        <v>0</v>
      </c>
      <c r="BH185">
        <f>VLOOKUP($B185,[1]Data_Peer_with_peerVars!$B$2:$Z$1050,20,FALSE)</f>
        <v>0</v>
      </c>
      <c r="BI185">
        <f>VLOOKUP($B185,[1]Data_Peer_with_peerVars!$B$2:$Z$1050,21,FALSE)</f>
        <v>0</v>
      </c>
      <c r="BJ185">
        <v>0</v>
      </c>
      <c r="BK185">
        <f>VLOOKUP($B185,[1]Data_Peer_with_peerVars!$B$2:$Z$1050,23,FALSE)</f>
        <v>11</v>
      </c>
      <c r="BL185">
        <f>VLOOKUP($B185,[1]Data_Peer_with_peerVars!$B$2:$Z$1050,24,FALSE)</f>
        <v>3</v>
      </c>
      <c r="BM185">
        <f>VLOOKUP($B185,[1]Data_Peer_with_peerVars!$B$2:$Z$1050,25,FALSE)</f>
        <v>0.27272727299999999</v>
      </c>
    </row>
    <row r="186" spans="1:65" x14ac:dyDescent="0.2">
      <c r="A186">
        <v>1</v>
      </c>
      <c r="B186" t="s">
        <v>381</v>
      </c>
      <c r="C186">
        <v>96</v>
      </c>
      <c r="D186" t="s">
        <v>68</v>
      </c>
      <c r="E186">
        <v>0</v>
      </c>
      <c r="F186">
        <v>193</v>
      </c>
      <c r="G186" t="s">
        <v>119</v>
      </c>
      <c r="H186" s="1">
        <v>7</v>
      </c>
      <c r="I186" t="s">
        <v>87</v>
      </c>
      <c r="J186" t="s">
        <v>111</v>
      </c>
      <c r="K186" t="s">
        <v>109</v>
      </c>
      <c r="L186">
        <v>1</v>
      </c>
      <c r="M186">
        <v>0</v>
      </c>
      <c r="N186">
        <v>0</v>
      </c>
      <c r="O186">
        <v>0</v>
      </c>
      <c r="P186">
        <v>0</v>
      </c>
      <c r="Q186">
        <v>4</v>
      </c>
      <c r="R186">
        <v>0</v>
      </c>
      <c r="S186">
        <v>0</v>
      </c>
      <c r="T186">
        <v>0</v>
      </c>
      <c r="U186">
        <v>0</v>
      </c>
      <c r="V186">
        <f t="shared" si="53"/>
        <v>1</v>
      </c>
      <c r="W186">
        <v>1</v>
      </c>
      <c r="X186">
        <v>1</v>
      </c>
      <c r="Y186">
        <v>1</v>
      </c>
      <c r="Z186" t="s">
        <v>76</v>
      </c>
      <c r="AA186" s="5" t="s">
        <v>76</v>
      </c>
      <c r="AB186" s="5" t="s">
        <v>76</v>
      </c>
      <c r="AC186" t="s">
        <v>76</v>
      </c>
      <c r="AD186" t="s">
        <v>74</v>
      </c>
      <c r="AE186" s="5" t="s">
        <v>142</v>
      </c>
      <c r="AF186" t="s">
        <v>120</v>
      </c>
      <c r="AG186" t="s">
        <v>75</v>
      </c>
      <c r="AH186">
        <f t="shared" si="76"/>
        <v>9.1803275000000004E-2</v>
      </c>
      <c r="AI186">
        <f t="shared" si="77"/>
        <v>9.1803275000000004E-2</v>
      </c>
      <c r="AJ186">
        <f t="shared" si="55"/>
        <v>9.1803275000000004E-2</v>
      </c>
      <c r="AK186">
        <v>9.1803275000000004E-2</v>
      </c>
      <c r="AL186">
        <v>9.5668859999999994E-2</v>
      </c>
      <c r="AM186">
        <v>0.119945355</v>
      </c>
      <c r="AN186">
        <v>0.12807882000000001</v>
      </c>
      <c r="AO186">
        <v>90.819672499999996</v>
      </c>
      <c r="AP186">
        <v>90.433114000000003</v>
      </c>
      <c r="AQ186">
        <v>88.005464500000002</v>
      </c>
      <c r="AR186">
        <v>87.192117999999994</v>
      </c>
      <c r="AS186" t="b">
        <v>0</v>
      </c>
      <c r="AT186" t="b">
        <v>0</v>
      </c>
      <c r="AU186" t="s">
        <v>108</v>
      </c>
      <c r="AV186" t="s">
        <v>108</v>
      </c>
      <c r="AW186" t="s">
        <v>79</v>
      </c>
      <c r="AX186" t="s">
        <v>249</v>
      </c>
      <c r="AY186" t="s">
        <v>350</v>
      </c>
      <c r="AZ186" t="s">
        <v>109</v>
      </c>
      <c r="BA186">
        <v>1</v>
      </c>
      <c r="BB186">
        <v>2.1</v>
      </c>
      <c r="BC186">
        <v>7.7070764999999999E-2</v>
      </c>
      <c r="BD186">
        <v>1.90190515067399E-3</v>
      </c>
      <c r="BE186">
        <v>7.8972670150673996E-2</v>
      </c>
      <c r="BF186">
        <f>IF(AK186&lt;BE186,1,0)</f>
        <v>0</v>
      </c>
      <c r="BG186">
        <f>IF(AK186&lt;BC186,1,0)</f>
        <v>0</v>
      </c>
      <c r="BH186">
        <f>VLOOKUP($B186,[1]Data_Peer_with_peerVars!$B$2:$Z$1050,20,FALSE)</f>
        <v>1</v>
      </c>
      <c r="BI186">
        <f>VLOOKUP($B186,[1]Data_Peer_with_peerVars!$B$2:$Z$1050,21,FALSE)</f>
        <v>1</v>
      </c>
      <c r="BJ186">
        <f>VLOOKUP($B186,[1]Data_Peer_with_peerVars!$B$2:$Z$1050,22,FALSE)</f>
        <v>1</v>
      </c>
      <c r="BK186">
        <f>VLOOKUP($B186,[1]Data_Peer_with_peerVars!$B$2:$Z$1050,23,FALSE)</f>
        <v>40</v>
      </c>
      <c r="BL186">
        <f>VLOOKUP($B186,[1]Data_Peer_with_peerVars!$B$2:$Z$1050,24,FALSE)</f>
        <v>30</v>
      </c>
      <c r="BM186">
        <f>VLOOKUP($B186,[1]Data_Peer_with_peerVars!$B$2:$Z$1050,25,FALSE)</f>
        <v>0.75</v>
      </c>
    </row>
    <row r="187" spans="1:65" x14ac:dyDescent="0.2">
      <c r="A187">
        <v>1</v>
      </c>
      <c r="B187" t="s">
        <v>382</v>
      </c>
      <c r="C187">
        <v>97</v>
      </c>
      <c r="D187" t="s">
        <v>68</v>
      </c>
      <c r="E187">
        <v>1</v>
      </c>
      <c r="F187">
        <v>407</v>
      </c>
      <c r="G187" t="s">
        <v>86</v>
      </c>
      <c r="H187" s="1">
        <v>7</v>
      </c>
      <c r="I187" t="s">
        <v>70</v>
      </c>
      <c r="J187" t="s">
        <v>71</v>
      </c>
      <c r="K187" t="s">
        <v>109</v>
      </c>
      <c r="L187">
        <v>1</v>
      </c>
      <c r="M187">
        <v>0</v>
      </c>
      <c r="N187">
        <v>0</v>
      </c>
      <c r="O187">
        <v>0</v>
      </c>
      <c r="P187">
        <v>0</v>
      </c>
      <c r="Q187">
        <v>6</v>
      </c>
      <c r="R187">
        <v>0</v>
      </c>
      <c r="S187">
        <v>0</v>
      </c>
      <c r="T187">
        <v>1</v>
      </c>
      <c r="U187">
        <v>1</v>
      </c>
      <c r="V187">
        <f t="shared" si="53"/>
        <v>1</v>
      </c>
      <c r="W187">
        <v>1</v>
      </c>
      <c r="X187">
        <v>1</v>
      </c>
      <c r="Y187">
        <v>1</v>
      </c>
      <c r="Z187" t="s">
        <v>73</v>
      </c>
      <c r="AA187" s="5" t="s">
        <v>73</v>
      </c>
      <c r="AB187" s="5" t="s">
        <v>73</v>
      </c>
      <c r="AC187" t="s">
        <v>73</v>
      </c>
      <c r="AD187" t="s">
        <v>94</v>
      </c>
      <c r="AE187" s="5" t="s">
        <v>106</v>
      </c>
      <c r="AF187" t="s">
        <v>107</v>
      </c>
      <c r="AG187" t="s">
        <v>95</v>
      </c>
      <c r="AH187">
        <f t="shared" si="76"/>
        <v>3.8167940000000001E-3</v>
      </c>
      <c r="AI187">
        <f t="shared" si="77"/>
        <v>3.8167940000000001E-3</v>
      </c>
      <c r="AJ187">
        <f t="shared" si="55"/>
        <v>3.8167940000000001E-3</v>
      </c>
      <c r="AK187">
        <v>3.8167940000000001E-3</v>
      </c>
      <c r="AL187">
        <v>0.13169399000000001</v>
      </c>
      <c r="AM187">
        <v>0.13623904000000001</v>
      </c>
      <c r="AN187">
        <v>0.13867615</v>
      </c>
      <c r="AO187">
        <v>99.618320600000004</v>
      </c>
      <c r="AP187">
        <v>86.830601000000001</v>
      </c>
      <c r="AQ187">
        <v>86.376096000000004</v>
      </c>
      <c r="AR187">
        <v>86.132384999999999</v>
      </c>
      <c r="AS187" t="b">
        <v>1</v>
      </c>
      <c r="AT187" t="b">
        <v>0</v>
      </c>
      <c r="AU187" t="s">
        <v>77</v>
      </c>
      <c r="AV187" t="s">
        <v>108</v>
      </c>
      <c r="AW187" t="s">
        <v>79</v>
      </c>
      <c r="AX187" t="s">
        <v>249</v>
      </c>
      <c r="AY187" t="s">
        <v>281</v>
      </c>
      <c r="AZ187" t="s">
        <v>109</v>
      </c>
      <c r="BA187">
        <v>3</v>
      </c>
      <c r="BB187">
        <v>1</v>
      </c>
      <c r="BC187">
        <v>4.1163553999999996E-3</v>
      </c>
      <c r="BD187">
        <v>1.4279989108178799E-4</v>
      </c>
      <c r="BE187">
        <v>4.2591552910817903E-3</v>
      </c>
      <c r="BF187">
        <f>IF(AK187&lt;BE187,1,0)</f>
        <v>1</v>
      </c>
      <c r="BG187">
        <f>IF(AK187&lt;BC187,1,0)</f>
        <v>1</v>
      </c>
      <c r="BH187">
        <f>VLOOKUP($B187,[1]Data_Peer_with_peerVars!$B$2:$Z$1050,20,FALSE)</f>
        <v>3</v>
      </c>
      <c r="BI187">
        <f>VLOOKUP($B187,[1]Data_Peer_with_peerVars!$B$2:$Z$1050,21,FALSE)</f>
        <v>2</v>
      </c>
      <c r="BJ187">
        <f>VLOOKUP($B187,[1]Data_Peer_with_peerVars!$B$2:$Z$1050,22,FALSE)</f>
        <v>0.66666666699999999</v>
      </c>
      <c r="BK187">
        <f>VLOOKUP($B187,[1]Data_Peer_with_peerVars!$B$2:$Z$1050,23,FALSE)</f>
        <v>48</v>
      </c>
      <c r="BL187">
        <f>VLOOKUP($B187,[1]Data_Peer_with_peerVars!$B$2:$Z$1050,24,FALSE)</f>
        <v>37</v>
      </c>
      <c r="BM187">
        <f>VLOOKUP($B187,[1]Data_Peer_with_peerVars!$B$2:$Z$1050,25,FALSE)</f>
        <v>0.77083333300000001</v>
      </c>
    </row>
    <row r="188" spans="1:65" x14ac:dyDescent="0.2">
      <c r="A188">
        <v>1</v>
      </c>
      <c r="B188" t="s">
        <v>383</v>
      </c>
      <c r="C188">
        <v>97</v>
      </c>
      <c r="D188" t="s">
        <v>68</v>
      </c>
      <c r="E188">
        <v>1</v>
      </c>
      <c r="F188">
        <v>407</v>
      </c>
      <c r="G188" t="s">
        <v>86</v>
      </c>
      <c r="H188" s="1">
        <v>7</v>
      </c>
      <c r="I188" t="s">
        <v>70</v>
      </c>
      <c r="J188" t="s">
        <v>71</v>
      </c>
      <c r="K188" t="s">
        <v>109</v>
      </c>
      <c r="L188">
        <v>1</v>
      </c>
      <c r="M188">
        <v>0</v>
      </c>
      <c r="N188">
        <v>0</v>
      </c>
      <c r="O188">
        <v>0</v>
      </c>
      <c r="P188">
        <v>0</v>
      </c>
      <c r="Q188">
        <v>6</v>
      </c>
      <c r="R188">
        <v>0</v>
      </c>
      <c r="S188">
        <v>0</v>
      </c>
      <c r="T188">
        <v>0</v>
      </c>
      <c r="U188">
        <v>0</v>
      </c>
      <c r="V188">
        <f t="shared" si="53"/>
        <v>0</v>
      </c>
      <c r="W188">
        <f t="shared" si="56"/>
        <v>1</v>
      </c>
      <c r="X188">
        <v>1</v>
      </c>
      <c r="Y188">
        <v>1</v>
      </c>
      <c r="Z188" t="s">
        <v>76</v>
      </c>
      <c r="AA188" s="5" t="s">
        <v>76</v>
      </c>
      <c r="AB188" s="5" t="s">
        <v>76</v>
      </c>
      <c r="AC188" t="s">
        <v>74</v>
      </c>
      <c r="AD188" t="s">
        <v>76</v>
      </c>
      <c r="AE188" s="5" t="s">
        <v>76</v>
      </c>
      <c r="AF188" t="s">
        <v>75</v>
      </c>
      <c r="AG188" t="s">
        <v>84</v>
      </c>
      <c r="AH188">
        <f t="shared" si="76"/>
        <v>7.9508200000000001E-2</v>
      </c>
      <c r="AI188">
        <f>AJ188</f>
        <v>7.9508200000000001E-2</v>
      </c>
      <c r="AJ188">
        <f>AL188</f>
        <v>7.9508200000000001E-2</v>
      </c>
      <c r="AK188">
        <v>6.9901320000000003E-2</v>
      </c>
      <c r="AL188">
        <v>7.9508200000000001E-2</v>
      </c>
      <c r="AM188">
        <v>0.109956235</v>
      </c>
      <c r="AN188">
        <v>0.11196487400000001</v>
      </c>
      <c r="AO188">
        <v>93.009867999999997</v>
      </c>
      <c r="AP188">
        <v>92.049180000000007</v>
      </c>
      <c r="AQ188">
        <v>89.004376500000006</v>
      </c>
      <c r="AR188">
        <v>88.803512600000005</v>
      </c>
      <c r="AS188" t="b">
        <v>0</v>
      </c>
      <c r="AT188" t="b">
        <v>1</v>
      </c>
      <c r="AU188" t="s">
        <v>77</v>
      </c>
      <c r="AV188" t="s">
        <v>77</v>
      </c>
      <c r="AW188" t="s">
        <v>79</v>
      </c>
      <c r="AX188" t="s">
        <v>249</v>
      </c>
      <c r="AY188" t="s">
        <v>262</v>
      </c>
      <c r="AZ188" t="s">
        <v>109</v>
      </c>
      <c r="BA188">
        <v>2</v>
      </c>
      <c r="BB188">
        <v>2</v>
      </c>
      <c r="BC188">
        <v>2.4738868000000001E-3</v>
      </c>
      <c r="BD188">
        <v>1.4256942275279999E-4</v>
      </c>
      <c r="BE188">
        <v>2.6164562227527998E-3</v>
      </c>
      <c r="BF188">
        <f>IF(AK188&lt;BE188,1,0)</f>
        <v>0</v>
      </c>
      <c r="BG188">
        <f>IF(AK188&lt;BC188,1,0)</f>
        <v>0</v>
      </c>
      <c r="BH188">
        <f>VLOOKUP($B188,[1]Data_Peer_with_peerVars!$B$2:$Z$1050,20,FALSE)</f>
        <v>3</v>
      </c>
      <c r="BI188">
        <f>VLOOKUP($B188,[1]Data_Peer_with_peerVars!$B$2:$Z$1050,21,FALSE)</f>
        <v>2</v>
      </c>
      <c r="BJ188">
        <f>VLOOKUP($B188,[1]Data_Peer_with_peerVars!$B$2:$Z$1050,22,FALSE)</f>
        <v>0.66666666699999999</v>
      </c>
      <c r="BK188">
        <f>VLOOKUP($B188,[1]Data_Peer_with_peerVars!$B$2:$Z$1050,23,FALSE)</f>
        <v>48</v>
      </c>
      <c r="BL188">
        <f>VLOOKUP($B188,[1]Data_Peer_with_peerVars!$B$2:$Z$1050,24,FALSE)</f>
        <v>37</v>
      </c>
      <c r="BM188">
        <f>VLOOKUP($B188,[1]Data_Peer_with_peerVars!$B$2:$Z$1050,25,FALSE)</f>
        <v>0.77083333300000001</v>
      </c>
    </row>
    <row r="189" spans="1:65" x14ac:dyDescent="0.2">
      <c r="A189">
        <v>1</v>
      </c>
      <c r="B189" t="s">
        <v>384</v>
      </c>
      <c r="C189">
        <v>98</v>
      </c>
      <c r="D189" t="s">
        <v>68</v>
      </c>
      <c r="E189">
        <v>0</v>
      </c>
      <c r="F189">
        <v>297</v>
      </c>
      <c r="G189" t="s">
        <v>97</v>
      </c>
      <c r="H189" s="1">
        <v>7</v>
      </c>
      <c r="I189" t="s">
        <v>87</v>
      </c>
      <c r="J189" t="s">
        <v>111</v>
      </c>
      <c r="K189" t="s">
        <v>109</v>
      </c>
      <c r="L189">
        <v>1</v>
      </c>
      <c r="M189">
        <v>0</v>
      </c>
      <c r="N189">
        <v>0</v>
      </c>
      <c r="O189">
        <v>0</v>
      </c>
      <c r="P189">
        <v>0</v>
      </c>
      <c r="Q189">
        <v>8</v>
      </c>
      <c r="R189">
        <v>0</v>
      </c>
      <c r="S189">
        <v>0</v>
      </c>
      <c r="T189">
        <v>0</v>
      </c>
      <c r="U189">
        <v>0</v>
      </c>
      <c r="V189">
        <f t="shared" si="53"/>
        <v>1</v>
      </c>
      <c r="W189">
        <v>1</v>
      </c>
      <c r="X189">
        <v>1</v>
      </c>
      <c r="Y189">
        <v>1</v>
      </c>
      <c r="Z189" t="s">
        <v>76</v>
      </c>
      <c r="AA189" s="5" t="s">
        <v>76</v>
      </c>
      <c r="AB189" s="5" t="s">
        <v>76</v>
      </c>
      <c r="AC189" t="s">
        <v>76</v>
      </c>
      <c r="AD189" t="s">
        <v>74</v>
      </c>
      <c r="AE189" s="5" t="s">
        <v>74</v>
      </c>
      <c r="AF189" t="s">
        <v>75</v>
      </c>
      <c r="AG189" t="s">
        <v>120</v>
      </c>
      <c r="AH189">
        <f t="shared" si="76"/>
        <v>7.4003280000000005E-2</v>
      </c>
      <c r="AI189">
        <f t="shared" ref="AI189:AI191" si="78">AJ189</f>
        <v>7.4003280000000005E-2</v>
      </c>
      <c r="AJ189">
        <f t="shared" si="55"/>
        <v>7.4003280000000005E-2</v>
      </c>
      <c r="AK189">
        <v>7.4003280000000005E-2</v>
      </c>
      <c r="AL189">
        <v>9.3424654999999995E-2</v>
      </c>
      <c r="AM189">
        <v>0.12007659</v>
      </c>
      <c r="AN189">
        <v>0.12124522</v>
      </c>
      <c r="AO189">
        <v>92.599671999999998</v>
      </c>
      <c r="AP189">
        <v>90.657534499999997</v>
      </c>
      <c r="AQ189">
        <v>87.992340999999996</v>
      </c>
      <c r="AR189">
        <v>87.875478000000001</v>
      </c>
      <c r="AS189" t="b">
        <v>1</v>
      </c>
      <c r="AT189" t="b">
        <v>0</v>
      </c>
      <c r="AU189" t="s">
        <v>77</v>
      </c>
      <c r="AV189" t="s">
        <v>77</v>
      </c>
      <c r="AW189" t="s">
        <v>79</v>
      </c>
      <c r="AX189" t="s">
        <v>129</v>
      </c>
      <c r="AY189" t="s">
        <v>129</v>
      </c>
      <c r="AZ189" t="s">
        <v>109</v>
      </c>
      <c r="BA189">
        <v>2</v>
      </c>
      <c r="BB189">
        <v>1.75</v>
      </c>
      <c r="BC189">
        <v>7.7070764999999999E-2</v>
      </c>
      <c r="BD189">
        <v>1.90190515067399E-3</v>
      </c>
      <c r="BE189">
        <v>7.8972670150673996E-2</v>
      </c>
      <c r="BF189">
        <f>IF(AK189&lt;BE189,1,0)</f>
        <v>1</v>
      </c>
      <c r="BG189">
        <f>IF(AK189&lt;BC189,1,0)</f>
        <v>1</v>
      </c>
      <c r="BH189">
        <f>VLOOKUP($B189,[1]Data_Peer_with_peerVars!$B$2:$Z$1050,20,FALSE)</f>
        <v>8</v>
      </c>
      <c r="BI189">
        <f>VLOOKUP($B189,[1]Data_Peer_with_peerVars!$B$2:$Z$1050,21,FALSE)</f>
        <v>8</v>
      </c>
      <c r="BJ189">
        <f>VLOOKUP($B189,[1]Data_Peer_with_peerVars!$B$2:$Z$1050,22,FALSE)</f>
        <v>1</v>
      </c>
      <c r="BK189">
        <f>VLOOKUP($B189,[1]Data_Peer_with_peerVars!$B$2:$Z$1050,23,FALSE)</f>
        <v>44</v>
      </c>
      <c r="BL189">
        <f>VLOOKUP($B189,[1]Data_Peer_with_peerVars!$B$2:$Z$1050,24,FALSE)</f>
        <v>31</v>
      </c>
      <c r="BM189">
        <f>VLOOKUP($B189,[1]Data_Peer_with_peerVars!$B$2:$Z$1050,25,FALSE)</f>
        <v>0.70454545499999999</v>
      </c>
    </row>
    <row r="190" spans="1:65" x14ac:dyDescent="0.2">
      <c r="A190">
        <v>1</v>
      </c>
      <c r="B190" t="s">
        <v>385</v>
      </c>
      <c r="C190">
        <v>98</v>
      </c>
      <c r="D190" t="s">
        <v>68</v>
      </c>
      <c r="E190">
        <v>0</v>
      </c>
      <c r="F190">
        <v>297</v>
      </c>
      <c r="G190" t="s">
        <v>97</v>
      </c>
      <c r="H190" s="1">
        <v>7</v>
      </c>
      <c r="I190" t="s">
        <v>87</v>
      </c>
      <c r="J190" t="s">
        <v>111</v>
      </c>
      <c r="K190" t="s">
        <v>109</v>
      </c>
      <c r="L190">
        <v>1</v>
      </c>
      <c r="M190">
        <v>0</v>
      </c>
      <c r="N190">
        <v>0</v>
      </c>
      <c r="O190">
        <v>0</v>
      </c>
      <c r="P190">
        <v>0</v>
      </c>
      <c r="Q190">
        <v>8</v>
      </c>
      <c r="R190">
        <v>0</v>
      </c>
      <c r="S190">
        <v>0</v>
      </c>
      <c r="T190">
        <v>0</v>
      </c>
      <c r="U190">
        <v>0</v>
      </c>
      <c r="V190">
        <f t="shared" si="53"/>
        <v>1</v>
      </c>
      <c r="W190">
        <v>1</v>
      </c>
      <c r="X190">
        <v>1</v>
      </c>
      <c r="Y190">
        <v>1</v>
      </c>
      <c r="Z190" t="s">
        <v>73</v>
      </c>
      <c r="AA190" s="5" t="s">
        <v>73</v>
      </c>
      <c r="AB190" s="5" t="s">
        <v>73</v>
      </c>
      <c r="AC190" t="s">
        <v>73</v>
      </c>
      <c r="AD190" t="s">
        <v>94</v>
      </c>
      <c r="AE190" s="5" t="s">
        <v>94</v>
      </c>
      <c r="AF190" t="s">
        <v>75</v>
      </c>
      <c r="AG190" t="s">
        <v>95</v>
      </c>
      <c r="AH190">
        <f t="shared" si="76"/>
        <v>6.8429664000000001E-2</v>
      </c>
      <c r="AI190">
        <f t="shared" si="78"/>
        <v>6.8429664000000001E-2</v>
      </c>
      <c r="AJ190">
        <f t="shared" si="55"/>
        <v>6.8429664000000001E-2</v>
      </c>
      <c r="AK190">
        <v>6.8429664000000001E-2</v>
      </c>
      <c r="AL190">
        <v>0.118176855</v>
      </c>
      <c r="AM190">
        <v>0.12882932</v>
      </c>
      <c r="AN190">
        <v>0.14153004999999999</v>
      </c>
      <c r="AO190">
        <v>93.157033600000005</v>
      </c>
      <c r="AP190">
        <v>88.182314500000004</v>
      </c>
      <c r="AQ190">
        <v>87.117068000000003</v>
      </c>
      <c r="AR190">
        <v>85.846995000000007</v>
      </c>
      <c r="AS190" t="b">
        <v>1</v>
      </c>
      <c r="AT190" t="b">
        <v>0</v>
      </c>
      <c r="AU190" t="s">
        <v>77</v>
      </c>
      <c r="AV190" t="s">
        <v>78</v>
      </c>
      <c r="AW190" t="s">
        <v>79</v>
      </c>
      <c r="AX190" t="s">
        <v>129</v>
      </c>
      <c r="AY190" t="s">
        <v>129</v>
      </c>
      <c r="AZ190" t="s">
        <v>109</v>
      </c>
      <c r="BA190">
        <v>6</v>
      </c>
      <c r="BB190">
        <v>1.05</v>
      </c>
      <c r="BC190">
        <v>4.1163553999999996E-3</v>
      </c>
      <c r="BD190">
        <v>1.4279989108178799E-4</v>
      </c>
      <c r="BE190">
        <v>4.2591552910817903E-3</v>
      </c>
      <c r="BF190">
        <f>IF(AK190&lt;BE190,1,0)</f>
        <v>0</v>
      </c>
      <c r="BG190">
        <f>IF(AK190&lt;BC190,1,0)</f>
        <v>0</v>
      </c>
      <c r="BH190">
        <f>VLOOKUP($B190,[1]Data_Peer_with_peerVars!$B$2:$Z$1050,20,FALSE)</f>
        <v>8</v>
      </c>
      <c r="BI190">
        <f>VLOOKUP($B190,[1]Data_Peer_with_peerVars!$B$2:$Z$1050,21,FALSE)</f>
        <v>8</v>
      </c>
      <c r="BJ190">
        <f>VLOOKUP($B190,[1]Data_Peer_with_peerVars!$B$2:$Z$1050,22,FALSE)</f>
        <v>1</v>
      </c>
      <c r="BK190">
        <f>VLOOKUP($B190,[1]Data_Peer_with_peerVars!$B$2:$Z$1050,23,FALSE)</f>
        <v>44</v>
      </c>
      <c r="BL190">
        <f>VLOOKUP($B190,[1]Data_Peer_with_peerVars!$B$2:$Z$1050,24,FALSE)</f>
        <v>31</v>
      </c>
      <c r="BM190">
        <f>VLOOKUP($B190,[1]Data_Peer_with_peerVars!$B$2:$Z$1050,25,FALSE)</f>
        <v>0.70454545499999999</v>
      </c>
    </row>
    <row r="191" spans="1:65" x14ac:dyDescent="0.2">
      <c r="A191">
        <v>1</v>
      </c>
      <c r="B191" t="s">
        <v>386</v>
      </c>
      <c r="C191">
        <v>99</v>
      </c>
      <c r="D191" t="s">
        <v>68</v>
      </c>
      <c r="E191">
        <v>1</v>
      </c>
      <c r="F191">
        <v>311</v>
      </c>
      <c r="G191" t="s">
        <v>69</v>
      </c>
      <c r="H191" s="1">
        <v>7</v>
      </c>
      <c r="I191" t="s">
        <v>87</v>
      </c>
      <c r="J191" t="s">
        <v>111</v>
      </c>
      <c r="K191" t="s">
        <v>109</v>
      </c>
      <c r="L191">
        <v>1</v>
      </c>
      <c r="M191">
        <v>0</v>
      </c>
      <c r="N191">
        <v>1</v>
      </c>
      <c r="O191">
        <v>0</v>
      </c>
      <c r="P191">
        <v>0</v>
      </c>
      <c r="Q191">
        <v>3</v>
      </c>
      <c r="R191">
        <v>0</v>
      </c>
      <c r="S191">
        <v>0</v>
      </c>
      <c r="T191">
        <v>0</v>
      </c>
      <c r="U191">
        <v>0</v>
      </c>
      <c r="V191">
        <f t="shared" si="53"/>
        <v>1</v>
      </c>
      <c r="W191">
        <v>1</v>
      </c>
      <c r="X191">
        <v>1</v>
      </c>
      <c r="Y191">
        <v>1</v>
      </c>
      <c r="Z191" t="s">
        <v>76</v>
      </c>
      <c r="AA191" s="5" t="s">
        <v>76</v>
      </c>
      <c r="AB191" s="5" t="s">
        <v>76</v>
      </c>
      <c r="AC191" t="s">
        <v>76</v>
      </c>
      <c r="AD191" t="s">
        <v>74</v>
      </c>
      <c r="AE191" s="5" t="s">
        <v>74</v>
      </c>
      <c r="AF191" t="s">
        <v>102</v>
      </c>
      <c r="AG191" t="s">
        <v>167</v>
      </c>
      <c r="AH191">
        <f t="shared" si="76"/>
        <v>0.1193337</v>
      </c>
      <c r="AI191">
        <f t="shared" si="78"/>
        <v>0.1193337</v>
      </c>
      <c r="AJ191">
        <f t="shared" si="55"/>
        <v>0.1193337</v>
      </c>
      <c r="AK191">
        <v>0.1193337</v>
      </c>
      <c r="AL191">
        <v>0.12767123</v>
      </c>
      <c r="AM191">
        <v>0.13576882000000001</v>
      </c>
      <c r="AN191">
        <v>0.13726026999999999</v>
      </c>
      <c r="AO191">
        <v>88.066630000000004</v>
      </c>
      <c r="AP191">
        <v>87.232877000000002</v>
      </c>
      <c r="AQ191">
        <v>86.423118000000002</v>
      </c>
      <c r="AR191">
        <v>86.273972999999998</v>
      </c>
      <c r="AS191" t="b">
        <v>1</v>
      </c>
      <c r="AT191" t="b">
        <v>0</v>
      </c>
      <c r="AU191" t="s">
        <v>78</v>
      </c>
      <c r="AV191" t="s">
        <v>78</v>
      </c>
      <c r="AW191" t="s">
        <v>79</v>
      </c>
      <c r="AX191" t="s">
        <v>129</v>
      </c>
      <c r="AY191" t="s">
        <v>129</v>
      </c>
      <c r="AZ191" t="s">
        <v>109</v>
      </c>
      <c r="BA191">
        <v>3</v>
      </c>
      <c r="BB191">
        <v>0.7</v>
      </c>
      <c r="BC191">
        <v>7.7070764999999999E-2</v>
      </c>
      <c r="BD191">
        <v>1.90190515067399E-3</v>
      </c>
      <c r="BE191">
        <v>7.8972670150673996E-2</v>
      </c>
      <c r="BF191">
        <f>IF(AK191&lt;BE191,1,0)</f>
        <v>0</v>
      </c>
      <c r="BG191">
        <f>IF(AK191&lt;BC191,1,0)</f>
        <v>0</v>
      </c>
      <c r="BH191">
        <f>VLOOKUP($B191,[1]Data_Peer_with_peerVars!$B$2:$Z$1050,20,FALSE)</f>
        <v>9</v>
      </c>
      <c r="BI191">
        <f>VLOOKUP($B191,[1]Data_Peer_with_peerVars!$B$2:$Z$1050,21,FALSE)</f>
        <v>9</v>
      </c>
      <c r="BJ191">
        <f>VLOOKUP($B191,[1]Data_Peer_with_peerVars!$B$2:$Z$1050,22,FALSE)</f>
        <v>1</v>
      </c>
      <c r="BK191">
        <f>VLOOKUP($B191,[1]Data_Peer_with_peerVars!$B$2:$Z$1050,23,FALSE)</f>
        <v>45</v>
      </c>
      <c r="BL191">
        <f>VLOOKUP($B191,[1]Data_Peer_with_peerVars!$B$2:$Z$1050,24,FALSE)</f>
        <v>32</v>
      </c>
      <c r="BM191">
        <f>VLOOKUP($B191,[1]Data_Peer_with_peerVars!$B$2:$Z$1050,25,FALSE)</f>
        <v>0.71111111100000002</v>
      </c>
    </row>
    <row r="192" spans="1:65" x14ac:dyDescent="0.2">
      <c r="A192">
        <v>1</v>
      </c>
      <c r="B192" t="s">
        <v>387</v>
      </c>
      <c r="C192">
        <v>100</v>
      </c>
      <c r="D192" t="s">
        <v>68</v>
      </c>
      <c r="E192">
        <v>0</v>
      </c>
      <c r="F192">
        <v>327</v>
      </c>
      <c r="G192" t="s">
        <v>97</v>
      </c>
      <c r="H192" s="1">
        <v>7</v>
      </c>
      <c r="I192" t="s">
        <v>87</v>
      </c>
      <c r="J192" t="s">
        <v>88</v>
      </c>
      <c r="K192" t="s">
        <v>72</v>
      </c>
      <c r="L192">
        <v>1</v>
      </c>
      <c r="M192">
        <v>0</v>
      </c>
      <c r="N192">
        <v>1</v>
      </c>
      <c r="O192">
        <v>0</v>
      </c>
      <c r="P192">
        <v>0</v>
      </c>
      <c r="Q192">
        <v>6</v>
      </c>
      <c r="R192">
        <v>0</v>
      </c>
      <c r="S192">
        <v>0</v>
      </c>
      <c r="T192">
        <v>0</v>
      </c>
      <c r="U192">
        <v>1</v>
      </c>
      <c r="V192">
        <f t="shared" si="53"/>
        <v>0</v>
      </c>
      <c r="W192">
        <f t="shared" si="56"/>
        <v>0</v>
      </c>
      <c r="X192">
        <f t="shared" si="58"/>
        <v>0</v>
      </c>
      <c r="Y192">
        <f t="shared" si="59"/>
        <v>0</v>
      </c>
      <c r="Z192" t="s">
        <v>89</v>
      </c>
      <c r="AA192" s="5" t="s">
        <v>273</v>
      </c>
      <c r="AB192" s="5" t="s">
        <v>345</v>
      </c>
      <c r="AC192" t="s">
        <v>94</v>
      </c>
      <c r="AD192" t="s">
        <v>102</v>
      </c>
      <c r="AE192" s="5" t="s">
        <v>102</v>
      </c>
      <c r="AF192" t="s">
        <v>95</v>
      </c>
      <c r="AG192" t="s">
        <v>107</v>
      </c>
      <c r="AH192">
        <f t="shared" ref="AH192:AH201" si="79">AI192</f>
        <v>5.2947599999999997E-2</v>
      </c>
      <c r="AI192">
        <f t="shared" ref="AI192:AI195" si="80">AJ192</f>
        <v>5.2947599999999997E-2</v>
      </c>
      <c r="AJ192">
        <f t="shared" si="55"/>
        <v>5.2947599999999997E-2</v>
      </c>
      <c r="AK192">
        <v>5.2947599999999997E-2</v>
      </c>
      <c r="AL192">
        <v>0.12984179000000001</v>
      </c>
      <c r="AM192">
        <v>0.13094587999999999</v>
      </c>
      <c r="AN192">
        <v>0.13616438</v>
      </c>
      <c r="AO192">
        <v>94.705240000000003</v>
      </c>
      <c r="AP192">
        <v>87.015821000000003</v>
      </c>
      <c r="AQ192">
        <v>86.905411999999998</v>
      </c>
      <c r="AR192">
        <v>86.383561999999998</v>
      </c>
      <c r="AS192" t="b">
        <v>0</v>
      </c>
      <c r="AT192" t="b">
        <v>0</v>
      </c>
      <c r="AU192" t="s">
        <v>92</v>
      </c>
      <c r="AV192" t="s">
        <v>92</v>
      </c>
      <c r="AW192" t="s">
        <v>79</v>
      </c>
      <c r="AX192" t="s">
        <v>129</v>
      </c>
      <c r="AY192" t="s">
        <v>129</v>
      </c>
      <c r="AZ192" t="s">
        <v>72</v>
      </c>
      <c r="BA192" t="s">
        <v>82</v>
      </c>
      <c r="BB192">
        <v>3</v>
      </c>
      <c r="BC192">
        <v>1.6447369E-2</v>
      </c>
      <c r="BD192">
        <v>4.2236161269162102E-4</v>
      </c>
      <c r="BE192">
        <v>1.6869730612691598E-2</v>
      </c>
      <c r="BF192">
        <f>IF(AK192&lt;BE192,1,0)</f>
        <v>0</v>
      </c>
      <c r="BG192">
        <f>IF(AK192&lt;BC192,1,0)</f>
        <v>0</v>
      </c>
      <c r="BH192">
        <f>VLOOKUP($B192,[1]Data_Peer_with_peerVars!$B$2:$Z$1050,20,FALSE)</f>
        <v>0</v>
      </c>
      <c r="BI192">
        <f>VLOOKUP($B192,[1]Data_Peer_with_peerVars!$B$2:$Z$1050,21,FALSE)</f>
        <v>0</v>
      </c>
      <c r="BJ192">
        <v>0</v>
      </c>
      <c r="BK192">
        <f>VLOOKUP($B192,[1]Data_Peer_with_peerVars!$B$2:$Z$1050,23,FALSE)</f>
        <v>37</v>
      </c>
      <c r="BL192">
        <f>VLOOKUP($B192,[1]Data_Peer_with_peerVars!$B$2:$Z$1050,24,FALSE)</f>
        <v>29</v>
      </c>
      <c r="BM192">
        <f>VLOOKUP($B192,[1]Data_Peer_with_peerVars!$B$2:$Z$1050,25,FALSE)</f>
        <v>0.78378378400000004</v>
      </c>
    </row>
    <row r="193" spans="1:65" x14ac:dyDescent="0.2">
      <c r="A193">
        <v>1</v>
      </c>
      <c r="B193" t="s">
        <v>388</v>
      </c>
      <c r="C193">
        <v>100</v>
      </c>
      <c r="D193" t="s">
        <v>68</v>
      </c>
      <c r="E193">
        <v>0</v>
      </c>
      <c r="F193">
        <v>327</v>
      </c>
      <c r="G193" t="s">
        <v>97</v>
      </c>
      <c r="H193" s="1">
        <v>7</v>
      </c>
      <c r="I193" t="s">
        <v>87</v>
      </c>
      <c r="J193" t="s">
        <v>88</v>
      </c>
      <c r="K193" t="s">
        <v>72</v>
      </c>
      <c r="L193">
        <v>1</v>
      </c>
      <c r="M193">
        <v>0</v>
      </c>
      <c r="N193">
        <v>1</v>
      </c>
      <c r="O193">
        <v>0</v>
      </c>
      <c r="P193">
        <v>0</v>
      </c>
      <c r="Q193">
        <v>6</v>
      </c>
      <c r="R193">
        <v>0</v>
      </c>
      <c r="S193">
        <v>0</v>
      </c>
      <c r="T193">
        <v>0</v>
      </c>
      <c r="U193">
        <v>0</v>
      </c>
      <c r="V193">
        <f t="shared" si="53"/>
        <v>0</v>
      </c>
      <c r="W193">
        <f t="shared" si="56"/>
        <v>0</v>
      </c>
      <c r="X193">
        <f t="shared" si="58"/>
        <v>0</v>
      </c>
      <c r="Y193">
        <f t="shared" si="59"/>
        <v>0</v>
      </c>
      <c r="Z193" t="s">
        <v>89</v>
      </c>
      <c r="AA193" s="5" t="s">
        <v>170</v>
      </c>
      <c r="AB193" s="5" t="s">
        <v>269</v>
      </c>
      <c r="AC193" t="s">
        <v>73</v>
      </c>
      <c r="AD193" t="s">
        <v>75</v>
      </c>
      <c r="AE193" s="5" t="s">
        <v>75</v>
      </c>
      <c r="AF193" t="s">
        <v>94</v>
      </c>
      <c r="AG193" t="s">
        <v>120</v>
      </c>
      <c r="AH193">
        <f t="shared" si="79"/>
        <v>7.454943E-2</v>
      </c>
      <c r="AI193">
        <f t="shared" si="80"/>
        <v>7.454943E-2</v>
      </c>
      <c r="AJ193">
        <f t="shared" si="55"/>
        <v>7.454943E-2</v>
      </c>
      <c r="AK193">
        <v>7.454943E-2</v>
      </c>
      <c r="AL193">
        <v>0.12821916999999999</v>
      </c>
      <c r="AM193">
        <v>0.13231274000000001</v>
      </c>
      <c r="AN193">
        <v>0.14195843</v>
      </c>
      <c r="AO193">
        <v>92.545057</v>
      </c>
      <c r="AP193">
        <v>87.178083000000001</v>
      </c>
      <c r="AQ193">
        <v>86.768726000000001</v>
      </c>
      <c r="AR193">
        <v>85.804157000000004</v>
      </c>
      <c r="AS193" t="b">
        <v>0</v>
      </c>
      <c r="AT193" t="b">
        <v>0</v>
      </c>
      <c r="AU193" t="s">
        <v>92</v>
      </c>
      <c r="AV193" t="s">
        <v>92</v>
      </c>
      <c r="AW193" t="s">
        <v>79</v>
      </c>
      <c r="AX193" t="s">
        <v>129</v>
      </c>
      <c r="AY193" t="s">
        <v>129</v>
      </c>
      <c r="AZ193" t="s">
        <v>82</v>
      </c>
      <c r="BA193" t="s">
        <v>82</v>
      </c>
      <c r="BB193">
        <v>1</v>
      </c>
      <c r="BC193">
        <v>4.1163553999999996E-3</v>
      </c>
      <c r="BD193">
        <v>1.4279989108178799E-4</v>
      </c>
      <c r="BE193">
        <v>4.2591552910817903E-3</v>
      </c>
      <c r="BF193">
        <f>IF(AK193&lt;BE193,1,0)</f>
        <v>0</v>
      </c>
      <c r="BG193">
        <f>IF(AK193&lt;BC193,1,0)</f>
        <v>0</v>
      </c>
      <c r="BH193">
        <f>VLOOKUP($B193,[1]Data_Peer_with_peerVars!$B$2:$Z$1050,20,FALSE)</f>
        <v>0</v>
      </c>
      <c r="BI193">
        <f>VLOOKUP($B193,[1]Data_Peer_with_peerVars!$B$2:$Z$1050,21,FALSE)</f>
        <v>0</v>
      </c>
      <c r="BJ193">
        <v>0</v>
      </c>
      <c r="BK193">
        <f>VLOOKUP($B193,[1]Data_Peer_with_peerVars!$B$2:$Z$1050,23,FALSE)</f>
        <v>37</v>
      </c>
      <c r="BL193">
        <f>VLOOKUP($B193,[1]Data_Peer_with_peerVars!$B$2:$Z$1050,24,FALSE)</f>
        <v>29</v>
      </c>
      <c r="BM193">
        <f>VLOOKUP($B193,[1]Data_Peer_with_peerVars!$B$2:$Z$1050,25,FALSE)</f>
        <v>0.78378378400000004</v>
      </c>
    </row>
    <row r="194" spans="1:65" x14ac:dyDescent="0.2">
      <c r="A194">
        <v>1</v>
      </c>
      <c r="B194" t="s">
        <v>389</v>
      </c>
      <c r="C194">
        <v>101</v>
      </c>
      <c r="D194" t="s">
        <v>68</v>
      </c>
      <c r="E194">
        <v>1</v>
      </c>
      <c r="F194">
        <v>834</v>
      </c>
      <c r="G194" t="s">
        <v>86</v>
      </c>
      <c r="H194" s="1">
        <v>4</v>
      </c>
      <c r="I194" t="s">
        <v>87</v>
      </c>
      <c r="J194" t="s">
        <v>111</v>
      </c>
      <c r="K194" t="s">
        <v>109</v>
      </c>
      <c r="L194">
        <v>1</v>
      </c>
      <c r="M194">
        <v>0</v>
      </c>
      <c r="N194">
        <v>1</v>
      </c>
      <c r="O194">
        <v>0</v>
      </c>
      <c r="P194">
        <v>0</v>
      </c>
      <c r="Q194">
        <v>6</v>
      </c>
      <c r="R194">
        <v>0</v>
      </c>
      <c r="S194">
        <v>0</v>
      </c>
      <c r="T194">
        <v>1</v>
      </c>
      <c r="U194">
        <v>1</v>
      </c>
      <c r="V194">
        <f t="shared" si="53"/>
        <v>0</v>
      </c>
      <c r="W194">
        <f t="shared" si="56"/>
        <v>0</v>
      </c>
      <c r="X194">
        <f t="shared" si="58"/>
        <v>0</v>
      </c>
      <c r="Y194">
        <f t="shared" si="59"/>
        <v>0</v>
      </c>
      <c r="Z194" t="s">
        <v>98</v>
      </c>
      <c r="AA194" s="5" t="s">
        <v>99</v>
      </c>
      <c r="AB194" s="5" t="s">
        <v>390</v>
      </c>
      <c r="AC194" t="s">
        <v>94</v>
      </c>
      <c r="AD194" t="s">
        <v>95</v>
      </c>
      <c r="AE194" s="5" t="s">
        <v>95</v>
      </c>
      <c r="AF194" t="s">
        <v>107</v>
      </c>
      <c r="AG194" t="s">
        <v>74</v>
      </c>
      <c r="AH194">
        <f t="shared" si="79"/>
        <v>1.4778325E-2</v>
      </c>
      <c r="AI194">
        <f t="shared" si="80"/>
        <v>1.4778325E-2</v>
      </c>
      <c r="AJ194">
        <f t="shared" si="55"/>
        <v>1.4778325E-2</v>
      </c>
      <c r="AK194">
        <v>1.4778325E-2</v>
      </c>
      <c r="AL194">
        <v>0.109375</v>
      </c>
      <c r="AM194">
        <v>0.11098901</v>
      </c>
      <c r="AN194">
        <v>0.12692307999999999</v>
      </c>
      <c r="AO194">
        <v>98.522167499999995</v>
      </c>
      <c r="AP194">
        <v>89.0625</v>
      </c>
      <c r="AQ194">
        <v>88.901099000000002</v>
      </c>
      <c r="AR194">
        <v>87.307692000000003</v>
      </c>
      <c r="AS194" t="b">
        <v>0</v>
      </c>
      <c r="AT194" t="b">
        <v>0</v>
      </c>
      <c r="AU194" t="s">
        <v>77</v>
      </c>
      <c r="AV194" t="s">
        <v>78</v>
      </c>
      <c r="AW194" t="s">
        <v>79</v>
      </c>
      <c r="AX194" t="s">
        <v>129</v>
      </c>
      <c r="AY194" t="s">
        <v>391</v>
      </c>
      <c r="AZ194" t="s">
        <v>109</v>
      </c>
      <c r="BA194">
        <v>10</v>
      </c>
      <c r="BB194">
        <v>1.4</v>
      </c>
      <c r="BC194">
        <v>1.6447369E-2</v>
      </c>
      <c r="BD194">
        <v>4.2236161269162102E-4</v>
      </c>
      <c r="BE194">
        <v>1.6869730612691598E-2</v>
      </c>
      <c r="BF194">
        <f>IF(AK194&lt;BE194,1,0)</f>
        <v>1</v>
      </c>
      <c r="BG194">
        <f>IF(AK194&lt;BC194,1,0)</f>
        <v>1</v>
      </c>
      <c r="BH194">
        <f>VLOOKUP($B194,[1]Data_Peer_with_peerVars!$B$2:$Z$1050,20,FALSE)</f>
        <v>0</v>
      </c>
      <c r="BI194">
        <f>VLOOKUP($B194,[1]Data_Peer_with_peerVars!$B$2:$Z$1050,21,FALSE)</f>
        <v>0</v>
      </c>
      <c r="BJ194">
        <v>0</v>
      </c>
      <c r="BK194">
        <f>VLOOKUP($B194,[1]Data_Peer_with_peerVars!$B$2:$Z$1050,23,FALSE)</f>
        <v>29</v>
      </c>
      <c r="BL194">
        <f>VLOOKUP($B194,[1]Data_Peer_with_peerVars!$B$2:$Z$1050,24,FALSE)</f>
        <v>24</v>
      </c>
      <c r="BM194">
        <f>VLOOKUP($B194,[1]Data_Peer_with_peerVars!$B$2:$Z$1050,25,FALSE)</f>
        <v>0.82758620699999996</v>
      </c>
    </row>
    <row r="195" spans="1:65" x14ac:dyDescent="0.2">
      <c r="A195">
        <v>1</v>
      </c>
      <c r="B195" t="s">
        <v>392</v>
      </c>
      <c r="C195">
        <v>101</v>
      </c>
      <c r="D195" t="s">
        <v>68</v>
      </c>
      <c r="E195">
        <v>1</v>
      </c>
      <c r="F195">
        <v>834</v>
      </c>
      <c r="G195" t="s">
        <v>86</v>
      </c>
      <c r="H195" s="1">
        <v>4</v>
      </c>
      <c r="I195" t="s">
        <v>87</v>
      </c>
      <c r="J195" t="s">
        <v>111</v>
      </c>
      <c r="K195" t="s">
        <v>109</v>
      </c>
      <c r="L195">
        <v>1</v>
      </c>
      <c r="M195">
        <v>0</v>
      </c>
      <c r="N195">
        <v>1</v>
      </c>
      <c r="O195">
        <v>0</v>
      </c>
      <c r="P195">
        <v>0</v>
      </c>
      <c r="Q195">
        <v>6</v>
      </c>
      <c r="R195">
        <v>0</v>
      </c>
      <c r="S195">
        <v>0</v>
      </c>
      <c r="T195">
        <v>0</v>
      </c>
      <c r="U195">
        <v>0</v>
      </c>
      <c r="V195">
        <f t="shared" ref="V195:V258" si="81">IF(Z195=AC195,1,0)</f>
        <v>0</v>
      </c>
      <c r="W195">
        <f t="shared" ref="W195:W256" si="82">IF(Z195=AD195,1,0)</f>
        <v>0</v>
      </c>
      <c r="X195">
        <f t="shared" si="58"/>
        <v>0</v>
      </c>
      <c r="Y195">
        <f t="shared" ref="Y195:Y254" si="83">IF(Z195=AG195,1,0)</f>
        <v>0</v>
      </c>
      <c r="Z195" t="s">
        <v>89</v>
      </c>
      <c r="AA195" s="5" t="s">
        <v>268</v>
      </c>
      <c r="AB195" s="5" t="s">
        <v>269</v>
      </c>
      <c r="AC195" t="s">
        <v>73</v>
      </c>
      <c r="AD195" t="s">
        <v>94</v>
      </c>
      <c r="AE195" s="5" t="s">
        <v>94</v>
      </c>
      <c r="AF195" t="s">
        <v>75</v>
      </c>
      <c r="AG195" t="s">
        <v>95</v>
      </c>
      <c r="AH195">
        <f t="shared" si="79"/>
        <v>5.9738132999999999E-2</v>
      </c>
      <c r="AI195">
        <f t="shared" si="80"/>
        <v>5.9738132999999999E-2</v>
      </c>
      <c r="AJ195">
        <f t="shared" ref="AJ195:AJ258" si="84">AK195</f>
        <v>5.9738132999999999E-2</v>
      </c>
      <c r="AK195">
        <v>5.9738132999999999E-2</v>
      </c>
      <c r="AL195">
        <v>0.1193337</v>
      </c>
      <c r="AM195">
        <v>0.12972085</v>
      </c>
      <c r="AN195">
        <v>0.14024055999999999</v>
      </c>
      <c r="AO195">
        <v>94.026186699999997</v>
      </c>
      <c r="AP195">
        <v>88.066630000000004</v>
      </c>
      <c r="AQ195">
        <v>87.027914999999993</v>
      </c>
      <c r="AR195">
        <v>85.975943999999998</v>
      </c>
      <c r="AS195" t="b">
        <v>0</v>
      </c>
      <c r="AT195" t="b">
        <v>0</v>
      </c>
      <c r="AU195" t="s">
        <v>92</v>
      </c>
      <c r="AV195" t="s">
        <v>92</v>
      </c>
      <c r="AW195" t="s">
        <v>79</v>
      </c>
      <c r="AX195" t="s">
        <v>129</v>
      </c>
      <c r="AY195" t="s">
        <v>391</v>
      </c>
      <c r="AZ195" t="s">
        <v>109</v>
      </c>
      <c r="BA195">
        <v>3</v>
      </c>
      <c r="BB195">
        <v>0.7</v>
      </c>
      <c r="BC195">
        <v>4.1163553999999996E-3</v>
      </c>
      <c r="BD195">
        <v>1.4279989108178799E-4</v>
      </c>
      <c r="BE195">
        <v>4.2591552910817903E-3</v>
      </c>
      <c r="BF195">
        <f>IF(AK195&lt;BE195,1,0)</f>
        <v>0</v>
      </c>
      <c r="BG195">
        <f>IF(AK195&lt;BC195,1,0)</f>
        <v>0</v>
      </c>
      <c r="BH195">
        <f>VLOOKUP($B195,[1]Data_Peer_with_peerVars!$B$2:$Z$1050,20,FALSE)</f>
        <v>0</v>
      </c>
      <c r="BI195">
        <f>VLOOKUP($B195,[1]Data_Peer_with_peerVars!$B$2:$Z$1050,21,FALSE)</f>
        <v>0</v>
      </c>
      <c r="BJ195">
        <v>0</v>
      </c>
      <c r="BK195">
        <f>VLOOKUP($B195,[1]Data_Peer_with_peerVars!$B$2:$Z$1050,23,FALSE)</f>
        <v>29</v>
      </c>
      <c r="BL195">
        <f>VLOOKUP($B195,[1]Data_Peer_with_peerVars!$B$2:$Z$1050,24,FALSE)</f>
        <v>24</v>
      </c>
      <c r="BM195">
        <f>VLOOKUP($B195,[1]Data_Peer_with_peerVars!$B$2:$Z$1050,25,FALSE)</f>
        <v>0.82758620699999996</v>
      </c>
    </row>
    <row r="196" spans="1:65" x14ac:dyDescent="0.2">
      <c r="A196">
        <v>1</v>
      </c>
      <c r="B196" t="s">
        <v>393</v>
      </c>
      <c r="C196">
        <v>102</v>
      </c>
      <c r="D196" t="s">
        <v>155</v>
      </c>
      <c r="E196">
        <v>0</v>
      </c>
      <c r="F196" s="14" t="s">
        <v>82</v>
      </c>
      <c r="G196" s="14" t="s">
        <v>82</v>
      </c>
      <c r="H196" s="1">
        <v>7</v>
      </c>
      <c r="I196" t="s">
        <v>87</v>
      </c>
      <c r="J196" t="s">
        <v>88</v>
      </c>
      <c r="K196" t="s">
        <v>72</v>
      </c>
      <c r="L196">
        <v>1</v>
      </c>
      <c r="M196">
        <v>1</v>
      </c>
      <c r="N196">
        <v>0</v>
      </c>
      <c r="O196">
        <v>0</v>
      </c>
      <c r="P196">
        <v>0</v>
      </c>
      <c r="Q196">
        <v>16</v>
      </c>
      <c r="R196">
        <v>0</v>
      </c>
      <c r="S196">
        <v>0</v>
      </c>
      <c r="T196">
        <v>0</v>
      </c>
      <c r="U196">
        <v>0</v>
      </c>
      <c r="V196">
        <f t="shared" si="81"/>
        <v>1</v>
      </c>
      <c r="W196">
        <v>1</v>
      </c>
      <c r="X196">
        <v>1</v>
      </c>
      <c r="Y196">
        <v>1</v>
      </c>
      <c r="Z196" t="s">
        <v>76</v>
      </c>
      <c r="AA196" s="5" t="s">
        <v>76</v>
      </c>
      <c r="AB196" s="5" t="s">
        <v>76</v>
      </c>
      <c r="AC196" t="s">
        <v>76</v>
      </c>
      <c r="AD196" t="s">
        <v>74</v>
      </c>
      <c r="AE196" s="5" t="s">
        <v>74</v>
      </c>
      <c r="AF196" t="s">
        <v>94</v>
      </c>
      <c r="AG196" t="s">
        <v>102</v>
      </c>
      <c r="AH196">
        <f t="shared" si="79"/>
        <v>0.13735664</v>
      </c>
      <c r="AI196">
        <f>AJ196</f>
        <v>0.13735664</v>
      </c>
      <c r="AJ196">
        <f t="shared" si="84"/>
        <v>0.13735664</v>
      </c>
      <c r="AK196">
        <v>0.13735664</v>
      </c>
      <c r="AL196">
        <v>0.14547946</v>
      </c>
      <c r="AM196">
        <v>0.15775110000000001</v>
      </c>
      <c r="AN196">
        <v>0.15785170000000001</v>
      </c>
      <c r="AO196">
        <v>86.264336</v>
      </c>
      <c r="AP196">
        <v>85.452054000000004</v>
      </c>
      <c r="AQ196">
        <v>84.224890000000002</v>
      </c>
      <c r="AR196">
        <v>84.214830000000006</v>
      </c>
      <c r="AS196" t="b">
        <v>1</v>
      </c>
      <c r="AT196" t="b">
        <v>0</v>
      </c>
      <c r="AU196" t="s">
        <v>78</v>
      </c>
      <c r="AV196" t="s">
        <v>78</v>
      </c>
      <c r="AW196" t="s">
        <v>79</v>
      </c>
      <c r="AX196" t="s">
        <v>249</v>
      </c>
      <c r="AY196" t="s">
        <v>394</v>
      </c>
      <c r="AZ196" t="s">
        <v>72</v>
      </c>
      <c r="BA196" t="s">
        <v>82</v>
      </c>
      <c r="BB196">
        <v>1.4</v>
      </c>
      <c r="BC196">
        <v>7.7070764999999999E-2</v>
      </c>
      <c r="BD196">
        <v>1.90190515067399E-3</v>
      </c>
      <c r="BE196">
        <v>7.8972670150673996E-2</v>
      </c>
      <c r="BF196">
        <f>IF(AK196&lt;BE196,1,0)</f>
        <v>0</v>
      </c>
      <c r="BG196">
        <f>IF(AK196&lt;BC196,1,0)</f>
        <v>0</v>
      </c>
      <c r="BH196">
        <f>VLOOKUP($B196,[1]Data_Peer_with_peerVars!$B$2:$Z$1050,20,FALSE)</f>
        <v>11</v>
      </c>
      <c r="BI196">
        <f>VLOOKUP($B196,[1]Data_Peer_with_peerVars!$B$2:$Z$1050,21,FALSE)</f>
        <v>8</v>
      </c>
      <c r="BJ196">
        <f>VLOOKUP($B196,[1]Data_Peer_with_peerVars!$B$2:$Z$1050,22,FALSE)</f>
        <v>0.72727272700000001</v>
      </c>
      <c r="BK196">
        <f>VLOOKUP($B196,[1]Data_Peer_with_peerVars!$B$2:$Z$1050,23,FALSE)</f>
        <v>37</v>
      </c>
      <c r="BL196">
        <f>VLOOKUP($B196,[1]Data_Peer_with_peerVars!$B$2:$Z$1050,24,FALSE)</f>
        <v>27</v>
      </c>
      <c r="BM196">
        <f>VLOOKUP($B196,[1]Data_Peer_with_peerVars!$B$2:$Z$1050,25,FALSE)</f>
        <v>0.72972972999999997</v>
      </c>
    </row>
    <row r="197" spans="1:65" x14ac:dyDescent="0.2">
      <c r="A197">
        <v>1</v>
      </c>
      <c r="B197" t="s">
        <v>395</v>
      </c>
      <c r="C197">
        <v>103</v>
      </c>
      <c r="D197" t="s">
        <v>68</v>
      </c>
      <c r="E197">
        <v>0</v>
      </c>
      <c r="F197">
        <v>401</v>
      </c>
      <c r="G197" t="s">
        <v>119</v>
      </c>
      <c r="H197" s="1">
        <v>7</v>
      </c>
      <c r="I197" t="s">
        <v>87</v>
      </c>
      <c r="J197" t="s">
        <v>111</v>
      </c>
      <c r="K197" t="s">
        <v>109</v>
      </c>
      <c r="L197">
        <v>1</v>
      </c>
      <c r="M197">
        <v>0</v>
      </c>
      <c r="N197">
        <v>0</v>
      </c>
      <c r="O197">
        <v>0</v>
      </c>
      <c r="P197">
        <v>1</v>
      </c>
      <c r="Q197">
        <v>6</v>
      </c>
      <c r="R197">
        <v>0</v>
      </c>
      <c r="S197">
        <v>0</v>
      </c>
      <c r="T197">
        <v>0</v>
      </c>
      <c r="U197">
        <v>0</v>
      </c>
      <c r="V197">
        <f t="shared" si="81"/>
        <v>0</v>
      </c>
      <c r="W197">
        <f t="shared" si="82"/>
        <v>1</v>
      </c>
      <c r="X197">
        <v>1</v>
      </c>
      <c r="Y197">
        <v>1</v>
      </c>
      <c r="Z197" t="s">
        <v>73</v>
      </c>
      <c r="AA197" s="5" t="s">
        <v>73</v>
      </c>
      <c r="AB197" s="5" t="s">
        <v>73</v>
      </c>
      <c r="AC197" t="s">
        <v>287</v>
      </c>
      <c r="AD197" t="s">
        <v>73</v>
      </c>
      <c r="AE197" s="5" t="s">
        <v>73</v>
      </c>
      <c r="AF197" t="s">
        <v>75</v>
      </c>
      <c r="AG197" t="s">
        <v>137</v>
      </c>
      <c r="AH197">
        <f t="shared" si="79"/>
        <v>0.13884342999999999</v>
      </c>
      <c r="AI197">
        <f>AJ197</f>
        <v>0.13884342999999999</v>
      </c>
      <c r="AJ197">
        <f>AL197</f>
        <v>0.13884342999999999</v>
      </c>
      <c r="AK197">
        <v>0.13387978</v>
      </c>
      <c r="AL197">
        <v>0.13884342999999999</v>
      </c>
      <c r="AM197">
        <v>0.14348303000000001</v>
      </c>
      <c r="AN197">
        <v>0.14582196</v>
      </c>
      <c r="AO197">
        <v>86.612021999999996</v>
      </c>
      <c r="AP197">
        <v>86.115656999999999</v>
      </c>
      <c r="AQ197">
        <v>85.651696999999999</v>
      </c>
      <c r="AR197">
        <v>85.417804000000004</v>
      </c>
      <c r="AS197" t="b">
        <v>0</v>
      </c>
      <c r="AT197" t="b">
        <v>1</v>
      </c>
      <c r="AU197" t="s">
        <v>78</v>
      </c>
      <c r="AV197" t="s">
        <v>78</v>
      </c>
      <c r="AW197" t="s">
        <v>79</v>
      </c>
      <c r="AX197" t="s">
        <v>233</v>
      </c>
      <c r="AY197" t="s">
        <v>396</v>
      </c>
      <c r="AZ197" t="s">
        <v>109</v>
      </c>
      <c r="BA197">
        <v>2</v>
      </c>
      <c r="BB197">
        <v>2.5</v>
      </c>
      <c r="BC197">
        <v>5.5106750000000003E-2</v>
      </c>
      <c r="BD197">
        <v>2.4361461616194298E-3</v>
      </c>
      <c r="BE197">
        <v>5.7542896161619402E-2</v>
      </c>
      <c r="BF197">
        <f>IF(AK197&lt;BE197,1,0)</f>
        <v>0</v>
      </c>
      <c r="BG197">
        <f>IF(AK197&lt;BC197,1,0)</f>
        <v>0</v>
      </c>
      <c r="BH197">
        <f>VLOOKUP($B197,[1]Data_Peer_with_peerVars!$B$2:$Z$1050,20,FALSE)</f>
        <v>5</v>
      </c>
      <c r="BI197">
        <f>VLOOKUP($B197,[1]Data_Peer_with_peerVars!$B$2:$Z$1050,21,FALSE)</f>
        <v>2</v>
      </c>
      <c r="BJ197">
        <f>VLOOKUP($B197,[1]Data_Peer_with_peerVars!$B$2:$Z$1050,22,FALSE)</f>
        <v>0.4</v>
      </c>
      <c r="BK197">
        <f>VLOOKUP($B197,[1]Data_Peer_with_peerVars!$B$2:$Z$1050,23,FALSE)</f>
        <v>26</v>
      </c>
      <c r="BL197">
        <f>VLOOKUP($B197,[1]Data_Peer_with_peerVars!$B$2:$Z$1050,24,FALSE)</f>
        <v>16</v>
      </c>
      <c r="BM197">
        <f>VLOOKUP($B197,[1]Data_Peer_with_peerVars!$B$2:$Z$1050,25,FALSE)</f>
        <v>0.61538461499999997</v>
      </c>
    </row>
    <row r="198" spans="1:65" x14ac:dyDescent="0.2">
      <c r="A198">
        <v>1</v>
      </c>
      <c r="B198" t="s">
        <v>397</v>
      </c>
      <c r="C198">
        <v>104</v>
      </c>
      <c r="D198" t="s">
        <v>68</v>
      </c>
      <c r="E198">
        <v>0</v>
      </c>
      <c r="F198">
        <v>402</v>
      </c>
      <c r="G198" t="s">
        <v>119</v>
      </c>
      <c r="H198" s="1">
        <v>3</v>
      </c>
      <c r="I198" t="s">
        <v>70</v>
      </c>
      <c r="J198" t="s">
        <v>71</v>
      </c>
      <c r="K198" t="s">
        <v>109</v>
      </c>
      <c r="L198">
        <v>1</v>
      </c>
      <c r="M198">
        <v>0</v>
      </c>
      <c r="N198">
        <v>0</v>
      </c>
      <c r="O198">
        <v>0</v>
      </c>
      <c r="P198">
        <v>1</v>
      </c>
      <c r="Q198">
        <v>5</v>
      </c>
      <c r="R198">
        <v>0</v>
      </c>
      <c r="S198">
        <v>0</v>
      </c>
      <c r="T198">
        <v>0</v>
      </c>
      <c r="U198">
        <v>0</v>
      </c>
      <c r="V198">
        <f t="shared" si="81"/>
        <v>1</v>
      </c>
      <c r="W198">
        <v>1</v>
      </c>
      <c r="X198">
        <v>1</v>
      </c>
      <c r="Y198">
        <v>1</v>
      </c>
      <c r="Z198" t="s">
        <v>73</v>
      </c>
      <c r="AA198" s="5" t="s">
        <v>73</v>
      </c>
      <c r="AB198" s="5" t="s">
        <v>73</v>
      </c>
      <c r="AC198" t="s">
        <v>73</v>
      </c>
      <c r="AD198" t="s">
        <v>94</v>
      </c>
      <c r="AE198" s="5" t="s">
        <v>375</v>
      </c>
      <c r="AF198" t="s">
        <v>75</v>
      </c>
      <c r="AG198" t="s">
        <v>113</v>
      </c>
      <c r="AH198">
        <f t="shared" si="79"/>
        <v>7.2831419999999994E-2</v>
      </c>
      <c r="AI198">
        <f>AJ198</f>
        <v>7.2831419999999994E-2</v>
      </c>
      <c r="AJ198">
        <f t="shared" si="84"/>
        <v>7.2831419999999994E-2</v>
      </c>
      <c r="AK198">
        <v>7.2831419999999994E-2</v>
      </c>
      <c r="AL198">
        <v>0.1215183</v>
      </c>
      <c r="AM198">
        <v>0.124794744</v>
      </c>
      <c r="AN198">
        <v>0.14285714999999999</v>
      </c>
      <c r="AO198">
        <v>92.716858000000002</v>
      </c>
      <c r="AP198">
        <v>87.848169999999996</v>
      </c>
      <c r="AQ198">
        <v>87.520525599999999</v>
      </c>
      <c r="AR198">
        <v>85.714285000000004</v>
      </c>
      <c r="AS198" t="b">
        <v>1</v>
      </c>
      <c r="AT198" t="b">
        <v>0</v>
      </c>
      <c r="AU198" t="s">
        <v>77</v>
      </c>
      <c r="AV198" t="s">
        <v>108</v>
      </c>
      <c r="AW198" t="s">
        <v>79</v>
      </c>
      <c r="AX198" t="s">
        <v>233</v>
      </c>
      <c r="AY198" t="s">
        <v>398</v>
      </c>
      <c r="AZ198" t="s">
        <v>109</v>
      </c>
      <c r="BA198">
        <v>2</v>
      </c>
      <c r="BB198">
        <v>2</v>
      </c>
      <c r="BC198">
        <v>4.1163553999999996E-3</v>
      </c>
      <c r="BD198">
        <v>1.4279989108178799E-4</v>
      </c>
      <c r="BE198">
        <v>4.2591552910817903E-3</v>
      </c>
      <c r="BF198">
        <f>IF(AK198&lt;BE198,1,0)</f>
        <v>0</v>
      </c>
      <c r="BG198">
        <f>IF(AK198&lt;BC198,1,0)</f>
        <v>0</v>
      </c>
      <c r="BH198">
        <f>VLOOKUP($B198,[1]Data_Peer_with_peerVars!$B$2:$Z$1050,20,FALSE)</f>
        <v>4</v>
      </c>
      <c r="BI198">
        <f>VLOOKUP($B198,[1]Data_Peer_with_peerVars!$B$2:$Z$1050,21,FALSE)</f>
        <v>2</v>
      </c>
      <c r="BJ198">
        <f>VLOOKUP($B198,[1]Data_Peer_with_peerVars!$B$2:$Z$1050,22,FALSE)</f>
        <v>0.5</v>
      </c>
      <c r="BK198">
        <f>VLOOKUP($B198,[1]Data_Peer_with_peerVars!$B$2:$Z$1050,23,FALSE)</f>
        <v>25</v>
      </c>
      <c r="BL198">
        <f>VLOOKUP($B198,[1]Data_Peer_with_peerVars!$B$2:$Z$1050,24,FALSE)</f>
        <v>16</v>
      </c>
      <c r="BM198">
        <f>VLOOKUP($B198,[1]Data_Peer_with_peerVars!$B$2:$Z$1050,25,FALSE)</f>
        <v>0.64</v>
      </c>
    </row>
    <row r="199" spans="1:65" x14ac:dyDescent="0.2">
      <c r="A199">
        <v>1</v>
      </c>
      <c r="B199" t="s">
        <v>399</v>
      </c>
      <c r="C199">
        <v>104</v>
      </c>
      <c r="D199" t="s">
        <v>68</v>
      </c>
      <c r="E199">
        <v>0</v>
      </c>
      <c r="F199">
        <v>402</v>
      </c>
      <c r="G199" t="s">
        <v>119</v>
      </c>
      <c r="H199" s="1">
        <v>3</v>
      </c>
      <c r="I199" t="s">
        <v>70</v>
      </c>
      <c r="J199" t="s">
        <v>71</v>
      </c>
      <c r="K199" t="s">
        <v>109</v>
      </c>
      <c r="L199">
        <v>1</v>
      </c>
      <c r="M199">
        <v>0</v>
      </c>
      <c r="N199">
        <v>0</v>
      </c>
      <c r="O199">
        <v>0</v>
      </c>
      <c r="P199">
        <v>1</v>
      </c>
      <c r="Q199">
        <v>5</v>
      </c>
      <c r="R199">
        <v>0</v>
      </c>
      <c r="S199">
        <v>0</v>
      </c>
      <c r="T199">
        <v>0</v>
      </c>
      <c r="U199">
        <v>0</v>
      </c>
      <c r="V199">
        <f t="shared" si="81"/>
        <v>0</v>
      </c>
      <c r="W199">
        <f t="shared" si="82"/>
        <v>0</v>
      </c>
      <c r="X199">
        <f t="shared" ref="X199:X254" si="85">IF(Z199=AF199,1,0)</f>
        <v>1</v>
      </c>
      <c r="Y199">
        <v>1</v>
      </c>
      <c r="Z199" t="s">
        <v>76</v>
      </c>
      <c r="AA199" s="5" t="s">
        <v>76</v>
      </c>
      <c r="AB199" s="5" t="s">
        <v>76</v>
      </c>
      <c r="AC199" t="s">
        <v>84</v>
      </c>
      <c r="AD199" t="s">
        <v>74</v>
      </c>
      <c r="AE199" s="5" t="s">
        <v>400</v>
      </c>
      <c r="AF199" t="s">
        <v>76</v>
      </c>
      <c r="AG199" t="s">
        <v>75</v>
      </c>
      <c r="AH199">
        <f t="shared" si="79"/>
        <v>0.10977608</v>
      </c>
      <c r="AI199">
        <f>AM199</f>
        <v>0.10977608</v>
      </c>
      <c r="AJ199">
        <f t="shared" si="84"/>
        <v>9.3029639999999997E-2</v>
      </c>
      <c r="AK199">
        <v>9.3029639999999997E-2</v>
      </c>
      <c r="AL199">
        <v>0.1</v>
      </c>
      <c r="AM199">
        <v>0.10977608</v>
      </c>
      <c r="AN199">
        <v>0.12636760999999999</v>
      </c>
      <c r="AO199">
        <v>90.697035999999997</v>
      </c>
      <c r="AP199">
        <v>90</v>
      </c>
      <c r="AQ199">
        <v>89.022391999999996</v>
      </c>
      <c r="AR199">
        <v>87.363238999999993</v>
      </c>
      <c r="AS199" t="b">
        <v>0</v>
      </c>
      <c r="AT199" t="b">
        <v>0</v>
      </c>
      <c r="AU199" t="s">
        <v>108</v>
      </c>
      <c r="AV199" t="s">
        <v>108</v>
      </c>
      <c r="AW199" t="s">
        <v>79</v>
      </c>
      <c r="AX199" t="s">
        <v>233</v>
      </c>
      <c r="AY199" t="s">
        <v>398</v>
      </c>
      <c r="AZ199" t="s">
        <v>72</v>
      </c>
      <c r="BA199" t="s">
        <v>82</v>
      </c>
      <c r="BB199">
        <v>5</v>
      </c>
      <c r="BC199">
        <v>4.6780407000000003E-2</v>
      </c>
      <c r="BD199">
        <v>6.0749635341231199E-3</v>
      </c>
      <c r="BE199">
        <v>5.2855370534123099E-2</v>
      </c>
      <c r="BF199">
        <f>IF(AK199&lt;BE199,1,0)</f>
        <v>0</v>
      </c>
      <c r="BG199">
        <f>IF(AK199&lt;BC199,1,0)</f>
        <v>0</v>
      </c>
      <c r="BH199">
        <f>VLOOKUP($B199,[1]Data_Peer_with_peerVars!$B$2:$Z$1050,20,FALSE)</f>
        <v>4</v>
      </c>
      <c r="BI199">
        <f>VLOOKUP($B199,[1]Data_Peer_with_peerVars!$B$2:$Z$1050,21,FALSE)</f>
        <v>2</v>
      </c>
      <c r="BJ199">
        <f>VLOOKUP($B199,[1]Data_Peer_with_peerVars!$B$2:$Z$1050,22,FALSE)</f>
        <v>0.5</v>
      </c>
      <c r="BK199">
        <f>VLOOKUP($B199,[1]Data_Peer_with_peerVars!$B$2:$Z$1050,23,FALSE)</f>
        <v>25</v>
      </c>
      <c r="BL199">
        <f>VLOOKUP($B199,[1]Data_Peer_with_peerVars!$B$2:$Z$1050,24,FALSE)</f>
        <v>16</v>
      </c>
      <c r="BM199">
        <f>VLOOKUP($B199,[1]Data_Peer_with_peerVars!$B$2:$Z$1050,25,FALSE)</f>
        <v>0.64</v>
      </c>
    </row>
    <row r="200" spans="1:65" x14ac:dyDescent="0.2">
      <c r="A200">
        <v>1</v>
      </c>
      <c r="B200" t="s">
        <v>401</v>
      </c>
      <c r="C200">
        <v>105</v>
      </c>
      <c r="D200" t="s">
        <v>68</v>
      </c>
      <c r="E200">
        <v>0</v>
      </c>
      <c r="F200">
        <v>406</v>
      </c>
      <c r="G200" t="s">
        <v>119</v>
      </c>
      <c r="H200" s="1">
        <v>6.25</v>
      </c>
      <c r="I200" t="s">
        <v>70</v>
      </c>
      <c r="J200" t="s">
        <v>71</v>
      </c>
      <c r="K200" t="s">
        <v>72</v>
      </c>
      <c r="L200">
        <v>1</v>
      </c>
      <c r="M200">
        <v>0</v>
      </c>
      <c r="N200">
        <v>0</v>
      </c>
      <c r="O200">
        <v>0</v>
      </c>
      <c r="P200">
        <v>1</v>
      </c>
      <c r="Q200">
        <v>9</v>
      </c>
      <c r="R200">
        <v>0</v>
      </c>
      <c r="S200">
        <v>0</v>
      </c>
      <c r="T200">
        <v>0</v>
      </c>
      <c r="U200">
        <v>0</v>
      </c>
      <c r="V200">
        <f t="shared" si="81"/>
        <v>1</v>
      </c>
      <c r="W200">
        <v>1</v>
      </c>
      <c r="X200">
        <v>1</v>
      </c>
      <c r="Y200">
        <v>1</v>
      </c>
      <c r="Z200" t="s">
        <v>84</v>
      </c>
      <c r="AA200" s="5" t="s">
        <v>84</v>
      </c>
      <c r="AB200" s="5" t="s">
        <v>84</v>
      </c>
      <c r="AC200" t="s">
        <v>84</v>
      </c>
      <c r="AD200" t="s">
        <v>113</v>
      </c>
      <c r="AE200" s="5" t="s">
        <v>113</v>
      </c>
      <c r="AF200" t="s">
        <v>74</v>
      </c>
      <c r="AG200" t="s">
        <v>75</v>
      </c>
      <c r="AH200">
        <f t="shared" si="79"/>
        <v>4.8076924E-2</v>
      </c>
      <c r="AI200">
        <f t="shared" ref="AI200:AI201" si="86">AJ200</f>
        <v>4.8076924E-2</v>
      </c>
      <c r="AJ200">
        <f t="shared" si="84"/>
        <v>4.8076924E-2</v>
      </c>
      <c r="AK200">
        <v>4.8076924E-2</v>
      </c>
      <c r="AL200">
        <v>0.12768299999999999</v>
      </c>
      <c r="AM200">
        <v>0.139011</v>
      </c>
      <c r="AN200">
        <v>0.14117324000000001</v>
      </c>
      <c r="AO200">
        <v>95.192307600000007</v>
      </c>
      <c r="AP200">
        <v>87.231700000000004</v>
      </c>
      <c r="AQ200">
        <v>86.0989</v>
      </c>
      <c r="AR200">
        <v>85.882676000000004</v>
      </c>
      <c r="AS200" t="b">
        <v>1</v>
      </c>
      <c r="AT200" t="b">
        <v>0</v>
      </c>
      <c r="AU200" t="s">
        <v>77</v>
      </c>
      <c r="AV200" t="s">
        <v>78</v>
      </c>
      <c r="AW200" t="s">
        <v>79</v>
      </c>
      <c r="AX200" t="s">
        <v>233</v>
      </c>
      <c r="AY200" t="s">
        <v>398</v>
      </c>
      <c r="AZ200" t="s">
        <v>72</v>
      </c>
      <c r="BA200" t="s">
        <v>82</v>
      </c>
      <c r="BB200">
        <v>2.5</v>
      </c>
      <c r="BC200">
        <v>4.6780407000000003E-2</v>
      </c>
      <c r="BD200">
        <v>6.0749635341231199E-3</v>
      </c>
      <c r="BE200">
        <v>5.2855370534123099E-2</v>
      </c>
      <c r="BF200">
        <f>IF(AK200&lt;BE200,1,0)</f>
        <v>1</v>
      </c>
      <c r="BG200">
        <f>IF(AK200&lt;BC200,1,0)</f>
        <v>0</v>
      </c>
      <c r="BH200">
        <f>VLOOKUP($B200,[1]Data_Peer_with_peerVars!$B$2:$Z$1050,20,FALSE)</f>
        <v>0</v>
      </c>
      <c r="BI200">
        <f>VLOOKUP($B200,[1]Data_Peer_with_peerVars!$B$2:$Z$1050,21,FALSE)</f>
        <v>0</v>
      </c>
      <c r="BJ200">
        <v>0</v>
      </c>
      <c r="BK200">
        <f>VLOOKUP($B200,[1]Data_Peer_with_peerVars!$B$2:$Z$1050,23,FALSE)</f>
        <v>6</v>
      </c>
      <c r="BL200">
        <f>VLOOKUP($B200,[1]Data_Peer_with_peerVars!$B$2:$Z$1050,24,FALSE)</f>
        <v>3</v>
      </c>
      <c r="BM200">
        <f>VLOOKUP($B200,[1]Data_Peer_with_peerVars!$B$2:$Z$1050,25,FALSE)</f>
        <v>0.5</v>
      </c>
    </row>
    <row r="201" spans="1:65" x14ac:dyDescent="0.2">
      <c r="A201">
        <v>1</v>
      </c>
      <c r="B201" t="s">
        <v>402</v>
      </c>
      <c r="C201">
        <v>105</v>
      </c>
      <c r="D201" t="s">
        <v>68</v>
      </c>
      <c r="E201">
        <v>0</v>
      </c>
      <c r="F201">
        <v>406</v>
      </c>
      <c r="G201" t="s">
        <v>119</v>
      </c>
      <c r="H201" s="1">
        <v>6.25</v>
      </c>
      <c r="I201" t="s">
        <v>70</v>
      </c>
      <c r="J201" t="s">
        <v>71</v>
      </c>
      <c r="K201" t="s">
        <v>72</v>
      </c>
      <c r="L201">
        <v>1</v>
      </c>
      <c r="M201">
        <v>0</v>
      </c>
      <c r="N201">
        <v>0</v>
      </c>
      <c r="O201">
        <v>0</v>
      </c>
      <c r="P201">
        <v>1</v>
      </c>
      <c r="Q201">
        <v>9</v>
      </c>
      <c r="R201">
        <v>0</v>
      </c>
      <c r="S201">
        <v>0</v>
      </c>
      <c r="T201">
        <v>0</v>
      </c>
      <c r="U201">
        <v>0</v>
      </c>
      <c r="V201">
        <f t="shared" si="81"/>
        <v>1</v>
      </c>
      <c r="W201">
        <v>1</v>
      </c>
      <c r="X201">
        <v>1</v>
      </c>
      <c r="Y201">
        <v>1</v>
      </c>
      <c r="Z201" t="s">
        <v>73</v>
      </c>
      <c r="AA201" s="5" t="s">
        <v>73</v>
      </c>
      <c r="AB201" s="5" t="s">
        <v>73</v>
      </c>
      <c r="AC201" t="s">
        <v>73</v>
      </c>
      <c r="AD201" t="s">
        <v>94</v>
      </c>
      <c r="AE201" s="5" t="s">
        <v>94</v>
      </c>
      <c r="AF201" t="s">
        <v>75</v>
      </c>
      <c r="AG201" t="s">
        <v>95</v>
      </c>
      <c r="AH201">
        <f t="shared" si="79"/>
        <v>6.3522354000000003E-2</v>
      </c>
      <c r="AI201">
        <f t="shared" si="86"/>
        <v>6.3522354000000003E-2</v>
      </c>
      <c r="AJ201">
        <f t="shared" si="84"/>
        <v>6.3522354000000003E-2</v>
      </c>
      <c r="AK201">
        <v>6.3522354000000003E-2</v>
      </c>
      <c r="AL201">
        <v>0.11899564</v>
      </c>
      <c r="AM201">
        <v>0.13074398000000001</v>
      </c>
      <c r="AN201">
        <v>0.14125682000000001</v>
      </c>
      <c r="AO201">
        <v>93.647764600000002</v>
      </c>
      <c r="AP201">
        <v>88.100436000000002</v>
      </c>
      <c r="AQ201">
        <v>86.925601999999998</v>
      </c>
      <c r="AR201">
        <v>85.874318000000002</v>
      </c>
      <c r="AS201" t="b">
        <v>1</v>
      </c>
      <c r="AT201" t="b">
        <v>0</v>
      </c>
      <c r="AU201" t="s">
        <v>77</v>
      </c>
      <c r="AV201" t="s">
        <v>78</v>
      </c>
      <c r="AW201" t="s">
        <v>79</v>
      </c>
      <c r="AX201" t="s">
        <v>233</v>
      </c>
      <c r="AY201" t="s">
        <v>398</v>
      </c>
      <c r="AZ201" t="s">
        <v>72</v>
      </c>
      <c r="BA201" t="s">
        <v>82</v>
      </c>
      <c r="BB201">
        <v>2</v>
      </c>
      <c r="BC201">
        <v>4.1163553999999996E-3</v>
      </c>
      <c r="BD201">
        <v>1.4279989108178799E-4</v>
      </c>
      <c r="BE201">
        <v>4.2591552910817903E-3</v>
      </c>
      <c r="BF201">
        <f>IF(AK201&lt;BE201,1,0)</f>
        <v>0</v>
      </c>
      <c r="BG201">
        <f>IF(AK201&lt;BC201,1,0)</f>
        <v>0</v>
      </c>
      <c r="BH201">
        <f>VLOOKUP($B201,[1]Data_Peer_with_peerVars!$B$2:$Z$1050,20,FALSE)</f>
        <v>0</v>
      </c>
      <c r="BI201">
        <f>VLOOKUP($B201,[1]Data_Peer_with_peerVars!$B$2:$Z$1050,21,FALSE)</f>
        <v>0</v>
      </c>
      <c r="BJ201">
        <v>0</v>
      </c>
      <c r="BK201">
        <f>VLOOKUP($B201,[1]Data_Peer_with_peerVars!$B$2:$Z$1050,23,FALSE)</f>
        <v>6</v>
      </c>
      <c r="BL201">
        <f>VLOOKUP($B201,[1]Data_Peer_with_peerVars!$B$2:$Z$1050,24,FALSE)</f>
        <v>3</v>
      </c>
      <c r="BM201">
        <f>VLOOKUP($B201,[1]Data_Peer_with_peerVars!$B$2:$Z$1050,25,FALSE)</f>
        <v>0.5</v>
      </c>
    </row>
    <row r="202" spans="1:65" x14ac:dyDescent="0.2">
      <c r="A202">
        <v>1</v>
      </c>
      <c r="B202" t="s">
        <v>403</v>
      </c>
      <c r="C202">
        <v>105</v>
      </c>
      <c r="D202" t="s">
        <v>68</v>
      </c>
      <c r="E202">
        <v>0</v>
      </c>
      <c r="F202">
        <v>406</v>
      </c>
      <c r="G202" t="s">
        <v>119</v>
      </c>
      <c r="H202" s="1">
        <v>6.25</v>
      </c>
      <c r="I202" t="s">
        <v>70</v>
      </c>
      <c r="J202" t="s">
        <v>71</v>
      </c>
      <c r="K202" t="s">
        <v>72</v>
      </c>
      <c r="L202">
        <v>1</v>
      </c>
      <c r="M202">
        <v>0</v>
      </c>
      <c r="N202">
        <v>0</v>
      </c>
      <c r="O202">
        <v>0</v>
      </c>
      <c r="P202">
        <v>1</v>
      </c>
      <c r="Q202">
        <v>9</v>
      </c>
      <c r="R202">
        <v>0</v>
      </c>
      <c r="S202">
        <v>0</v>
      </c>
      <c r="T202">
        <v>1</v>
      </c>
      <c r="U202">
        <v>1</v>
      </c>
      <c r="V202">
        <f t="shared" si="81"/>
        <v>0</v>
      </c>
      <c r="W202">
        <f t="shared" si="82"/>
        <v>0</v>
      </c>
      <c r="X202">
        <f t="shared" si="85"/>
        <v>0</v>
      </c>
      <c r="Y202">
        <f t="shared" si="83"/>
        <v>0</v>
      </c>
      <c r="Z202" t="s">
        <v>98</v>
      </c>
      <c r="AA202" s="5" t="s">
        <v>404</v>
      </c>
      <c r="AB202" s="5" t="s">
        <v>404</v>
      </c>
      <c r="AC202" t="s">
        <v>73</v>
      </c>
      <c r="AD202" t="s">
        <v>94</v>
      </c>
      <c r="AE202" s="5" t="s">
        <v>106</v>
      </c>
      <c r="AF202" t="s">
        <v>107</v>
      </c>
      <c r="AG202" t="s">
        <v>95</v>
      </c>
      <c r="AH202">
        <f>AI202</f>
        <v>4.0894219999999997E-3</v>
      </c>
      <c r="AI202">
        <f>AJ202</f>
        <v>4.0894219999999997E-3</v>
      </c>
      <c r="AJ202">
        <f t="shared" si="84"/>
        <v>4.0894219999999997E-3</v>
      </c>
      <c r="AK202">
        <v>4.0894219999999997E-3</v>
      </c>
      <c r="AL202">
        <v>0.13142076</v>
      </c>
      <c r="AM202">
        <v>0.13678728000000001</v>
      </c>
      <c r="AN202">
        <v>0.13922319</v>
      </c>
      <c r="AO202">
        <v>99.591057800000002</v>
      </c>
      <c r="AP202">
        <v>86.857923999999997</v>
      </c>
      <c r="AQ202">
        <v>86.321271999999993</v>
      </c>
      <c r="AR202">
        <v>86.077680999999998</v>
      </c>
      <c r="AS202" t="b">
        <v>0</v>
      </c>
      <c r="AT202" t="b">
        <v>0</v>
      </c>
      <c r="AU202" t="s">
        <v>77</v>
      </c>
      <c r="AV202" t="s">
        <v>108</v>
      </c>
      <c r="AW202" t="s">
        <v>79</v>
      </c>
      <c r="AX202" t="s">
        <v>233</v>
      </c>
      <c r="AY202" t="s">
        <v>398</v>
      </c>
      <c r="AZ202" t="s">
        <v>109</v>
      </c>
      <c r="BA202">
        <v>10</v>
      </c>
      <c r="BB202">
        <v>0.5</v>
      </c>
      <c r="BC202">
        <v>4.1163553999999996E-3</v>
      </c>
      <c r="BD202">
        <v>1.4279989108178799E-4</v>
      </c>
      <c r="BE202">
        <v>4.2591552910817903E-3</v>
      </c>
      <c r="BF202">
        <f>IF(AK202&lt;BE202,1,0)</f>
        <v>1</v>
      </c>
      <c r="BG202">
        <f>IF(AK202&lt;BC202,1,0)</f>
        <v>1</v>
      </c>
      <c r="BH202">
        <f>VLOOKUP($B202,[1]Data_Peer_with_peerVars!$B$2:$Z$1050,20,FALSE)</f>
        <v>0</v>
      </c>
      <c r="BI202">
        <f>VLOOKUP($B202,[1]Data_Peer_with_peerVars!$B$2:$Z$1050,21,FALSE)</f>
        <v>0</v>
      </c>
      <c r="BJ202">
        <v>0</v>
      </c>
      <c r="BK202">
        <f>VLOOKUP($B202,[1]Data_Peer_with_peerVars!$B$2:$Z$1050,23,FALSE)</f>
        <v>6</v>
      </c>
      <c r="BL202">
        <f>VLOOKUP($B202,[1]Data_Peer_with_peerVars!$B$2:$Z$1050,24,FALSE)</f>
        <v>3</v>
      </c>
      <c r="BM202">
        <f>VLOOKUP($B202,[1]Data_Peer_with_peerVars!$B$2:$Z$1050,25,FALSE)</f>
        <v>0.5</v>
      </c>
    </row>
    <row r="203" spans="1:65" x14ac:dyDescent="0.2">
      <c r="A203">
        <v>1</v>
      </c>
      <c r="B203" t="s">
        <v>405</v>
      </c>
      <c r="C203">
        <v>106</v>
      </c>
      <c r="D203" t="s">
        <v>68</v>
      </c>
      <c r="E203">
        <v>0</v>
      </c>
      <c r="F203">
        <v>410</v>
      </c>
      <c r="G203" t="s">
        <v>119</v>
      </c>
      <c r="H203" s="1">
        <v>7</v>
      </c>
      <c r="I203" t="s">
        <v>70</v>
      </c>
      <c r="J203" t="s">
        <v>71</v>
      </c>
      <c r="K203" t="s">
        <v>72</v>
      </c>
      <c r="L203">
        <v>1</v>
      </c>
      <c r="M203">
        <v>0</v>
      </c>
      <c r="N203">
        <v>0</v>
      </c>
      <c r="O203">
        <v>0</v>
      </c>
      <c r="P203">
        <v>1</v>
      </c>
      <c r="Q203">
        <v>4</v>
      </c>
      <c r="R203">
        <v>0</v>
      </c>
      <c r="S203">
        <v>0</v>
      </c>
      <c r="T203">
        <v>0</v>
      </c>
      <c r="U203">
        <v>0</v>
      </c>
      <c r="V203">
        <f t="shared" si="81"/>
        <v>1</v>
      </c>
      <c r="W203">
        <v>1</v>
      </c>
      <c r="X203">
        <v>1</v>
      </c>
      <c r="Y203">
        <v>1</v>
      </c>
      <c r="Z203" t="s">
        <v>84</v>
      </c>
      <c r="AA203" s="5" t="s">
        <v>84</v>
      </c>
      <c r="AB203" s="5" t="s">
        <v>84</v>
      </c>
      <c r="AC203" t="s">
        <v>84</v>
      </c>
      <c r="AD203" t="s">
        <v>113</v>
      </c>
      <c r="AE203" s="5" t="s">
        <v>406</v>
      </c>
      <c r="AF203" t="s">
        <v>75</v>
      </c>
      <c r="AG203" t="s">
        <v>91</v>
      </c>
      <c r="AH203">
        <f t="shared" ref="AH203:AH207" si="87">AI203</f>
        <v>1.8935235000000002E-2</v>
      </c>
      <c r="AI203">
        <f t="shared" ref="AI203:AI204" si="88">AJ203</f>
        <v>1.8935235000000002E-2</v>
      </c>
      <c r="AJ203">
        <f t="shared" si="84"/>
        <v>1.8935235000000002E-2</v>
      </c>
      <c r="AK203">
        <v>1.8935235000000002E-2</v>
      </c>
      <c r="AL203">
        <v>0.12396921</v>
      </c>
      <c r="AM203">
        <v>0.13253012</v>
      </c>
      <c r="AN203">
        <v>0.13444687</v>
      </c>
      <c r="AO203">
        <v>98.106476499999999</v>
      </c>
      <c r="AP203">
        <v>87.603078999999994</v>
      </c>
      <c r="AQ203">
        <v>86.746988000000002</v>
      </c>
      <c r="AR203">
        <v>86.555312999999998</v>
      </c>
      <c r="AS203" t="b">
        <v>1</v>
      </c>
      <c r="AT203" t="b">
        <v>0</v>
      </c>
      <c r="AU203" t="s">
        <v>77</v>
      </c>
      <c r="AV203" t="s">
        <v>108</v>
      </c>
      <c r="AW203" t="s">
        <v>79</v>
      </c>
      <c r="AX203" t="s">
        <v>233</v>
      </c>
      <c r="AY203" t="s">
        <v>398</v>
      </c>
      <c r="AZ203" t="s">
        <v>72</v>
      </c>
      <c r="BA203" t="s">
        <v>82</v>
      </c>
      <c r="BB203">
        <v>2</v>
      </c>
      <c r="BC203">
        <v>4.6780407000000003E-2</v>
      </c>
      <c r="BD203">
        <v>6.0749635341231199E-3</v>
      </c>
      <c r="BE203">
        <v>5.2855370534123099E-2</v>
      </c>
      <c r="BF203">
        <f>IF(AK203&lt;BE203,1,0)</f>
        <v>1</v>
      </c>
      <c r="BG203">
        <f>IF(AK203&lt;BC203,1,0)</f>
        <v>1</v>
      </c>
    </row>
    <row r="204" spans="1:65" x14ac:dyDescent="0.2">
      <c r="A204">
        <v>1</v>
      </c>
      <c r="B204" t="s">
        <v>407</v>
      </c>
      <c r="C204">
        <v>106</v>
      </c>
      <c r="D204" t="s">
        <v>68</v>
      </c>
      <c r="E204">
        <v>0</v>
      </c>
      <c r="F204">
        <v>410</v>
      </c>
      <c r="G204" t="s">
        <v>119</v>
      </c>
      <c r="H204" s="1">
        <v>7</v>
      </c>
      <c r="I204" t="s">
        <v>70</v>
      </c>
      <c r="J204" t="s">
        <v>71</v>
      </c>
      <c r="K204" t="s">
        <v>72</v>
      </c>
      <c r="L204">
        <v>1</v>
      </c>
      <c r="M204">
        <v>0</v>
      </c>
      <c r="N204">
        <v>0</v>
      </c>
      <c r="O204">
        <v>0</v>
      </c>
      <c r="P204">
        <v>1</v>
      </c>
      <c r="Q204">
        <v>4</v>
      </c>
      <c r="R204">
        <v>0</v>
      </c>
      <c r="S204">
        <v>0</v>
      </c>
      <c r="T204">
        <v>0</v>
      </c>
      <c r="U204">
        <v>0</v>
      </c>
      <c r="V204">
        <f t="shared" si="81"/>
        <v>1</v>
      </c>
      <c r="W204">
        <v>1</v>
      </c>
      <c r="X204">
        <v>1</v>
      </c>
      <c r="Y204">
        <v>1</v>
      </c>
      <c r="Z204" t="s">
        <v>73</v>
      </c>
      <c r="AA204" s="5" t="s">
        <v>73</v>
      </c>
      <c r="AB204" s="5" t="s">
        <v>158</v>
      </c>
      <c r="AC204" t="s">
        <v>73</v>
      </c>
      <c r="AD204" t="s">
        <v>94</v>
      </c>
      <c r="AE204" s="5" t="s">
        <v>94</v>
      </c>
      <c r="AF204" t="s">
        <v>75</v>
      </c>
      <c r="AG204" t="s">
        <v>95</v>
      </c>
      <c r="AH204">
        <f t="shared" si="87"/>
        <v>6.2841530000000007E-2</v>
      </c>
      <c r="AI204">
        <f t="shared" si="88"/>
        <v>6.2841530000000007E-2</v>
      </c>
      <c r="AJ204">
        <f t="shared" si="84"/>
        <v>6.2841530000000007E-2</v>
      </c>
      <c r="AK204">
        <v>6.2841530000000007E-2</v>
      </c>
      <c r="AL204">
        <v>0.118161924</v>
      </c>
      <c r="AM204">
        <v>0.12938595999999999</v>
      </c>
      <c r="AN204">
        <v>0.13855422000000001</v>
      </c>
      <c r="AO204">
        <v>93.715846999999997</v>
      </c>
      <c r="AP204">
        <v>88.183807599999994</v>
      </c>
      <c r="AQ204">
        <v>87.061403999999996</v>
      </c>
      <c r="AR204">
        <v>86.144577999999996</v>
      </c>
      <c r="AS204" t="b">
        <v>1</v>
      </c>
      <c r="AT204" t="b">
        <v>0</v>
      </c>
      <c r="AU204" t="s">
        <v>77</v>
      </c>
      <c r="AV204" t="s">
        <v>78</v>
      </c>
      <c r="AW204" t="s">
        <v>79</v>
      </c>
      <c r="AX204" t="s">
        <v>233</v>
      </c>
      <c r="AY204" t="s">
        <v>398</v>
      </c>
      <c r="AZ204" t="s">
        <v>72</v>
      </c>
      <c r="BA204" t="s">
        <v>82</v>
      </c>
      <c r="BB204">
        <v>1</v>
      </c>
      <c r="BC204">
        <v>4.1163553999999996E-3</v>
      </c>
      <c r="BD204">
        <v>1.4279989108178799E-4</v>
      </c>
      <c r="BE204">
        <v>4.2591552910817903E-3</v>
      </c>
      <c r="BF204">
        <f>IF(AK204&lt;BE204,1,0)</f>
        <v>0</v>
      </c>
      <c r="BG204">
        <f>IF(AK204&lt;BC204,1,0)</f>
        <v>0</v>
      </c>
    </row>
    <row r="205" spans="1:65" x14ac:dyDescent="0.2">
      <c r="A205">
        <v>1</v>
      </c>
      <c r="B205" t="s">
        <v>408</v>
      </c>
      <c r="C205">
        <v>106</v>
      </c>
      <c r="D205" t="s">
        <v>68</v>
      </c>
      <c r="E205">
        <v>0</v>
      </c>
      <c r="F205">
        <v>410</v>
      </c>
      <c r="G205" t="s">
        <v>119</v>
      </c>
      <c r="H205" s="1">
        <v>7</v>
      </c>
      <c r="I205" t="s">
        <v>70</v>
      </c>
      <c r="J205" t="s">
        <v>71</v>
      </c>
      <c r="K205" t="s">
        <v>72</v>
      </c>
      <c r="L205">
        <v>1</v>
      </c>
      <c r="M205">
        <v>0</v>
      </c>
      <c r="N205">
        <v>0</v>
      </c>
      <c r="O205">
        <v>0</v>
      </c>
      <c r="P205">
        <v>1</v>
      </c>
      <c r="Q205">
        <v>4</v>
      </c>
      <c r="R205">
        <v>0</v>
      </c>
      <c r="S205">
        <v>0</v>
      </c>
      <c r="T205">
        <v>0</v>
      </c>
      <c r="U205">
        <v>0</v>
      </c>
      <c r="V205">
        <f t="shared" si="81"/>
        <v>0</v>
      </c>
      <c r="W205">
        <f t="shared" si="82"/>
        <v>1</v>
      </c>
      <c r="X205">
        <v>1</v>
      </c>
      <c r="Y205">
        <v>1</v>
      </c>
      <c r="Z205" t="s">
        <v>76</v>
      </c>
      <c r="AA205" s="5" t="s">
        <v>76</v>
      </c>
      <c r="AB205" s="5" t="s">
        <v>409</v>
      </c>
      <c r="AC205" t="s">
        <v>74</v>
      </c>
      <c r="AD205" t="s">
        <v>76</v>
      </c>
      <c r="AE205" s="5" t="s">
        <v>76</v>
      </c>
      <c r="AF205" t="s">
        <v>75</v>
      </c>
      <c r="AG205" t="s">
        <v>120</v>
      </c>
      <c r="AH205">
        <f t="shared" si="87"/>
        <v>8.6159736000000001E-2</v>
      </c>
      <c r="AI205">
        <f>AJ205</f>
        <v>8.6159736000000001E-2</v>
      </c>
      <c r="AJ205">
        <f>AL205</f>
        <v>8.6159736000000001E-2</v>
      </c>
      <c r="AK205">
        <v>7.7387490000000003E-2</v>
      </c>
      <c r="AL205">
        <v>8.6159736000000001E-2</v>
      </c>
      <c r="AM205">
        <v>0.11369862999999999</v>
      </c>
      <c r="AN205">
        <v>0.11405907999999999</v>
      </c>
      <c r="AO205">
        <v>92.261251000000001</v>
      </c>
      <c r="AP205">
        <v>91.384026399999996</v>
      </c>
      <c r="AQ205">
        <v>88.630137000000005</v>
      </c>
      <c r="AR205">
        <v>88.594092000000003</v>
      </c>
      <c r="AS205" t="b">
        <v>0</v>
      </c>
      <c r="AT205" t="b">
        <v>1</v>
      </c>
      <c r="AU205" t="s">
        <v>77</v>
      </c>
      <c r="AV205" t="s">
        <v>77</v>
      </c>
      <c r="AW205" t="s">
        <v>79</v>
      </c>
      <c r="AX205" t="s">
        <v>233</v>
      </c>
      <c r="AY205" t="s">
        <v>398</v>
      </c>
      <c r="AZ205" t="s">
        <v>72</v>
      </c>
      <c r="BA205" t="s">
        <v>82</v>
      </c>
      <c r="BB205">
        <v>1</v>
      </c>
      <c r="BC205">
        <v>2.4738868000000001E-3</v>
      </c>
      <c r="BD205">
        <v>1.4256942275279999E-4</v>
      </c>
      <c r="BE205">
        <v>2.6164562227527998E-3</v>
      </c>
      <c r="BF205">
        <f>IF(AK205&lt;BE205,1,0)</f>
        <v>0</v>
      </c>
      <c r="BG205">
        <f>IF(AK205&lt;BC205,1,0)</f>
        <v>0</v>
      </c>
    </row>
    <row r="206" spans="1:65" x14ac:dyDescent="0.2">
      <c r="A206">
        <v>1</v>
      </c>
      <c r="B206" t="s">
        <v>410</v>
      </c>
      <c r="C206">
        <v>107</v>
      </c>
      <c r="D206" t="s">
        <v>68</v>
      </c>
      <c r="E206">
        <v>0</v>
      </c>
      <c r="F206">
        <v>412</v>
      </c>
      <c r="G206" t="s">
        <v>119</v>
      </c>
      <c r="H206" s="1">
        <v>5</v>
      </c>
      <c r="I206" t="s">
        <v>70</v>
      </c>
      <c r="J206" t="s">
        <v>71</v>
      </c>
      <c r="K206" t="s">
        <v>72</v>
      </c>
      <c r="L206">
        <v>1</v>
      </c>
      <c r="M206">
        <v>0</v>
      </c>
      <c r="N206">
        <v>0</v>
      </c>
      <c r="O206">
        <v>0</v>
      </c>
      <c r="P206">
        <v>1</v>
      </c>
      <c r="Q206">
        <v>5</v>
      </c>
      <c r="R206">
        <v>0</v>
      </c>
      <c r="S206">
        <v>0</v>
      </c>
      <c r="T206">
        <v>1</v>
      </c>
      <c r="U206">
        <v>1</v>
      </c>
      <c r="V206">
        <f t="shared" si="81"/>
        <v>1</v>
      </c>
      <c r="W206">
        <v>1</v>
      </c>
      <c r="X206">
        <v>1</v>
      </c>
      <c r="Y206">
        <v>1</v>
      </c>
      <c r="Z206" t="s">
        <v>73</v>
      </c>
      <c r="AA206" s="5" t="s">
        <v>73</v>
      </c>
      <c r="AB206" s="5" t="s">
        <v>73</v>
      </c>
      <c r="AC206" t="s">
        <v>73</v>
      </c>
      <c r="AD206" t="s">
        <v>94</v>
      </c>
      <c r="AE206" s="5" t="s">
        <v>106</v>
      </c>
      <c r="AF206" t="s">
        <v>107</v>
      </c>
      <c r="AG206" t="s">
        <v>95</v>
      </c>
      <c r="AH206">
        <f t="shared" si="87"/>
        <v>3.8167940000000001E-3</v>
      </c>
      <c r="AI206">
        <f>AJ206</f>
        <v>3.8167940000000001E-3</v>
      </c>
      <c r="AJ206">
        <f t="shared" si="84"/>
        <v>3.8167940000000001E-3</v>
      </c>
      <c r="AK206">
        <v>3.8167940000000001E-3</v>
      </c>
      <c r="AL206">
        <v>0.13169399000000001</v>
      </c>
      <c r="AM206">
        <v>0.13651315999999999</v>
      </c>
      <c r="AN206">
        <v>0.13867615</v>
      </c>
      <c r="AO206">
        <v>99.618320600000004</v>
      </c>
      <c r="AP206">
        <v>86.830601000000001</v>
      </c>
      <c r="AQ206">
        <v>86.348684000000006</v>
      </c>
      <c r="AR206">
        <v>86.132384999999999</v>
      </c>
      <c r="AS206" t="b">
        <v>1</v>
      </c>
      <c r="AT206" t="b">
        <v>0</v>
      </c>
      <c r="AU206" t="s">
        <v>77</v>
      </c>
      <c r="AV206" t="s">
        <v>108</v>
      </c>
      <c r="AW206" t="s">
        <v>79</v>
      </c>
      <c r="AX206" t="s">
        <v>233</v>
      </c>
      <c r="AY206" t="s">
        <v>396</v>
      </c>
      <c r="AZ206" t="s">
        <v>72</v>
      </c>
      <c r="BA206" t="s">
        <v>82</v>
      </c>
      <c r="BB206">
        <v>2.5</v>
      </c>
      <c r="BC206">
        <v>4.1163553999999996E-3</v>
      </c>
      <c r="BD206">
        <v>1.4279989108178799E-4</v>
      </c>
      <c r="BE206">
        <v>4.2591552910817903E-3</v>
      </c>
      <c r="BF206">
        <f>IF(AK206&lt;BE206,1,0)</f>
        <v>1</v>
      </c>
      <c r="BG206">
        <f>IF(AK206&lt;BC206,1,0)</f>
        <v>1</v>
      </c>
      <c r="BH206">
        <f>VLOOKUP($B206,[1]Data_Peer_with_peerVars!$B$2:$Z$1050,20,FALSE)</f>
        <v>2</v>
      </c>
      <c r="BI206">
        <f>VLOOKUP($B206,[1]Data_Peer_with_peerVars!$B$2:$Z$1050,21,FALSE)</f>
        <v>1</v>
      </c>
      <c r="BJ206">
        <f>VLOOKUP($B206,[1]Data_Peer_with_peerVars!$B$2:$Z$1050,22,FALSE)</f>
        <v>0.5</v>
      </c>
      <c r="BK206">
        <f>VLOOKUP($B206,[1]Data_Peer_with_peerVars!$B$2:$Z$1050,23,FALSE)</f>
        <v>2</v>
      </c>
      <c r="BL206">
        <f>VLOOKUP($B206,[1]Data_Peer_with_peerVars!$B$2:$Z$1050,24,FALSE)</f>
        <v>1</v>
      </c>
      <c r="BM206">
        <f>VLOOKUP($B206,[1]Data_Peer_with_peerVars!$B$2:$Z$1050,25,FALSE)</f>
        <v>0.5</v>
      </c>
    </row>
    <row r="207" spans="1:65" x14ac:dyDescent="0.2">
      <c r="A207">
        <v>1</v>
      </c>
      <c r="B207" t="s">
        <v>411</v>
      </c>
      <c r="C207">
        <v>107</v>
      </c>
      <c r="D207" t="s">
        <v>68</v>
      </c>
      <c r="E207">
        <v>0</v>
      </c>
      <c r="F207">
        <v>412</v>
      </c>
      <c r="G207" t="s">
        <v>119</v>
      </c>
      <c r="H207" s="1">
        <v>5</v>
      </c>
      <c r="I207" t="s">
        <v>70</v>
      </c>
      <c r="J207" t="s">
        <v>71</v>
      </c>
      <c r="K207" t="s">
        <v>72</v>
      </c>
      <c r="L207">
        <v>1</v>
      </c>
      <c r="M207">
        <v>0</v>
      </c>
      <c r="N207">
        <v>0</v>
      </c>
      <c r="O207">
        <v>0</v>
      </c>
      <c r="P207">
        <v>1</v>
      </c>
      <c r="Q207">
        <v>5</v>
      </c>
      <c r="R207">
        <v>0</v>
      </c>
      <c r="S207">
        <v>0</v>
      </c>
      <c r="T207">
        <v>0</v>
      </c>
      <c r="U207">
        <v>0</v>
      </c>
      <c r="V207">
        <f t="shared" si="81"/>
        <v>0</v>
      </c>
      <c r="W207">
        <f t="shared" si="82"/>
        <v>1</v>
      </c>
      <c r="X207">
        <v>1</v>
      </c>
      <c r="Y207">
        <v>1</v>
      </c>
      <c r="Z207" t="s">
        <v>76</v>
      </c>
      <c r="AA207" s="5" t="s">
        <v>76</v>
      </c>
      <c r="AB207" s="5" t="s">
        <v>76</v>
      </c>
      <c r="AC207" t="s">
        <v>84</v>
      </c>
      <c r="AD207" t="s">
        <v>76</v>
      </c>
      <c r="AE207" s="5" t="s">
        <v>76</v>
      </c>
      <c r="AF207" t="s">
        <v>74</v>
      </c>
      <c r="AG207" t="s">
        <v>113</v>
      </c>
      <c r="AH207">
        <f t="shared" si="87"/>
        <v>0.1193337</v>
      </c>
      <c r="AI207">
        <f t="shared" ref="AI207:AI213" si="89">AJ207</f>
        <v>0.1193337</v>
      </c>
      <c r="AJ207">
        <f>AL207</f>
        <v>0.1193337</v>
      </c>
      <c r="AK207">
        <v>0.10345774000000001</v>
      </c>
      <c r="AL207">
        <v>0.1193337</v>
      </c>
      <c r="AM207">
        <v>0.12876712000000001</v>
      </c>
      <c r="AN207">
        <v>0.13399231</v>
      </c>
      <c r="AO207">
        <v>89.654225999999994</v>
      </c>
      <c r="AP207">
        <v>88.066630000000004</v>
      </c>
      <c r="AQ207">
        <v>87.123288000000002</v>
      </c>
      <c r="AR207">
        <v>86.600769</v>
      </c>
      <c r="AS207" t="b">
        <v>0</v>
      </c>
      <c r="AT207" t="b">
        <v>1</v>
      </c>
      <c r="AU207" t="s">
        <v>78</v>
      </c>
      <c r="AV207" t="s">
        <v>78</v>
      </c>
      <c r="AW207" t="s">
        <v>79</v>
      </c>
      <c r="AX207" t="s">
        <v>233</v>
      </c>
      <c r="AY207" t="s">
        <v>396</v>
      </c>
      <c r="AZ207" t="s">
        <v>109</v>
      </c>
      <c r="BA207">
        <v>10</v>
      </c>
      <c r="BB207">
        <v>2</v>
      </c>
      <c r="BC207">
        <v>4.6780407000000003E-2</v>
      </c>
      <c r="BD207">
        <v>6.0749635341231199E-3</v>
      </c>
      <c r="BE207">
        <v>5.2855370534123099E-2</v>
      </c>
      <c r="BF207">
        <f>IF(AK207&lt;BE207,1,0)</f>
        <v>0</v>
      </c>
      <c r="BG207">
        <f>IF(AK207&lt;BC207,1,0)</f>
        <v>0</v>
      </c>
      <c r="BH207">
        <f>VLOOKUP($B207,[1]Data_Peer_with_peerVars!$B$2:$Z$1050,20,FALSE)</f>
        <v>2</v>
      </c>
      <c r="BI207">
        <f>VLOOKUP($B207,[1]Data_Peer_with_peerVars!$B$2:$Z$1050,21,FALSE)</f>
        <v>1</v>
      </c>
      <c r="BJ207">
        <f>VLOOKUP($B207,[1]Data_Peer_with_peerVars!$B$2:$Z$1050,22,FALSE)</f>
        <v>0.5</v>
      </c>
      <c r="BK207">
        <f>VLOOKUP($B207,[1]Data_Peer_with_peerVars!$B$2:$Z$1050,23,FALSE)</f>
        <v>2</v>
      </c>
      <c r="BL207">
        <f>VLOOKUP($B207,[1]Data_Peer_with_peerVars!$B$2:$Z$1050,24,FALSE)</f>
        <v>1</v>
      </c>
      <c r="BM207">
        <f>VLOOKUP($B207,[1]Data_Peer_with_peerVars!$B$2:$Z$1050,25,FALSE)</f>
        <v>0.5</v>
      </c>
    </row>
    <row r="208" spans="1:65" x14ac:dyDescent="0.2">
      <c r="A208">
        <v>1</v>
      </c>
      <c r="B208" t="s">
        <v>412</v>
      </c>
      <c r="C208">
        <v>108</v>
      </c>
      <c r="D208" t="s">
        <v>68</v>
      </c>
      <c r="E208">
        <v>0</v>
      </c>
      <c r="F208">
        <v>423</v>
      </c>
      <c r="G208" t="s">
        <v>97</v>
      </c>
      <c r="H208" s="1">
        <v>4.4000000000000004</v>
      </c>
      <c r="I208" t="s">
        <v>87</v>
      </c>
      <c r="J208" t="s">
        <v>111</v>
      </c>
      <c r="K208" t="s">
        <v>109</v>
      </c>
      <c r="L208">
        <v>2</v>
      </c>
      <c r="M208">
        <v>0</v>
      </c>
      <c r="N208">
        <v>1</v>
      </c>
      <c r="O208">
        <v>0</v>
      </c>
      <c r="P208">
        <v>1</v>
      </c>
      <c r="Q208">
        <v>6</v>
      </c>
      <c r="R208">
        <v>0</v>
      </c>
      <c r="S208">
        <v>0</v>
      </c>
      <c r="T208">
        <v>0</v>
      </c>
      <c r="U208">
        <v>0</v>
      </c>
      <c r="V208">
        <f t="shared" si="81"/>
        <v>0</v>
      </c>
      <c r="W208">
        <f t="shared" si="82"/>
        <v>0</v>
      </c>
      <c r="X208">
        <f t="shared" si="85"/>
        <v>0</v>
      </c>
      <c r="Y208">
        <f t="shared" si="83"/>
        <v>0</v>
      </c>
      <c r="Z208" t="s">
        <v>98</v>
      </c>
      <c r="AA208" s="5" t="s">
        <v>404</v>
      </c>
      <c r="AB208" s="5" t="s">
        <v>404</v>
      </c>
      <c r="AC208" t="s">
        <v>101</v>
      </c>
      <c r="AD208" t="s">
        <v>99</v>
      </c>
      <c r="AE208" s="5" t="s">
        <v>99</v>
      </c>
      <c r="AF208" t="s">
        <v>103</v>
      </c>
      <c r="AG208" t="s">
        <v>167</v>
      </c>
      <c r="AH208">
        <f t="shared" ref="AH208:AH213" si="90">AI208</f>
        <v>0.13146314000000001</v>
      </c>
      <c r="AI208">
        <f t="shared" si="89"/>
        <v>0.13146314000000001</v>
      </c>
      <c r="AJ208">
        <f t="shared" si="84"/>
        <v>0.13146314000000001</v>
      </c>
      <c r="AK208">
        <v>0.13146314000000001</v>
      </c>
      <c r="AL208">
        <v>0.13149169999999999</v>
      </c>
      <c r="AM208">
        <v>0.14258135999999999</v>
      </c>
      <c r="AN208">
        <v>0.15621562</v>
      </c>
      <c r="AO208">
        <v>86.853685999999996</v>
      </c>
      <c r="AP208">
        <v>86.850830000000002</v>
      </c>
      <c r="AQ208">
        <v>85.741864000000007</v>
      </c>
      <c r="AR208">
        <v>84.378438000000003</v>
      </c>
      <c r="AS208" t="b">
        <v>0</v>
      </c>
      <c r="AT208" t="b">
        <v>0</v>
      </c>
      <c r="AU208" t="s">
        <v>78</v>
      </c>
      <c r="AV208" t="s">
        <v>78</v>
      </c>
      <c r="AW208" t="s">
        <v>79</v>
      </c>
      <c r="AX208" t="s">
        <v>233</v>
      </c>
      <c r="AY208" t="s">
        <v>413</v>
      </c>
      <c r="AZ208" t="s">
        <v>109</v>
      </c>
      <c r="BA208">
        <v>4</v>
      </c>
      <c r="BB208">
        <v>1.5</v>
      </c>
      <c r="BC208">
        <v>1.4096186E-2</v>
      </c>
      <c r="BD208">
        <v>1.55088650053763E-3</v>
      </c>
      <c r="BE208">
        <v>1.5647072500537599E-2</v>
      </c>
      <c r="BF208">
        <f>IF(AK208&lt;BE208,1,0)</f>
        <v>0</v>
      </c>
      <c r="BG208">
        <f>IF(AK208&lt;BC208,1,0)</f>
        <v>0</v>
      </c>
      <c r="BH208">
        <f>VLOOKUP($B208,[1]Data_Peer_with_peerVars!$B$2:$Z$1050,20,FALSE)</f>
        <v>0</v>
      </c>
      <c r="BI208">
        <f>VLOOKUP($B208,[1]Data_Peer_with_peerVars!$B$2:$Z$1050,21,FALSE)</f>
        <v>0</v>
      </c>
      <c r="BJ208">
        <v>0</v>
      </c>
      <c r="BK208">
        <f>VLOOKUP($B208,[1]Data_Peer_with_peerVars!$B$2:$Z$1050,23,FALSE)</f>
        <v>9</v>
      </c>
      <c r="BL208">
        <f>VLOOKUP($B208,[1]Data_Peer_with_peerVars!$B$2:$Z$1050,24,FALSE)</f>
        <v>7</v>
      </c>
      <c r="BM208">
        <f>VLOOKUP($B208,[1]Data_Peer_with_peerVars!$B$2:$Z$1050,25,FALSE)</f>
        <v>0.77777777800000003</v>
      </c>
    </row>
    <row r="209" spans="1:65" x14ac:dyDescent="0.2">
      <c r="A209">
        <v>1</v>
      </c>
      <c r="B209" t="s">
        <v>414</v>
      </c>
      <c r="C209">
        <v>108</v>
      </c>
      <c r="D209" t="s">
        <v>68</v>
      </c>
      <c r="E209">
        <v>0</v>
      </c>
      <c r="F209">
        <v>423</v>
      </c>
      <c r="G209" t="s">
        <v>97</v>
      </c>
      <c r="H209" s="1">
        <v>4.4000000000000004</v>
      </c>
      <c r="I209" t="s">
        <v>87</v>
      </c>
      <c r="J209" t="s">
        <v>111</v>
      </c>
      <c r="K209" t="s">
        <v>109</v>
      </c>
      <c r="L209">
        <v>2</v>
      </c>
      <c r="M209">
        <v>0</v>
      </c>
      <c r="N209">
        <v>1</v>
      </c>
      <c r="O209">
        <v>0</v>
      </c>
      <c r="P209">
        <v>1</v>
      </c>
      <c r="Q209">
        <v>6</v>
      </c>
      <c r="R209">
        <v>0</v>
      </c>
      <c r="S209">
        <v>0</v>
      </c>
      <c r="T209">
        <v>0</v>
      </c>
      <c r="U209">
        <v>0</v>
      </c>
      <c r="V209">
        <f t="shared" si="81"/>
        <v>0</v>
      </c>
      <c r="W209">
        <f t="shared" si="82"/>
        <v>0</v>
      </c>
      <c r="X209">
        <f t="shared" si="85"/>
        <v>0</v>
      </c>
      <c r="Y209">
        <f t="shared" si="83"/>
        <v>0</v>
      </c>
      <c r="Z209" t="s">
        <v>170</v>
      </c>
      <c r="AA209" s="5" t="s">
        <v>170</v>
      </c>
      <c r="AB209" s="5" t="s">
        <v>415</v>
      </c>
      <c r="AC209" t="s">
        <v>99</v>
      </c>
      <c r="AD209" t="s">
        <v>101</v>
      </c>
      <c r="AE209" s="5" t="s">
        <v>101</v>
      </c>
      <c r="AF209" t="s">
        <v>103</v>
      </c>
      <c r="AG209" t="s">
        <v>102</v>
      </c>
      <c r="AH209">
        <f t="shared" si="90"/>
        <v>9.0733590000000003E-2</v>
      </c>
      <c r="AI209">
        <f t="shared" si="89"/>
        <v>9.0733590000000003E-2</v>
      </c>
      <c r="AJ209">
        <f t="shared" si="84"/>
        <v>9.0733590000000003E-2</v>
      </c>
      <c r="AK209">
        <v>9.0733590000000003E-2</v>
      </c>
      <c r="AL209">
        <v>9.9341385000000004E-2</v>
      </c>
      <c r="AM209">
        <v>0.11184573</v>
      </c>
      <c r="AN209">
        <v>0.1302567</v>
      </c>
      <c r="AO209">
        <v>90.926641000000004</v>
      </c>
      <c r="AP209">
        <v>90.065861499999997</v>
      </c>
      <c r="AQ209">
        <v>88.815427</v>
      </c>
      <c r="AR209">
        <v>86.974329999999995</v>
      </c>
      <c r="AS209" t="b">
        <v>0</v>
      </c>
      <c r="AT209" t="b">
        <v>0</v>
      </c>
      <c r="AU209" t="s">
        <v>92</v>
      </c>
      <c r="AV209" t="s">
        <v>92</v>
      </c>
      <c r="AW209" t="s">
        <v>79</v>
      </c>
      <c r="AX209" t="s">
        <v>233</v>
      </c>
      <c r="AY209" t="s">
        <v>413</v>
      </c>
      <c r="AZ209" t="s">
        <v>109</v>
      </c>
      <c r="BA209">
        <v>25</v>
      </c>
      <c r="BB209">
        <v>1.5</v>
      </c>
      <c r="BC209">
        <v>2.4711695999999998E-2</v>
      </c>
      <c r="BD209">
        <v>1.72884756304863E-3</v>
      </c>
      <c r="BE209">
        <v>2.6440543563048601E-2</v>
      </c>
      <c r="BF209">
        <f>IF(AK209&lt;BE209,1,0)</f>
        <v>0</v>
      </c>
      <c r="BG209">
        <f>IF(AK209&lt;BC209,1,0)</f>
        <v>0</v>
      </c>
      <c r="BH209">
        <f>VLOOKUP($B209,[1]Data_Peer_with_peerVars!$B$2:$Z$1050,20,FALSE)</f>
        <v>0</v>
      </c>
      <c r="BI209">
        <f>VLOOKUP($B209,[1]Data_Peer_with_peerVars!$B$2:$Z$1050,21,FALSE)</f>
        <v>0</v>
      </c>
      <c r="BJ209">
        <v>0</v>
      </c>
      <c r="BK209">
        <f>VLOOKUP($B209,[1]Data_Peer_with_peerVars!$B$2:$Z$1050,23,FALSE)</f>
        <v>9</v>
      </c>
      <c r="BL209">
        <f>VLOOKUP($B209,[1]Data_Peer_with_peerVars!$B$2:$Z$1050,24,FALSE)</f>
        <v>7</v>
      </c>
      <c r="BM209">
        <f>VLOOKUP($B209,[1]Data_Peer_with_peerVars!$B$2:$Z$1050,25,FALSE)</f>
        <v>0.77777777800000003</v>
      </c>
    </row>
    <row r="210" spans="1:65" x14ac:dyDescent="0.2">
      <c r="A210">
        <v>1</v>
      </c>
      <c r="B210" t="s">
        <v>416</v>
      </c>
      <c r="C210">
        <v>108</v>
      </c>
      <c r="D210" t="s">
        <v>68</v>
      </c>
      <c r="E210">
        <v>0</v>
      </c>
      <c r="F210">
        <v>423</v>
      </c>
      <c r="G210" t="s">
        <v>97</v>
      </c>
      <c r="H210" s="1">
        <v>4.4000000000000004</v>
      </c>
      <c r="I210" t="s">
        <v>87</v>
      </c>
      <c r="J210" t="s">
        <v>111</v>
      </c>
      <c r="K210" t="s">
        <v>109</v>
      </c>
      <c r="L210">
        <v>2</v>
      </c>
      <c r="M210">
        <v>0</v>
      </c>
      <c r="N210">
        <v>1</v>
      </c>
      <c r="O210">
        <v>0</v>
      </c>
      <c r="P210">
        <v>1</v>
      </c>
      <c r="Q210">
        <v>6</v>
      </c>
      <c r="R210">
        <v>0</v>
      </c>
      <c r="S210">
        <v>0</v>
      </c>
      <c r="T210">
        <v>0</v>
      </c>
      <c r="U210">
        <v>0</v>
      </c>
      <c r="V210">
        <f t="shared" si="81"/>
        <v>1</v>
      </c>
      <c r="W210">
        <v>1</v>
      </c>
      <c r="X210">
        <v>1</v>
      </c>
      <c r="Y210">
        <v>1</v>
      </c>
      <c r="Z210" t="s">
        <v>103</v>
      </c>
      <c r="AA210" s="5" t="s">
        <v>103</v>
      </c>
      <c r="AB210" s="5" t="s">
        <v>103</v>
      </c>
      <c r="AC210" t="s">
        <v>103</v>
      </c>
      <c r="AD210" t="s">
        <v>101</v>
      </c>
      <c r="AE210" s="5" t="s">
        <v>101</v>
      </c>
      <c r="AF210" t="s">
        <v>99</v>
      </c>
      <c r="AG210" t="s">
        <v>137</v>
      </c>
      <c r="AH210">
        <f t="shared" si="90"/>
        <v>1.6528925E-2</v>
      </c>
      <c r="AI210">
        <f t="shared" si="89"/>
        <v>1.6528925E-2</v>
      </c>
      <c r="AJ210">
        <f t="shared" si="84"/>
        <v>1.6528925E-2</v>
      </c>
      <c r="AK210">
        <v>1.6528925E-2</v>
      </c>
      <c r="AL210">
        <v>8.0263879999999996E-2</v>
      </c>
      <c r="AM210">
        <v>0.11209276</v>
      </c>
      <c r="AN210">
        <v>0.12192455000000001</v>
      </c>
      <c r="AO210">
        <v>98.347107500000007</v>
      </c>
      <c r="AP210">
        <v>91.973612000000003</v>
      </c>
      <c r="AQ210">
        <v>88.790723999999997</v>
      </c>
      <c r="AR210">
        <v>87.807545000000005</v>
      </c>
      <c r="AS210" t="b">
        <v>1</v>
      </c>
      <c r="AT210" t="b">
        <v>0</v>
      </c>
      <c r="AU210" t="s">
        <v>77</v>
      </c>
      <c r="AV210" t="s">
        <v>77</v>
      </c>
      <c r="AW210" t="s">
        <v>79</v>
      </c>
      <c r="AX210" t="s">
        <v>233</v>
      </c>
      <c r="AY210" t="s">
        <v>413</v>
      </c>
      <c r="AZ210" t="s">
        <v>109</v>
      </c>
      <c r="BA210">
        <v>6</v>
      </c>
      <c r="BB210">
        <v>0.25</v>
      </c>
      <c r="BC210">
        <v>1.8406593999999998E-2</v>
      </c>
      <c r="BD210">
        <v>3.30705390234067E-4</v>
      </c>
      <c r="BE210">
        <v>1.8737299390234101E-2</v>
      </c>
      <c r="BF210">
        <f>IF(AK210&lt;BE210,1,0)</f>
        <v>1</v>
      </c>
      <c r="BG210">
        <f>IF(AK210&lt;BC210,1,0)</f>
        <v>1</v>
      </c>
      <c r="BH210">
        <f>VLOOKUP($B210,[1]Data_Peer_with_peerVars!$B$2:$Z$1050,20,FALSE)</f>
        <v>0</v>
      </c>
      <c r="BI210">
        <f>VLOOKUP($B210,[1]Data_Peer_with_peerVars!$B$2:$Z$1050,21,FALSE)</f>
        <v>0</v>
      </c>
      <c r="BJ210">
        <v>0</v>
      </c>
      <c r="BK210">
        <f>VLOOKUP($B210,[1]Data_Peer_with_peerVars!$B$2:$Z$1050,23,FALSE)</f>
        <v>9</v>
      </c>
      <c r="BL210">
        <f>VLOOKUP($B210,[1]Data_Peer_with_peerVars!$B$2:$Z$1050,24,FALSE)</f>
        <v>7</v>
      </c>
      <c r="BM210">
        <f>VLOOKUP($B210,[1]Data_Peer_with_peerVars!$B$2:$Z$1050,25,FALSE)</f>
        <v>0.77777777800000003</v>
      </c>
    </row>
    <row r="211" spans="1:65" x14ac:dyDescent="0.2">
      <c r="A211">
        <v>1</v>
      </c>
      <c r="B211" t="s">
        <v>417</v>
      </c>
      <c r="C211">
        <v>108</v>
      </c>
      <c r="D211" t="s">
        <v>68</v>
      </c>
      <c r="E211">
        <v>0</v>
      </c>
      <c r="F211">
        <v>423</v>
      </c>
      <c r="G211" t="s">
        <v>97</v>
      </c>
      <c r="H211" s="1">
        <v>4.4000000000000004</v>
      </c>
      <c r="I211" t="s">
        <v>87</v>
      </c>
      <c r="J211" t="s">
        <v>111</v>
      </c>
      <c r="K211" t="s">
        <v>109</v>
      </c>
      <c r="L211">
        <v>2</v>
      </c>
      <c r="M211">
        <v>0</v>
      </c>
      <c r="N211">
        <v>1</v>
      </c>
      <c r="O211">
        <v>0</v>
      </c>
      <c r="P211">
        <v>1</v>
      </c>
      <c r="Q211">
        <v>6</v>
      </c>
      <c r="R211">
        <v>0</v>
      </c>
      <c r="S211">
        <v>0</v>
      </c>
      <c r="T211">
        <v>0</v>
      </c>
      <c r="U211">
        <v>0</v>
      </c>
      <c r="V211">
        <f t="shared" si="81"/>
        <v>1</v>
      </c>
      <c r="W211">
        <v>1</v>
      </c>
      <c r="X211">
        <v>1</v>
      </c>
      <c r="Y211">
        <v>1</v>
      </c>
      <c r="Z211" t="s">
        <v>73</v>
      </c>
      <c r="AA211" s="5" t="s">
        <v>73</v>
      </c>
      <c r="AB211" s="5" t="s">
        <v>73</v>
      </c>
      <c r="AC211" t="s">
        <v>73</v>
      </c>
      <c r="AD211" t="s">
        <v>94</v>
      </c>
      <c r="AE211" s="5" t="s">
        <v>94</v>
      </c>
      <c r="AF211" t="s">
        <v>75</v>
      </c>
      <c r="AG211" t="s">
        <v>95</v>
      </c>
      <c r="AH211">
        <f t="shared" si="90"/>
        <v>6.7685590000000004E-2</v>
      </c>
      <c r="AI211">
        <f t="shared" si="89"/>
        <v>6.7685590000000004E-2</v>
      </c>
      <c r="AJ211">
        <f t="shared" si="84"/>
        <v>6.7685590000000004E-2</v>
      </c>
      <c r="AK211">
        <v>6.7685590000000004E-2</v>
      </c>
      <c r="AL211">
        <v>0.11803278</v>
      </c>
      <c r="AM211">
        <v>0.12999453</v>
      </c>
      <c r="AN211">
        <v>0.14113785000000001</v>
      </c>
      <c r="AO211">
        <v>93.231441000000004</v>
      </c>
      <c r="AP211">
        <v>88.196721999999994</v>
      </c>
      <c r="AQ211">
        <v>87.000546999999997</v>
      </c>
      <c r="AR211">
        <v>85.886215000000007</v>
      </c>
      <c r="AS211" t="b">
        <v>1</v>
      </c>
      <c r="AT211" t="b">
        <v>0</v>
      </c>
      <c r="AU211" t="s">
        <v>77</v>
      </c>
      <c r="AV211" t="s">
        <v>78</v>
      </c>
      <c r="AW211" t="s">
        <v>79</v>
      </c>
      <c r="AX211" t="s">
        <v>233</v>
      </c>
      <c r="AY211" t="s">
        <v>413</v>
      </c>
      <c r="AZ211" t="s">
        <v>109</v>
      </c>
      <c r="BA211">
        <v>3</v>
      </c>
      <c r="BB211">
        <v>0.25</v>
      </c>
      <c r="BC211">
        <v>4.1163553999999996E-3</v>
      </c>
      <c r="BD211">
        <v>1.4279989108178799E-4</v>
      </c>
      <c r="BE211">
        <v>4.2591552910817903E-3</v>
      </c>
      <c r="BF211">
        <f>IF(AK211&lt;BE211,1,0)</f>
        <v>0</v>
      </c>
      <c r="BG211">
        <f>IF(AK211&lt;BC211,1,0)</f>
        <v>0</v>
      </c>
      <c r="BH211">
        <f>VLOOKUP($B211,[1]Data_Peer_with_peerVars!$B$2:$Z$1050,20,FALSE)</f>
        <v>0</v>
      </c>
      <c r="BI211">
        <f>VLOOKUP($B211,[1]Data_Peer_with_peerVars!$B$2:$Z$1050,21,FALSE)</f>
        <v>0</v>
      </c>
      <c r="BJ211">
        <v>0</v>
      </c>
      <c r="BK211">
        <f>VLOOKUP($B211,[1]Data_Peer_with_peerVars!$B$2:$Z$1050,23,FALSE)</f>
        <v>9</v>
      </c>
      <c r="BL211">
        <f>VLOOKUP($B211,[1]Data_Peer_with_peerVars!$B$2:$Z$1050,24,FALSE)</f>
        <v>7</v>
      </c>
      <c r="BM211">
        <f>VLOOKUP($B211,[1]Data_Peer_with_peerVars!$B$2:$Z$1050,25,FALSE)</f>
        <v>0.77777777800000003</v>
      </c>
    </row>
    <row r="212" spans="1:65" x14ac:dyDescent="0.2">
      <c r="A212">
        <v>1</v>
      </c>
      <c r="B212" t="s">
        <v>418</v>
      </c>
      <c r="C212">
        <v>108</v>
      </c>
      <c r="D212" t="s">
        <v>68</v>
      </c>
      <c r="E212">
        <v>0</v>
      </c>
      <c r="F212">
        <v>423</v>
      </c>
      <c r="G212" t="s">
        <v>97</v>
      </c>
      <c r="H212" s="1">
        <v>4.4000000000000004</v>
      </c>
      <c r="I212" t="s">
        <v>87</v>
      </c>
      <c r="J212" t="s">
        <v>111</v>
      </c>
      <c r="K212" t="s">
        <v>109</v>
      </c>
      <c r="L212">
        <v>2</v>
      </c>
      <c r="M212">
        <v>0</v>
      </c>
      <c r="N212">
        <v>1</v>
      </c>
      <c r="O212">
        <v>0</v>
      </c>
      <c r="P212">
        <v>1</v>
      </c>
      <c r="Q212">
        <v>6</v>
      </c>
      <c r="R212">
        <v>0</v>
      </c>
      <c r="S212">
        <v>0</v>
      </c>
      <c r="T212">
        <v>0</v>
      </c>
      <c r="U212">
        <v>0</v>
      </c>
      <c r="V212">
        <f t="shared" si="81"/>
        <v>1</v>
      </c>
      <c r="W212">
        <v>1</v>
      </c>
      <c r="X212">
        <v>1</v>
      </c>
      <c r="Y212">
        <v>1</v>
      </c>
      <c r="Z212" t="s">
        <v>287</v>
      </c>
      <c r="AA212" s="5" t="s">
        <v>287</v>
      </c>
      <c r="AB212" s="5" t="s">
        <v>287</v>
      </c>
      <c r="AC212" t="s">
        <v>287</v>
      </c>
      <c r="AD212" t="s">
        <v>137</v>
      </c>
      <c r="AE212" s="5" t="s">
        <v>305</v>
      </c>
      <c r="AF212" t="s">
        <v>113</v>
      </c>
      <c r="AG212" t="s">
        <v>91</v>
      </c>
      <c r="AH212">
        <f t="shared" si="90"/>
        <v>4.1849017000000002E-2</v>
      </c>
      <c r="AI212">
        <f t="shared" si="89"/>
        <v>4.1849017000000002E-2</v>
      </c>
      <c r="AJ212">
        <f t="shared" si="84"/>
        <v>4.1849017000000002E-2</v>
      </c>
      <c r="AK212">
        <v>4.1849017000000002E-2</v>
      </c>
      <c r="AL212">
        <v>0.10874317</v>
      </c>
      <c r="AM212">
        <v>0.12328013</v>
      </c>
      <c r="AN212">
        <v>0.12356164</v>
      </c>
      <c r="AO212">
        <v>95.815098300000002</v>
      </c>
      <c r="AP212">
        <v>89.125682999999995</v>
      </c>
      <c r="AQ212">
        <v>87.671987000000001</v>
      </c>
      <c r="AR212">
        <v>87.643835999999993</v>
      </c>
      <c r="AS212" t="b">
        <v>1</v>
      </c>
      <c r="AT212" t="b">
        <v>0</v>
      </c>
      <c r="AU212" t="s">
        <v>77</v>
      </c>
      <c r="AV212" t="s">
        <v>108</v>
      </c>
      <c r="AW212" t="s">
        <v>79</v>
      </c>
      <c r="AX212" t="s">
        <v>233</v>
      </c>
      <c r="AY212" t="s">
        <v>413</v>
      </c>
      <c r="AZ212" t="s">
        <v>109</v>
      </c>
      <c r="BA212">
        <v>10</v>
      </c>
      <c r="BB212">
        <v>0.25</v>
      </c>
      <c r="BC212">
        <v>5.5106750000000003E-2</v>
      </c>
      <c r="BD212">
        <v>2.4361461616194298E-3</v>
      </c>
      <c r="BE212">
        <v>5.7542896161619402E-2</v>
      </c>
      <c r="BF212">
        <f>IF(AK212&lt;BE212,1,0)</f>
        <v>1</v>
      </c>
      <c r="BG212">
        <f>IF(AK212&lt;BC212,1,0)</f>
        <v>1</v>
      </c>
      <c r="BH212">
        <f>VLOOKUP($B212,[1]Data_Peer_with_peerVars!$B$2:$Z$1050,20,FALSE)</f>
        <v>0</v>
      </c>
      <c r="BI212">
        <f>VLOOKUP($B212,[1]Data_Peer_with_peerVars!$B$2:$Z$1050,21,FALSE)</f>
        <v>0</v>
      </c>
      <c r="BJ212">
        <v>0</v>
      </c>
      <c r="BK212">
        <f>VLOOKUP($B212,[1]Data_Peer_with_peerVars!$B$2:$Z$1050,23,FALSE)</f>
        <v>9</v>
      </c>
      <c r="BL212">
        <f>VLOOKUP($B212,[1]Data_Peer_with_peerVars!$B$2:$Z$1050,24,FALSE)</f>
        <v>7</v>
      </c>
      <c r="BM212">
        <f>VLOOKUP($B212,[1]Data_Peer_with_peerVars!$B$2:$Z$1050,25,FALSE)</f>
        <v>0.77777777800000003</v>
      </c>
    </row>
    <row r="213" spans="1:65" x14ac:dyDescent="0.2">
      <c r="A213">
        <v>1</v>
      </c>
      <c r="B213" t="s">
        <v>419</v>
      </c>
      <c r="C213">
        <v>109</v>
      </c>
      <c r="D213" t="s">
        <v>68</v>
      </c>
      <c r="E213">
        <v>0</v>
      </c>
      <c r="F213">
        <v>445</v>
      </c>
      <c r="G213" t="s">
        <v>97</v>
      </c>
      <c r="H213" s="1">
        <v>0</v>
      </c>
      <c r="I213" t="s">
        <v>87</v>
      </c>
      <c r="J213" t="s">
        <v>111</v>
      </c>
      <c r="K213" t="s">
        <v>109</v>
      </c>
      <c r="L213">
        <v>1</v>
      </c>
      <c r="M213">
        <v>0</v>
      </c>
      <c r="N213">
        <v>0</v>
      </c>
      <c r="O213">
        <v>0</v>
      </c>
      <c r="P213">
        <v>0</v>
      </c>
      <c r="Q213">
        <v>6</v>
      </c>
      <c r="R213">
        <v>0</v>
      </c>
      <c r="S213">
        <v>0</v>
      </c>
      <c r="T213">
        <v>0</v>
      </c>
      <c r="U213">
        <v>0</v>
      </c>
      <c r="V213">
        <f t="shared" si="81"/>
        <v>1</v>
      </c>
      <c r="W213">
        <v>1</v>
      </c>
      <c r="X213">
        <v>1</v>
      </c>
      <c r="Y213">
        <v>1</v>
      </c>
      <c r="Z213" t="s">
        <v>84</v>
      </c>
      <c r="AA213" s="5" t="s">
        <v>84</v>
      </c>
      <c r="AB213" s="5" t="s">
        <v>84</v>
      </c>
      <c r="AC213" t="s">
        <v>84</v>
      </c>
      <c r="AD213" t="s">
        <v>113</v>
      </c>
      <c r="AE213" s="5" t="s">
        <v>113</v>
      </c>
      <c r="AF213" t="s">
        <v>114</v>
      </c>
      <c r="AG213" t="s">
        <v>76</v>
      </c>
      <c r="AH213">
        <f t="shared" si="90"/>
        <v>5.7903400000000001E-2</v>
      </c>
      <c r="AI213">
        <f t="shared" si="89"/>
        <v>5.7903400000000001E-2</v>
      </c>
      <c r="AJ213">
        <f t="shared" si="84"/>
        <v>5.7903400000000001E-2</v>
      </c>
      <c r="AK213">
        <v>5.7903400000000001E-2</v>
      </c>
      <c r="AL213">
        <v>0.11819681</v>
      </c>
      <c r="AM213">
        <v>0.13253012</v>
      </c>
      <c r="AN213">
        <v>0.13375272999999999</v>
      </c>
      <c r="AO213">
        <v>94.20966</v>
      </c>
      <c r="AP213">
        <v>88.180318999999997</v>
      </c>
      <c r="AQ213">
        <v>86.746988000000002</v>
      </c>
      <c r="AR213">
        <v>86.624726999999993</v>
      </c>
      <c r="AS213" t="b">
        <v>1</v>
      </c>
      <c r="AT213" t="b">
        <v>0</v>
      </c>
      <c r="AU213" t="s">
        <v>77</v>
      </c>
      <c r="AV213" t="s">
        <v>78</v>
      </c>
      <c r="AW213" t="s">
        <v>79</v>
      </c>
      <c r="AX213" t="s">
        <v>233</v>
      </c>
      <c r="AY213" t="s">
        <v>84</v>
      </c>
      <c r="AZ213" t="s">
        <v>109</v>
      </c>
      <c r="BA213">
        <v>4</v>
      </c>
      <c r="BB213">
        <v>1</v>
      </c>
      <c r="BC213">
        <v>4.6780407000000003E-2</v>
      </c>
      <c r="BD213">
        <v>6.0749635341231199E-3</v>
      </c>
      <c r="BE213">
        <v>5.2855370534123099E-2</v>
      </c>
      <c r="BF213">
        <f>IF(AK213&lt;BE213,1,0)</f>
        <v>0</v>
      </c>
      <c r="BG213">
        <f>IF(AK213&lt;BC213,1,0)</f>
        <v>0</v>
      </c>
      <c r="BH213">
        <f>VLOOKUP($B213,[1]Data_Peer_with_peerVars!$B$2:$Z$1050,20,FALSE)</f>
        <v>8</v>
      </c>
      <c r="BI213">
        <f>VLOOKUP($B213,[1]Data_Peer_with_peerVars!$B$2:$Z$1050,21,FALSE)</f>
        <v>5</v>
      </c>
      <c r="BJ213">
        <f>VLOOKUP($B213,[1]Data_Peer_with_peerVars!$B$2:$Z$1050,22,FALSE)</f>
        <v>0.625</v>
      </c>
      <c r="BK213">
        <f>VLOOKUP($B213,[1]Data_Peer_with_peerVars!$B$2:$Z$1050,23,FALSE)</f>
        <v>40</v>
      </c>
      <c r="BL213">
        <f>VLOOKUP($B213,[1]Data_Peer_with_peerVars!$B$2:$Z$1050,24,FALSE)</f>
        <v>30</v>
      </c>
      <c r="BM213">
        <f>VLOOKUP($B213,[1]Data_Peer_with_peerVars!$B$2:$Z$1050,25,FALSE)</f>
        <v>0.75</v>
      </c>
    </row>
    <row r="214" spans="1:65" x14ac:dyDescent="0.2">
      <c r="A214">
        <v>1</v>
      </c>
      <c r="B214" t="s">
        <v>420</v>
      </c>
      <c r="C214">
        <v>110</v>
      </c>
      <c r="D214" t="s">
        <v>68</v>
      </c>
      <c r="E214">
        <v>0</v>
      </c>
      <c r="F214">
        <v>446</v>
      </c>
      <c r="G214" t="s">
        <v>119</v>
      </c>
      <c r="H214" s="1">
        <v>6</v>
      </c>
      <c r="I214" t="s">
        <v>70</v>
      </c>
      <c r="J214" t="s">
        <v>71</v>
      </c>
      <c r="K214" t="s">
        <v>72</v>
      </c>
      <c r="L214">
        <v>1</v>
      </c>
      <c r="M214">
        <v>0</v>
      </c>
      <c r="N214">
        <v>0</v>
      </c>
      <c r="O214">
        <v>1</v>
      </c>
      <c r="P214">
        <v>1</v>
      </c>
      <c r="Q214">
        <v>6</v>
      </c>
      <c r="R214">
        <v>1</v>
      </c>
      <c r="S214">
        <v>1</v>
      </c>
      <c r="T214">
        <v>1</v>
      </c>
      <c r="U214">
        <v>1</v>
      </c>
      <c r="V214">
        <f t="shared" si="81"/>
        <v>0</v>
      </c>
      <c r="W214">
        <f t="shared" si="82"/>
        <v>0</v>
      </c>
      <c r="X214">
        <f t="shared" si="85"/>
        <v>0</v>
      </c>
      <c r="Y214">
        <f t="shared" si="83"/>
        <v>0</v>
      </c>
      <c r="Z214" t="s">
        <v>177</v>
      </c>
      <c r="AA214" s="5" t="s">
        <v>107</v>
      </c>
      <c r="AB214" s="5" t="s">
        <v>107</v>
      </c>
      <c r="AC214" t="s">
        <v>107</v>
      </c>
      <c r="AD214" t="s">
        <v>95</v>
      </c>
      <c r="AE214" s="5" t="s">
        <v>95</v>
      </c>
      <c r="AF214" t="s">
        <v>173</v>
      </c>
      <c r="AG214" t="s">
        <v>174</v>
      </c>
      <c r="AH214">
        <f>AI214</f>
        <v>8.7767420000000006E-3</v>
      </c>
      <c r="AI214">
        <f>AJ214</f>
        <v>8.7767420000000006E-3</v>
      </c>
      <c r="AJ214">
        <f t="shared" si="84"/>
        <v>8.7767420000000006E-3</v>
      </c>
      <c r="AK214">
        <v>8.7767420000000006E-3</v>
      </c>
      <c r="AL214">
        <v>7.7070764999999999E-2</v>
      </c>
      <c r="AM214">
        <v>9.4143405999999999E-2</v>
      </c>
      <c r="AN214">
        <v>9.8464070000000001E-2</v>
      </c>
      <c r="AO214">
        <v>99.122325799999999</v>
      </c>
      <c r="AP214">
        <v>92.292923500000001</v>
      </c>
      <c r="AQ214">
        <v>90.585659399999997</v>
      </c>
      <c r="AR214">
        <v>90.153593000000001</v>
      </c>
      <c r="AS214" t="b">
        <v>1</v>
      </c>
      <c r="AT214" t="b">
        <v>0</v>
      </c>
      <c r="AU214" t="s">
        <v>77</v>
      </c>
      <c r="AV214" t="s">
        <v>77</v>
      </c>
      <c r="AW214" t="s">
        <v>79</v>
      </c>
      <c r="AX214" t="s">
        <v>233</v>
      </c>
      <c r="AY214" t="s">
        <v>233</v>
      </c>
      <c r="AZ214" t="s">
        <v>72</v>
      </c>
      <c r="BA214" t="s">
        <v>82</v>
      </c>
      <c r="BB214">
        <v>0.25</v>
      </c>
      <c r="BC214">
        <v>2.6475456000000001E-2</v>
      </c>
      <c r="BD214">
        <v>8.8330364056477401E-3</v>
      </c>
      <c r="BE214">
        <v>3.53084924056477E-2</v>
      </c>
      <c r="BF214">
        <f>IF(AK214&lt;BE214,1,0)</f>
        <v>1</v>
      </c>
      <c r="BG214">
        <f>IF(AK214&lt;BC214,1,0)</f>
        <v>1</v>
      </c>
      <c r="BH214">
        <f>VLOOKUP($B214,[1]Data_Peer_with_peerVars!$B$2:$Z$1050,20,FALSE)</f>
        <v>7</v>
      </c>
      <c r="BI214">
        <f>VLOOKUP($B214,[1]Data_Peer_with_peerVars!$B$2:$Z$1050,21,FALSE)</f>
        <v>6</v>
      </c>
      <c r="BJ214">
        <f>VLOOKUP($B214,[1]Data_Peer_with_peerVars!$B$2:$Z$1050,22,FALSE)</f>
        <v>0.85714285700000004</v>
      </c>
      <c r="BK214">
        <f>VLOOKUP($B214,[1]Data_Peer_with_peerVars!$B$2:$Z$1050,23,FALSE)</f>
        <v>42</v>
      </c>
      <c r="BL214">
        <f>VLOOKUP($B214,[1]Data_Peer_with_peerVars!$B$2:$Z$1050,24,FALSE)</f>
        <v>34</v>
      </c>
      <c r="BM214">
        <f>VLOOKUP($B214,[1]Data_Peer_with_peerVars!$B$2:$Z$1050,25,FALSE)</f>
        <v>0.80952380999999995</v>
      </c>
    </row>
    <row r="215" spans="1:65" x14ac:dyDescent="0.2">
      <c r="A215">
        <v>1</v>
      </c>
      <c r="B215" t="s">
        <v>421</v>
      </c>
      <c r="C215">
        <v>110</v>
      </c>
      <c r="D215" t="s">
        <v>68</v>
      </c>
      <c r="E215">
        <v>0</v>
      </c>
      <c r="F215">
        <v>446</v>
      </c>
      <c r="G215" t="s">
        <v>119</v>
      </c>
      <c r="H215" s="1">
        <v>6</v>
      </c>
      <c r="I215" t="s">
        <v>70</v>
      </c>
      <c r="J215" t="s">
        <v>71</v>
      </c>
      <c r="K215" t="s">
        <v>72</v>
      </c>
      <c r="L215">
        <v>1</v>
      </c>
      <c r="M215">
        <v>0</v>
      </c>
      <c r="N215">
        <v>0</v>
      </c>
      <c r="O215">
        <v>1</v>
      </c>
      <c r="P215">
        <v>1</v>
      </c>
      <c r="Q215">
        <v>6</v>
      </c>
      <c r="R215">
        <v>0</v>
      </c>
      <c r="S215">
        <v>0</v>
      </c>
      <c r="T215">
        <v>0</v>
      </c>
      <c r="U215">
        <v>0</v>
      </c>
      <c r="V215">
        <f t="shared" si="81"/>
        <v>0</v>
      </c>
      <c r="W215">
        <f t="shared" si="82"/>
        <v>0</v>
      </c>
      <c r="X215">
        <f t="shared" si="85"/>
        <v>1</v>
      </c>
      <c r="Y215">
        <v>1</v>
      </c>
      <c r="Z215" t="s">
        <v>76</v>
      </c>
      <c r="AA215" s="5" t="s">
        <v>76</v>
      </c>
      <c r="AB215" s="5" t="s">
        <v>409</v>
      </c>
      <c r="AC215" t="s">
        <v>84</v>
      </c>
      <c r="AD215" t="s">
        <v>74</v>
      </c>
      <c r="AE215" s="5" t="s">
        <v>74</v>
      </c>
      <c r="AF215" t="s">
        <v>76</v>
      </c>
      <c r="AG215" t="s">
        <v>120</v>
      </c>
      <c r="AH215">
        <f>AI215</f>
        <v>0.12876712000000001</v>
      </c>
      <c r="AI215">
        <f>AM215</f>
        <v>0.12876712000000001</v>
      </c>
      <c r="AJ215">
        <f t="shared" si="84"/>
        <v>0.10142936</v>
      </c>
      <c r="AK215">
        <v>0.10142936</v>
      </c>
      <c r="AL215">
        <v>0.10472787</v>
      </c>
      <c r="AM215">
        <v>0.12876712000000001</v>
      </c>
      <c r="AN215">
        <v>0.13315067999999999</v>
      </c>
      <c r="AO215">
        <v>89.857063999999994</v>
      </c>
      <c r="AP215">
        <v>89.527213000000003</v>
      </c>
      <c r="AQ215">
        <v>87.123288000000002</v>
      </c>
      <c r="AR215">
        <v>86.684932000000003</v>
      </c>
      <c r="AS215" t="b">
        <v>0</v>
      </c>
      <c r="AT215" t="b">
        <v>0</v>
      </c>
      <c r="AU215" t="s">
        <v>78</v>
      </c>
      <c r="AV215" t="s">
        <v>78</v>
      </c>
      <c r="AW215" t="s">
        <v>79</v>
      </c>
      <c r="AX215" t="s">
        <v>233</v>
      </c>
      <c r="AY215" t="s">
        <v>233</v>
      </c>
      <c r="AZ215" t="s">
        <v>109</v>
      </c>
      <c r="BA215">
        <v>7</v>
      </c>
      <c r="BB215">
        <v>3</v>
      </c>
      <c r="BC215">
        <v>4.6780407000000003E-2</v>
      </c>
      <c r="BD215">
        <v>6.0749635341231199E-3</v>
      </c>
      <c r="BE215">
        <v>5.2855370534123099E-2</v>
      </c>
      <c r="BF215">
        <f>IF(AK215&lt;BE215,1,0)</f>
        <v>0</v>
      </c>
      <c r="BG215">
        <f>IF(AK215&lt;BC215,1,0)</f>
        <v>0</v>
      </c>
      <c r="BH215">
        <f>VLOOKUP($B215,[1]Data_Peer_with_peerVars!$B$2:$Z$1050,20,FALSE)</f>
        <v>7</v>
      </c>
      <c r="BI215">
        <f>VLOOKUP($B215,[1]Data_Peer_with_peerVars!$B$2:$Z$1050,21,FALSE)</f>
        <v>6</v>
      </c>
      <c r="BJ215">
        <f>VLOOKUP($B215,[1]Data_Peer_with_peerVars!$B$2:$Z$1050,22,FALSE)</f>
        <v>0.85714285700000004</v>
      </c>
      <c r="BK215">
        <f>VLOOKUP($B215,[1]Data_Peer_with_peerVars!$B$2:$Z$1050,23,FALSE)</f>
        <v>42</v>
      </c>
      <c r="BL215">
        <f>VLOOKUP($B215,[1]Data_Peer_with_peerVars!$B$2:$Z$1050,24,FALSE)</f>
        <v>34</v>
      </c>
      <c r="BM215">
        <f>VLOOKUP($B215,[1]Data_Peer_with_peerVars!$B$2:$Z$1050,25,FALSE)</f>
        <v>0.80952380999999995</v>
      </c>
    </row>
    <row r="216" spans="1:65" x14ac:dyDescent="0.2">
      <c r="A216">
        <v>1</v>
      </c>
      <c r="B216" t="s">
        <v>422</v>
      </c>
      <c r="C216">
        <v>111</v>
      </c>
      <c r="D216" t="s">
        <v>68</v>
      </c>
      <c r="E216">
        <v>0</v>
      </c>
      <c r="F216">
        <v>524</v>
      </c>
      <c r="G216" t="s">
        <v>97</v>
      </c>
      <c r="H216" s="1">
        <v>4</v>
      </c>
      <c r="I216" t="s">
        <v>87</v>
      </c>
      <c r="J216" t="s">
        <v>111</v>
      </c>
      <c r="K216" t="s">
        <v>109</v>
      </c>
      <c r="L216">
        <v>1</v>
      </c>
      <c r="M216">
        <v>0</v>
      </c>
      <c r="N216">
        <v>1</v>
      </c>
      <c r="O216">
        <v>0</v>
      </c>
      <c r="P216">
        <v>0</v>
      </c>
      <c r="Q216">
        <v>6</v>
      </c>
      <c r="R216">
        <v>0</v>
      </c>
      <c r="S216">
        <v>0</v>
      </c>
      <c r="T216">
        <v>0</v>
      </c>
      <c r="U216">
        <v>0</v>
      </c>
      <c r="V216">
        <f t="shared" si="81"/>
        <v>0</v>
      </c>
      <c r="W216">
        <f t="shared" si="82"/>
        <v>0</v>
      </c>
      <c r="X216">
        <f t="shared" si="85"/>
        <v>0</v>
      </c>
      <c r="Y216">
        <f t="shared" si="83"/>
        <v>0</v>
      </c>
      <c r="Z216" t="s">
        <v>76</v>
      </c>
      <c r="AA216" s="5" t="s">
        <v>76</v>
      </c>
      <c r="AB216" s="5" t="s">
        <v>76</v>
      </c>
      <c r="AC216" t="s">
        <v>73</v>
      </c>
      <c r="AD216" t="s">
        <v>99</v>
      </c>
      <c r="AE216" s="5" t="s">
        <v>99</v>
      </c>
      <c r="AF216" t="s">
        <v>103</v>
      </c>
      <c r="AG216" t="s">
        <v>101</v>
      </c>
      <c r="AH216">
        <f>AI216</f>
        <v>9.8146126E-2</v>
      </c>
      <c r="AI216">
        <f>AJ216</f>
        <v>9.8146126E-2</v>
      </c>
      <c r="AJ216">
        <f t="shared" si="84"/>
        <v>9.8146126E-2</v>
      </c>
      <c r="AK216">
        <v>9.8146126E-2</v>
      </c>
      <c r="AL216">
        <v>0.13553719</v>
      </c>
      <c r="AM216">
        <v>0.14199229999999999</v>
      </c>
      <c r="AN216">
        <v>0.14489572000000001</v>
      </c>
      <c r="AO216">
        <v>90.185387399999996</v>
      </c>
      <c r="AP216">
        <v>86.446280999999999</v>
      </c>
      <c r="AQ216">
        <v>85.80077</v>
      </c>
      <c r="AR216">
        <v>85.510428000000005</v>
      </c>
      <c r="AS216" t="b">
        <v>0</v>
      </c>
      <c r="AT216" t="b">
        <v>0</v>
      </c>
      <c r="AU216" t="s">
        <v>77</v>
      </c>
      <c r="AV216" t="s">
        <v>78</v>
      </c>
      <c r="AW216" t="s">
        <v>79</v>
      </c>
      <c r="AX216" t="s">
        <v>233</v>
      </c>
      <c r="AY216" t="s">
        <v>84</v>
      </c>
      <c r="AZ216" t="s">
        <v>109</v>
      </c>
      <c r="BA216">
        <v>7</v>
      </c>
      <c r="BB216">
        <v>1.5</v>
      </c>
      <c r="BC216">
        <v>4.1163553999999996E-3</v>
      </c>
      <c r="BD216">
        <v>1.4279989108178799E-4</v>
      </c>
      <c r="BE216">
        <v>4.2591552910817903E-3</v>
      </c>
      <c r="BF216">
        <f>IF(AK216&lt;BE216,1,0)</f>
        <v>0</v>
      </c>
      <c r="BG216">
        <f>IF(AK216&lt;BC216,1,0)</f>
        <v>0</v>
      </c>
      <c r="BH216">
        <f>VLOOKUP($B216,[1]Data_Peer_with_peerVars!$B$2:$Z$1050,20,FALSE)</f>
        <v>0</v>
      </c>
      <c r="BI216">
        <f>VLOOKUP($B216,[1]Data_Peer_with_peerVars!$B$2:$Z$1050,21,FALSE)</f>
        <v>0</v>
      </c>
      <c r="BJ216">
        <v>0</v>
      </c>
      <c r="BK216">
        <f>VLOOKUP($B216,[1]Data_Peer_with_peerVars!$B$2:$Z$1050,23,FALSE)</f>
        <v>0</v>
      </c>
      <c r="BL216">
        <f>VLOOKUP($B216,[1]Data_Peer_with_peerVars!$B$2:$Z$1050,24,FALSE)</f>
        <v>0</v>
      </c>
      <c r="BM216" t="str">
        <f>VLOOKUP($B216,[1]Data_Peer_with_peerVars!$B$2:$Z$1050,25,FALSE)</f>
        <v>NA</v>
      </c>
    </row>
    <row r="217" spans="1:65" x14ac:dyDescent="0.2">
      <c r="A217">
        <v>1</v>
      </c>
      <c r="B217" t="s">
        <v>423</v>
      </c>
      <c r="C217">
        <v>111</v>
      </c>
      <c r="D217" t="s">
        <v>68</v>
      </c>
      <c r="E217">
        <v>0</v>
      </c>
      <c r="F217">
        <v>524</v>
      </c>
      <c r="G217" t="s">
        <v>97</v>
      </c>
      <c r="H217" s="1">
        <v>4</v>
      </c>
      <c r="I217" t="s">
        <v>87</v>
      </c>
      <c r="J217" t="s">
        <v>111</v>
      </c>
      <c r="K217" t="s">
        <v>109</v>
      </c>
      <c r="L217">
        <v>1</v>
      </c>
      <c r="M217">
        <v>0</v>
      </c>
      <c r="N217">
        <v>1</v>
      </c>
      <c r="O217">
        <v>0</v>
      </c>
      <c r="P217">
        <v>0</v>
      </c>
      <c r="Q217">
        <v>6</v>
      </c>
      <c r="R217">
        <v>0</v>
      </c>
      <c r="S217">
        <v>0</v>
      </c>
      <c r="T217">
        <v>0</v>
      </c>
      <c r="U217">
        <v>0</v>
      </c>
      <c r="V217">
        <f t="shared" si="81"/>
        <v>1</v>
      </c>
      <c r="W217">
        <v>1</v>
      </c>
      <c r="X217">
        <v>1</v>
      </c>
      <c r="Y217">
        <v>1</v>
      </c>
      <c r="Z217" t="s">
        <v>73</v>
      </c>
      <c r="AA217" s="5" t="s">
        <v>73</v>
      </c>
      <c r="AB217" s="5" t="s">
        <v>73</v>
      </c>
      <c r="AC217" t="s">
        <v>73</v>
      </c>
      <c r="AD217" t="s">
        <v>74</v>
      </c>
      <c r="AE217" s="5" t="s">
        <v>74</v>
      </c>
      <c r="AF217" t="s">
        <v>84</v>
      </c>
      <c r="AG217" t="s">
        <v>75</v>
      </c>
      <c r="AH217">
        <f t="shared" ref="AH217:AH228" si="91">AI217</f>
        <v>7.7153764999999999E-2</v>
      </c>
      <c r="AI217">
        <f t="shared" ref="AI217:AI218" si="92">AJ217</f>
        <v>7.7153764999999999E-2</v>
      </c>
      <c r="AJ217">
        <f t="shared" si="84"/>
        <v>7.7153764999999999E-2</v>
      </c>
      <c r="AK217">
        <v>7.7153764999999999E-2</v>
      </c>
      <c r="AL217">
        <v>0.11808219</v>
      </c>
      <c r="AM217">
        <v>0.12870472999999999</v>
      </c>
      <c r="AN217">
        <v>0.12910284</v>
      </c>
      <c r="AO217">
        <v>92.284623499999995</v>
      </c>
      <c r="AP217">
        <v>88.191781000000006</v>
      </c>
      <c r="AQ217">
        <v>87.129526999999996</v>
      </c>
      <c r="AR217">
        <v>87.089715999999996</v>
      </c>
      <c r="AS217" t="b">
        <v>1</v>
      </c>
      <c r="AT217" t="b">
        <v>0</v>
      </c>
      <c r="AU217" t="s">
        <v>77</v>
      </c>
      <c r="AV217" t="s">
        <v>78</v>
      </c>
      <c r="AW217" t="s">
        <v>79</v>
      </c>
      <c r="AX217" t="s">
        <v>233</v>
      </c>
      <c r="AY217" t="s">
        <v>84</v>
      </c>
      <c r="AZ217" t="s">
        <v>109</v>
      </c>
      <c r="BA217">
        <v>8</v>
      </c>
      <c r="BB217">
        <v>2.5</v>
      </c>
      <c r="BC217">
        <v>4.1163553999999996E-3</v>
      </c>
      <c r="BD217">
        <v>1.4279989108178799E-4</v>
      </c>
      <c r="BE217">
        <v>4.2591552910817903E-3</v>
      </c>
      <c r="BF217">
        <f>IF(AK217&lt;BE217,1,0)</f>
        <v>0</v>
      </c>
      <c r="BG217">
        <f>IF(AK217&lt;BC217,1,0)</f>
        <v>0</v>
      </c>
      <c r="BH217">
        <f>VLOOKUP($B217,[1]Data_Peer_with_peerVars!$B$2:$Z$1050,20,FALSE)</f>
        <v>0</v>
      </c>
      <c r="BI217">
        <f>VLOOKUP($B217,[1]Data_Peer_with_peerVars!$B$2:$Z$1050,21,FALSE)</f>
        <v>0</v>
      </c>
      <c r="BJ217">
        <v>0</v>
      </c>
      <c r="BK217">
        <f>VLOOKUP($B217,[1]Data_Peer_with_peerVars!$B$2:$Z$1050,23,FALSE)</f>
        <v>0</v>
      </c>
      <c r="BL217">
        <f>VLOOKUP($B217,[1]Data_Peer_with_peerVars!$B$2:$Z$1050,24,FALSE)</f>
        <v>0</v>
      </c>
      <c r="BM217" t="str">
        <f>VLOOKUP($B217,[1]Data_Peer_with_peerVars!$B$2:$Z$1050,25,FALSE)</f>
        <v>NA</v>
      </c>
    </row>
    <row r="218" spans="1:65" x14ac:dyDescent="0.2">
      <c r="A218">
        <v>1</v>
      </c>
      <c r="B218" t="s">
        <v>424</v>
      </c>
      <c r="C218">
        <v>112</v>
      </c>
      <c r="D218" t="s">
        <v>68</v>
      </c>
      <c r="E218">
        <v>0</v>
      </c>
      <c r="F218">
        <v>525</v>
      </c>
      <c r="G218" t="s">
        <v>97</v>
      </c>
      <c r="H218" s="1">
        <v>4</v>
      </c>
      <c r="I218" t="s">
        <v>87</v>
      </c>
      <c r="J218" t="s">
        <v>111</v>
      </c>
      <c r="K218" t="s">
        <v>109</v>
      </c>
      <c r="L218">
        <v>2</v>
      </c>
      <c r="M218">
        <v>0</v>
      </c>
      <c r="N218">
        <v>1</v>
      </c>
      <c r="O218">
        <v>0</v>
      </c>
      <c r="P218">
        <v>0</v>
      </c>
      <c r="Q218">
        <v>4</v>
      </c>
      <c r="R218">
        <v>0</v>
      </c>
      <c r="S218">
        <v>0</v>
      </c>
      <c r="T218">
        <v>0</v>
      </c>
      <c r="U218">
        <v>0</v>
      </c>
      <c r="V218">
        <f t="shared" si="81"/>
        <v>1</v>
      </c>
      <c r="W218">
        <v>1</v>
      </c>
      <c r="X218">
        <v>1</v>
      </c>
      <c r="Y218">
        <v>1</v>
      </c>
      <c r="Z218" t="s">
        <v>73</v>
      </c>
      <c r="AA218" s="5" t="s">
        <v>73</v>
      </c>
      <c r="AB218" s="5" t="s">
        <v>73</v>
      </c>
      <c r="AC218" t="s">
        <v>73</v>
      </c>
      <c r="AD218" t="s">
        <v>94</v>
      </c>
      <c r="AE218" s="5" t="s">
        <v>94</v>
      </c>
      <c r="AF218" t="s">
        <v>113</v>
      </c>
      <c r="AG218" t="s">
        <v>75</v>
      </c>
      <c r="AH218">
        <f t="shared" si="91"/>
        <v>9.4380796000000003E-2</v>
      </c>
      <c r="AI218">
        <f t="shared" si="92"/>
        <v>9.4380796000000003E-2</v>
      </c>
      <c r="AJ218">
        <f t="shared" si="84"/>
        <v>9.4380796000000003E-2</v>
      </c>
      <c r="AK218">
        <v>9.4380796000000003E-2</v>
      </c>
      <c r="AL218">
        <v>0.14363735999999999</v>
      </c>
      <c r="AM218">
        <v>0.14540956999999999</v>
      </c>
      <c r="AN218">
        <v>0.14813799999999999</v>
      </c>
      <c r="AO218">
        <v>90.561920400000005</v>
      </c>
      <c r="AP218">
        <v>85.636263999999997</v>
      </c>
      <c r="AQ218">
        <v>85.459042999999994</v>
      </c>
      <c r="AR218">
        <v>85.186199999999999</v>
      </c>
      <c r="AS218" t="b">
        <v>1</v>
      </c>
      <c r="AT218" t="b">
        <v>0</v>
      </c>
      <c r="AU218" t="s">
        <v>77</v>
      </c>
      <c r="AV218" t="s">
        <v>78</v>
      </c>
      <c r="AW218" t="s">
        <v>79</v>
      </c>
      <c r="AX218" t="s">
        <v>233</v>
      </c>
      <c r="AY218" t="s">
        <v>233</v>
      </c>
      <c r="AZ218" t="s">
        <v>109</v>
      </c>
      <c r="BA218">
        <v>8</v>
      </c>
      <c r="BB218">
        <v>2</v>
      </c>
      <c r="BC218">
        <v>4.1163553999999996E-3</v>
      </c>
      <c r="BD218">
        <v>1.4279989108178799E-4</v>
      </c>
      <c r="BE218">
        <v>4.2591552910817903E-3</v>
      </c>
      <c r="BF218">
        <f>IF(AK218&lt;BE218,1,0)</f>
        <v>0</v>
      </c>
      <c r="BG218">
        <f>IF(AK218&lt;BC218,1,0)</f>
        <v>0</v>
      </c>
      <c r="BH218">
        <f>VLOOKUP($B218,[1]Data_Peer_with_peerVars!$B$2:$Z$1050,20,FALSE)</f>
        <v>0</v>
      </c>
      <c r="BI218">
        <f>VLOOKUP($B218,[1]Data_Peer_with_peerVars!$B$2:$Z$1050,21,FALSE)</f>
        <v>0</v>
      </c>
      <c r="BJ218">
        <v>0</v>
      </c>
      <c r="BK218">
        <f>VLOOKUP($B218,[1]Data_Peer_with_peerVars!$B$2:$Z$1050,23,FALSE)</f>
        <v>6</v>
      </c>
      <c r="BL218">
        <f>VLOOKUP($B218,[1]Data_Peer_with_peerVars!$B$2:$Z$1050,24,FALSE)</f>
        <v>4</v>
      </c>
      <c r="BM218">
        <f>VLOOKUP($B218,[1]Data_Peer_with_peerVars!$B$2:$Z$1050,25,FALSE)</f>
        <v>0.66666666699999999</v>
      </c>
    </row>
    <row r="219" spans="1:65" x14ac:dyDescent="0.2">
      <c r="A219">
        <v>1</v>
      </c>
      <c r="B219" t="s">
        <v>425</v>
      </c>
      <c r="C219">
        <v>112</v>
      </c>
      <c r="D219" t="s">
        <v>68</v>
      </c>
      <c r="E219">
        <v>0</v>
      </c>
      <c r="F219">
        <v>525</v>
      </c>
      <c r="G219" t="s">
        <v>97</v>
      </c>
      <c r="H219" s="1">
        <v>4</v>
      </c>
      <c r="I219" t="s">
        <v>87</v>
      </c>
      <c r="J219" t="s">
        <v>111</v>
      </c>
      <c r="K219" t="s">
        <v>109</v>
      </c>
      <c r="L219">
        <v>2</v>
      </c>
      <c r="M219">
        <v>0</v>
      </c>
      <c r="N219">
        <v>1</v>
      </c>
      <c r="O219">
        <v>0</v>
      </c>
      <c r="P219">
        <v>0</v>
      </c>
      <c r="Q219">
        <v>4</v>
      </c>
      <c r="R219">
        <v>0</v>
      </c>
      <c r="S219">
        <v>0</v>
      </c>
      <c r="T219">
        <v>0</v>
      </c>
      <c r="U219">
        <v>0</v>
      </c>
      <c r="V219">
        <f t="shared" si="81"/>
        <v>0</v>
      </c>
      <c r="W219">
        <f t="shared" si="82"/>
        <v>1</v>
      </c>
      <c r="X219">
        <v>1</v>
      </c>
      <c r="Y219">
        <v>1</v>
      </c>
      <c r="Z219" t="s">
        <v>76</v>
      </c>
      <c r="AA219" s="5" t="s">
        <v>76</v>
      </c>
      <c r="AB219" s="5" t="s">
        <v>76</v>
      </c>
      <c r="AC219" t="s">
        <v>74</v>
      </c>
      <c r="AD219" t="s">
        <v>76</v>
      </c>
      <c r="AE219" s="5" t="s">
        <v>76</v>
      </c>
      <c r="AF219" t="s">
        <v>120</v>
      </c>
      <c r="AG219" t="s">
        <v>75</v>
      </c>
      <c r="AH219">
        <f t="shared" si="91"/>
        <v>8.2195519999999994E-2</v>
      </c>
      <c r="AI219">
        <f t="shared" ref="AI219:AI222" si="93">AJ219</f>
        <v>8.2195519999999994E-2</v>
      </c>
      <c r="AJ219">
        <f t="shared" ref="AJ219:AJ220" si="94">AL219</f>
        <v>8.2195519999999994E-2</v>
      </c>
      <c r="AK219">
        <v>6.6849309999999995E-2</v>
      </c>
      <c r="AL219">
        <v>8.2195519999999994E-2</v>
      </c>
      <c r="AM219">
        <v>0.11414528</v>
      </c>
      <c r="AN219">
        <v>0.115700215</v>
      </c>
      <c r="AO219">
        <v>93.315068999999994</v>
      </c>
      <c r="AP219">
        <v>91.780448000000007</v>
      </c>
      <c r="AQ219">
        <v>88.585471999999996</v>
      </c>
      <c r="AR219">
        <v>88.429978500000004</v>
      </c>
      <c r="AS219" t="b">
        <v>0</v>
      </c>
      <c r="AT219" t="b">
        <v>0</v>
      </c>
      <c r="AU219" t="s">
        <v>92</v>
      </c>
      <c r="AV219" t="s">
        <v>92</v>
      </c>
      <c r="AW219" t="s">
        <v>79</v>
      </c>
      <c r="AX219" t="s">
        <v>233</v>
      </c>
      <c r="AY219" t="s">
        <v>233</v>
      </c>
      <c r="AZ219" t="s">
        <v>82</v>
      </c>
      <c r="BA219" t="s">
        <v>82</v>
      </c>
      <c r="BB219">
        <v>1.5</v>
      </c>
      <c r="BC219">
        <v>2.4738868000000001E-3</v>
      </c>
      <c r="BD219">
        <v>1.4256942275279999E-4</v>
      </c>
      <c r="BE219">
        <v>2.6164562227527998E-3</v>
      </c>
      <c r="BF219">
        <f>IF(AK219&lt;BE219,1,0)</f>
        <v>0</v>
      </c>
      <c r="BG219">
        <f>IF(AK219&lt;BC219,1,0)</f>
        <v>0</v>
      </c>
      <c r="BH219">
        <f>VLOOKUP($B219,[1]Data_Peer_with_peerVars!$B$2:$Z$1050,20,FALSE)</f>
        <v>0</v>
      </c>
      <c r="BI219">
        <f>VLOOKUP($B219,[1]Data_Peer_with_peerVars!$B$2:$Z$1050,21,FALSE)</f>
        <v>0</v>
      </c>
      <c r="BJ219">
        <v>0</v>
      </c>
      <c r="BK219">
        <f>VLOOKUP($B219,[1]Data_Peer_with_peerVars!$B$2:$Z$1050,23,FALSE)</f>
        <v>6</v>
      </c>
      <c r="BL219">
        <f>VLOOKUP($B219,[1]Data_Peer_with_peerVars!$B$2:$Z$1050,24,FALSE)</f>
        <v>4</v>
      </c>
      <c r="BM219">
        <f>VLOOKUP($B219,[1]Data_Peer_with_peerVars!$B$2:$Z$1050,25,FALSE)</f>
        <v>0.66666666699999999</v>
      </c>
    </row>
    <row r="220" spans="1:65" x14ac:dyDescent="0.2">
      <c r="A220">
        <v>1</v>
      </c>
      <c r="B220" t="s">
        <v>426</v>
      </c>
      <c r="C220">
        <v>113</v>
      </c>
      <c r="D220" t="s">
        <v>68</v>
      </c>
      <c r="E220">
        <v>1</v>
      </c>
      <c r="F220">
        <v>526</v>
      </c>
      <c r="G220" t="s">
        <v>69</v>
      </c>
      <c r="H220" s="1">
        <v>3</v>
      </c>
      <c r="I220" t="s">
        <v>70</v>
      </c>
      <c r="J220" t="s">
        <v>71</v>
      </c>
      <c r="K220" t="s">
        <v>109</v>
      </c>
      <c r="L220">
        <v>1</v>
      </c>
      <c r="M220">
        <v>0</v>
      </c>
      <c r="N220">
        <v>0</v>
      </c>
      <c r="O220">
        <v>0</v>
      </c>
      <c r="P220">
        <v>0</v>
      </c>
      <c r="Q220">
        <v>11</v>
      </c>
      <c r="R220">
        <v>0</v>
      </c>
      <c r="S220">
        <v>0</v>
      </c>
      <c r="T220">
        <v>1</v>
      </c>
      <c r="U220">
        <v>1</v>
      </c>
      <c r="V220">
        <f t="shared" si="81"/>
        <v>0</v>
      </c>
      <c r="W220">
        <f t="shared" si="82"/>
        <v>1</v>
      </c>
      <c r="X220">
        <v>1</v>
      </c>
      <c r="Y220">
        <v>1</v>
      </c>
      <c r="Z220" t="s">
        <v>76</v>
      </c>
      <c r="AA220" s="5" t="s">
        <v>76</v>
      </c>
      <c r="AB220" s="5" t="s">
        <v>427</v>
      </c>
      <c r="AC220" t="s">
        <v>74</v>
      </c>
      <c r="AD220" t="s">
        <v>76</v>
      </c>
      <c r="AE220" s="5" t="s">
        <v>76</v>
      </c>
      <c r="AF220" t="s">
        <v>196</v>
      </c>
      <c r="AG220" t="s">
        <v>120</v>
      </c>
      <c r="AH220">
        <f t="shared" si="91"/>
        <v>0.10524877000000001</v>
      </c>
      <c r="AI220">
        <f t="shared" si="93"/>
        <v>0.10524877000000001</v>
      </c>
      <c r="AJ220">
        <f t="shared" si="94"/>
        <v>0.10524877000000001</v>
      </c>
      <c r="AK220">
        <v>9.7915520000000006E-2</v>
      </c>
      <c r="AL220">
        <v>0.10524877000000001</v>
      </c>
      <c r="AM220">
        <v>0.12506858000000001</v>
      </c>
      <c r="AN220">
        <v>0.12547839999999999</v>
      </c>
      <c r="AO220">
        <v>90.208448000000004</v>
      </c>
      <c r="AP220">
        <v>89.475122999999996</v>
      </c>
      <c r="AQ220">
        <v>87.493142000000006</v>
      </c>
      <c r="AR220">
        <v>87.452160000000006</v>
      </c>
      <c r="AS220" t="b">
        <v>0</v>
      </c>
      <c r="AT220" t="b">
        <v>1</v>
      </c>
      <c r="AU220" t="s">
        <v>77</v>
      </c>
      <c r="AV220" t="s">
        <v>78</v>
      </c>
      <c r="AW220" t="s">
        <v>79</v>
      </c>
      <c r="AX220" t="s">
        <v>233</v>
      </c>
      <c r="AY220" t="s">
        <v>233</v>
      </c>
      <c r="AZ220" t="s">
        <v>109</v>
      </c>
      <c r="BA220">
        <v>15</v>
      </c>
      <c r="BB220">
        <v>3</v>
      </c>
      <c r="BC220">
        <v>2.4738868000000001E-3</v>
      </c>
      <c r="BD220">
        <v>1.4256942275279999E-4</v>
      </c>
      <c r="BE220">
        <v>2.6164562227527998E-3</v>
      </c>
      <c r="BF220">
        <f>IF(AK220&lt;BE220,1,0)</f>
        <v>0</v>
      </c>
      <c r="BG220">
        <f>IF(AK220&lt;BC220,1,0)</f>
        <v>0</v>
      </c>
      <c r="BH220">
        <f>VLOOKUP($B220,[1]Data_Peer_with_peerVars!$B$2:$Z$1050,20,FALSE)</f>
        <v>0</v>
      </c>
      <c r="BI220">
        <f>VLOOKUP($B220,[1]Data_Peer_with_peerVars!$B$2:$Z$1050,21,FALSE)</f>
        <v>0</v>
      </c>
      <c r="BJ220">
        <v>0</v>
      </c>
      <c r="BK220">
        <f>VLOOKUP($B220,[1]Data_Peer_with_peerVars!$B$2:$Z$1050,23,FALSE)</f>
        <v>36</v>
      </c>
      <c r="BL220">
        <f>VLOOKUP($B220,[1]Data_Peer_with_peerVars!$B$2:$Z$1050,24,FALSE)</f>
        <v>29</v>
      </c>
      <c r="BM220">
        <f>VLOOKUP($B220,[1]Data_Peer_with_peerVars!$B$2:$Z$1050,25,FALSE)</f>
        <v>0.80555555599999995</v>
      </c>
    </row>
    <row r="221" spans="1:65" x14ac:dyDescent="0.2">
      <c r="A221">
        <v>1</v>
      </c>
      <c r="B221" t="s">
        <v>428</v>
      </c>
      <c r="C221">
        <v>114</v>
      </c>
      <c r="D221" t="s">
        <v>68</v>
      </c>
      <c r="E221">
        <v>1</v>
      </c>
      <c r="F221">
        <v>483</v>
      </c>
      <c r="G221" t="s">
        <v>86</v>
      </c>
      <c r="H221" s="1">
        <v>5.3333333333333304</v>
      </c>
      <c r="I221" t="s">
        <v>87</v>
      </c>
      <c r="J221" t="s">
        <v>111</v>
      </c>
      <c r="K221" t="s">
        <v>109</v>
      </c>
      <c r="L221">
        <v>1</v>
      </c>
      <c r="M221">
        <v>0</v>
      </c>
      <c r="N221">
        <v>1</v>
      </c>
      <c r="O221">
        <v>0</v>
      </c>
      <c r="P221">
        <v>0</v>
      </c>
      <c r="Q221">
        <v>1</v>
      </c>
      <c r="R221">
        <v>0</v>
      </c>
      <c r="S221">
        <v>0</v>
      </c>
      <c r="T221">
        <v>0</v>
      </c>
      <c r="U221">
        <v>0</v>
      </c>
      <c r="V221">
        <f t="shared" si="81"/>
        <v>1</v>
      </c>
      <c r="W221">
        <v>1</v>
      </c>
      <c r="X221">
        <v>1</v>
      </c>
      <c r="Y221">
        <v>1</v>
      </c>
      <c r="Z221" t="s">
        <v>84</v>
      </c>
      <c r="AA221" s="5" t="s">
        <v>84</v>
      </c>
      <c r="AB221" s="5" t="s">
        <v>84</v>
      </c>
      <c r="AC221" t="s">
        <v>84</v>
      </c>
      <c r="AD221" t="s">
        <v>76</v>
      </c>
      <c r="AE221" s="5" t="s">
        <v>76</v>
      </c>
      <c r="AF221" t="s">
        <v>113</v>
      </c>
      <c r="AG221" t="s">
        <v>75</v>
      </c>
      <c r="AH221">
        <f t="shared" si="91"/>
        <v>0.10982976</v>
      </c>
      <c r="AI221">
        <f t="shared" si="93"/>
        <v>0.10982976</v>
      </c>
      <c r="AJ221">
        <f t="shared" si="84"/>
        <v>0.10982976</v>
      </c>
      <c r="AK221">
        <v>0.10982976</v>
      </c>
      <c r="AL221">
        <v>0.12083106</v>
      </c>
      <c r="AM221">
        <v>0.14085666999999999</v>
      </c>
      <c r="AN221">
        <v>0.14696223999999999</v>
      </c>
      <c r="AO221">
        <v>89.017024000000006</v>
      </c>
      <c r="AP221">
        <v>87.916893999999999</v>
      </c>
      <c r="AQ221">
        <v>85.914332999999999</v>
      </c>
      <c r="AR221">
        <v>85.303775999999999</v>
      </c>
      <c r="AS221" t="b">
        <v>1</v>
      </c>
      <c r="AT221" t="b">
        <v>0</v>
      </c>
      <c r="AU221" t="s">
        <v>78</v>
      </c>
      <c r="AV221" t="s">
        <v>78</v>
      </c>
      <c r="AW221" t="s">
        <v>79</v>
      </c>
      <c r="AX221" t="s">
        <v>233</v>
      </c>
      <c r="AY221" t="s">
        <v>429</v>
      </c>
      <c r="AZ221" t="s">
        <v>109</v>
      </c>
      <c r="BA221">
        <v>20</v>
      </c>
      <c r="BB221">
        <v>1</v>
      </c>
      <c r="BC221">
        <v>4.6780407000000003E-2</v>
      </c>
      <c r="BD221">
        <v>6.0749635341231199E-3</v>
      </c>
      <c r="BE221">
        <v>5.2855370534123099E-2</v>
      </c>
      <c r="BF221">
        <f>IF(AK221&lt;BE221,1,0)</f>
        <v>0</v>
      </c>
      <c r="BG221">
        <f>IF(AK221&lt;BC221,1,0)</f>
        <v>0</v>
      </c>
      <c r="BH221">
        <f>VLOOKUP($B221,[1]Data_Peer_with_peerVars!$B$2:$Z$1050,20,FALSE)</f>
        <v>0</v>
      </c>
      <c r="BI221">
        <f>VLOOKUP($B221,[1]Data_Peer_with_peerVars!$B$2:$Z$1050,21,FALSE)</f>
        <v>0</v>
      </c>
      <c r="BJ221">
        <v>0</v>
      </c>
      <c r="BK221">
        <f>VLOOKUP($B221,[1]Data_Peer_with_peerVars!$B$2:$Z$1050,23,FALSE)</f>
        <v>40</v>
      </c>
      <c r="BL221">
        <f>VLOOKUP($B221,[1]Data_Peer_with_peerVars!$B$2:$Z$1050,24,FALSE)</f>
        <v>26</v>
      </c>
      <c r="BM221">
        <f>VLOOKUP($B221,[1]Data_Peer_with_peerVars!$B$2:$Z$1050,25,FALSE)</f>
        <v>0.65</v>
      </c>
    </row>
    <row r="222" spans="1:65" x14ac:dyDescent="0.2">
      <c r="A222">
        <v>1</v>
      </c>
      <c r="B222" t="s">
        <v>430</v>
      </c>
      <c r="C222">
        <v>114</v>
      </c>
      <c r="D222" t="s">
        <v>68</v>
      </c>
      <c r="E222">
        <v>1</v>
      </c>
      <c r="F222">
        <v>483</v>
      </c>
      <c r="G222" t="s">
        <v>86</v>
      </c>
      <c r="H222" s="1">
        <v>5.3333333333333304</v>
      </c>
      <c r="I222" t="s">
        <v>87</v>
      </c>
      <c r="J222" t="s">
        <v>111</v>
      </c>
      <c r="K222" t="s">
        <v>109</v>
      </c>
      <c r="L222">
        <v>1</v>
      </c>
      <c r="M222">
        <v>0</v>
      </c>
      <c r="N222">
        <v>1</v>
      </c>
      <c r="O222">
        <v>0</v>
      </c>
      <c r="P222">
        <v>0</v>
      </c>
      <c r="Q222">
        <v>1</v>
      </c>
      <c r="R222">
        <v>0</v>
      </c>
      <c r="S222">
        <v>0</v>
      </c>
      <c r="T222">
        <v>1</v>
      </c>
      <c r="U222">
        <v>1</v>
      </c>
      <c r="V222">
        <f t="shared" si="81"/>
        <v>1</v>
      </c>
      <c r="W222">
        <v>1</v>
      </c>
      <c r="X222">
        <v>1</v>
      </c>
      <c r="Y222">
        <v>1</v>
      </c>
      <c r="Z222" t="s">
        <v>73</v>
      </c>
      <c r="AA222" s="5" t="s">
        <v>73</v>
      </c>
      <c r="AB222" s="5" t="s">
        <v>73</v>
      </c>
      <c r="AC222" t="s">
        <v>73</v>
      </c>
      <c r="AD222" t="s">
        <v>94</v>
      </c>
      <c r="AE222" s="5" t="s">
        <v>106</v>
      </c>
      <c r="AF222" t="s">
        <v>107</v>
      </c>
      <c r="AG222" t="s">
        <v>95</v>
      </c>
      <c r="AH222">
        <f t="shared" si="91"/>
        <v>3.8209606000000002E-3</v>
      </c>
      <c r="AI222">
        <f t="shared" si="93"/>
        <v>3.8209606000000002E-3</v>
      </c>
      <c r="AJ222">
        <f t="shared" si="84"/>
        <v>3.8209606000000002E-3</v>
      </c>
      <c r="AK222">
        <v>3.8209606000000002E-3</v>
      </c>
      <c r="AL222">
        <v>0.13156456</v>
      </c>
      <c r="AM222">
        <v>0.13638858000000001</v>
      </c>
      <c r="AN222">
        <v>0.13910185999999999</v>
      </c>
      <c r="AO222">
        <v>99.617903940000005</v>
      </c>
      <c r="AP222">
        <v>86.843543999999994</v>
      </c>
      <c r="AQ222">
        <v>86.361142000000001</v>
      </c>
      <c r="AR222">
        <v>86.089814000000004</v>
      </c>
      <c r="AS222" t="b">
        <v>1</v>
      </c>
      <c r="AT222" t="b">
        <v>0</v>
      </c>
      <c r="AU222" t="s">
        <v>77</v>
      </c>
      <c r="AV222" t="s">
        <v>108</v>
      </c>
      <c r="AW222" t="s">
        <v>79</v>
      </c>
      <c r="AX222" t="s">
        <v>233</v>
      </c>
      <c r="AY222" t="s">
        <v>429</v>
      </c>
      <c r="AZ222" t="s">
        <v>109</v>
      </c>
      <c r="BA222">
        <v>6</v>
      </c>
      <c r="BB222">
        <v>1</v>
      </c>
      <c r="BC222">
        <v>4.1163553999999996E-3</v>
      </c>
      <c r="BD222">
        <v>1.4279989108178799E-4</v>
      </c>
      <c r="BE222">
        <v>4.2591552910817903E-3</v>
      </c>
      <c r="BF222">
        <f>IF(AK222&lt;BE222,1,0)</f>
        <v>1</v>
      </c>
      <c r="BG222">
        <f>IF(AK222&lt;BC222,1,0)</f>
        <v>1</v>
      </c>
      <c r="BH222">
        <f>VLOOKUP($B222,[1]Data_Peer_with_peerVars!$B$2:$Z$1050,20,FALSE)</f>
        <v>0</v>
      </c>
      <c r="BI222">
        <f>VLOOKUP($B222,[1]Data_Peer_with_peerVars!$B$2:$Z$1050,21,FALSE)</f>
        <v>0</v>
      </c>
      <c r="BJ222">
        <v>0</v>
      </c>
      <c r="BK222">
        <f>VLOOKUP($B222,[1]Data_Peer_with_peerVars!$B$2:$Z$1050,23,FALSE)</f>
        <v>40</v>
      </c>
      <c r="BL222">
        <f>VLOOKUP($B222,[1]Data_Peer_with_peerVars!$B$2:$Z$1050,24,FALSE)</f>
        <v>26</v>
      </c>
      <c r="BM222">
        <f>VLOOKUP($B222,[1]Data_Peer_with_peerVars!$B$2:$Z$1050,25,FALSE)</f>
        <v>0.65</v>
      </c>
    </row>
    <row r="223" spans="1:65" x14ac:dyDescent="0.2">
      <c r="A223">
        <v>1</v>
      </c>
      <c r="B223" t="s">
        <v>431</v>
      </c>
      <c r="C223">
        <v>114</v>
      </c>
      <c r="D223" t="s">
        <v>68</v>
      </c>
      <c r="E223">
        <v>1</v>
      </c>
      <c r="F223">
        <v>483</v>
      </c>
      <c r="G223" t="s">
        <v>86</v>
      </c>
      <c r="H223" s="1">
        <v>5.3333333333333304</v>
      </c>
      <c r="I223" t="s">
        <v>87</v>
      </c>
      <c r="J223" t="s">
        <v>111</v>
      </c>
      <c r="K223" t="s">
        <v>109</v>
      </c>
      <c r="L223">
        <v>1</v>
      </c>
      <c r="M223">
        <v>0</v>
      </c>
      <c r="N223">
        <v>1</v>
      </c>
      <c r="O223">
        <v>0</v>
      </c>
      <c r="P223">
        <v>0</v>
      </c>
      <c r="Q223">
        <v>1</v>
      </c>
      <c r="R223">
        <v>0</v>
      </c>
      <c r="S223">
        <v>0</v>
      </c>
      <c r="T223">
        <v>0</v>
      </c>
      <c r="U223">
        <v>0</v>
      </c>
      <c r="V223">
        <f t="shared" si="81"/>
        <v>0</v>
      </c>
      <c r="W223">
        <f t="shared" si="82"/>
        <v>1</v>
      </c>
      <c r="X223">
        <v>1</v>
      </c>
      <c r="Y223">
        <v>1</v>
      </c>
      <c r="Z223" t="s">
        <v>76</v>
      </c>
      <c r="AA223" s="5" t="s">
        <v>76</v>
      </c>
      <c r="AB223" s="5" t="s">
        <v>76</v>
      </c>
      <c r="AC223" t="s">
        <v>84</v>
      </c>
      <c r="AD223" t="s">
        <v>76</v>
      </c>
      <c r="AE223" s="5" t="s">
        <v>432</v>
      </c>
      <c r="AF223" t="s">
        <v>74</v>
      </c>
      <c r="AG223" t="s">
        <v>113</v>
      </c>
      <c r="AH223">
        <f t="shared" si="91"/>
        <v>0.10524877000000001</v>
      </c>
      <c r="AI223">
        <f>AJ223</f>
        <v>0.10524877000000001</v>
      </c>
      <c r="AJ223">
        <f>AL223</f>
        <v>0.10524877000000001</v>
      </c>
      <c r="AK223">
        <v>9.555189E-2</v>
      </c>
      <c r="AL223">
        <v>0.10524877000000001</v>
      </c>
      <c r="AM223">
        <v>0.13150685000000001</v>
      </c>
      <c r="AN223">
        <v>0.13673805999999999</v>
      </c>
      <c r="AO223">
        <v>90.444811000000001</v>
      </c>
      <c r="AP223">
        <v>89.475122999999996</v>
      </c>
      <c r="AQ223">
        <v>86.849315000000004</v>
      </c>
      <c r="AR223">
        <v>86.326194000000001</v>
      </c>
      <c r="AS223" t="b">
        <v>0</v>
      </c>
      <c r="AT223" t="b">
        <v>0</v>
      </c>
      <c r="AU223" t="s">
        <v>108</v>
      </c>
      <c r="AV223" t="s">
        <v>108</v>
      </c>
      <c r="AW223" t="s">
        <v>79</v>
      </c>
      <c r="AX223" t="s">
        <v>233</v>
      </c>
      <c r="AY223" t="s">
        <v>429</v>
      </c>
      <c r="AZ223" t="s">
        <v>109</v>
      </c>
      <c r="BA223">
        <v>12</v>
      </c>
      <c r="BB223">
        <v>1</v>
      </c>
      <c r="BC223">
        <v>4.6780407000000003E-2</v>
      </c>
      <c r="BD223">
        <v>6.0749635341231199E-3</v>
      </c>
      <c r="BE223">
        <v>5.2855370534123099E-2</v>
      </c>
      <c r="BF223">
        <f>IF(AK223&lt;BE223,1,0)</f>
        <v>0</v>
      </c>
      <c r="BG223">
        <f>IF(AK223&lt;BC223,1,0)</f>
        <v>0</v>
      </c>
      <c r="BH223">
        <f>VLOOKUP($B223,[1]Data_Peer_with_peerVars!$B$2:$Z$1050,20,FALSE)</f>
        <v>0</v>
      </c>
      <c r="BI223">
        <f>VLOOKUP($B223,[1]Data_Peer_with_peerVars!$B$2:$Z$1050,21,FALSE)</f>
        <v>0</v>
      </c>
      <c r="BJ223">
        <v>0</v>
      </c>
      <c r="BK223">
        <f>VLOOKUP($B223,[1]Data_Peer_with_peerVars!$B$2:$Z$1050,23,FALSE)</f>
        <v>40</v>
      </c>
      <c r="BL223">
        <f>VLOOKUP($B223,[1]Data_Peer_with_peerVars!$B$2:$Z$1050,24,FALSE)</f>
        <v>26</v>
      </c>
      <c r="BM223">
        <f>VLOOKUP($B223,[1]Data_Peer_with_peerVars!$B$2:$Z$1050,25,FALSE)</f>
        <v>0.65</v>
      </c>
    </row>
    <row r="224" spans="1:65" x14ac:dyDescent="0.2">
      <c r="A224">
        <v>1</v>
      </c>
      <c r="B224" t="s">
        <v>433</v>
      </c>
      <c r="C224">
        <v>115</v>
      </c>
      <c r="D224" t="s">
        <v>68</v>
      </c>
      <c r="E224">
        <v>1</v>
      </c>
      <c r="F224">
        <v>484</v>
      </c>
      <c r="G224" t="s">
        <v>69</v>
      </c>
      <c r="H224" s="1">
        <v>6</v>
      </c>
      <c r="I224" t="s">
        <v>87</v>
      </c>
      <c r="J224" t="s">
        <v>111</v>
      </c>
      <c r="K224" t="s">
        <v>109</v>
      </c>
      <c r="L224">
        <v>1</v>
      </c>
      <c r="M224">
        <v>0</v>
      </c>
      <c r="N224">
        <v>1</v>
      </c>
      <c r="O224">
        <v>0</v>
      </c>
      <c r="P224">
        <v>1</v>
      </c>
      <c r="Q224">
        <v>6</v>
      </c>
      <c r="R224">
        <v>0</v>
      </c>
      <c r="S224">
        <v>0</v>
      </c>
      <c r="T224">
        <v>1</v>
      </c>
      <c r="U224">
        <v>1</v>
      </c>
      <c r="V224">
        <f t="shared" si="81"/>
        <v>1</v>
      </c>
      <c r="W224">
        <v>1</v>
      </c>
      <c r="X224">
        <v>1</v>
      </c>
      <c r="Y224">
        <v>1</v>
      </c>
      <c r="Z224" t="s">
        <v>73</v>
      </c>
      <c r="AA224" s="5" t="s">
        <v>73</v>
      </c>
      <c r="AB224" s="5" t="s">
        <v>73</v>
      </c>
      <c r="AC224" t="s">
        <v>73</v>
      </c>
      <c r="AD224" t="s">
        <v>94</v>
      </c>
      <c r="AE224" s="5" t="s">
        <v>106</v>
      </c>
      <c r="AF224" t="s">
        <v>107</v>
      </c>
      <c r="AG224" t="s">
        <v>95</v>
      </c>
      <c r="AH224">
        <f t="shared" si="91"/>
        <v>3.8188760000000001E-3</v>
      </c>
      <c r="AI224">
        <f t="shared" ref="AI224:AI228" si="95">AJ224</f>
        <v>3.8188760000000001E-3</v>
      </c>
      <c r="AJ224">
        <f t="shared" si="84"/>
        <v>3.8188760000000001E-3</v>
      </c>
      <c r="AK224">
        <v>3.8188760000000001E-3</v>
      </c>
      <c r="AL224">
        <v>0.13121923999999999</v>
      </c>
      <c r="AM224">
        <v>0.13631377</v>
      </c>
      <c r="AN224">
        <v>0.13875206000000001</v>
      </c>
      <c r="AO224">
        <v>99.618112400000001</v>
      </c>
      <c r="AP224">
        <v>86.878075999999993</v>
      </c>
      <c r="AQ224">
        <v>86.368622999999999</v>
      </c>
      <c r="AR224">
        <v>86.124793999999994</v>
      </c>
      <c r="AS224" t="b">
        <v>1</v>
      </c>
      <c r="AT224" t="b">
        <v>0</v>
      </c>
      <c r="AU224" t="s">
        <v>77</v>
      </c>
      <c r="AV224" t="s">
        <v>108</v>
      </c>
      <c r="AW224" t="s">
        <v>79</v>
      </c>
      <c r="AX224" t="s">
        <v>233</v>
      </c>
      <c r="AY224" t="s">
        <v>429</v>
      </c>
      <c r="AZ224" t="s">
        <v>109</v>
      </c>
      <c r="BA224">
        <v>2</v>
      </c>
      <c r="BB224">
        <v>2.5</v>
      </c>
      <c r="BC224">
        <v>4.1163553999999996E-3</v>
      </c>
      <c r="BD224">
        <v>1.4279989108178799E-4</v>
      </c>
      <c r="BE224">
        <v>4.2591552910817903E-3</v>
      </c>
      <c r="BF224">
        <f>IF(AK224&lt;BE224,1,0)</f>
        <v>1</v>
      </c>
      <c r="BG224">
        <f>IF(AK224&lt;BC224,1,0)</f>
        <v>1</v>
      </c>
      <c r="BH224">
        <f>VLOOKUP($B224,[1]Data_Peer_with_peerVars!$B$2:$Z$1050,20,FALSE)</f>
        <v>1</v>
      </c>
      <c r="BI224">
        <f>VLOOKUP($B224,[1]Data_Peer_with_peerVars!$B$2:$Z$1050,21,FALSE)</f>
        <v>1</v>
      </c>
      <c r="BJ224">
        <f>VLOOKUP($B224,[1]Data_Peer_with_peerVars!$B$2:$Z$1050,22,FALSE)</f>
        <v>1</v>
      </c>
      <c r="BK224">
        <f>VLOOKUP($B224,[1]Data_Peer_with_peerVars!$B$2:$Z$1050,23,FALSE)</f>
        <v>29</v>
      </c>
      <c r="BL224">
        <f>VLOOKUP($B224,[1]Data_Peer_with_peerVars!$B$2:$Z$1050,24,FALSE)</f>
        <v>23</v>
      </c>
      <c r="BM224">
        <f>VLOOKUP($B224,[1]Data_Peer_with_peerVars!$B$2:$Z$1050,25,FALSE)</f>
        <v>0.79310344799999999</v>
      </c>
    </row>
    <row r="225" spans="1:65" x14ac:dyDescent="0.2">
      <c r="A225">
        <v>1</v>
      </c>
      <c r="B225" t="s">
        <v>434</v>
      </c>
      <c r="C225">
        <v>115</v>
      </c>
      <c r="D225" t="s">
        <v>68</v>
      </c>
      <c r="E225">
        <v>1</v>
      </c>
      <c r="F225">
        <v>484</v>
      </c>
      <c r="G225" t="s">
        <v>69</v>
      </c>
      <c r="H225" s="1">
        <v>6</v>
      </c>
      <c r="I225" t="s">
        <v>87</v>
      </c>
      <c r="J225" t="s">
        <v>111</v>
      </c>
      <c r="K225" t="s">
        <v>109</v>
      </c>
      <c r="L225">
        <v>1</v>
      </c>
      <c r="M225">
        <v>0</v>
      </c>
      <c r="N225">
        <v>1</v>
      </c>
      <c r="O225">
        <v>0</v>
      </c>
      <c r="P225">
        <v>1</v>
      </c>
      <c r="Q225">
        <v>6</v>
      </c>
      <c r="R225">
        <v>0</v>
      </c>
      <c r="S225">
        <v>0</v>
      </c>
      <c r="T225">
        <v>0</v>
      </c>
      <c r="U225">
        <v>0</v>
      </c>
      <c r="V225">
        <f t="shared" si="81"/>
        <v>1</v>
      </c>
      <c r="W225">
        <v>1</v>
      </c>
      <c r="X225">
        <v>1</v>
      </c>
      <c r="Y225">
        <v>1</v>
      </c>
      <c r="Z225" t="s">
        <v>76</v>
      </c>
      <c r="AA225" s="5" t="s">
        <v>76</v>
      </c>
      <c r="AB225" s="5" t="s">
        <v>76</v>
      </c>
      <c r="AC225" t="s">
        <v>76</v>
      </c>
      <c r="AD225" t="s">
        <v>74</v>
      </c>
      <c r="AE225" s="5" t="s">
        <v>74</v>
      </c>
      <c r="AF225" t="s">
        <v>75</v>
      </c>
      <c r="AG225" t="s">
        <v>120</v>
      </c>
      <c r="AH225">
        <f t="shared" si="91"/>
        <v>7.1545600000000001E-2</v>
      </c>
      <c r="AI225">
        <f t="shared" si="95"/>
        <v>7.1545600000000001E-2</v>
      </c>
      <c r="AJ225">
        <f t="shared" si="84"/>
        <v>7.1545600000000001E-2</v>
      </c>
      <c r="AK225">
        <v>7.1545600000000001E-2</v>
      </c>
      <c r="AL225">
        <v>9.1506846000000003E-2</v>
      </c>
      <c r="AM225">
        <v>0.1214442</v>
      </c>
      <c r="AN225">
        <v>0.12233752000000001</v>
      </c>
      <c r="AO225">
        <v>92.845439999999996</v>
      </c>
      <c r="AP225">
        <v>90.849315399999995</v>
      </c>
      <c r="AQ225">
        <v>87.855580000000003</v>
      </c>
      <c r="AR225">
        <v>87.766248000000004</v>
      </c>
      <c r="AS225" t="b">
        <v>1</v>
      </c>
      <c r="AT225" t="b">
        <v>0</v>
      </c>
      <c r="AU225" t="s">
        <v>77</v>
      </c>
      <c r="AV225" t="s">
        <v>77</v>
      </c>
      <c r="AW225" t="s">
        <v>79</v>
      </c>
      <c r="AX225" t="s">
        <v>233</v>
      </c>
      <c r="AY225" t="s">
        <v>429</v>
      </c>
      <c r="AZ225" t="s">
        <v>109</v>
      </c>
      <c r="BA225">
        <v>5</v>
      </c>
      <c r="BB225">
        <v>2.5</v>
      </c>
      <c r="BC225">
        <v>7.7070764999999999E-2</v>
      </c>
      <c r="BD225">
        <v>1.90190515067399E-3</v>
      </c>
      <c r="BE225">
        <v>7.8972670150673996E-2</v>
      </c>
      <c r="BF225">
        <f>IF(AK225&lt;BE225,1,0)</f>
        <v>1</v>
      </c>
      <c r="BG225">
        <f>IF(AK225&lt;BC225,1,0)</f>
        <v>1</v>
      </c>
      <c r="BH225">
        <f>VLOOKUP($B225,[1]Data_Peer_with_peerVars!$B$2:$Z$1050,20,FALSE)</f>
        <v>1</v>
      </c>
      <c r="BI225">
        <f>VLOOKUP($B225,[1]Data_Peer_with_peerVars!$B$2:$Z$1050,21,FALSE)</f>
        <v>1</v>
      </c>
      <c r="BJ225">
        <f>VLOOKUP($B225,[1]Data_Peer_with_peerVars!$B$2:$Z$1050,22,FALSE)</f>
        <v>1</v>
      </c>
      <c r="BK225">
        <f>VLOOKUP($B225,[1]Data_Peer_with_peerVars!$B$2:$Z$1050,23,FALSE)</f>
        <v>29</v>
      </c>
      <c r="BL225">
        <f>VLOOKUP($B225,[1]Data_Peer_with_peerVars!$B$2:$Z$1050,24,FALSE)</f>
        <v>23</v>
      </c>
      <c r="BM225">
        <f>VLOOKUP($B225,[1]Data_Peer_with_peerVars!$B$2:$Z$1050,25,FALSE)</f>
        <v>0.79310344799999999</v>
      </c>
    </row>
    <row r="226" spans="1:65" x14ac:dyDescent="0.2">
      <c r="A226">
        <v>1</v>
      </c>
      <c r="B226" t="s">
        <v>435</v>
      </c>
      <c r="C226">
        <v>116</v>
      </c>
      <c r="D226" t="s">
        <v>68</v>
      </c>
      <c r="E226">
        <v>1</v>
      </c>
      <c r="F226">
        <v>485</v>
      </c>
      <c r="G226" t="s">
        <v>86</v>
      </c>
      <c r="H226" s="1">
        <v>7</v>
      </c>
      <c r="I226" t="s">
        <v>70</v>
      </c>
      <c r="J226" t="s">
        <v>436</v>
      </c>
      <c r="K226" t="s">
        <v>109</v>
      </c>
      <c r="L226">
        <v>1</v>
      </c>
      <c r="M226">
        <v>0</v>
      </c>
      <c r="N226">
        <v>1</v>
      </c>
      <c r="O226">
        <v>1</v>
      </c>
      <c r="P226">
        <v>1</v>
      </c>
      <c r="Q226">
        <v>6</v>
      </c>
      <c r="R226">
        <v>0</v>
      </c>
      <c r="S226">
        <v>0</v>
      </c>
      <c r="T226">
        <v>0</v>
      </c>
      <c r="U226">
        <v>0</v>
      </c>
      <c r="V226">
        <f t="shared" si="81"/>
        <v>1</v>
      </c>
      <c r="W226">
        <v>1</v>
      </c>
      <c r="X226">
        <v>1</v>
      </c>
      <c r="Y226">
        <v>1</v>
      </c>
      <c r="Z226" t="s">
        <v>76</v>
      </c>
      <c r="AA226" s="5" t="s">
        <v>76</v>
      </c>
      <c r="AB226" s="5" t="s">
        <v>76</v>
      </c>
      <c r="AC226" t="s">
        <v>76</v>
      </c>
      <c r="AD226" t="s">
        <v>74</v>
      </c>
      <c r="AE226" s="5" t="s">
        <v>74</v>
      </c>
      <c r="AF226" t="s">
        <v>120</v>
      </c>
      <c r="AG226" t="s">
        <v>75</v>
      </c>
      <c r="AH226">
        <f t="shared" si="91"/>
        <v>8.0283999999999994E-2</v>
      </c>
      <c r="AI226">
        <f t="shared" si="95"/>
        <v>8.0283999999999994E-2</v>
      </c>
      <c r="AJ226">
        <f t="shared" si="84"/>
        <v>8.0283999999999994E-2</v>
      </c>
      <c r="AK226">
        <v>8.0283999999999994E-2</v>
      </c>
      <c r="AL226">
        <v>8.520548E-2</v>
      </c>
      <c r="AM226">
        <v>0.11851447</v>
      </c>
      <c r="AN226">
        <v>0.12035011</v>
      </c>
      <c r="AO226">
        <v>91.971599999999995</v>
      </c>
      <c r="AP226">
        <v>91.479451999999995</v>
      </c>
      <c r="AQ226">
        <v>88.148553000000007</v>
      </c>
      <c r="AR226">
        <v>87.964989000000003</v>
      </c>
      <c r="AS226" t="b">
        <v>1</v>
      </c>
      <c r="AT226" t="b">
        <v>0</v>
      </c>
      <c r="AU226" t="s">
        <v>77</v>
      </c>
      <c r="AV226" t="s">
        <v>77</v>
      </c>
      <c r="AW226" t="s">
        <v>79</v>
      </c>
      <c r="AX226" t="s">
        <v>233</v>
      </c>
      <c r="AY226" t="s">
        <v>437</v>
      </c>
      <c r="AZ226" t="s">
        <v>109</v>
      </c>
      <c r="BA226">
        <v>2</v>
      </c>
      <c r="BB226">
        <v>1</v>
      </c>
      <c r="BC226">
        <v>7.7070764999999999E-2</v>
      </c>
      <c r="BD226">
        <v>1.90190515067399E-3</v>
      </c>
      <c r="BE226">
        <v>7.8972670150673996E-2</v>
      </c>
      <c r="BF226">
        <f>IF(AK226&lt;BE226,1,0)</f>
        <v>0</v>
      </c>
      <c r="BG226">
        <f>IF(AK226&lt;BC226,1,0)</f>
        <v>0</v>
      </c>
      <c r="BH226">
        <f>VLOOKUP($B226,[1]Data_Peer_with_peerVars!$B$2:$Z$1050,20,FALSE)</f>
        <v>2</v>
      </c>
      <c r="BI226">
        <f>VLOOKUP($B226,[1]Data_Peer_with_peerVars!$B$2:$Z$1050,21,FALSE)</f>
        <v>2</v>
      </c>
      <c r="BJ226">
        <f>VLOOKUP($B226,[1]Data_Peer_with_peerVars!$B$2:$Z$1050,22,FALSE)</f>
        <v>1</v>
      </c>
      <c r="BK226">
        <f>VLOOKUP($B226,[1]Data_Peer_with_peerVars!$B$2:$Z$1050,23,FALSE)</f>
        <v>37</v>
      </c>
      <c r="BL226">
        <f>VLOOKUP($B226,[1]Data_Peer_with_peerVars!$B$2:$Z$1050,24,FALSE)</f>
        <v>27</v>
      </c>
      <c r="BM226">
        <f>VLOOKUP($B226,[1]Data_Peer_with_peerVars!$B$2:$Z$1050,25,FALSE)</f>
        <v>0.72972972999999997</v>
      </c>
    </row>
    <row r="227" spans="1:65" x14ac:dyDescent="0.2">
      <c r="A227">
        <v>1</v>
      </c>
      <c r="B227" t="s">
        <v>438</v>
      </c>
      <c r="C227">
        <v>116</v>
      </c>
      <c r="D227" t="s">
        <v>68</v>
      </c>
      <c r="E227">
        <v>1</v>
      </c>
      <c r="F227">
        <v>485</v>
      </c>
      <c r="G227" t="s">
        <v>86</v>
      </c>
      <c r="H227" s="1">
        <v>7</v>
      </c>
      <c r="I227" t="s">
        <v>70</v>
      </c>
      <c r="J227" t="s">
        <v>436</v>
      </c>
      <c r="K227" t="s">
        <v>109</v>
      </c>
      <c r="L227">
        <v>1</v>
      </c>
      <c r="M227">
        <v>0</v>
      </c>
      <c r="N227">
        <v>1</v>
      </c>
      <c r="O227">
        <v>1</v>
      </c>
      <c r="P227">
        <v>1</v>
      </c>
      <c r="Q227">
        <v>6</v>
      </c>
      <c r="R227">
        <v>0</v>
      </c>
      <c r="S227">
        <v>0</v>
      </c>
      <c r="T227">
        <v>0</v>
      </c>
      <c r="U227">
        <v>0</v>
      </c>
      <c r="V227">
        <f t="shared" si="81"/>
        <v>1</v>
      </c>
      <c r="W227">
        <v>1</v>
      </c>
      <c r="X227">
        <v>1</v>
      </c>
      <c r="Y227">
        <v>1</v>
      </c>
      <c r="Z227" t="s">
        <v>73</v>
      </c>
      <c r="AA227" s="5" t="s">
        <v>73</v>
      </c>
      <c r="AB227" s="5" t="s">
        <v>73</v>
      </c>
      <c r="AC227" t="s">
        <v>73</v>
      </c>
      <c r="AD227" t="s">
        <v>94</v>
      </c>
      <c r="AE227" s="5" t="s">
        <v>94</v>
      </c>
      <c r="AF227" t="s">
        <v>75</v>
      </c>
      <c r="AG227" t="s">
        <v>95</v>
      </c>
      <c r="AH227">
        <f t="shared" si="91"/>
        <v>6.8739770000000006E-2</v>
      </c>
      <c r="AI227">
        <f t="shared" si="95"/>
        <v>6.8739770000000006E-2</v>
      </c>
      <c r="AJ227">
        <f t="shared" si="84"/>
        <v>6.8739770000000006E-2</v>
      </c>
      <c r="AK227">
        <v>6.8739770000000006E-2</v>
      </c>
      <c r="AL227">
        <v>0.11851447</v>
      </c>
      <c r="AM227">
        <v>0.12972085</v>
      </c>
      <c r="AN227">
        <v>0.14215419000000001</v>
      </c>
      <c r="AO227">
        <v>93.126023000000004</v>
      </c>
      <c r="AP227">
        <v>88.148553000000007</v>
      </c>
      <c r="AQ227">
        <v>87.027914999999993</v>
      </c>
      <c r="AR227">
        <v>85.784581000000003</v>
      </c>
      <c r="AS227" t="b">
        <v>1</v>
      </c>
      <c r="AT227" t="b">
        <v>0</v>
      </c>
      <c r="AU227" t="s">
        <v>77</v>
      </c>
      <c r="AV227" t="s">
        <v>78</v>
      </c>
      <c r="AW227" t="s">
        <v>79</v>
      </c>
      <c r="AX227" t="s">
        <v>233</v>
      </c>
      <c r="AY227" t="s">
        <v>437</v>
      </c>
      <c r="AZ227" t="s">
        <v>109</v>
      </c>
      <c r="BA227">
        <v>2</v>
      </c>
      <c r="BB227">
        <v>0.5</v>
      </c>
      <c r="BC227">
        <v>4.1163553999999996E-3</v>
      </c>
      <c r="BD227">
        <v>1.4279989108178799E-4</v>
      </c>
      <c r="BE227">
        <v>4.2591552910817903E-3</v>
      </c>
      <c r="BF227">
        <f>IF(AK227&lt;BE227,1,0)</f>
        <v>0</v>
      </c>
      <c r="BG227">
        <f>IF(AK227&lt;BC227,1,0)</f>
        <v>0</v>
      </c>
      <c r="BH227">
        <f>VLOOKUP($B227,[1]Data_Peer_with_peerVars!$B$2:$Z$1050,20,FALSE)</f>
        <v>2</v>
      </c>
      <c r="BI227">
        <f>VLOOKUP($B227,[1]Data_Peer_with_peerVars!$B$2:$Z$1050,21,FALSE)</f>
        <v>2</v>
      </c>
      <c r="BJ227">
        <f>VLOOKUP($B227,[1]Data_Peer_with_peerVars!$B$2:$Z$1050,22,FALSE)</f>
        <v>1</v>
      </c>
      <c r="BK227">
        <f>VLOOKUP($B227,[1]Data_Peer_with_peerVars!$B$2:$Z$1050,23,FALSE)</f>
        <v>37</v>
      </c>
      <c r="BL227">
        <f>VLOOKUP($B227,[1]Data_Peer_with_peerVars!$B$2:$Z$1050,24,FALSE)</f>
        <v>27</v>
      </c>
      <c r="BM227">
        <f>VLOOKUP($B227,[1]Data_Peer_with_peerVars!$B$2:$Z$1050,25,FALSE)</f>
        <v>0.72972972999999997</v>
      </c>
    </row>
    <row r="228" spans="1:65" x14ac:dyDescent="0.2">
      <c r="A228">
        <v>1</v>
      </c>
      <c r="B228" t="s">
        <v>439</v>
      </c>
      <c r="C228">
        <v>117</v>
      </c>
      <c r="D228" t="s">
        <v>68</v>
      </c>
      <c r="E228">
        <v>1</v>
      </c>
      <c r="F228">
        <v>519</v>
      </c>
      <c r="G228" t="s">
        <v>69</v>
      </c>
      <c r="H228" s="1">
        <v>6.6666666666666696</v>
      </c>
      <c r="I228" t="s">
        <v>87</v>
      </c>
      <c r="J228" t="s">
        <v>111</v>
      </c>
      <c r="K228" t="s">
        <v>109</v>
      </c>
      <c r="L228">
        <v>1</v>
      </c>
      <c r="M228">
        <v>1</v>
      </c>
      <c r="N228">
        <v>1</v>
      </c>
      <c r="O228">
        <v>0</v>
      </c>
      <c r="P228">
        <v>1</v>
      </c>
      <c r="Q228">
        <v>9</v>
      </c>
      <c r="R228">
        <v>0</v>
      </c>
      <c r="S228">
        <v>0</v>
      </c>
      <c r="T228">
        <v>0</v>
      </c>
      <c r="U228">
        <v>0</v>
      </c>
      <c r="V228">
        <f t="shared" si="81"/>
        <v>1</v>
      </c>
      <c r="W228">
        <v>1</v>
      </c>
      <c r="X228">
        <v>1</v>
      </c>
      <c r="Y228">
        <v>1</v>
      </c>
      <c r="Z228" t="s">
        <v>103</v>
      </c>
      <c r="AA228" s="5" t="s">
        <v>103</v>
      </c>
      <c r="AB228" s="5" t="s">
        <v>103</v>
      </c>
      <c r="AC228" t="s">
        <v>103</v>
      </c>
      <c r="AD228" t="s">
        <v>101</v>
      </c>
      <c r="AE228" s="5" t="s">
        <v>101</v>
      </c>
      <c r="AF228" t="s">
        <v>99</v>
      </c>
      <c r="AG228" t="s">
        <v>137</v>
      </c>
      <c r="AH228">
        <f t="shared" si="91"/>
        <v>1.7098731999999998E-2</v>
      </c>
      <c r="AI228">
        <f t="shared" si="95"/>
        <v>1.7098731999999998E-2</v>
      </c>
      <c r="AJ228">
        <f t="shared" si="84"/>
        <v>1.7098731999999998E-2</v>
      </c>
      <c r="AK228">
        <v>1.7098731999999998E-2</v>
      </c>
      <c r="AL228">
        <v>7.8296705999999994E-2</v>
      </c>
      <c r="AM228">
        <v>0.11022099</v>
      </c>
      <c r="AN228">
        <v>0.122879036</v>
      </c>
      <c r="AO228">
        <v>98.290126799999996</v>
      </c>
      <c r="AP228">
        <v>92.1703294</v>
      </c>
      <c r="AQ228">
        <v>88.977901000000003</v>
      </c>
      <c r="AR228">
        <v>87.712096399999993</v>
      </c>
      <c r="AS228" t="b">
        <v>1</v>
      </c>
      <c r="AT228" t="b">
        <v>0</v>
      </c>
      <c r="AU228" t="s">
        <v>77</v>
      </c>
      <c r="AV228" t="s">
        <v>77</v>
      </c>
      <c r="AW228" t="s">
        <v>79</v>
      </c>
      <c r="AX228" t="s">
        <v>233</v>
      </c>
      <c r="AY228" t="s">
        <v>429</v>
      </c>
      <c r="AZ228" t="s">
        <v>109</v>
      </c>
      <c r="BA228">
        <v>5</v>
      </c>
      <c r="BB228">
        <v>1</v>
      </c>
      <c r="BC228">
        <v>1.8406593999999998E-2</v>
      </c>
      <c r="BD228">
        <v>3.30705390234067E-4</v>
      </c>
      <c r="BE228">
        <v>1.8737299390234101E-2</v>
      </c>
      <c r="BF228">
        <f>IF(AK228&lt;BE228,1,0)</f>
        <v>1</v>
      </c>
      <c r="BG228">
        <f>IF(AK228&lt;BC228,1,0)</f>
        <v>1</v>
      </c>
      <c r="BH228">
        <f>VLOOKUP($B228,[1]Data_Peer_with_peerVars!$B$2:$Z$1050,20,FALSE)</f>
        <v>2</v>
      </c>
      <c r="BI228">
        <f>VLOOKUP($B228,[1]Data_Peer_with_peerVars!$B$2:$Z$1050,21,FALSE)</f>
        <v>2</v>
      </c>
      <c r="BJ228">
        <f>VLOOKUP($B228,[1]Data_Peer_with_peerVars!$B$2:$Z$1050,22,FALSE)</f>
        <v>1</v>
      </c>
      <c r="BK228">
        <f>VLOOKUP($B228,[1]Data_Peer_with_peerVars!$B$2:$Z$1050,23,FALSE)</f>
        <v>2</v>
      </c>
      <c r="BL228">
        <f>VLOOKUP($B228,[1]Data_Peer_with_peerVars!$B$2:$Z$1050,24,FALSE)</f>
        <v>2</v>
      </c>
      <c r="BM228">
        <f>VLOOKUP($B228,[1]Data_Peer_with_peerVars!$B$2:$Z$1050,25,FALSE)</f>
        <v>1</v>
      </c>
    </row>
    <row r="229" spans="1:65" x14ac:dyDescent="0.2">
      <c r="A229">
        <v>1</v>
      </c>
      <c r="B229" t="s">
        <v>440</v>
      </c>
      <c r="C229">
        <v>117</v>
      </c>
      <c r="D229" t="s">
        <v>68</v>
      </c>
      <c r="E229">
        <v>1</v>
      </c>
      <c r="F229">
        <v>519</v>
      </c>
      <c r="G229" t="s">
        <v>69</v>
      </c>
      <c r="H229" s="1">
        <v>6.6666666666666696</v>
      </c>
      <c r="I229" t="s">
        <v>87</v>
      </c>
      <c r="J229" t="s">
        <v>111</v>
      </c>
      <c r="K229" t="s">
        <v>109</v>
      </c>
      <c r="L229">
        <v>1</v>
      </c>
      <c r="M229">
        <v>1</v>
      </c>
      <c r="N229">
        <v>1</v>
      </c>
      <c r="O229">
        <v>0</v>
      </c>
      <c r="P229">
        <v>1</v>
      </c>
      <c r="Q229">
        <v>9</v>
      </c>
      <c r="R229">
        <v>0</v>
      </c>
      <c r="S229">
        <v>0</v>
      </c>
      <c r="T229">
        <v>0</v>
      </c>
      <c r="U229">
        <v>0</v>
      </c>
      <c r="V229">
        <f t="shared" si="81"/>
        <v>0</v>
      </c>
      <c r="W229">
        <f t="shared" si="82"/>
        <v>0</v>
      </c>
      <c r="X229">
        <f t="shared" si="85"/>
        <v>0</v>
      </c>
      <c r="Y229">
        <f t="shared" si="83"/>
        <v>1</v>
      </c>
      <c r="Z229" t="s">
        <v>76</v>
      </c>
      <c r="AA229" s="5" t="s">
        <v>76</v>
      </c>
      <c r="AB229" s="5" t="s">
        <v>76</v>
      </c>
      <c r="AC229" t="s">
        <v>84</v>
      </c>
      <c r="AD229" t="s">
        <v>113</v>
      </c>
      <c r="AE229" s="5" t="s">
        <v>113</v>
      </c>
      <c r="AF229" t="s">
        <v>114</v>
      </c>
      <c r="AG229" t="s">
        <v>76</v>
      </c>
      <c r="AH229">
        <f>AN229</f>
        <v>0.14191419</v>
      </c>
      <c r="AI229">
        <f>AJ229</f>
        <v>6.6777039999999996E-2</v>
      </c>
      <c r="AJ229">
        <f t="shared" si="84"/>
        <v>6.6777039999999996E-2</v>
      </c>
      <c r="AK229">
        <v>6.6777039999999996E-2</v>
      </c>
      <c r="AL229">
        <v>0.11988950499999999</v>
      </c>
      <c r="AM229">
        <v>0.14151983000000001</v>
      </c>
      <c r="AN229">
        <v>0.14191419</v>
      </c>
      <c r="AO229">
        <v>93.322295999999994</v>
      </c>
      <c r="AP229">
        <v>88.011049499999999</v>
      </c>
      <c r="AQ229">
        <v>85.848016999999999</v>
      </c>
      <c r="AR229">
        <v>85.808581000000004</v>
      </c>
      <c r="AS229" t="b">
        <v>0</v>
      </c>
      <c r="AT229" t="b">
        <v>0</v>
      </c>
      <c r="AU229" t="s">
        <v>77</v>
      </c>
      <c r="AV229" t="s">
        <v>78</v>
      </c>
      <c r="AW229" t="s">
        <v>79</v>
      </c>
      <c r="AX229" t="s">
        <v>233</v>
      </c>
      <c r="AY229" t="s">
        <v>429</v>
      </c>
      <c r="AZ229" t="s">
        <v>109</v>
      </c>
      <c r="BA229">
        <v>5</v>
      </c>
      <c r="BB229">
        <v>2.1</v>
      </c>
      <c r="BC229">
        <v>4.6780407000000003E-2</v>
      </c>
      <c r="BD229">
        <v>6.0749635341231199E-3</v>
      </c>
      <c r="BE229">
        <v>5.2855370534123099E-2</v>
      </c>
      <c r="BF229">
        <f>IF(AK229&lt;BE229,1,0)</f>
        <v>0</v>
      </c>
      <c r="BG229">
        <f>IF(AK229&lt;BC229,1,0)</f>
        <v>0</v>
      </c>
      <c r="BH229">
        <f>VLOOKUP($B229,[1]Data_Peer_with_peerVars!$B$2:$Z$1050,20,FALSE)</f>
        <v>2</v>
      </c>
      <c r="BI229">
        <f>VLOOKUP($B229,[1]Data_Peer_with_peerVars!$B$2:$Z$1050,21,FALSE)</f>
        <v>2</v>
      </c>
      <c r="BJ229">
        <f>VLOOKUP($B229,[1]Data_Peer_with_peerVars!$B$2:$Z$1050,22,FALSE)</f>
        <v>1</v>
      </c>
      <c r="BK229">
        <f>VLOOKUP($B229,[1]Data_Peer_with_peerVars!$B$2:$Z$1050,23,FALSE)</f>
        <v>2</v>
      </c>
      <c r="BL229">
        <f>VLOOKUP($B229,[1]Data_Peer_with_peerVars!$B$2:$Z$1050,24,FALSE)</f>
        <v>2</v>
      </c>
      <c r="BM229">
        <f>VLOOKUP($B229,[1]Data_Peer_with_peerVars!$B$2:$Z$1050,25,FALSE)</f>
        <v>1</v>
      </c>
    </row>
    <row r="230" spans="1:65" x14ac:dyDescent="0.2">
      <c r="A230">
        <v>1</v>
      </c>
      <c r="B230" t="s">
        <v>441</v>
      </c>
      <c r="C230">
        <v>117</v>
      </c>
      <c r="D230" t="s">
        <v>68</v>
      </c>
      <c r="E230">
        <v>1</v>
      </c>
      <c r="F230">
        <v>519</v>
      </c>
      <c r="G230" t="s">
        <v>69</v>
      </c>
      <c r="H230" s="1">
        <v>6.6666666666666696</v>
      </c>
      <c r="I230" t="s">
        <v>87</v>
      </c>
      <c r="J230" t="s">
        <v>111</v>
      </c>
      <c r="K230" t="s">
        <v>109</v>
      </c>
      <c r="L230">
        <v>1</v>
      </c>
      <c r="M230">
        <v>1</v>
      </c>
      <c r="N230">
        <v>1</v>
      </c>
      <c r="O230">
        <v>0</v>
      </c>
      <c r="P230">
        <v>1</v>
      </c>
      <c r="Q230">
        <v>9</v>
      </c>
      <c r="R230">
        <v>0</v>
      </c>
      <c r="S230">
        <v>0</v>
      </c>
      <c r="T230">
        <v>0</v>
      </c>
      <c r="U230">
        <v>0</v>
      </c>
      <c r="V230">
        <f t="shared" si="81"/>
        <v>1</v>
      </c>
      <c r="W230">
        <v>1</v>
      </c>
      <c r="X230">
        <v>1</v>
      </c>
      <c r="Y230">
        <v>1</v>
      </c>
      <c r="Z230" t="s">
        <v>84</v>
      </c>
      <c r="AA230" s="5" t="s">
        <v>84</v>
      </c>
      <c r="AB230" s="5" t="s">
        <v>84</v>
      </c>
      <c r="AC230" t="s">
        <v>84</v>
      </c>
      <c r="AD230" t="s">
        <v>113</v>
      </c>
      <c r="AE230" s="5" t="s">
        <v>113</v>
      </c>
      <c r="AF230" t="s">
        <v>74</v>
      </c>
      <c r="AG230" t="s">
        <v>75</v>
      </c>
      <c r="AH230">
        <f>AI230</f>
        <v>3.6530952999999998E-2</v>
      </c>
      <c r="AI230">
        <f>AJ230</f>
        <v>3.6530952999999998E-2</v>
      </c>
      <c r="AJ230">
        <f t="shared" si="84"/>
        <v>3.6530952999999998E-2</v>
      </c>
      <c r="AK230">
        <v>3.6530952999999998E-2</v>
      </c>
      <c r="AL230">
        <v>0.12451144</v>
      </c>
      <c r="AM230">
        <v>0.13469046000000001</v>
      </c>
      <c r="AN230">
        <v>0.13697103999999999</v>
      </c>
      <c r="AO230">
        <v>96.346904699999996</v>
      </c>
      <c r="AP230">
        <v>87.548856000000001</v>
      </c>
      <c r="AQ230">
        <v>86.530953999999994</v>
      </c>
      <c r="AR230">
        <v>86.302896000000004</v>
      </c>
      <c r="AS230" t="b">
        <v>1</v>
      </c>
      <c r="AT230" t="b">
        <v>0</v>
      </c>
      <c r="AU230" t="s">
        <v>77</v>
      </c>
      <c r="AV230" t="s">
        <v>78</v>
      </c>
      <c r="AW230" t="s">
        <v>79</v>
      </c>
      <c r="AX230" t="s">
        <v>233</v>
      </c>
      <c r="AY230" t="s">
        <v>429</v>
      </c>
      <c r="AZ230" t="s">
        <v>109</v>
      </c>
      <c r="BA230">
        <v>5</v>
      </c>
      <c r="BB230">
        <v>1</v>
      </c>
      <c r="BC230">
        <v>4.6780407000000003E-2</v>
      </c>
      <c r="BD230">
        <v>6.0749635341231199E-3</v>
      </c>
      <c r="BE230">
        <v>5.2855370534123099E-2</v>
      </c>
      <c r="BF230">
        <f>IF(AK230&lt;BE230,1,0)</f>
        <v>1</v>
      </c>
      <c r="BG230">
        <f>IF(AK230&lt;BC230,1,0)</f>
        <v>1</v>
      </c>
    </row>
    <row r="231" spans="1:65" x14ac:dyDescent="0.2">
      <c r="A231">
        <v>1</v>
      </c>
      <c r="B231" t="s">
        <v>442</v>
      </c>
      <c r="C231">
        <v>117</v>
      </c>
      <c r="D231" t="s">
        <v>68</v>
      </c>
      <c r="E231">
        <v>1</v>
      </c>
      <c r="F231">
        <v>519</v>
      </c>
      <c r="G231" t="s">
        <v>69</v>
      </c>
      <c r="H231" s="1">
        <v>6.6666666666666696</v>
      </c>
      <c r="I231" t="s">
        <v>87</v>
      </c>
      <c r="J231" t="s">
        <v>111</v>
      </c>
      <c r="K231" t="s">
        <v>109</v>
      </c>
      <c r="L231">
        <v>1</v>
      </c>
      <c r="M231">
        <v>1</v>
      </c>
      <c r="N231">
        <v>1</v>
      </c>
      <c r="O231">
        <v>0</v>
      </c>
      <c r="P231">
        <v>1</v>
      </c>
      <c r="Q231">
        <v>9</v>
      </c>
      <c r="R231">
        <v>0</v>
      </c>
      <c r="S231">
        <v>0</v>
      </c>
      <c r="T231">
        <v>0</v>
      </c>
      <c r="U231">
        <v>0</v>
      </c>
      <c r="V231">
        <f t="shared" si="81"/>
        <v>0</v>
      </c>
      <c r="W231">
        <f t="shared" si="82"/>
        <v>0</v>
      </c>
      <c r="X231">
        <f t="shared" si="85"/>
        <v>0</v>
      </c>
      <c r="Y231">
        <f t="shared" si="83"/>
        <v>0</v>
      </c>
      <c r="Z231" t="s">
        <v>75</v>
      </c>
      <c r="AA231" s="5" t="s">
        <v>75</v>
      </c>
      <c r="AB231" s="5" t="s">
        <v>75</v>
      </c>
      <c r="AC231" t="s">
        <v>287</v>
      </c>
      <c r="AD231" t="s">
        <v>137</v>
      </c>
      <c r="AE231" s="5" t="s">
        <v>137</v>
      </c>
      <c r="AF231" t="s">
        <v>113</v>
      </c>
      <c r="AG231" t="s">
        <v>91</v>
      </c>
      <c r="AH231">
        <f>AI231</f>
        <v>5.2515199999999998E-2</v>
      </c>
      <c r="AI231">
        <f>AJ231</f>
        <v>5.2515199999999998E-2</v>
      </c>
      <c r="AJ231">
        <f t="shared" si="84"/>
        <v>5.2515199999999998E-2</v>
      </c>
      <c r="AK231">
        <v>5.2515199999999998E-2</v>
      </c>
      <c r="AL231">
        <v>0.10276243</v>
      </c>
      <c r="AM231">
        <v>0.123333335</v>
      </c>
      <c r="AN231">
        <v>0.12672938</v>
      </c>
      <c r="AO231">
        <v>94.748480000000001</v>
      </c>
      <c r="AP231">
        <v>89.723757000000006</v>
      </c>
      <c r="AQ231">
        <v>87.666666500000005</v>
      </c>
      <c r="AR231">
        <v>87.327061999999998</v>
      </c>
      <c r="AS231" t="b">
        <v>0</v>
      </c>
      <c r="AT231" t="b">
        <v>0</v>
      </c>
      <c r="AU231" t="s">
        <v>77</v>
      </c>
      <c r="AV231" t="s">
        <v>78</v>
      </c>
      <c r="AW231" t="s">
        <v>79</v>
      </c>
      <c r="AX231" t="s">
        <v>233</v>
      </c>
      <c r="AY231" t="s">
        <v>429</v>
      </c>
      <c r="AZ231" t="s">
        <v>109</v>
      </c>
      <c r="BA231">
        <v>6</v>
      </c>
      <c r="BB231">
        <v>0.35</v>
      </c>
      <c r="BC231">
        <v>5.5106750000000003E-2</v>
      </c>
      <c r="BD231">
        <v>2.4361461616194298E-3</v>
      </c>
      <c r="BE231">
        <v>5.7542896161619402E-2</v>
      </c>
      <c r="BF231">
        <f>IF(AK231&lt;BE231,1,0)</f>
        <v>1</v>
      </c>
      <c r="BG231">
        <f>IF(AK231&lt;BC231,1,0)</f>
        <v>1</v>
      </c>
    </row>
    <row r="232" spans="1:65" x14ac:dyDescent="0.2">
      <c r="A232">
        <v>1</v>
      </c>
      <c r="B232" t="s">
        <v>443</v>
      </c>
      <c r="C232">
        <v>117</v>
      </c>
      <c r="D232" t="s">
        <v>68</v>
      </c>
      <c r="E232">
        <v>1</v>
      </c>
      <c r="F232">
        <v>519</v>
      </c>
      <c r="G232" t="s">
        <v>69</v>
      </c>
      <c r="H232" s="1">
        <v>6.6666666666666696</v>
      </c>
      <c r="I232" t="s">
        <v>87</v>
      </c>
      <c r="J232" t="s">
        <v>111</v>
      </c>
      <c r="K232" t="s">
        <v>109</v>
      </c>
      <c r="L232">
        <v>1</v>
      </c>
      <c r="M232">
        <v>1</v>
      </c>
      <c r="N232">
        <v>1</v>
      </c>
      <c r="O232">
        <v>0</v>
      </c>
      <c r="P232">
        <v>1</v>
      </c>
      <c r="Q232">
        <v>9</v>
      </c>
      <c r="R232">
        <v>0</v>
      </c>
      <c r="S232">
        <v>0</v>
      </c>
      <c r="T232">
        <v>1</v>
      </c>
      <c r="U232">
        <v>1</v>
      </c>
      <c r="V232">
        <f t="shared" si="81"/>
        <v>1</v>
      </c>
      <c r="W232">
        <v>1</v>
      </c>
      <c r="X232">
        <v>1</v>
      </c>
      <c r="Y232">
        <v>1</v>
      </c>
      <c r="Z232" t="s">
        <v>73</v>
      </c>
      <c r="AA232" s="5" t="s">
        <v>73</v>
      </c>
      <c r="AB232" s="5" t="s">
        <v>73</v>
      </c>
      <c r="AC232" t="s">
        <v>73</v>
      </c>
      <c r="AD232" t="s">
        <v>94</v>
      </c>
      <c r="AE232" s="5" t="s">
        <v>106</v>
      </c>
      <c r="AF232" t="s">
        <v>107</v>
      </c>
      <c r="AG232" t="s">
        <v>95</v>
      </c>
      <c r="AH232">
        <f t="shared" ref="AH232:AH244" si="96">AI232</f>
        <v>3.8525040000000001E-3</v>
      </c>
      <c r="AI232">
        <f t="shared" ref="AI232:AI238" si="97">AJ232</f>
        <v>3.8525040000000001E-3</v>
      </c>
      <c r="AJ232">
        <f t="shared" si="84"/>
        <v>3.8525040000000001E-3</v>
      </c>
      <c r="AK232">
        <v>3.8525040000000001E-3</v>
      </c>
      <c r="AL232">
        <v>0.13127412999999999</v>
      </c>
      <c r="AM232">
        <v>0.13606194999999999</v>
      </c>
      <c r="AN232">
        <v>0.13922652999999999</v>
      </c>
      <c r="AO232">
        <v>99.614749599999996</v>
      </c>
      <c r="AP232">
        <v>86.872586999999996</v>
      </c>
      <c r="AQ232">
        <v>86.393805</v>
      </c>
      <c r="AR232">
        <v>86.077347000000003</v>
      </c>
      <c r="AS232" t="b">
        <v>1</v>
      </c>
      <c r="AT232" t="b">
        <v>0</v>
      </c>
      <c r="AU232" t="s">
        <v>77</v>
      </c>
      <c r="AV232" t="s">
        <v>108</v>
      </c>
      <c r="AW232" t="s">
        <v>79</v>
      </c>
      <c r="AX232" t="s">
        <v>233</v>
      </c>
      <c r="AY232" t="s">
        <v>429</v>
      </c>
      <c r="AZ232" t="s">
        <v>109</v>
      </c>
      <c r="BA232">
        <v>3</v>
      </c>
      <c r="BB232">
        <v>1</v>
      </c>
      <c r="BC232">
        <v>4.1163553999999996E-3</v>
      </c>
      <c r="BD232">
        <v>1.4279989108178799E-4</v>
      </c>
      <c r="BE232">
        <v>4.2591552910817903E-3</v>
      </c>
      <c r="BF232">
        <f>IF(AK232&lt;BE232,1,0)</f>
        <v>1</v>
      </c>
      <c r="BG232">
        <f>IF(AK232&lt;BC232,1,0)</f>
        <v>1</v>
      </c>
    </row>
    <row r="233" spans="1:65" x14ac:dyDescent="0.2">
      <c r="A233">
        <v>1</v>
      </c>
      <c r="B233" t="s">
        <v>444</v>
      </c>
      <c r="C233">
        <v>118</v>
      </c>
      <c r="D233" t="s">
        <v>68</v>
      </c>
      <c r="E233">
        <v>1</v>
      </c>
      <c r="F233">
        <v>520</v>
      </c>
      <c r="G233" t="s">
        <v>86</v>
      </c>
      <c r="H233" s="1">
        <v>6</v>
      </c>
      <c r="I233" t="s">
        <v>87</v>
      </c>
      <c r="J233" t="s">
        <v>111</v>
      </c>
      <c r="K233" t="s">
        <v>109</v>
      </c>
      <c r="L233">
        <v>1</v>
      </c>
      <c r="M233">
        <v>0</v>
      </c>
      <c r="N233">
        <v>1</v>
      </c>
      <c r="O233">
        <v>0</v>
      </c>
      <c r="P233">
        <v>1</v>
      </c>
      <c r="Q233">
        <v>6</v>
      </c>
      <c r="R233">
        <v>0</v>
      </c>
      <c r="S233">
        <v>0</v>
      </c>
      <c r="T233">
        <v>1</v>
      </c>
      <c r="U233">
        <v>1</v>
      </c>
      <c r="V233">
        <f t="shared" si="81"/>
        <v>1</v>
      </c>
      <c r="W233">
        <v>1</v>
      </c>
      <c r="X233">
        <v>1</v>
      </c>
      <c r="Y233">
        <v>1</v>
      </c>
      <c r="Z233" t="s">
        <v>73</v>
      </c>
      <c r="AA233" s="5" t="s">
        <v>73</v>
      </c>
      <c r="AB233" s="5" t="s">
        <v>73</v>
      </c>
      <c r="AC233" t="s">
        <v>73</v>
      </c>
      <c r="AD233" t="s">
        <v>94</v>
      </c>
      <c r="AE233" s="5" t="s">
        <v>106</v>
      </c>
      <c r="AF233" t="s">
        <v>107</v>
      </c>
      <c r="AG233" t="s">
        <v>95</v>
      </c>
      <c r="AH233">
        <f t="shared" si="96"/>
        <v>4.3859650000000003E-3</v>
      </c>
      <c r="AI233">
        <f t="shared" si="97"/>
        <v>4.3859650000000003E-3</v>
      </c>
      <c r="AJ233">
        <f t="shared" si="84"/>
        <v>4.3859650000000003E-3</v>
      </c>
      <c r="AK233">
        <v>4.3859650000000003E-3</v>
      </c>
      <c r="AL233">
        <v>0.13186813999999999</v>
      </c>
      <c r="AM233">
        <v>0.13699006999999999</v>
      </c>
      <c r="AN233">
        <v>0.13971396999999999</v>
      </c>
      <c r="AO233">
        <v>99.561403499999997</v>
      </c>
      <c r="AP233">
        <v>86.813186000000002</v>
      </c>
      <c r="AQ233">
        <v>86.300993000000005</v>
      </c>
      <c r="AR233">
        <v>86.028603000000004</v>
      </c>
      <c r="AS233" t="b">
        <v>1</v>
      </c>
      <c r="AT233" t="b">
        <v>0</v>
      </c>
      <c r="AU233" t="s">
        <v>77</v>
      </c>
      <c r="AV233" t="s">
        <v>108</v>
      </c>
      <c r="AW233" t="s">
        <v>79</v>
      </c>
      <c r="AX233" t="s">
        <v>233</v>
      </c>
      <c r="AY233" t="s">
        <v>429</v>
      </c>
      <c r="AZ233" t="s">
        <v>109</v>
      </c>
      <c r="BA233">
        <v>2</v>
      </c>
      <c r="BB233">
        <v>1.05</v>
      </c>
      <c r="BC233">
        <v>4.1163553999999996E-3</v>
      </c>
      <c r="BD233">
        <v>1.4279989108178799E-4</v>
      </c>
      <c r="BE233">
        <v>4.2591552910817903E-3</v>
      </c>
      <c r="BF233">
        <f>IF(AK233&lt;BE233,1,0)</f>
        <v>0</v>
      </c>
      <c r="BG233">
        <f>IF(AK233&lt;BC233,1,0)</f>
        <v>0</v>
      </c>
      <c r="BH233">
        <f>VLOOKUP($B233,[1]Data_Peer_with_peerVars!$B$2:$Z$1050,20,FALSE)</f>
        <v>2</v>
      </c>
      <c r="BI233">
        <f>VLOOKUP($B233,[1]Data_Peer_with_peerVars!$B$2:$Z$1050,21,FALSE)</f>
        <v>1</v>
      </c>
      <c r="BJ233">
        <f>VLOOKUP($B233,[1]Data_Peer_with_peerVars!$B$2:$Z$1050,22,FALSE)</f>
        <v>0.5</v>
      </c>
      <c r="BK233">
        <f>VLOOKUP($B233,[1]Data_Peer_with_peerVars!$B$2:$Z$1050,23,FALSE)</f>
        <v>29</v>
      </c>
      <c r="BL233">
        <f>VLOOKUP($B233,[1]Data_Peer_with_peerVars!$B$2:$Z$1050,24,FALSE)</f>
        <v>21</v>
      </c>
      <c r="BM233">
        <f>VLOOKUP($B233,[1]Data_Peer_with_peerVars!$B$2:$Z$1050,25,FALSE)</f>
        <v>0.72413793100000001</v>
      </c>
    </row>
    <row r="234" spans="1:65" x14ac:dyDescent="0.2">
      <c r="A234">
        <v>1</v>
      </c>
      <c r="B234" t="s">
        <v>445</v>
      </c>
      <c r="C234">
        <v>118</v>
      </c>
      <c r="D234" t="s">
        <v>68</v>
      </c>
      <c r="E234">
        <v>1</v>
      </c>
      <c r="F234">
        <v>520</v>
      </c>
      <c r="G234" t="s">
        <v>86</v>
      </c>
      <c r="H234" s="1">
        <v>6</v>
      </c>
      <c r="I234" t="s">
        <v>87</v>
      </c>
      <c r="J234" t="s">
        <v>111</v>
      </c>
      <c r="K234" t="s">
        <v>109</v>
      </c>
      <c r="L234">
        <v>1</v>
      </c>
      <c r="M234">
        <v>0</v>
      </c>
      <c r="N234">
        <v>1</v>
      </c>
      <c r="O234">
        <v>0</v>
      </c>
      <c r="P234">
        <v>1</v>
      </c>
      <c r="Q234">
        <v>6</v>
      </c>
      <c r="R234">
        <v>0</v>
      </c>
      <c r="S234">
        <v>0</v>
      </c>
      <c r="T234">
        <v>0</v>
      </c>
      <c r="U234">
        <v>0</v>
      </c>
      <c r="V234">
        <f t="shared" si="81"/>
        <v>1</v>
      </c>
      <c r="W234">
        <v>1</v>
      </c>
      <c r="X234">
        <v>1</v>
      </c>
      <c r="Y234">
        <v>1</v>
      </c>
      <c r="Z234" t="s">
        <v>84</v>
      </c>
      <c r="AA234" s="5" t="s">
        <v>84</v>
      </c>
      <c r="AB234" s="5" t="s">
        <v>84</v>
      </c>
      <c r="AC234" t="s">
        <v>84</v>
      </c>
      <c r="AD234" t="s">
        <v>113</v>
      </c>
      <c r="AE234" s="5" t="s">
        <v>113</v>
      </c>
      <c r="AF234" t="s">
        <v>74</v>
      </c>
      <c r="AG234" t="s">
        <v>75</v>
      </c>
      <c r="AH234">
        <f t="shared" si="96"/>
        <v>6.8081589999999997E-2</v>
      </c>
      <c r="AI234">
        <f t="shared" si="97"/>
        <v>6.8081589999999997E-2</v>
      </c>
      <c r="AJ234">
        <f t="shared" si="84"/>
        <v>6.8081589999999997E-2</v>
      </c>
      <c r="AK234">
        <v>6.8081589999999997E-2</v>
      </c>
      <c r="AL234">
        <v>0.13182569999999999</v>
      </c>
      <c r="AM234">
        <v>0.13381058000000001</v>
      </c>
      <c r="AN234">
        <v>0.13716328</v>
      </c>
      <c r="AO234">
        <v>93.191840999999997</v>
      </c>
      <c r="AP234">
        <v>86.817430000000002</v>
      </c>
      <c r="AQ234">
        <v>86.618942000000004</v>
      </c>
      <c r="AR234">
        <v>86.283671999999996</v>
      </c>
      <c r="AS234" t="b">
        <v>1</v>
      </c>
      <c r="AT234" t="b">
        <v>0</v>
      </c>
      <c r="AU234" t="s">
        <v>77</v>
      </c>
      <c r="AV234" t="s">
        <v>78</v>
      </c>
      <c r="AW234" t="s">
        <v>79</v>
      </c>
      <c r="AX234" t="s">
        <v>233</v>
      </c>
      <c r="AY234" t="s">
        <v>429</v>
      </c>
      <c r="AZ234" t="s">
        <v>109</v>
      </c>
      <c r="BA234">
        <v>2</v>
      </c>
      <c r="BB234">
        <v>0.7</v>
      </c>
      <c r="BC234">
        <v>4.6780407000000003E-2</v>
      </c>
      <c r="BD234">
        <v>6.0749635341231199E-3</v>
      </c>
      <c r="BE234">
        <v>5.2855370534123099E-2</v>
      </c>
      <c r="BF234">
        <f>IF(AK234&lt;BE234,1,0)</f>
        <v>0</v>
      </c>
      <c r="BG234">
        <f>IF(AK234&lt;BC234,1,0)</f>
        <v>0</v>
      </c>
      <c r="BH234">
        <f>VLOOKUP($B234,[1]Data_Peer_with_peerVars!$B$2:$Z$1050,20,FALSE)</f>
        <v>2</v>
      </c>
      <c r="BI234">
        <f>VLOOKUP($B234,[1]Data_Peer_with_peerVars!$B$2:$Z$1050,21,FALSE)</f>
        <v>1</v>
      </c>
      <c r="BJ234">
        <f>VLOOKUP($B234,[1]Data_Peer_with_peerVars!$B$2:$Z$1050,22,FALSE)</f>
        <v>0.5</v>
      </c>
      <c r="BK234">
        <f>VLOOKUP($B234,[1]Data_Peer_with_peerVars!$B$2:$Z$1050,23,FALSE)</f>
        <v>29</v>
      </c>
      <c r="BL234">
        <f>VLOOKUP($B234,[1]Data_Peer_with_peerVars!$B$2:$Z$1050,24,FALSE)</f>
        <v>21</v>
      </c>
      <c r="BM234">
        <f>VLOOKUP($B234,[1]Data_Peer_with_peerVars!$B$2:$Z$1050,25,FALSE)</f>
        <v>0.72413793100000001</v>
      </c>
    </row>
    <row r="235" spans="1:65" x14ac:dyDescent="0.2">
      <c r="A235">
        <v>1</v>
      </c>
      <c r="B235" t="s">
        <v>446</v>
      </c>
      <c r="C235">
        <v>119</v>
      </c>
      <c r="D235" t="s">
        <v>68</v>
      </c>
      <c r="E235">
        <v>1</v>
      </c>
      <c r="F235">
        <v>556</v>
      </c>
      <c r="G235" t="s">
        <v>86</v>
      </c>
      <c r="H235" s="1">
        <v>6</v>
      </c>
      <c r="I235" t="s">
        <v>70</v>
      </c>
      <c r="J235" t="s">
        <v>71</v>
      </c>
      <c r="K235" t="s">
        <v>109</v>
      </c>
      <c r="L235">
        <v>1</v>
      </c>
      <c r="M235">
        <v>0</v>
      </c>
      <c r="N235">
        <v>1</v>
      </c>
      <c r="O235">
        <v>1</v>
      </c>
      <c r="P235">
        <v>1</v>
      </c>
      <c r="Q235">
        <v>1</v>
      </c>
      <c r="R235">
        <v>0</v>
      </c>
      <c r="S235">
        <v>0</v>
      </c>
      <c r="T235">
        <v>0</v>
      </c>
      <c r="U235">
        <v>0</v>
      </c>
      <c r="V235">
        <f t="shared" si="81"/>
        <v>1</v>
      </c>
      <c r="W235">
        <v>1</v>
      </c>
      <c r="X235">
        <v>1</v>
      </c>
      <c r="Y235">
        <v>1</v>
      </c>
      <c r="Z235" t="s">
        <v>84</v>
      </c>
      <c r="AA235" s="5" t="s">
        <v>84</v>
      </c>
      <c r="AB235" s="5" t="s">
        <v>84</v>
      </c>
      <c r="AC235" t="s">
        <v>84</v>
      </c>
      <c r="AD235" t="s">
        <v>113</v>
      </c>
      <c r="AE235" s="5" t="s">
        <v>113</v>
      </c>
      <c r="AF235" t="s">
        <v>74</v>
      </c>
      <c r="AG235" t="s">
        <v>75</v>
      </c>
      <c r="AH235">
        <f t="shared" si="96"/>
        <v>4.6081677000000001E-2</v>
      </c>
      <c r="AI235">
        <f t="shared" si="97"/>
        <v>4.6081677000000001E-2</v>
      </c>
      <c r="AJ235">
        <f t="shared" si="84"/>
        <v>4.6081677000000001E-2</v>
      </c>
      <c r="AK235">
        <v>4.6081677000000001E-2</v>
      </c>
      <c r="AL235">
        <v>0.124033146</v>
      </c>
      <c r="AM235">
        <v>0.13852096999999999</v>
      </c>
      <c r="AN235">
        <v>0.13876653</v>
      </c>
      <c r="AO235">
        <v>95.391832300000004</v>
      </c>
      <c r="AP235">
        <v>87.596685399999998</v>
      </c>
      <c r="AQ235">
        <v>86.147902999999999</v>
      </c>
      <c r="AR235">
        <v>86.123346999999995</v>
      </c>
      <c r="AS235" t="b">
        <v>1</v>
      </c>
      <c r="AT235" t="b">
        <v>0</v>
      </c>
      <c r="AU235" t="s">
        <v>77</v>
      </c>
      <c r="AV235" t="s">
        <v>78</v>
      </c>
      <c r="AW235" t="s">
        <v>79</v>
      </c>
      <c r="AX235" t="s">
        <v>233</v>
      </c>
      <c r="AY235" t="s">
        <v>429</v>
      </c>
      <c r="AZ235" t="s">
        <v>109</v>
      </c>
      <c r="BA235">
        <v>1</v>
      </c>
      <c r="BB235">
        <v>2</v>
      </c>
      <c r="BC235">
        <v>4.6780407000000003E-2</v>
      </c>
      <c r="BD235">
        <v>6.0749635341231199E-3</v>
      </c>
      <c r="BE235">
        <v>5.2855370534123099E-2</v>
      </c>
      <c r="BF235">
        <f>IF(AK235&lt;BE235,1,0)</f>
        <v>1</v>
      </c>
      <c r="BG235">
        <f>IF(AK235&lt;BC235,1,0)</f>
        <v>1</v>
      </c>
      <c r="BH235">
        <f>VLOOKUP($B235,[1]Data_Peer_with_peerVars!$B$2:$Z$1050,20,FALSE)</f>
        <v>2</v>
      </c>
      <c r="BI235">
        <f>VLOOKUP($B235,[1]Data_Peer_with_peerVars!$B$2:$Z$1050,21,FALSE)</f>
        <v>2</v>
      </c>
      <c r="BJ235">
        <f>VLOOKUP($B235,[1]Data_Peer_with_peerVars!$B$2:$Z$1050,22,FALSE)</f>
        <v>1</v>
      </c>
      <c r="BK235">
        <f>VLOOKUP($B235,[1]Data_Peer_with_peerVars!$B$2:$Z$1050,23,FALSE)</f>
        <v>32</v>
      </c>
      <c r="BL235">
        <f>VLOOKUP($B235,[1]Data_Peer_with_peerVars!$B$2:$Z$1050,24,FALSE)</f>
        <v>23</v>
      </c>
      <c r="BM235">
        <f>VLOOKUP($B235,[1]Data_Peer_with_peerVars!$B$2:$Z$1050,25,FALSE)</f>
        <v>0.71875</v>
      </c>
    </row>
    <row r="236" spans="1:65" x14ac:dyDescent="0.2">
      <c r="A236">
        <v>1</v>
      </c>
      <c r="B236" t="s">
        <v>447</v>
      </c>
      <c r="C236">
        <v>119</v>
      </c>
      <c r="D236" t="s">
        <v>68</v>
      </c>
      <c r="E236">
        <v>1</v>
      </c>
      <c r="F236">
        <v>556</v>
      </c>
      <c r="G236" t="s">
        <v>86</v>
      </c>
      <c r="H236" s="1">
        <v>6</v>
      </c>
      <c r="I236" t="s">
        <v>70</v>
      </c>
      <c r="J236" t="s">
        <v>71</v>
      </c>
      <c r="K236" t="s">
        <v>109</v>
      </c>
      <c r="L236">
        <v>1</v>
      </c>
      <c r="M236">
        <v>0</v>
      </c>
      <c r="N236">
        <v>1</v>
      </c>
      <c r="O236">
        <v>1</v>
      </c>
      <c r="P236">
        <v>1</v>
      </c>
      <c r="Q236">
        <v>1</v>
      </c>
      <c r="R236">
        <v>0</v>
      </c>
      <c r="S236">
        <v>0</v>
      </c>
      <c r="T236">
        <v>0</v>
      </c>
      <c r="U236">
        <v>1</v>
      </c>
      <c r="V236">
        <f t="shared" si="81"/>
        <v>1</v>
      </c>
      <c r="W236">
        <v>1</v>
      </c>
      <c r="X236">
        <v>1</v>
      </c>
      <c r="Y236">
        <v>1</v>
      </c>
      <c r="Z236" t="s">
        <v>73</v>
      </c>
      <c r="AA236" s="5" t="s">
        <v>73</v>
      </c>
      <c r="AB236" s="5" t="s">
        <v>73</v>
      </c>
      <c r="AC236" t="s">
        <v>73</v>
      </c>
      <c r="AD236" t="s">
        <v>94</v>
      </c>
      <c r="AE236" s="5" t="s">
        <v>106</v>
      </c>
      <c r="AF236" t="s">
        <v>75</v>
      </c>
      <c r="AG236" t="s">
        <v>107</v>
      </c>
      <c r="AH236">
        <f t="shared" si="96"/>
        <v>3.2531437000000003E-2</v>
      </c>
      <c r="AI236">
        <f t="shared" si="97"/>
        <v>3.2531437000000003E-2</v>
      </c>
      <c r="AJ236">
        <f t="shared" si="84"/>
        <v>3.2531437000000003E-2</v>
      </c>
      <c r="AK236">
        <v>3.2531437000000003E-2</v>
      </c>
      <c r="AL236">
        <v>0.12452107</v>
      </c>
      <c r="AM236">
        <v>0.13000548000000001</v>
      </c>
      <c r="AN236">
        <v>0.13673805999999999</v>
      </c>
      <c r="AO236">
        <v>96.746856300000005</v>
      </c>
      <c r="AP236">
        <v>87.547893000000002</v>
      </c>
      <c r="AQ236">
        <v>86.999452000000005</v>
      </c>
      <c r="AR236">
        <v>86.326194000000001</v>
      </c>
      <c r="AS236" t="b">
        <v>1</v>
      </c>
      <c r="AT236" t="b">
        <v>0</v>
      </c>
      <c r="AU236" t="s">
        <v>77</v>
      </c>
      <c r="AV236" t="s">
        <v>108</v>
      </c>
      <c r="AW236" t="s">
        <v>79</v>
      </c>
      <c r="AX236" t="s">
        <v>233</v>
      </c>
      <c r="AY236" t="s">
        <v>429</v>
      </c>
      <c r="AZ236" t="s">
        <v>109</v>
      </c>
      <c r="BA236">
        <v>5</v>
      </c>
      <c r="BB236">
        <v>1</v>
      </c>
      <c r="BC236">
        <v>4.1163553999999996E-3</v>
      </c>
      <c r="BD236">
        <v>1.4279989108178799E-4</v>
      </c>
      <c r="BE236">
        <v>4.2591552910817903E-3</v>
      </c>
      <c r="BF236">
        <f>IF(AK236&lt;BE236,1,0)</f>
        <v>0</v>
      </c>
      <c r="BG236">
        <f>IF(AK236&lt;BC236,1,0)</f>
        <v>0</v>
      </c>
      <c r="BH236">
        <f>VLOOKUP($B236,[1]Data_Peer_with_peerVars!$B$2:$Z$1050,20,FALSE)</f>
        <v>2</v>
      </c>
      <c r="BI236">
        <f>VLOOKUP($B236,[1]Data_Peer_with_peerVars!$B$2:$Z$1050,21,FALSE)</f>
        <v>2</v>
      </c>
      <c r="BJ236">
        <f>VLOOKUP($B236,[1]Data_Peer_with_peerVars!$B$2:$Z$1050,22,FALSE)</f>
        <v>1</v>
      </c>
      <c r="BK236">
        <f>VLOOKUP($B236,[1]Data_Peer_with_peerVars!$B$2:$Z$1050,23,FALSE)</f>
        <v>32</v>
      </c>
      <c r="BL236">
        <f>VLOOKUP($B236,[1]Data_Peer_with_peerVars!$B$2:$Z$1050,24,FALSE)</f>
        <v>23</v>
      </c>
      <c r="BM236">
        <f>VLOOKUP($B236,[1]Data_Peer_with_peerVars!$B$2:$Z$1050,25,FALSE)</f>
        <v>0.71875</v>
      </c>
    </row>
    <row r="237" spans="1:65" x14ac:dyDescent="0.2">
      <c r="A237">
        <v>1</v>
      </c>
      <c r="B237" t="s">
        <v>448</v>
      </c>
      <c r="C237">
        <v>120</v>
      </c>
      <c r="D237" t="s">
        <v>68</v>
      </c>
      <c r="E237">
        <v>1</v>
      </c>
      <c r="F237">
        <v>632</v>
      </c>
      <c r="G237" t="s">
        <v>69</v>
      </c>
      <c r="H237" s="1">
        <v>6</v>
      </c>
      <c r="I237" t="s">
        <v>87</v>
      </c>
      <c r="J237" t="s">
        <v>111</v>
      </c>
      <c r="K237" t="s">
        <v>109</v>
      </c>
      <c r="L237">
        <v>1</v>
      </c>
      <c r="M237">
        <v>0</v>
      </c>
      <c r="N237">
        <v>1</v>
      </c>
      <c r="O237">
        <v>0</v>
      </c>
      <c r="P237">
        <v>1</v>
      </c>
      <c r="Q237">
        <v>2</v>
      </c>
      <c r="R237">
        <v>0</v>
      </c>
      <c r="S237">
        <v>0</v>
      </c>
      <c r="T237">
        <v>0</v>
      </c>
      <c r="U237">
        <v>0</v>
      </c>
      <c r="V237">
        <f t="shared" si="81"/>
        <v>1</v>
      </c>
      <c r="W237">
        <v>1</v>
      </c>
      <c r="X237">
        <v>1</v>
      </c>
      <c r="Y237">
        <v>1</v>
      </c>
      <c r="Z237" t="s">
        <v>84</v>
      </c>
      <c r="AA237" s="5" t="s">
        <v>84</v>
      </c>
      <c r="AB237" s="5" t="s">
        <v>84</v>
      </c>
      <c r="AC237" t="s">
        <v>84</v>
      </c>
      <c r="AD237" t="s">
        <v>113</v>
      </c>
      <c r="AE237" s="5" t="s">
        <v>113</v>
      </c>
      <c r="AF237" t="s">
        <v>74</v>
      </c>
      <c r="AG237" t="s">
        <v>75</v>
      </c>
      <c r="AH237">
        <f t="shared" si="96"/>
        <v>4.5780476000000001E-2</v>
      </c>
      <c r="AI237">
        <f t="shared" si="97"/>
        <v>4.5780476000000001E-2</v>
      </c>
      <c r="AJ237">
        <f t="shared" si="84"/>
        <v>4.5780476000000001E-2</v>
      </c>
      <c r="AK237">
        <v>4.5780476000000001E-2</v>
      </c>
      <c r="AL237">
        <v>0.12755384</v>
      </c>
      <c r="AM237">
        <v>0.13789298999999999</v>
      </c>
      <c r="AN237">
        <v>0.14034121999999999</v>
      </c>
      <c r="AO237">
        <v>95.421952399999995</v>
      </c>
      <c r="AP237">
        <v>87.244615999999994</v>
      </c>
      <c r="AQ237">
        <v>86.210701</v>
      </c>
      <c r="AR237">
        <v>85.965878000000004</v>
      </c>
      <c r="AS237" t="b">
        <v>1</v>
      </c>
      <c r="AT237" t="b">
        <v>0</v>
      </c>
      <c r="AU237" t="s">
        <v>77</v>
      </c>
      <c r="AV237" t="s">
        <v>78</v>
      </c>
      <c r="AW237" t="s">
        <v>79</v>
      </c>
      <c r="AX237" t="s">
        <v>233</v>
      </c>
      <c r="AY237" t="s">
        <v>429</v>
      </c>
      <c r="AZ237" t="s">
        <v>109</v>
      </c>
      <c r="BA237">
        <v>5</v>
      </c>
      <c r="BB237">
        <v>5</v>
      </c>
      <c r="BC237">
        <v>4.6780407000000003E-2</v>
      </c>
      <c r="BD237">
        <v>6.0749635341231199E-3</v>
      </c>
      <c r="BE237">
        <v>5.2855370534123099E-2</v>
      </c>
      <c r="BF237">
        <f>IF(AK237&lt;BE237,1,0)</f>
        <v>1</v>
      </c>
      <c r="BG237">
        <f>IF(AK237&lt;BC237,1,0)</f>
        <v>1</v>
      </c>
      <c r="BH237">
        <f>VLOOKUP($B237,[1]Data_Peer_with_peerVars!$B$2:$Z$1050,20,FALSE)</f>
        <v>7</v>
      </c>
      <c r="BI237">
        <f>VLOOKUP($B237,[1]Data_Peer_with_peerVars!$B$2:$Z$1050,21,FALSE)</f>
        <v>4</v>
      </c>
      <c r="BJ237">
        <f>VLOOKUP($B237,[1]Data_Peer_with_peerVars!$B$2:$Z$1050,22,FALSE)</f>
        <v>0.571428571</v>
      </c>
      <c r="BK237">
        <f>VLOOKUP($B237,[1]Data_Peer_with_peerVars!$B$2:$Z$1050,23,FALSE)</f>
        <v>46</v>
      </c>
      <c r="BL237">
        <f>VLOOKUP($B237,[1]Data_Peer_with_peerVars!$B$2:$Z$1050,24,FALSE)</f>
        <v>34</v>
      </c>
      <c r="BM237">
        <f>VLOOKUP($B237,[1]Data_Peer_with_peerVars!$B$2:$Z$1050,25,FALSE)</f>
        <v>0.73913043499999997</v>
      </c>
    </row>
    <row r="238" spans="1:65" x14ac:dyDescent="0.2">
      <c r="A238">
        <v>1</v>
      </c>
      <c r="B238" t="s">
        <v>449</v>
      </c>
      <c r="C238">
        <v>120</v>
      </c>
      <c r="D238" t="s">
        <v>68</v>
      </c>
      <c r="E238">
        <v>1</v>
      </c>
      <c r="F238">
        <v>632</v>
      </c>
      <c r="G238" t="s">
        <v>69</v>
      </c>
      <c r="H238" s="1">
        <v>6</v>
      </c>
      <c r="I238" t="s">
        <v>87</v>
      </c>
      <c r="J238" t="s">
        <v>111</v>
      </c>
      <c r="K238" t="s">
        <v>109</v>
      </c>
      <c r="L238">
        <v>1</v>
      </c>
      <c r="M238">
        <v>0</v>
      </c>
      <c r="N238">
        <v>1</v>
      </c>
      <c r="O238">
        <v>0</v>
      </c>
      <c r="P238">
        <v>1</v>
      </c>
      <c r="Q238">
        <v>2</v>
      </c>
      <c r="R238">
        <v>0</v>
      </c>
      <c r="S238">
        <v>0</v>
      </c>
      <c r="T238">
        <v>0</v>
      </c>
      <c r="U238">
        <v>0</v>
      </c>
      <c r="V238">
        <f t="shared" si="81"/>
        <v>1</v>
      </c>
      <c r="W238">
        <v>1</v>
      </c>
      <c r="X238">
        <v>1</v>
      </c>
      <c r="Y238">
        <v>1</v>
      </c>
      <c r="Z238" t="s">
        <v>73</v>
      </c>
      <c r="AA238" s="5" t="s">
        <v>73</v>
      </c>
      <c r="AB238" s="5" t="s">
        <v>73</v>
      </c>
      <c r="AC238" t="s">
        <v>73</v>
      </c>
      <c r="AD238" t="s">
        <v>94</v>
      </c>
      <c r="AE238" s="5" t="s">
        <v>94</v>
      </c>
      <c r="AF238" t="s">
        <v>75</v>
      </c>
      <c r="AG238" t="s">
        <v>95</v>
      </c>
      <c r="AH238">
        <f t="shared" si="96"/>
        <v>3.4775465999999998E-2</v>
      </c>
      <c r="AI238">
        <f t="shared" si="97"/>
        <v>3.4775465999999998E-2</v>
      </c>
      <c r="AJ238">
        <f t="shared" si="84"/>
        <v>3.4775465999999998E-2</v>
      </c>
      <c r="AK238">
        <v>3.4775465999999998E-2</v>
      </c>
      <c r="AL238">
        <v>0.12431394</v>
      </c>
      <c r="AM238">
        <v>0.13916391</v>
      </c>
      <c r="AN238">
        <v>0.14065934999999999</v>
      </c>
      <c r="AO238">
        <v>96.522453400000003</v>
      </c>
      <c r="AP238">
        <v>87.568606000000003</v>
      </c>
      <c r="AQ238">
        <v>86.083608999999996</v>
      </c>
      <c r="AR238">
        <v>85.934065000000004</v>
      </c>
      <c r="AS238" t="b">
        <v>1</v>
      </c>
      <c r="AT238" t="b">
        <v>0</v>
      </c>
      <c r="AU238" t="s">
        <v>77</v>
      </c>
      <c r="AV238" t="s">
        <v>78</v>
      </c>
      <c r="AW238" t="s">
        <v>79</v>
      </c>
      <c r="AX238" t="s">
        <v>233</v>
      </c>
      <c r="AY238" t="s">
        <v>429</v>
      </c>
      <c r="AZ238" t="s">
        <v>109</v>
      </c>
      <c r="BA238">
        <v>5</v>
      </c>
      <c r="BB238">
        <v>2</v>
      </c>
      <c r="BC238">
        <v>4.1163553999999996E-3</v>
      </c>
      <c r="BD238">
        <v>1.4279989108178799E-4</v>
      </c>
      <c r="BE238">
        <v>4.2591552910817903E-3</v>
      </c>
      <c r="BF238">
        <f>IF(AK238&lt;BE238,1,0)</f>
        <v>0</v>
      </c>
      <c r="BG238">
        <f>IF(AK238&lt;BC238,1,0)</f>
        <v>0</v>
      </c>
      <c r="BH238">
        <f>VLOOKUP($B238,[1]Data_Peer_with_peerVars!$B$2:$Z$1050,20,FALSE)</f>
        <v>7</v>
      </c>
      <c r="BI238">
        <f>VLOOKUP($B238,[1]Data_Peer_with_peerVars!$B$2:$Z$1050,21,FALSE)</f>
        <v>4</v>
      </c>
      <c r="BJ238">
        <f>VLOOKUP($B238,[1]Data_Peer_with_peerVars!$B$2:$Z$1050,22,FALSE)</f>
        <v>0.571428571</v>
      </c>
      <c r="BK238">
        <f>VLOOKUP($B238,[1]Data_Peer_with_peerVars!$B$2:$Z$1050,23,FALSE)</f>
        <v>46</v>
      </c>
      <c r="BL238">
        <f>VLOOKUP($B238,[1]Data_Peer_with_peerVars!$B$2:$Z$1050,24,FALSE)</f>
        <v>34</v>
      </c>
      <c r="BM238">
        <f>VLOOKUP($B238,[1]Data_Peer_with_peerVars!$B$2:$Z$1050,25,FALSE)</f>
        <v>0.73913043499999997</v>
      </c>
    </row>
    <row r="239" spans="1:65" x14ac:dyDescent="0.2">
      <c r="A239">
        <v>1</v>
      </c>
      <c r="B239" t="s">
        <v>450</v>
      </c>
      <c r="C239">
        <v>121</v>
      </c>
      <c r="D239" t="s">
        <v>68</v>
      </c>
      <c r="E239">
        <v>0</v>
      </c>
      <c r="F239">
        <v>433</v>
      </c>
      <c r="G239" t="s">
        <v>119</v>
      </c>
      <c r="H239" s="1">
        <v>0</v>
      </c>
      <c r="I239" t="s">
        <v>70</v>
      </c>
      <c r="J239" t="s">
        <v>71</v>
      </c>
      <c r="K239" t="s">
        <v>109</v>
      </c>
      <c r="L239">
        <v>1</v>
      </c>
      <c r="M239">
        <v>1</v>
      </c>
      <c r="N239">
        <v>1</v>
      </c>
      <c r="O239">
        <v>0</v>
      </c>
      <c r="P239">
        <v>1</v>
      </c>
      <c r="Q239">
        <v>9</v>
      </c>
      <c r="R239">
        <v>0</v>
      </c>
      <c r="S239">
        <v>0</v>
      </c>
      <c r="T239">
        <v>0</v>
      </c>
      <c r="U239">
        <v>0</v>
      </c>
      <c r="V239">
        <f t="shared" si="81"/>
        <v>0</v>
      </c>
      <c r="W239">
        <f t="shared" si="82"/>
        <v>0</v>
      </c>
      <c r="X239">
        <f t="shared" si="85"/>
        <v>1</v>
      </c>
      <c r="Y239">
        <v>1</v>
      </c>
      <c r="Z239" t="s">
        <v>76</v>
      </c>
      <c r="AA239" s="5" t="s">
        <v>76</v>
      </c>
      <c r="AB239" s="5" t="s">
        <v>76</v>
      </c>
      <c r="AC239" t="s">
        <v>84</v>
      </c>
      <c r="AD239" t="s">
        <v>74</v>
      </c>
      <c r="AE239" s="5" t="s">
        <v>74</v>
      </c>
      <c r="AF239" t="s">
        <v>76</v>
      </c>
      <c r="AG239" t="s">
        <v>113</v>
      </c>
      <c r="AH239">
        <f t="shared" si="96"/>
        <v>0.11199779999999999</v>
      </c>
      <c r="AI239">
        <f>AM239</f>
        <v>0.11199779999999999</v>
      </c>
      <c r="AJ239">
        <f t="shared" si="84"/>
        <v>8.5959090000000002E-2</v>
      </c>
      <c r="AK239">
        <v>8.5959090000000002E-2</v>
      </c>
      <c r="AL239">
        <v>0.10629486</v>
      </c>
      <c r="AM239">
        <v>0.11199779999999999</v>
      </c>
      <c r="AN239">
        <v>0.12693583999999999</v>
      </c>
      <c r="AO239">
        <v>91.404090999999994</v>
      </c>
      <c r="AP239">
        <v>89.370514</v>
      </c>
      <c r="AQ239">
        <v>88.800219999999996</v>
      </c>
      <c r="AR239">
        <v>87.306415999999999</v>
      </c>
      <c r="AS239" t="b">
        <v>0</v>
      </c>
      <c r="AT239" t="b">
        <v>0</v>
      </c>
      <c r="AU239" t="s">
        <v>77</v>
      </c>
      <c r="AV239" t="s">
        <v>78</v>
      </c>
      <c r="AW239" t="s">
        <v>79</v>
      </c>
      <c r="AX239" t="s">
        <v>233</v>
      </c>
      <c r="AY239" t="s">
        <v>451</v>
      </c>
      <c r="AZ239" t="s">
        <v>109</v>
      </c>
      <c r="BA239">
        <v>7</v>
      </c>
      <c r="BB239">
        <v>3</v>
      </c>
      <c r="BC239">
        <v>4.6780407000000003E-2</v>
      </c>
      <c r="BD239">
        <v>6.0749635341231199E-3</v>
      </c>
      <c r="BE239">
        <v>5.2855370534123099E-2</v>
      </c>
      <c r="BF239">
        <f>IF(AK239&lt;BE239,1,0)</f>
        <v>0</v>
      </c>
      <c r="BG239">
        <f>IF(AK239&lt;BC239,1,0)</f>
        <v>0</v>
      </c>
    </row>
    <row r="240" spans="1:65" x14ac:dyDescent="0.2">
      <c r="A240">
        <v>1</v>
      </c>
      <c r="B240" t="s">
        <v>452</v>
      </c>
      <c r="C240">
        <v>121</v>
      </c>
      <c r="D240" t="s">
        <v>68</v>
      </c>
      <c r="E240">
        <v>0</v>
      </c>
      <c r="F240">
        <v>433</v>
      </c>
      <c r="G240" t="s">
        <v>119</v>
      </c>
      <c r="H240" s="1">
        <v>0</v>
      </c>
      <c r="I240" t="s">
        <v>70</v>
      </c>
      <c r="J240" t="s">
        <v>71</v>
      </c>
      <c r="K240" t="s">
        <v>109</v>
      </c>
      <c r="L240">
        <v>1</v>
      </c>
      <c r="M240">
        <v>1</v>
      </c>
      <c r="N240">
        <v>1</v>
      </c>
      <c r="O240">
        <v>0</v>
      </c>
      <c r="P240">
        <v>1</v>
      </c>
      <c r="Q240">
        <v>9</v>
      </c>
      <c r="R240">
        <v>0</v>
      </c>
      <c r="S240">
        <v>0</v>
      </c>
      <c r="T240">
        <v>0</v>
      </c>
      <c r="U240">
        <v>0</v>
      </c>
      <c r="V240">
        <f t="shared" si="81"/>
        <v>1</v>
      </c>
      <c r="W240">
        <v>1</v>
      </c>
      <c r="X240">
        <v>1</v>
      </c>
      <c r="Y240">
        <v>1</v>
      </c>
      <c r="Z240" t="s">
        <v>84</v>
      </c>
      <c r="AA240" s="5" t="s">
        <v>84</v>
      </c>
      <c r="AB240" s="5" t="s">
        <v>84</v>
      </c>
      <c r="AC240" t="s">
        <v>84</v>
      </c>
      <c r="AD240" t="s">
        <v>76</v>
      </c>
      <c r="AE240" s="5" t="s">
        <v>76</v>
      </c>
      <c r="AF240" t="s">
        <v>74</v>
      </c>
      <c r="AG240" t="s">
        <v>113</v>
      </c>
      <c r="AH240">
        <f t="shared" si="96"/>
        <v>0.10072343</v>
      </c>
      <c r="AI240">
        <f t="shared" ref="AI240:AI244" si="98">AJ240</f>
        <v>0.10072343</v>
      </c>
      <c r="AJ240">
        <f t="shared" si="84"/>
        <v>0.10072343</v>
      </c>
      <c r="AK240">
        <v>0.10072343</v>
      </c>
      <c r="AL240">
        <v>0.11351052</v>
      </c>
      <c r="AM240">
        <v>0.12728785000000001</v>
      </c>
      <c r="AN240">
        <v>0.13833334</v>
      </c>
      <c r="AO240">
        <v>89.927656999999996</v>
      </c>
      <c r="AP240">
        <v>88.648948000000004</v>
      </c>
      <c r="AQ240">
        <v>87.271214999999998</v>
      </c>
      <c r="AR240">
        <v>86.166666000000006</v>
      </c>
      <c r="AS240" t="b">
        <v>1</v>
      </c>
      <c r="AT240" t="b">
        <v>0</v>
      </c>
      <c r="AU240" t="s">
        <v>78</v>
      </c>
      <c r="AV240" t="s">
        <v>78</v>
      </c>
      <c r="AW240" t="s">
        <v>79</v>
      </c>
      <c r="AX240" t="s">
        <v>233</v>
      </c>
      <c r="AY240" t="s">
        <v>451</v>
      </c>
      <c r="AZ240" t="s">
        <v>109</v>
      </c>
      <c r="BA240">
        <v>2</v>
      </c>
      <c r="BB240">
        <v>2</v>
      </c>
      <c r="BC240">
        <v>4.6780407000000003E-2</v>
      </c>
      <c r="BD240">
        <v>6.0749635341231199E-3</v>
      </c>
      <c r="BE240">
        <v>5.2855370534123099E-2</v>
      </c>
      <c r="BF240">
        <f>IF(AK240&lt;BE240,1,0)</f>
        <v>0</v>
      </c>
      <c r="BG240">
        <f>IF(AK240&lt;BC240,1,0)</f>
        <v>0</v>
      </c>
    </row>
    <row r="241" spans="1:65" x14ac:dyDescent="0.2">
      <c r="A241">
        <v>1</v>
      </c>
      <c r="B241" t="s">
        <v>453</v>
      </c>
      <c r="C241">
        <v>121</v>
      </c>
      <c r="D241" t="s">
        <v>68</v>
      </c>
      <c r="E241">
        <v>0</v>
      </c>
      <c r="F241">
        <v>433</v>
      </c>
      <c r="G241" t="s">
        <v>119</v>
      </c>
      <c r="H241" s="1">
        <v>0</v>
      </c>
      <c r="I241" t="s">
        <v>70</v>
      </c>
      <c r="J241" t="s">
        <v>71</v>
      </c>
      <c r="K241" t="s">
        <v>109</v>
      </c>
      <c r="L241">
        <v>1</v>
      </c>
      <c r="M241">
        <v>1</v>
      </c>
      <c r="N241">
        <v>1</v>
      </c>
      <c r="O241">
        <v>0</v>
      </c>
      <c r="P241">
        <v>1</v>
      </c>
      <c r="Q241">
        <v>9</v>
      </c>
      <c r="R241">
        <v>0</v>
      </c>
      <c r="S241">
        <v>0</v>
      </c>
      <c r="T241">
        <v>0</v>
      </c>
      <c r="U241">
        <v>0</v>
      </c>
      <c r="V241">
        <f t="shared" si="81"/>
        <v>1</v>
      </c>
      <c r="W241">
        <v>1</v>
      </c>
      <c r="X241">
        <v>1</v>
      </c>
      <c r="Y241">
        <v>1</v>
      </c>
      <c r="Z241" t="s">
        <v>73</v>
      </c>
      <c r="AA241" s="5" t="s">
        <v>73</v>
      </c>
      <c r="AB241" s="5" t="s">
        <v>73</v>
      </c>
      <c r="AC241" t="s">
        <v>73</v>
      </c>
      <c r="AD241" t="s">
        <v>74</v>
      </c>
      <c r="AE241" s="5" t="s">
        <v>74</v>
      </c>
      <c r="AF241" t="s">
        <v>76</v>
      </c>
      <c r="AG241" t="s">
        <v>75</v>
      </c>
      <c r="AH241">
        <f t="shared" si="96"/>
        <v>7.8436809999999996E-2</v>
      </c>
      <c r="AI241">
        <f t="shared" si="98"/>
        <v>7.8436809999999996E-2</v>
      </c>
      <c r="AJ241">
        <f t="shared" si="84"/>
        <v>7.8436809999999996E-2</v>
      </c>
      <c r="AK241">
        <v>7.8436809999999996E-2</v>
      </c>
      <c r="AL241">
        <v>0.103285074</v>
      </c>
      <c r="AM241">
        <v>0.115769014</v>
      </c>
      <c r="AN241">
        <v>0.12291435000000001</v>
      </c>
      <c r="AO241">
        <v>92.156318999999996</v>
      </c>
      <c r="AP241">
        <v>89.671492599999993</v>
      </c>
      <c r="AQ241">
        <v>88.423098600000003</v>
      </c>
      <c r="AR241">
        <v>87.708564999999993</v>
      </c>
      <c r="AS241" t="b">
        <v>1</v>
      </c>
      <c r="AT241" t="b">
        <v>0</v>
      </c>
      <c r="AU241" t="s">
        <v>77</v>
      </c>
      <c r="AV241" t="s">
        <v>78</v>
      </c>
      <c r="AW241" t="s">
        <v>79</v>
      </c>
      <c r="AX241" t="s">
        <v>233</v>
      </c>
      <c r="AY241" t="s">
        <v>451</v>
      </c>
      <c r="AZ241" t="s">
        <v>109</v>
      </c>
      <c r="BA241">
        <v>8</v>
      </c>
      <c r="BB241">
        <v>2</v>
      </c>
      <c r="BC241">
        <v>4.1163553999999996E-3</v>
      </c>
      <c r="BD241">
        <v>1.4279989108178799E-4</v>
      </c>
      <c r="BE241">
        <v>4.2591552910817903E-3</v>
      </c>
      <c r="BF241">
        <f>IF(AK241&lt;BE241,1,0)</f>
        <v>0</v>
      </c>
      <c r="BG241">
        <f>IF(AK241&lt;BC241,1,0)</f>
        <v>0</v>
      </c>
    </row>
    <row r="242" spans="1:65" x14ac:dyDescent="0.2">
      <c r="A242">
        <v>1</v>
      </c>
      <c r="B242" t="s">
        <v>454</v>
      </c>
      <c r="C242">
        <v>122</v>
      </c>
      <c r="D242" t="s">
        <v>68</v>
      </c>
      <c r="E242">
        <v>0</v>
      </c>
      <c r="F242">
        <v>434</v>
      </c>
      <c r="G242" t="s">
        <v>97</v>
      </c>
      <c r="H242" s="1">
        <v>3.5</v>
      </c>
      <c r="I242" t="s">
        <v>87</v>
      </c>
      <c r="J242" t="s">
        <v>111</v>
      </c>
      <c r="K242" t="s">
        <v>109</v>
      </c>
      <c r="L242">
        <v>1</v>
      </c>
      <c r="M242">
        <v>0</v>
      </c>
      <c r="N242">
        <v>1</v>
      </c>
      <c r="O242">
        <v>0</v>
      </c>
      <c r="P242">
        <v>0</v>
      </c>
      <c r="Q242">
        <v>6</v>
      </c>
      <c r="R242">
        <v>0</v>
      </c>
      <c r="S242">
        <v>0</v>
      </c>
      <c r="T242">
        <v>0</v>
      </c>
      <c r="U242">
        <v>0</v>
      </c>
      <c r="V242">
        <f t="shared" si="81"/>
        <v>1</v>
      </c>
      <c r="W242">
        <v>1</v>
      </c>
      <c r="X242">
        <v>1</v>
      </c>
      <c r="Y242">
        <v>1</v>
      </c>
      <c r="Z242" t="s">
        <v>73</v>
      </c>
      <c r="AA242" s="5" t="s">
        <v>73</v>
      </c>
      <c r="AB242" s="5" t="s">
        <v>73</v>
      </c>
      <c r="AC242" t="s">
        <v>73</v>
      </c>
      <c r="AD242" t="s">
        <v>287</v>
      </c>
      <c r="AE242" s="5" t="s">
        <v>455</v>
      </c>
      <c r="AF242" t="s">
        <v>137</v>
      </c>
      <c r="AG242" t="s">
        <v>75</v>
      </c>
      <c r="AH242">
        <f t="shared" si="96"/>
        <v>0.116061606</v>
      </c>
      <c r="AI242">
        <f t="shared" si="98"/>
        <v>0.116061606</v>
      </c>
      <c r="AJ242">
        <f t="shared" si="84"/>
        <v>0.116061606</v>
      </c>
      <c r="AK242">
        <v>0.116061606</v>
      </c>
      <c r="AL242">
        <v>0.1404185</v>
      </c>
      <c r="AM242">
        <v>0.14344713000000001</v>
      </c>
      <c r="AN242">
        <v>0.14762694000000001</v>
      </c>
      <c r="AO242">
        <v>88.393839400000005</v>
      </c>
      <c r="AP242">
        <v>85.958150000000003</v>
      </c>
      <c r="AQ242">
        <v>85.655287000000001</v>
      </c>
      <c r="AR242">
        <v>85.237306000000004</v>
      </c>
      <c r="AS242" t="b">
        <v>1</v>
      </c>
      <c r="AT242" t="b">
        <v>0</v>
      </c>
      <c r="AU242" t="s">
        <v>78</v>
      </c>
      <c r="AV242" t="s">
        <v>108</v>
      </c>
      <c r="AW242" t="s">
        <v>79</v>
      </c>
      <c r="AX242" t="s">
        <v>233</v>
      </c>
      <c r="AY242" t="s">
        <v>429</v>
      </c>
      <c r="AZ242" t="s">
        <v>109</v>
      </c>
      <c r="BA242">
        <v>3</v>
      </c>
      <c r="BB242">
        <v>1</v>
      </c>
      <c r="BC242">
        <v>4.1163553999999996E-3</v>
      </c>
      <c r="BD242">
        <v>1.4279989108178799E-4</v>
      </c>
      <c r="BE242">
        <v>4.2591552910817903E-3</v>
      </c>
      <c r="BF242">
        <f>IF(AK242&lt;BE242,1,0)</f>
        <v>0</v>
      </c>
      <c r="BG242">
        <f>IF(AK242&lt;BC242,1,0)</f>
        <v>0</v>
      </c>
    </row>
    <row r="243" spans="1:65" x14ac:dyDescent="0.2">
      <c r="A243">
        <v>1</v>
      </c>
      <c r="B243" t="s">
        <v>456</v>
      </c>
      <c r="C243">
        <v>122</v>
      </c>
      <c r="D243" t="s">
        <v>68</v>
      </c>
      <c r="E243">
        <v>0</v>
      </c>
      <c r="F243">
        <v>434</v>
      </c>
      <c r="G243" t="s">
        <v>97</v>
      </c>
      <c r="H243" s="1">
        <v>3.5</v>
      </c>
      <c r="I243" t="s">
        <v>87</v>
      </c>
      <c r="J243" t="s">
        <v>111</v>
      </c>
      <c r="K243" t="s">
        <v>109</v>
      </c>
      <c r="L243">
        <v>1</v>
      </c>
      <c r="M243">
        <v>0</v>
      </c>
      <c r="N243">
        <v>1</v>
      </c>
      <c r="O243">
        <v>0</v>
      </c>
      <c r="P243">
        <v>0</v>
      </c>
      <c r="Q243">
        <v>6</v>
      </c>
      <c r="R243">
        <v>0</v>
      </c>
      <c r="S243">
        <v>0</v>
      </c>
      <c r="T243">
        <v>0</v>
      </c>
      <c r="U243">
        <v>0</v>
      </c>
      <c r="V243">
        <f t="shared" si="81"/>
        <v>1</v>
      </c>
      <c r="W243">
        <v>1</v>
      </c>
      <c r="X243">
        <v>1</v>
      </c>
      <c r="Y243">
        <v>1</v>
      </c>
      <c r="Z243" t="s">
        <v>76</v>
      </c>
      <c r="AA243" s="5" t="s">
        <v>76</v>
      </c>
      <c r="AB243" s="5" t="s">
        <v>76</v>
      </c>
      <c r="AC243" t="s">
        <v>76</v>
      </c>
      <c r="AD243" t="s">
        <v>74</v>
      </c>
      <c r="AE243" s="5" t="s">
        <v>74</v>
      </c>
      <c r="AF243" t="s">
        <v>75</v>
      </c>
      <c r="AG243" t="s">
        <v>120</v>
      </c>
      <c r="AH243">
        <f t="shared" si="96"/>
        <v>8.2739726E-2</v>
      </c>
      <c r="AI243">
        <f t="shared" si="98"/>
        <v>8.2739726E-2</v>
      </c>
      <c r="AJ243">
        <f t="shared" si="84"/>
        <v>8.2739726E-2</v>
      </c>
      <c r="AK243">
        <v>8.2739726E-2</v>
      </c>
      <c r="AL243">
        <v>0.10005496999999999</v>
      </c>
      <c r="AM243">
        <v>0.123765096</v>
      </c>
      <c r="AN243">
        <v>0.12438356</v>
      </c>
      <c r="AO243">
        <v>91.726027400000007</v>
      </c>
      <c r="AP243">
        <v>89.994502999999995</v>
      </c>
      <c r="AQ243">
        <v>87.623490399999994</v>
      </c>
      <c r="AR243">
        <v>87.561644000000001</v>
      </c>
      <c r="AS243" t="b">
        <v>1</v>
      </c>
      <c r="AT243" t="b">
        <v>0</v>
      </c>
      <c r="AU243" t="s">
        <v>77</v>
      </c>
      <c r="AV243" t="s">
        <v>78</v>
      </c>
      <c r="AW243" t="s">
        <v>79</v>
      </c>
      <c r="AX243" t="s">
        <v>233</v>
      </c>
      <c r="AY243" t="s">
        <v>429</v>
      </c>
      <c r="AZ243" t="s">
        <v>109</v>
      </c>
      <c r="BA243">
        <v>3</v>
      </c>
      <c r="BB243">
        <v>2</v>
      </c>
      <c r="BC243">
        <v>7.7070764999999999E-2</v>
      </c>
      <c r="BD243">
        <v>1.90190515067399E-3</v>
      </c>
      <c r="BE243">
        <v>7.8972670150673996E-2</v>
      </c>
      <c r="BF243">
        <f>IF(AK243&lt;BE243,1,0)</f>
        <v>0</v>
      </c>
      <c r="BG243">
        <f>IF(AK243&lt;BC243,1,0)</f>
        <v>0</v>
      </c>
    </row>
    <row r="244" spans="1:65" x14ac:dyDescent="0.2">
      <c r="A244">
        <v>1</v>
      </c>
      <c r="B244" t="s">
        <v>457</v>
      </c>
      <c r="C244">
        <v>123</v>
      </c>
      <c r="D244" t="s">
        <v>68</v>
      </c>
      <c r="E244">
        <v>1</v>
      </c>
      <c r="F244">
        <v>627</v>
      </c>
      <c r="G244" t="s">
        <v>69</v>
      </c>
      <c r="H244" s="1">
        <v>6</v>
      </c>
      <c r="I244" t="s">
        <v>70</v>
      </c>
      <c r="J244" t="s">
        <v>71</v>
      </c>
      <c r="K244" t="s">
        <v>109</v>
      </c>
      <c r="L244">
        <v>1</v>
      </c>
      <c r="M244">
        <v>1</v>
      </c>
      <c r="N244">
        <v>1</v>
      </c>
      <c r="O244">
        <v>0</v>
      </c>
      <c r="P244">
        <v>0</v>
      </c>
      <c r="Q244">
        <v>6</v>
      </c>
      <c r="R244">
        <v>0</v>
      </c>
      <c r="S244">
        <v>0</v>
      </c>
      <c r="T244">
        <v>0</v>
      </c>
      <c r="U244">
        <v>0</v>
      </c>
      <c r="V244">
        <f t="shared" si="81"/>
        <v>1</v>
      </c>
      <c r="W244">
        <v>1</v>
      </c>
      <c r="X244">
        <v>1</v>
      </c>
      <c r="Y244">
        <v>1</v>
      </c>
      <c r="Z244" t="s">
        <v>73</v>
      </c>
      <c r="AA244" s="5" t="s">
        <v>73</v>
      </c>
      <c r="AB244" s="5" t="s">
        <v>458</v>
      </c>
      <c r="AC244" t="s">
        <v>73</v>
      </c>
      <c r="AD244" t="s">
        <v>94</v>
      </c>
      <c r="AE244" s="5" t="s">
        <v>94</v>
      </c>
      <c r="AF244" t="s">
        <v>75</v>
      </c>
      <c r="AG244" t="s">
        <v>95</v>
      </c>
      <c r="AH244">
        <f t="shared" si="96"/>
        <v>6.515812E-2</v>
      </c>
      <c r="AI244">
        <f t="shared" si="98"/>
        <v>6.515812E-2</v>
      </c>
      <c r="AJ244">
        <f t="shared" si="84"/>
        <v>6.515812E-2</v>
      </c>
      <c r="AK244">
        <v>6.515812E-2</v>
      </c>
      <c r="AL244">
        <v>0.11926856</v>
      </c>
      <c r="AM244">
        <v>0.12773523000000001</v>
      </c>
      <c r="AN244">
        <v>0.14016392999999999</v>
      </c>
      <c r="AO244">
        <v>93.484188000000003</v>
      </c>
      <c r="AP244">
        <v>88.073143999999999</v>
      </c>
      <c r="AQ244">
        <v>87.226477000000003</v>
      </c>
      <c r="AR244">
        <v>85.983607000000006</v>
      </c>
      <c r="AS244" t="b">
        <v>1</v>
      </c>
      <c r="AT244" t="b">
        <v>0</v>
      </c>
      <c r="AU244" t="s">
        <v>77</v>
      </c>
      <c r="AV244" t="s">
        <v>78</v>
      </c>
      <c r="AW244" t="s">
        <v>79</v>
      </c>
      <c r="AX244" t="s">
        <v>233</v>
      </c>
      <c r="AY244" t="s">
        <v>459</v>
      </c>
      <c r="AZ244" t="s">
        <v>109</v>
      </c>
      <c r="BA244">
        <v>3</v>
      </c>
      <c r="BB244">
        <v>1.5</v>
      </c>
      <c r="BC244">
        <v>4.1163553999999996E-3</v>
      </c>
      <c r="BD244">
        <v>1.4279989108178799E-4</v>
      </c>
      <c r="BE244">
        <v>4.2591552910817903E-3</v>
      </c>
      <c r="BF244">
        <f>IF(AK244&lt;BE244,1,0)</f>
        <v>0</v>
      </c>
      <c r="BG244">
        <f>IF(AK244&lt;BC244,1,0)</f>
        <v>0</v>
      </c>
      <c r="BH244">
        <f>VLOOKUP($B244,[1]Data_Peer_with_peerVars!$B$2:$Z$1050,20,FALSE)</f>
        <v>10</v>
      </c>
      <c r="BI244">
        <f>VLOOKUP($B244,[1]Data_Peer_with_peerVars!$B$2:$Z$1050,21,FALSE)</f>
        <v>8</v>
      </c>
      <c r="BJ244">
        <f>VLOOKUP($B244,[1]Data_Peer_with_peerVars!$B$2:$Z$1050,22,FALSE)</f>
        <v>0.8</v>
      </c>
      <c r="BK244">
        <f>VLOOKUP($B244,[1]Data_Peer_with_peerVars!$B$2:$Z$1050,23,FALSE)</f>
        <v>37</v>
      </c>
      <c r="BL244">
        <f>VLOOKUP($B244,[1]Data_Peer_with_peerVars!$B$2:$Z$1050,24,FALSE)</f>
        <v>27</v>
      </c>
      <c r="BM244">
        <f>VLOOKUP($B244,[1]Data_Peer_with_peerVars!$B$2:$Z$1050,25,FALSE)</f>
        <v>0.72972972999999997</v>
      </c>
    </row>
    <row r="245" spans="1:65" x14ac:dyDescent="0.2">
      <c r="A245">
        <v>1</v>
      </c>
      <c r="B245" t="s">
        <v>460</v>
      </c>
      <c r="C245">
        <v>123</v>
      </c>
      <c r="D245" t="s">
        <v>68</v>
      </c>
      <c r="E245">
        <v>1</v>
      </c>
      <c r="F245">
        <v>627</v>
      </c>
      <c r="G245" t="s">
        <v>69</v>
      </c>
      <c r="H245" s="1">
        <v>6</v>
      </c>
      <c r="I245" t="s">
        <v>70</v>
      </c>
      <c r="J245" t="s">
        <v>71</v>
      </c>
      <c r="K245" t="s">
        <v>109</v>
      </c>
      <c r="L245">
        <v>1</v>
      </c>
      <c r="M245">
        <v>1</v>
      </c>
      <c r="N245">
        <v>1</v>
      </c>
      <c r="O245">
        <v>0</v>
      </c>
      <c r="P245">
        <v>0</v>
      </c>
      <c r="Q245">
        <v>6</v>
      </c>
      <c r="R245">
        <v>1</v>
      </c>
      <c r="S245">
        <v>1</v>
      </c>
      <c r="T245">
        <v>1</v>
      </c>
      <c r="U245">
        <v>1</v>
      </c>
      <c r="V245">
        <f t="shared" si="81"/>
        <v>0</v>
      </c>
      <c r="W245">
        <f t="shared" si="82"/>
        <v>0</v>
      </c>
      <c r="X245">
        <f t="shared" si="85"/>
        <v>0</v>
      </c>
      <c r="Y245">
        <f t="shared" si="83"/>
        <v>0</v>
      </c>
      <c r="Z245" t="s">
        <v>76</v>
      </c>
      <c r="AA245" s="5" t="s">
        <v>76</v>
      </c>
      <c r="AB245" s="5" t="s">
        <v>409</v>
      </c>
      <c r="AC245" t="s">
        <v>196</v>
      </c>
      <c r="AD245" t="s">
        <v>198</v>
      </c>
      <c r="AE245" s="5" t="s">
        <v>461</v>
      </c>
      <c r="AF245" t="s">
        <v>173</v>
      </c>
      <c r="AG245" t="s">
        <v>174</v>
      </c>
      <c r="AH245">
        <f>AI245</f>
        <v>9.8792539999999998E-2</v>
      </c>
      <c r="AI245">
        <f>AJ245</f>
        <v>9.8792539999999998E-2</v>
      </c>
      <c r="AJ245">
        <f t="shared" si="84"/>
        <v>9.8792539999999998E-2</v>
      </c>
      <c r="AK245">
        <v>9.8792539999999998E-2</v>
      </c>
      <c r="AL245">
        <v>0.10043908</v>
      </c>
      <c r="AM245">
        <v>0.10081967</v>
      </c>
      <c r="AN245">
        <v>0.10393872999999999</v>
      </c>
      <c r="AO245">
        <v>90.120745999999997</v>
      </c>
      <c r="AP245">
        <v>89.956091999999998</v>
      </c>
      <c r="AQ245">
        <v>89.918032999999994</v>
      </c>
      <c r="AR245">
        <v>89.606127000000001</v>
      </c>
      <c r="AS245" t="b">
        <v>0</v>
      </c>
      <c r="AT245" t="b">
        <v>0</v>
      </c>
      <c r="AU245" t="s">
        <v>77</v>
      </c>
      <c r="AV245" t="s">
        <v>108</v>
      </c>
      <c r="AW245" t="s">
        <v>79</v>
      </c>
      <c r="AX245" t="s">
        <v>233</v>
      </c>
      <c r="AY245" t="s">
        <v>459</v>
      </c>
      <c r="AZ245" t="s">
        <v>109</v>
      </c>
      <c r="BA245">
        <v>5</v>
      </c>
      <c r="BB245">
        <v>1.5</v>
      </c>
      <c r="BC245">
        <v>2.6736494E-2</v>
      </c>
      <c r="BD245">
        <v>2.13125818054995E-3</v>
      </c>
      <c r="BE245">
        <v>2.8867752180549901E-2</v>
      </c>
      <c r="BF245">
        <f>IF(AK245&lt;BE245,1,0)</f>
        <v>0</v>
      </c>
      <c r="BG245">
        <f>IF(AK245&lt;BC245,1,0)</f>
        <v>0</v>
      </c>
      <c r="BH245">
        <f>VLOOKUP($B245,[1]Data_Peer_with_peerVars!$B$2:$Z$1050,20,FALSE)</f>
        <v>10</v>
      </c>
      <c r="BI245">
        <f>VLOOKUP($B245,[1]Data_Peer_with_peerVars!$B$2:$Z$1050,21,FALSE)</f>
        <v>8</v>
      </c>
      <c r="BJ245">
        <f>VLOOKUP($B245,[1]Data_Peer_with_peerVars!$B$2:$Z$1050,22,FALSE)</f>
        <v>0.8</v>
      </c>
      <c r="BK245">
        <f>VLOOKUP($B245,[1]Data_Peer_with_peerVars!$B$2:$Z$1050,23,FALSE)</f>
        <v>37</v>
      </c>
      <c r="BL245">
        <f>VLOOKUP($B245,[1]Data_Peer_with_peerVars!$B$2:$Z$1050,24,FALSE)</f>
        <v>27</v>
      </c>
      <c r="BM245">
        <f>VLOOKUP($B245,[1]Data_Peer_with_peerVars!$B$2:$Z$1050,25,FALSE)</f>
        <v>0.72972972999999997</v>
      </c>
    </row>
    <row r="246" spans="1:65" x14ac:dyDescent="0.2">
      <c r="A246">
        <v>1</v>
      </c>
      <c r="B246" t="s">
        <v>462</v>
      </c>
      <c r="C246">
        <v>124</v>
      </c>
      <c r="D246" t="s">
        <v>68</v>
      </c>
      <c r="E246">
        <v>1</v>
      </c>
      <c r="F246">
        <v>629</v>
      </c>
      <c r="G246" t="s">
        <v>69</v>
      </c>
      <c r="H246" s="1">
        <v>4</v>
      </c>
      <c r="I246" t="s">
        <v>70</v>
      </c>
      <c r="J246" t="s">
        <v>71</v>
      </c>
      <c r="K246" t="s">
        <v>109</v>
      </c>
      <c r="L246">
        <v>1</v>
      </c>
      <c r="M246">
        <v>0</v>
      </c>
      <c r="N246">
        <v>1</v>
      </c>
      <c r="O246">
        <v>1</v>
      </c>
      <c r="P246">
        <v>0</v>
      </c>
      <c r="Q246">
        <v>6</v>
      </c>
      <c r="R246">
        <v>0</v>
      </c>
      <c r="S246">
        <v>0</v>
      </c>
      <c r="T246">
        <v>1</v>
      </c>
      <c r="U246">
        <v>1</v>
      </c>
      <c r="V246">
        <f t="shared" si="81"/>
        <v>1</v>
      </c>
      <c r="W246">
        <v>1</v>
      </c>
      <c r="X246">
        <v>1</v>
      </c>
      <c r="Y246">
        <v>1</v>
      </c>
      <c r="Z246" t="s">
        <v>73</v>
      </c>
      <c r="AA246" s="5" t="s">
        <v>73</v>
      </c>
      <c r="AB246" s="5" t="s">
        <v>73</v>
      </c>
      <c r="AC246" t="s">
        <v>73</v>
      </c>
      <c r="AD246" t="s">
        <v>94</v>
      </c>
      <c r="AE246" s="5" t="s">
        <v>106</v>
      </c>
      <c r="AF246" t="s">
        <v>107</v>
      </c>
      <c r="AG246" t="s">
        <v>75</v>
      </c>
      <c r="AH246">
        <f t="shared" ref="AH246:AH248" si="99">AI246</f>
        <v>2.6732134000000001E-2</v>
      </c>
      <c r="AI246">
        <f t="shared" ref="AI246:AI248" si="100">AJ246</f>
        <v>2.6732134000000001E-2</v>
      </c>
      <c r="AJ246">
        <f t="shared" si="84"/>
        <v>2.6732134000000001E-2</v>
      </c>
      <c r="AK246">
        <v>2.6732134000000001E-2</v>
      </c>
      <c r="AL246">
        <v>0.12998361999999999</v>
      </c>
      <c r="AM246">
        <v>0.13753425</v>
      </c>
      <c r="AN246">
        <v>0.13937569</v>
      </c>
      <c r="AO246">
        <v>97.326786600000005</v>
      </c>
      <c r="AP246">
        <v>87.001638</v>
      </c>
      <c r="AQ246">
        <v>86.246575000000007</v>
      </c>
      <c r="AR246">
        <v>86.062431000000004</v>
      </c>
      <c r="AS246" t="b">
        <v>1</v>
      </c>
      <c r="AT246" t="b">
        <v>0</v>
      </c>
      <c r="AU246" t="s">
        <v>77</v>
      </c>
      <c r="AV246" t="s">
        <v>108</v>
      </c>
      <c r="AW246" t="s">
        <v>79</v>
      </c>
      <c r="AX246" t="s">
        <v>233</v>
      </c>
      <c r="AY246" t="s">
        <v>459</v>
      </c>
      <c r="AZ246" t="s">
        <v>109</v>
      </c>
      <c r="BA246">
        <v>2</v>
      </c>
      <c r="BB246">
        <v>1.5</v>
      </c>
      <c r="BC246">
        <v>4.1163553999999996E-3</v>
      </c>
      <c r="BD246">
        <v>1.4279989108178799E-4</v>
      </c>
      <c r="BE246">
        <v>4.2591552910817903E-3</v>
      </c>
      <c r="BF246">
        <f>IF(AK246&lt;BE246,1,0)</f>
        <v>0</v>
      </c>
      <c r="BG246">
        <f>IF(AK246&lt;BC246,1,0)</f>
        <v>0</v>
      </c>
      <c r="BH246">
        <f>VLOOKUP($B246,[1]Data_Peer_with_peerVars!$B$2:$Z$1050,20,FALSE)</f>
        <v>0</v>
      </c>
      <c r="BI246">
        <f>VLOOKUP($B246,[1]Data_Peer_with_peerVars!$B$2:$Z$1050,21,FALSE)</f>
        <v>0</v>
      </c>
      <c r="BJ246">
        <v>0</v>
      </c>
      <c r="BK246">
        <f>VLOOKUP($B246,[1]Data_Peer_with_peerVars!$B$2:$Z$1050,23,FALSE)</f>
        <v>35</v>
      </c>
      <c r="BL246">
        <f>VLOOKUP($B246,[1]Data_Peer_with_peerVars!$B$2:$Z$1050,24,FALSE)</f>
        <v>24</v>
      </c>
      <c r="BM246">
        <f>VLOOKUP($B246,[1]Data_Peer_with_peerVars!$B$2:$Z$1050,25,FALSE)</f>
        <v>0.68571428599999995</v>
      </c>
    </row>
    <row r="247" spans="1:65" x14ac:dyDescent="0.2">
      <c r="A247">
        <v>1</v>
      </c>
      <c r="B247" t="s">
        <v>463</v>
      </c>
      <c r="C247">
        <v>124</v>
      </c>
      <c r="D247" t="s">
        <v>68</v>
      </c>
      <c r="E247">
        <v>1</v>
      </c>
      <c r="F247">
        <v>629</v>
      </c>
      <c r="G247" t="s">
        <v>69</v>
      </c>
      <c r="H247" s="1">
        <v>4</v>
      </c>
      <c r="I247" t="s">
        <v>70</v>
      </c>
      <c r="J247" t="s">
        <v>71</v>
      </c>
      <c r="K247" t="s">
        <v>109</v>
      </c>
      <c r="L247">
        <v>1</v>
      </c>
      <c r="M247">
        <v>0</v>
      </c>
      <c r="N247">
        <v>1</v>
      </c>
      <c r="O247">
        <v>1</v>
      </c>
      <c r="P247">
        <v>0</v>
      </c>
      <c r="Q247">
        <v>6</v>
      </c>
      <c r="R247">
        <v>0</v>
      </c>
      <c r="S247">
        <v>0</v>
      </c>
      <c r="T247">
        <v>0</v>
      </c>
      <c r="U247">
        <v>0</v>
      </c>
      <c r="V247">
        <f t="shared" si="81"/>
        <v>1</v>
      </c>
      <c r="W247">
        <v>1</v>
      </c>
      <c r="X247">
        <v>1</v>
      </c>
      <c r="Y247">
        <v>1</v>
      </c>
      <c r="Z247" t="s">
        <v>76</v>
      </c>
      <c r="AA247" s="5" t="s">
        <v>76</v>
      </c>
      <c r="AB247" s="5" t="s">
        <v>76</v>
      </c>
      <c r="AC247" t="s">
        <v>76</v>
      </c>
      <c r="AD247" t="s">
        <v>74</v>
      </c>
      <c r="AE247" s="5" t="s">
        <v>74</v>
      </c>
      <c r="AF247" t="s">
        <v>75</v>
      </c>
      <c r="AG247" t="s">
        <v>120</v>
      </c>
      <c r="AH247">
        <f t="shared" si="99"/>
        <v>8.9617479999999999E-2</v>
      </c>
      <c r="AI247">
        <f t="shared" si="100"/>
        <v>8.9617479999999999E-2</v>
      </c>
      <c r="AJ247">
        <f t="shared" si="84"/>
        <v>8.9617479999999999E-2</v>
      </c>
      <c r="AK247">
        <v>8.9617479999999999E-2</v>
      </c>
      <c r="AL247">
        <v>9.2379383999999995E-2</v>
      </c>
      <c r="AM247">
        <v>0.121237</v>
      </c>
      <c r="AN247">
        <v>0.122404374</v>
      </c>
      <c r="AO247">
        <v>91.038252</v>
      </c>
      <c r="AP247">
        <v>90.762061599999996</v>
      </c>
      <c r="AQ247">
        <v>87.876300000000001</v>
      </c>
      <c r="AR247">
        <v>87.759562599999995</v>
      </c>
      <c r="AS247" t="b">
        <v>1</v>
      </c>
      <c r="AT247" t="b">
        <v>0</v>
      </c>
      <c r="AU247" t="s">
        <v>77</v>
      </c>
      <c r="AV247" t="s">
        <v>77</v>
      </c>
      <c r="AW247" t="s">
        <v>79</v>
      </c>
      <c r="AX247" t="s">
        <v>233</v>
      </c>
      <c r="AY247" t="s">
        <v>459</v>
      </c>
      <c r="AZ247" t="s">
        <v>109</v>
      </c>
      <c r="BA247">
        <v>5</v>
      </c>
      <c r="BB247">
        <v>1.5</v>
      </c>
      <c r="BC247">
        <v>7.7070764999999999E-2</v>
      </c>
      <c r="BD247">
        <v>1.90190515067399E-3</v>
      </c>
      <c r="BE247">
        <v>7.8972670150673996E-2</v>
      </c>
      <c r="BF247">
        <f>IF(AK247&lt;BE247,1,0)</f>
        <v>0</v>
      </c>
      <c r="BG247">
        <f>IF(AK247&lt;BC247,1,0)</f>
        <v>0</v>
      </c>
      <c r="BH247">
        <f>VLOOKUP($B247,[1]Data_Peer_with_peerVars!$B$2:$Z$1050,20,FALSE)</f>
        <v>0</v>
      </c>
      <c r="BI247">
        <f>VLOOKUP($B247,[1]Data_Peer_with_peerVars!$B$2:$Z$1050,21,FALSE)</f>
        <v>0</v>
      </c>
      <c r="BJ247">
        <v>0</v>
      </c>
      <c r="BK247">
        <f>VLOOKUP($B247,[1]Data_Peer_with_peerVars!$B$2:$Z$1050,23,FALSE)</f>
        <v>35</v>
      </c>
      <c r="BL247">
        <f>VLOOKUP($B247,[1]Data_Peer_with_peerVars!$B$2:$Z$1050,24,FALSE)</f>
        <v>24</v>
      </c>
      <c r="BM247">
        <f>VLOOKUP($B247,[1]Data_Peer_with_peerVars!$B$2:$Z$1050,25,FALSE)</f>
        <v>0.68571428599999995</v>
      </c>
    </row>
    <row r="248" spans="1:65" x14ac:dyDescent="0.2">
      <c r="A248">
        <v>1</v>
      </c>
      <c r="B248" t="s">
        <v>464</v>
      </c>
      <c r="C248">
        <v>125</v>
      </c>
      <c r="D248" t="s">
        <v>68</v>
      </c>
      <c r="E248">
        <v>1</v>
      </c>
      <c r="F248">
        <v>630</v>
      </c>
      <c r="G248" t="s">
        <v>86</v>
      </c>
      <c r="H248" s="1">
        <v>7</v>
      </c>
      <c r="I248" t="s">
        <v>70</v>
      </c>
      <c r="J248" t="s">
        <v>71</v>
      </c>
      <c r="K248" t="s">
        <v>109</v>
      </c>
      <c r="L248">
        <v>1</v>
      </c>
      <c r="M248">
        <v>0</v>
      </c>
      <c r="N248">
        <v>1</v>
      </c>
      <c r="O248">
        <v>1</v>
      </c>
      <c r="P248">
        <v>1</v>
      </c>
      <c r="Q248">
        <v>6</v>
      </c>
      <c r="R248">
        <v>0</v>
      </c>
      <c r="S248">
        <v>0</v>
      </c>
      <c r="T248">
        <v>0</v>
      </c>
      <c r="U248">
        <v>0</v>
      </c>
      <c r="V248">
        <f t="shared" si="81"/>
        <v>1</v>
      </c>
      <c r="W248">
        <v>1</v>
      </c>
      <c r="X248">
        <v>1</v>
      </c>
      <c r="Y248">
        <v>1</v>
      </c>
      <c r="Z248" t="s">
        <v>76</v>
      </c>
      <c r="AA248" s="5" t="s">
        <v>76</v>
      </c>
      <c r="AB248" s="5" t="s">
        <v>76</v>
      </c>
      <c r="AC248" t="s">
        <v>76</v>
      </c>
      <c r="AD248" t="s">
        <v>74</v>
      </c>
      <c r="AE248" s="5" t="s">
        <v>74</v>
      </c>
      <c r="AF248" t="s">
        <v>75</v>
      </c>
      <c r="AG248" t="s">
        <v>120</v>
      </c>
      <c r="AH248">
        <f t="shared" si="99"/>
        <v>8.424508E-2</v>
      </c>
      <c r="AI248">
        <f t="shared" si="100"/>
        <v>8.424508E-2</v>
      </c>
      <c r="AJ248">
        <f t="shared" si="84"/>
        <v>8.424508E-2</v>
      </c>
      <c r="AK248">
        <v>8.424508E-2</v>
      </c>
      <c r="AL248">
        <v>8.9413054000000006E-2</v>
      </c>
      <c r="AM248">
        <v>0.11917808000000001</v>
      </c>
      <c r="AN248">
        <v>0.11932129399999999</v>
      </c>
      <c r="AO248">
        <v>91.575491999999997</v>
      </c>
      <c r="AP248">
        <v>91.058694599999995</v>
      </c>
      <c r="AQ248">
        <v>88.082192000000006</v>
      </c>
      <c r="AR248">
        <v>88.067870600000006</v>
      </c>
      <c r="AS248" t="b">
        <v>1</v>
      </c>
      <c r="AT248" t="b">
        <v>0</v>
      </c>
      <c r="AU248" t="s">
        <v>77</v>
      </c>
      <c r="AV248" t="s">
        <v>77</v>
      </c>
      <c r="AW248" t="s">
        <v>79</v>
      </c>
      <c r="AX248" t="s">
        <v>233</v>
      </c>
      <c r="AY248" t="s">
        <v>459</v>
      </c>
      <c r="AZ248" t="s">
        <v>109</v>
      </c>
      <c r="BA248">
        <v>8</v>
      </c>
      <c r="BB248">
        <v>1</v>
      </c>
      <c r="BC248">
        <v>7.7070764999999999E-2</v>
      </c>
      <c r="BD248">
        <v>1.90190515067399E-3</v>
      </c>
      <c r="BE248">
        <v>7.8972670150673996E-2</v>
      </c>
      <c r="BF248">
        <f>IF(AK248&lt;BE248,1,0)</f>
        <v>0</v>
      </c>
      <c r="BG248">
        <f>IF(AK248&lt;BC248,1,0)</f>
        <v>0</v>
      </c>
      <c r="BH248">
        <f>VLOOKUP($B248,[1]Data_Peer_with_peerVars!$B$2:$Z$1050,20,FALSE)</f>
        <v>2</v>
      </c>
      <c r="BI248">
        <f>VLOOKUP($B248,[1]Data_Peer_with_peerVars!$B$2:$Z$1050,21,FALSE)</f>
        <v>1</v>
      </c>
      <c r="BJ248">
        <f>VLOOKUP($B248,[1]Data_Peer_with_peerVars!$B$2:$Z$1050,22,FALSE)</f>
        <v>0.5</v>
      </c>
      <c r="BK248">
        <f>VLOOKUP($B248,[1]Data_Peer_with_peerVars!$B$2:$Z$1050,23,FALSE)</f>
        <v>37</v>
      </c>
      <c r="BL248">
        <f>VLOOKUP($B248,[1]Data_Peer_with_peerVars!$B$2:$Z$1050,24,FALSE)</f>
        <v>27</v>
      </c>
      <c r="BM248">
        <f>VLOOKUP($B248,[1]Data_Peer_with_peerVars!$B$2:$Z$1050,25,FALSE)</f>
        <v>0.72972972999999997</v>
      </c>
    </row>
    <row r="249" spans="1:65" x14ac:dyDescent="0.2">
      <c r="A249">
        <v>1</v>
      </c>
      <c r="B249" t="s">
        <v>465</v>
      </c>
      <c r="C249">
        <v>125</v>
      </c>
      <c r="D249" t="s">
        <v>68</v>
      </c>
      <c r="E249">
        <v>1</v>
      </c>
      <c r="F249">
        <v>630</v>
      </c>
      <c r="G249" t="s">
        <v>86</v>
      </c>
      <c r="H249" s="1">
        <v>7</v>
      </c>
      <c r="I249" t="s">
        <v>70</v>
      </c>
      <c r="J249" t="s">
        <v>71</v>
      </c>
      <c r="K249" t="s">
        <v>109</v>
      </c>
      <c r="L249">
        <v>1</v>
      </c>
      <c r="M249">
        <v>0</v>
      </c>
      <c r="N249">
        <v>1</v>
      </c>
      <c r="O249">
        <v>1</v>
      </c>
      <c r="P249">
        <v>1</v>
      </c>
      <c r="Q249">
        <v>6</v>
      </c>
      <c r="R249">
        <v>0</v>
      </c>
      <c r="S249">
        <v>0</v>
      </c>
      <c r="T249">
        <v>0</v>
      </c>
      <c r="U249">
        <v>0</v>
      </c>
      <c r="V249">
        <f t="shared" si="81"/>
        <v>0</v>
      </c>
      <c r="W249">
        <f t="shared" si="82"/>
        <v>0</v>
      </c>
      <c r="X249">
        <f t="shared" si="85"/>
        <v>0</v>
      </c>
      <c r="Y249">
        <f t="shared" si="83"/>
        <v>0</v>
      </c>
      <c r="Z249" t="s">
        <v>84</v>
      </c>
      <c r="AA249" s="5" t="s">
        <v>84</v>
      </c>
      <c r="AB249" s="5" t="s">
        <v>84</v>
      </c>
      <c r="AC249" t="s">
        <v>76</v>
      </c>
      <c r="AD249" t="s">
        <v>74</v>
      </c>
      <c r="AE249" s="5" t="s">
        <v>142</v>
      </c>
      <c r="AF249" t="s">
        <v>120</v>
      </c>
      <c r="AG249" t="s">
        <v>75</v>
      </c>
      <c r="AH249">
        <f>AI249</f>
        <v>8.3971550000000006E-2</v>
      </c>
      <c r="AI249">
        <f>AJ249</f>
        <v>8.3971550000000006E-2</v>
      </c>
      <c r="AJ249">
        <f t="shared" si="84"/>
        <v>8.3971550000000006E-2</v>
      </c>
      <c r="AK249">
        <v>8.3971550000000006E-2</v>
      </c>
      <c r="AL249">
        <v>8.5847504000000005E-2</v>
      </c>
      <c r="AM249">
        <v>0.11761488</v>
      </c>
      <c r="AN249">
        <v>0.12109589</v>
      </c>
      <c r="AO249">
        <v>91.602845000000002</v>
      </c>
      <c r="AP249">
        <v>91.415249599999996</v>
      </c>
      <c r="AQ249">
        <v>88.238512</v>
      </c>
      <c r="AR249">
        <v>87.890411</v>
      </c>
      <c r="AS249" t="b">
        <v>0</v>
      </c>
      <c r="AT249" t="b">
        <v>0</v>
      </c>
      <c r="AU249" t="s">
        <v>108</v>
      </c>
      <c r="AV249" t="s">
        <v>108</v>
      </c>
      <c r="AW249" t="s">
        <v>79</v>
      </c>
      <c r="AX249" t="s">
        <v>233</v>
      </c>
      <c r="AY249" t="s">
        <v>459</v>
      </c>
      <c r="AZ249" t="s">
        <v>109</v>
      </c>
      <c r="BA249">
        <v>8</v>
      </c>
      <c r="BB249">
        <v>1</v>
      </c>
      <c r="BC249">
        <v>7.7070764999999999E-2</v>
      </c>
      <c r="BD249">
        <v>1.90190515067399E-3</v>
      </c>
      <c r="BE249">
        <v>7.8972670150673996E-2</v>
      </c>
      <c r="BF249">
        <f>IF(AK249&lt;BE249,1,0)</f>
        <v>0</v>
      </c>
      <c r="BG249">
        <f>IF(AK249&lt;BC249,1,0)</f>
        <v>0</v>
      </c>
      <c r="BH249">
        <f>VLOOKUP($B249,[1]Data_Peer_with_peerVars!$B$2:$Z$1050,20,FALSE)</f>
        <v>2</v>
      </c>
      <c r="BI249">
        <f>VLOOKUP($B249,[1]Data_Peer_with_peerVars!$B$2:$Z$1050,21,FALSE)</f>
        <v>1</v>
      </c>
      <c r="BJ249">
        <f>VLOOKUP($B249,[1]Data_Peer_with_peerVars!$B$2:$Z$1050,22,FALSE)</f>
        <v>0.5</v>
      </c>
      <c r="BK249">
        <f>VLOOKUP($B249,[1]Data_Peer_with_peerVars!$B$2:$Z$1050,23,FALSE)</f>
        <v>37</v>
      </c>
      <c r="BL249">
        <f>VLOOKUP($B249,[1]Data_Peer_with_peerVars!$B$2:$Z$1050,24,FALSE)</f>
        <v>27</v>
      </c>
      <c r="BM249">
        <f>VLOOKUP($B249,[1]Data_Peer_with_peerVars!$B$2:$Z$1050,25,FALSE)</f>
        <v>0.72972972999999997</v>
      </c>
    </row>
    <row r="250" spans="1:65" x14ac:dyDescent="0.2">
      <c r="A250">
        <v>1</v>
      </c>
      <c r="B250" t="s">
        <v>466</v>
      </c>
      <c r="C250">
        <v>126</v>
      </c>
      <c r="D250" t="s">
        <v>68</v>
      </c>
      <c r="E250">
        <v>0</v>
      </c>
      <c r="F250">
        <v>841</v>
      </c>
      <c r="G250" t="s">
        <v>119</v>
      </c>
      <c r="H250" s="1">
        <v>4</v>
      </c>
      <c r="I250" t="s">
        <v>87</v>
      </c>
      <c r="J250" t="s">
        <v>111</v>
      </c>
      <c r="K250" t="s">
        <v>109</v>
      </c>
      <c r="L250">
        <v>1</v>
      </c>
      <c r="M250">
        <v>1</v>
      </c>
      <c r="N250">
        <v>0</v>
      </c>
      <c r="O250">
        <v>1</v>
      </c>
      <c r="P250">
        <v>1</v>
      </c>
      <c r="Q250">
        <v>6</v>
      </c>
      <c r="R250">
        <v>0</v>
      </c>
      <c r="S250">
        <v>0</v>
      </c>
      <c r="T250">
        <v>0</v>
      </c>
      <c r="U250">
        <v>0</v>
      </c>
      <c r="V250">
        <f t="shared" si="81"/>
        <v>1</v>
      </c>
      <c r="W250">
        <v>1</v>
      </c>
      <c r="X250">
        <v>1</v>
      </c>
      <c r="Y250">
        <v>1</v>
      </c>
      <c r="Z250" t="s">
        <v>73</v>
      </c>
      <c r="AA250" s="5" t="s">
        <v>73</v>
      </c>
      <c r="AB250" s="5" t="s">
        <v>73</v>
      </c>
      <c r="AC250" t="s">
        <v>73</v>
      </c>
      <c r="AD250" t="s">
        <v>94</v>
      </c>
      <c r="AE250" s="5" t="s">
        <v>94</v>
      </c>
      <c r="AF250" t="s">
        <v>75</v>
      </c>
      <c r="AG250" t="s">
        <v>95</v>
      </c>
      <c r="AH250">
        <f>AI250</f>
        <v>6.819422E-2</v>
      </c>
      <c r="AI250">
        <f>AJ250</f>
        <v>6.819422E-2</v>
      </c>
      <c r="AJ250">
        <f t="shared" si="84"/>
        <v>6.819422E-2</v>
      </c>
      <c r="AK250">
        <v>6.819422E-2</v>
      </c>
      <c r="AL250">
        <v>0.11769525</v>
      </c>
      <c r="AM250">
        <v>0.1302682</v>
      </c>
      <c r="AN250">
        <v>0.14242755000000001</v>
      </c>
      <c r="AO250">
        <v>93.180577999999997</v>
      </c>
      <c r="AP250">
        <v>88.230474999999998</v>
      </c>
      <c r="AQ250">
        <v>86.973179999999999</v>
      </c>
      <c r="AR250">
        <v>85.757244999999998</v>
      </c>
      <c r="AS250" t="b">
        <v>1</v>
      </c>
      <c r="AT250" t="b">
        <v>0</v>
      </c>
      <c r="AU250" t="s">
        <v>77</v>
      </c>
      <c r="AV250" t="s">
        <v>78</v>
      </c>
      <c r="AW250" t="s">
        <v>79</v>
      </c>
      <c r="AX250" t="s">
        <v>233</v>
      </c>
      <c r="AY250" t="s">
        <v>459</v>
      </c>
      <c r="AZ250" t="s">
        <v>109</v>
      </c>
      <c r="BA250">
        <v>3</v>
      </c>
      <c r="BB250">
        <v>2</v>
      </c>
      <c r="BC250">
        <v>4.1163553999999996E-3</v>
      </c>
      <c r="BD250">
        <v>1.4279989108178799E-4</v>
      </c>
      <c r="BE250">
        <v>4.2591552910817903E-3</v>
      </c>
      <c r="BF250">
        <f>IF(AK250&lt;BE250,1,0)</f>
        <v>0</v>
      </c>
      <c r="BG250">
        <f>IF(AK250&lt;BC250,1,0)</f>
        <v>0</v>
      </c>
      <c r="BH250">
        <f>VLOOKUP($B250,[1]Data_Peer_with_peerVars!$B$2:$Z$1050,20,FALSE)</f>
        <v>7</v>
      </c>
      <c r="BI250">
        <f>VLOOKUP($B250,[1]Data_Peer_with_peerVars!$B$2:$Z$1050,21,FALSE)</f>
        <v>6</v>
      </c>
      <c r="BJ250">
        <f>VLOOKUP($B250,[1]Data_Peer_with_peerVars!$B$2:$Z$1050,22,FALSE)</f>
        <v>0.85714285700000004</v>
      </c>
      <c r="BK250">
        <f>VLOOKUP($B250,[1]Data_Peer_with_peerVars!$B$2:$Z$1050,23,FALSE)</f>
        <v>38</v>
      </c>
      <c r="BL250">
        <f>VLOOKUP($B250,[1]Data_Peer_with_peerVars!$B$2:$Z$1050,24,FALSE)</f>
        <v>28</v>
      </c>
      <c r="BM250">
        <f>VLOOKUP($B250,[1]Data_Peer_with_peerVars!$B$2:$Z$1050,25,FALSE)</f>
        <v>0.73684210500000002</v>
      </c>
    </row>
    <row r="251" spans="1:65" x14ac:dyDescent="0.2">
      <c r="A251">
        <v>1</v>
      </c>
      <c r="B251" t="s">
        <v>467</v>
      </c>
      <c r="C251">
        <v>126</v>
      </c>
      <c r="D251" t="s">
        <v>68</v>
      </c>
      <c r="E251">
        <v>0</v>
      </c>
      <c r="F251">
        <v>841</v>
      </c>
      <c r="G251" t="s">
        <v>119</v>
      </c>
      <c r="H251" s="1">
        <v>4</v>
      </c>
      <c r="I251" t="s">
        <v>87</v>
      </c>
      <c r="J251" t="s">
        <v>111</v>
      </c>
      <c r="K251" t="s">
        <v>109</v>
      </c>
      <c r="L251">
        <v>1</v>
      </c>
      <c r="M251">
        <v>1</v>
      </c>
      <c r="N251">
        <v>0</v>
      </c>
      <c r="O251">
        <v>1</v>
      </c>
      <c r="P251">
        <v>1</v>
      </c>
      <c r="Q251">
        <v>6</v>
      </c>
      <c r="R251">
        <v>0</v>
      </c>
      <c r="S251">
        <v>0</v>
      </c>
      <c r="T251">
        <v>0</v>
      </c>
      <c r="U251">
        <v>0</v>
      </c>
      <c r="V251">
        <f t="shared" si="81"/>
        <v>0</v>
      </c>
      <c r="W251">
        <f t="shared" si="82"/>
        <v>0</v>
      </c>
      <c r="X251">
        <f t="shared" si="85"/>
        <v>0</v>
      </c>
      <c r="Y251">
        <f t="shared" si="83"/>
        <v>0</v>
      </c>
      <c r="Z251" t="s">
        <v>98</v>
      </c>
      <c r="AA251" s="5" t="s">
        <v>404</v>
      </c>
      <c r="AB251" s="5" t="s">
        <v>404</v>
      </c>
      <c r="AC251" t="s">
        <v>74</v>
      </c>
      <c r="AD251" t="s">
        <v>120</v>
      </c>
      <c r="AE251" s="5" t="s">
        <v>468</v>
      </c>
      <c r="AF251" t="s">
        <v>167</v>
      </c>
      <c r="AG251" t="s">
        <v>75</v>
      </c>
      <c r="AH251">
        <f>AI251</f>
        <v>0.10882675999999999</v>
      </c>
      <c r="AI251">
        <f t="shared" ref="AI251:AI254" si="101">AJ251</f>
        <v>0.10882675999999999</v>
      </c>
      <c r="AJ251">
        <f t="shared" si="84"/>
        <v>0.10882675999999999</v>
      </c>
      <c r="AK251">
        <v>0.10882675999999999</v>
      </c>
      <c r="AL251">
        <v>0.12076503</v>
      </c>
      <c r="AM251">
        <v>0.121710524</v>
      </c>
      <c r="AN251">
        <v>0.122331694</v>
      </c>
      <c r="AO251">
        <v>89.117323999999996</v>
      </c>
      <c r="AP251">
        <v>87.923496999999998</v>
      </c>
      <c r="AQ251">
        <v>87.828947600000006</v>
      </c>
      <c r="AR251">
        <v>87.766830600000006</v>
      </c>
      <c r="AS251" t="b">
        <v>0</v>
      </c>
      <c r="AT251" t="b">
        <v>0</v>
      </c>
      <c r="AU251" t="s">
        <v>78</v>
      </c>
      <c r="AV251" t="s">
        <v>108</v>
      </c>
      <c r="AW251" t="s">
        <v>79</v>
      </c>
      <c r="AX251" t="s">
        <v>233</v>
      </c>
      <c r="AY251" t="s">
        <v>459</v>
      </c>
      <c r="AZ251" t="s">
        <v>109</v>
      </c>
      <c r="BA251">
        <v>4</v>
      </c>
      <c r="BB251">
        <v>2</v>
      </c>
      <c r="BC251">
        <v>2.4738868000000001E-3</v>
      </c>
      <c r="BD251">
        <v>1.4256942275279999E-4</v>
      </c>
      <c r="BE251">
        <v>2.6164562227527998E-3</v>
      </c>
      <c r="BF251">
        <f>IF(AK251&lt;BE251,1,0)</f>
        <v>0</v>
      </c>
      <c r="BG251">
        <f>IF(AK251&lt;BC251,1,0)</f>
        <v>0</v>
      </c>
      <c r="BH251">
        <f>VLOOKUP($B251,[1]Data_Peer_with_peerVars!$B$2:$Z$1050,20,FALSE)</f>
        <v>7</v>
      </c>
      <c r="BI251">
        <f>VLOOKUP($B251,[1]Data_Peer_with_peerVars!$B$2:$Z$1050,21,FALSE)</f>
        <v>6</v>
      </c>
      <c r="BJ251">
        <f>VLOOKUP($B251,[1]Data_Peer_with_peerVars!$B$2:$Z$1050,22,FALSE)</f>
        <v>0.85714285700000004</v>
      </c>
      <c r="BK251">
        <f>VLOOKUP($B251,[1]Data_Peer_with_peerVars!$B$2:$Z$1050,23,FALSE)</f>
        <v>38</v>
      </c>
      <c r="BL251">
        <f>VLOOKUP($B251,[1]Data_Peer_with_peerVars!$B$2:$Z$1050,24,FALSE)</f>
        <v>28</v>
      </c>
      <c r="BM251">
        <f>VLOOKUP($B251,[1]Data_Peer_with_peerVars!$B$2:$Z$1050,25,FALSE)</f>
        <v>0.73684210500000002</v>
      </c>
    </row>
    <row r="252" spans="1:65" x14ac:dyDescent="0.2">
      <c r="A252">
        <v>1</v>
      </c>
      <c r="B252" t="s">
        <v>469</v>
      </c>
      <c r="C252">
        <v>126</v>
      </c>
      <c r="D252" t="s">
        <v>68</v>
      </c>
      <c r="E252">
        <v>0</v>
      </c>
      <c r="F252">
        <v>841</v>
      </c>
      <c r="G252" t="s">
        <v>119</v>
      </c>
      <c r="H252" s="1">
        <v>4</v>
      </c>
      <c r="I252" t="s">
        <v>87</v>
      </c>
      <c r="J252" t="s">
        <v>111</v>
      </c>
      <c r="K252" t="s">
        <v>109</v>
      </c>
      <c r="L252">
        <v>1</v>
      </c>
      <c r="M252">
        <v>1</v>
      </c>
      <c r="N252">
        <v>0</v>
      </c>
      <c r="O252">
        <v>1</v>
      </c>
      <c r="P252">
        <v>1</v>
      </c>
      <c r="Q252">
        <v>6</v>
      </c>
      <c r="R252">
        <v>0</v>
      </c>
      <c r="S252">
        <v>0</v>
      </c>
      <c r="T252">
        <v>0</v>
      </c>
      <c r="U252">
        <v>0</v>
      </c>
      <c r="V252">
        <f t="shared" si="81"/>
        <v>0</v>
      </c>
      <c r="W252">
        <f t="shared" si="82"/>
        <v>1</v>
      </c>
      <c r="X252">
        <v>1</v>
      </c>
      <c r="Y252">
        <v>1</v>
      </c>
      <c r="Z252" t="s">
        <v>76</v>
      </c>
      <c r="AA252" s="5" t="s">
        <v>76</v>
      </c>
      <c r="AB252" s="5" t="s">
        <v>76</v>
      </c>
      <c r="AC252" t="s">
        <v>74</v>
      </c>
      <c r="AD252" t="s">
        <v>76</v>
      </c>
      <c r="AE252" s="5" t="s">
        <v>76</v>
      </c>
      <c r="AF252" t="s">
        <v>167</v>
      </c>
      <c r="AG252" t="s">
        <v>75</v>
      </c>
      <c r="AH252">
        <f t="shared" ref="AH252:AH253" si="102">AI252</f>
        <v>0.11584699</v>
      </c>
      <c r="AI252">
        <f t="shared" si="101"/>
        <v>0.11584699</v>
      </c>
      <c r="AJ252">
        <f t="shared" ref="AJ252:AJ253" si="103">AL252</f>
        <v>0.11584699</v>
      </c>
      <c r="AK252">
        <v>0.102521926</v>
      </c>
      <c r="AL252">
        <v>0.11584699</v>
      </c>
      <c r="AM252">
        <v>0.13185306999999999</v>
      </c>
      <c r="AN252">
        <v>0.13601532999999999</v>
      </c>
      <c r="AO252">
        <v>89.747807399999999</v>
      </c>
      <c r="AP252">
        <v>88.415300999999999</v>
      </c>
      <c r="AQ252">
        <v>86.814693000000005</v>
      </c>
      <c r="AR252">
        <v>86.398466999999997</v>
      </c>
      <c r="AS252" t="b">
        <v>0</v>
      </c>
      <c r="AT252" t="b">
        <v>1</v>
      </c>
      <c r="AU252" t="s">
        <v>78</v>
      </c>
      <c r="AV252" t="s">
        <v>78</v>
      </c>
      <c r="AW252" t="s">
        <v>79</v>
      </c>
      <c r="AX252" t="s">
        <v>233</v>
      </c>
      <c r="AY252" t="s">
        <v>459</v>
      </c>
      <c r="AZ252" t="s">
        <v>109</v>
      </c>
      <c r="BA252">
        <v>3</v>
      </c>
      <c r="BB252">
        <v>1.5</v>
      </c>
      <c r="BC252">
        <v>2.4738868000000001E-3</v>
      </c>
      <c r="BD252">
        <v>1.4256942275279999E-4</v>
      </c>
      <c r="BE252">
        <v>2.6164562227527998E-3</v>
      </c>
      <c r="BF252">
        <f>IF(AK252&lt;BE252,1,0)</f>
        <v>0</v>
      </c>
      <c r="BG252">
        <f>IF(AK252&lt;BC252,1,0)</f>
        <v>0</v>
      </c>
      <c r="BH252">
        <f>VLOOKUP($B252,[1]Data_Peer_with_peerVars!$B$2:$Z$1050,20,FALSE)</f>
        <v>7</v>
      </c>
      <c r="BI252">
        <f>VLOOKUP($B252,[1]Data_Peer_with_peerVars!$B$2:$Z$1050,21,FALSE)</f>
        <v>6</v>
      </c>
      <c r="BJ252">
        <f>VLOOKUP($B252,[1]Data_Peer_with_peerVars!$B$2:$Z$1050,22,FALSE)</f>
        <v>0.85714285700000004</v>
      </c>
      <c r="BK252">
        <f>VLOOKUP($B252,[1]Data_Peer_with_peerVars!$B$2:$Z$1050,23,FALSE)</f>
        <v>38</v>
      </c>
      <c r="BL252">
        <f>VLOOKUP($B252,[1]Data_Peer_with_peerVars!$B$2:$Z$1050,24,FALSE)</f>
        <v>28</v>
      </c>
      <c r="BM252">
        <f>VLOOKUP($B252,[1]Data_Peer_with_peerVars!$B$2:$Z$1050,25,FALSE)</f>
        <v>0.73684210500000002</v>
      </c>
    </row>
    <row r="253" spans="1:65" x14ac:dyDescent="0.2">
      <c r="A253">
        <v>1</v>
      </c>
      <c r="B253" t="s">
        <v>470</v>
      </c>
      <c r="C253">
        <v>127</v>
      </c>
      <c r="D253" t="s">
        <v>68</v>
      </c>
      <c r="E253">
        <v>0</v>
      </c>
      <c r="F253">
        <v>843</v>
      </c>
      <c r="G253" t="s">
        <v>119</v>
      </c>
      <c r="H253" s="1">
        <v>3</v>
      </c>
      <c r="I253" t="s">
        <v>70</v>
      </c>
      <c r="J253" t="s">
        <v>71</v>
      </c>
      <c r="K253" t="s">
        <v>109</v>
      </c>
      <c r="L253">
        <v>1</v>
      </c>
      <c r="M253">
        <v>0</v>
      </c>
      <c r="N253">
        <v>0</v>
      </c>
      <c r="O253">
        <v>0</v>
      </c>
      <c r="P253">
        <v>0</v>
      </c>
      <c r="Q253">
        <v>4</v>
      </c>
      <c r="R253">
        <v>0</v>
      </c>
      <c r="S253">
        <v>0</v>
      </c>
      <c r="T253">
        <v>0</v>
      </c>
      <c r="U253">
        <v>0</v>
      </c>
      <c r="V253">
        <f t="shared" si="81"/>
        <v>0</v>
      </c>
      <c r="W253">
        <f t="shared" si="82"/>
        <v>1</v>
      </c>
      <c r="X253">
        <v>1</v>
      </c>
      <c r="Y253">
        <v>1</v>
      </c>
      <c r="Z253" t="s">
        <v>76</v>
      </c>
      <c r="AA253" s="5" t="s">
        <v>76</v>
      </c>
      <c r="AB253" s="5" t="s">
        <v>76</v>
      </c>
      <c r="AC253" t="s">
        <v>74</v>
      </c>
      <c r="AD253" t="s">
        <v>76</v>
      </c>
      <c r="AE253" s="5" t="s">
        <v>76</v>
      </c>
      <c r="AF253" t="s">
        <v>75</v>
      </c>
      <c r="AG253" t="s">
        <v>120</v>
      </c>
      <c r="AH253">
        <f t="shared" si="102"/>
        <v>8.4472389999999994E-2</v>
      </c>
      <c r="AI253">
        <f t="shared" si="101"/>
        <v>8.4472389999999994E-2</v>
      </c>
      <c r="AJ253">
        <f t="shared" si="103"/>
        <v>8.4472389999999994E-2</v>
      </c>
      <c r="AK253">
        <v>5.9791553999999997E-2</v>
      </c>
      <c r="AL253">
        <v>8.4472389999999994E-2</v>
      </c>
      <c r="AM253">
        <v>0.10761227</v>
      </c>
      <c r="AN253">
        <v>0.11071623999999999</v>
      </c>
      <c r="AO253">
        <v>94.020844600000004</v>
      </c>
      <c r="AP253">
        <v>91.552761000000004</v>
      </c>
      <c r="AQ253">
        <v>89.238772999999995</v>
      </c>
      <c r="AR253">
        <v>88.928376</v>
      </c>
      <c r="AS253" t="b">
        <v>0</v>
      </c>
      <c r="AT253" t="b">
        <v>1</v>
      </c>
      <c r="AU253" t="s">
        <v>77</v>
      </c>
      <c r="AV253" t="s">
        <v>77</v>
      </c>
      <c r="AW253" t="s">
        <v>79</v>
      </c>
      <c r="AX253" t="s">
        <v>233</v>
      </c>
      <c r="AY253" t="s">
        <v>459</v>
      </c>
      <c r="AZ253" t="s">
        <v>109</v>
      </c>
      <c r="BA253">
        <v>5</v>
      </c>
      <c r="BB253">
        <v>1.5</v>
      </c>
      <c r="BC253">
        <v>2.4738868000000001E-3</v>
      </c>
      <c r="BD253">
        <v>1.4256942275279999E-4</v>
      </c>
      <c r="BE253">
        <v>2.6164562227527998E-3</v>
      </c>
      <c r="BF253">
        <f>IF(AK253&lt;BE253,1,0)</f>
        <v>0</v>
      </c>
      <c r="BG253">
        <f>IF(AK253&lt;BC253,1,0)</f>
        <v>0</v>
      </c>
      <c r="BH253">
        <f>VLOOKUP($B253,[1]Data_Peer_with_peerVars!$B$2:$Z$1050,20,FALSE)</f>
        <v>0</v>
      </c>
      <c r="BI253">
        <f>VLOOKUP($B253,[1]Data_Peer_with_peerVars!$B$2:$Z$1050,21,FALSE)</f>
        <v>0</v>
      </c>
      <c r="BJ253">
        <v>0</v>
      </c>
      <c r="BK253">
        <f>VLOOKUP($B253,[1]Data_Peer_with_peerVars!$B$2:$Z$1050,23,FALSE)</f>
        <v>0</v>
      </c>
      <c r="BL253">
        <f>VLOOKUP($B253,[1]Data_Peer_with_peerVars!$B$2:$Z$1050,24,FALSE)</f>
        <v>0</v>
      </c>
      <c r="BM253" t="str">
        <f>VLOOKUP($B253,[1]Data_Peer_with_peerVars!$B$2:$Z$1050,25,FALSE)</f>
        <v>NA</v>
      </c>
    </row>
    <row r="254" spans="1:65" x14ac:dyDescent="0.2">
      <c r="A254">
        <v>1</v>
      </c>
      <c r="B254" t="s">
        <v>471</v>
      </c>
      <c r="C254">
        <v>127</v>
      </c>
      <c r="D254" t="s">
        <v>68</v>
      </c>
      <c r="E254">
        <v>0</v>
      </c>
      <c r="F254">
        <v>843</v>
      </c>
      <c r="G254" t="s">
        <v>119</v>
      </c>
      <c r="H254" s="1">
        <v>3</v>
      </c>
      <c r="I254" t="s">
        <v>70</v>
      </c>
      <c r="J254" t="s">
        <v>71</v>
      </c>
      <c r="K254" t="s">
        <v>109</v>
      </c>
      <c r="L254">
        <v>1</v>
      </c>
      <c r="M254">
        <v>0</v>
      </c>
      <c r="N254">
        <v>0</v>
      </c>
      <c r="O254">
        <v>0</v>
      </c>
      <c r="P254">
        <v>0</v>
      </c>
      <c r="Q254">
        <v>4</v>
      </c>
      <c r="R254">
        <v>1</v>
      </c>
      <c r="S254">
        <v>1</v>
      </c>
      <c r="T254">
        <v>1</v>
      </c>
      <c r="U254">
        <v>1</v>
      </c>
      <c r="V254">
        <f t="shared" si="81"/>
        <v>0</v>
      </c>
      <c r="W254">
        <f t="shared" si="82"/>
        <v>0</v>
      </c>
      <c r="X254">
        <f t="shared" si="85"/>
        <v>0</v>
      </c>
      <c r="Y254">
        <f t="shared" si="83"/>
        <v>0</v>
      </c>
      <c r="Z254" t="s">
        <v>177</v>
      </c>
      <c r="AA254" s="5" t="s">
        <v>107</v>
      </c>
      <c r="AB254" s="5" t="s">
        <v>107</v>
      </c>
      <c r="AC254" t="s">
        <v>107</v>
      </c>
      <c r="AD254" t="s">
        <v>95</v>
      </c>
      <c r="AE254" s="5" t="s">
        <v>95</v>
      </c>
      <c r="AF254" t="s">
        <v>173</v>
      </c>
      <c r="AG254" t="s">
        <v>174</v>
      </c>
      <c r="AH254">
        <f>AI254</f>
        <v>2.0810515000000002E-2</v>
      </c>
      <c r="AI254">
        <f t="shared" si="101"/>
        <v>2.0810515000000002E-2</v>
      </c>
      <c r="AJ254">
        <f t="shared" si="84"/>
        <v>2.0810515000000002E-2</v>
      </c>
      <c r="AK254">
        <v>2.0810515000000002E-2</v>
      </c>
      <c r="AL254">
        <v>7.4398249999999999E-2</v>
      </c>
      <c r="AM254">
        <v>9.1530054999999999E-2</v>
      </c>
      <c r="AN254">
        <v>9.2775040000000003E-2</v>
      </c>
      <c r="AO254">
        <v>97.918948499999999</v>
      </c>
      <c r="AP254">
        <v>92.560175000000001</v>
      </c>
      <c r="AQ254">
        <v>90.846994499999994</v>
      </c>
      <c r="AR254">
        <v>90.722496000000007</v>
      </c>
      <c r="AS254" t="b">
        <v>1</v>
      </c>
      <c r="AT254" t="b">
        <v>0</v>
      </c>
      <c r="AU254" t="s">
        <v>77</v>
      </c>
      <c r="AV254" t="s">
        <v>77</v>
      </c>
      <c r="AW254" t="s">
        <v>79</v>
      </c>
      <c r="AX254" t="s">
        <v>233</v>
      </c>
      <c r="AY254" t="s">
        <v>459</v>
      </c>
      <c r="AZ254" t="s">
        <v>72</v>
      </c>
      <c r="BA254" t="s">
        <v>82</v>
      </c>
      <c r="BB254">
        <v>0.25</v>
      </c>
      <c r="BC254">
        <v>2.6475456000000001E-2</v>
      </c>
      <c r="BD254">
        <v>8.8330364056477401E-3</v>
      </c>
      <c r="BE254">
        <v>3.53084924056477E-2</v>
      </c>
      <c r="BF254">
        <f>IF(AK254&lt;BE254,1,0)</f>
        <v>1</v>
      </c>
      <c r="BG254">
        <f>IF(AK254&lt;BC254,1,0)</f>
        <v>1</v>
      </c>
      <c r="BH254">
        <f>VLOOKUP($B254,[1]Data_Peer_with_peerVars!$B$2:$Z$1050,20,FALSE)</f>
        <v>0</v>
      </c>
      <c r="BI254">
        <f>VLOOKUP($B254,[1]Data_Peer_with_peerVars!$B$2:$Z$1050,21,FALSE)</f>
        <v>0</v>
      </c>
      <c r="BJ254">
        <v>0</v>
      </c>
      <c r="BK254">
        <f>VLOOKUP($B254,[1]Data_Peer_with_peerVars!$B$2:$Z$1050,23,FALSE)</f>
        <v>0</v>
      </c>
      <c r="BL254">
        <f>VLOOKUP($B254,[1]Data_Peer_with_peerVars!$B$2:$Z$1050,24,FALSE)</f>
        <v>0</v>
      </c>
      <c r="BM254" t="str">
        <f>VLOOKUP($B254,[1]Data_Peer_with_peerVars!$B$2:$Z$1050,25,FALSE)</f>
        <v>NA</v>
      </c>
    </row>
    <row r="255" spans="1:65" x14ac:dyDescent="0.2">
      <c r="A255">
        <v>1</v>
      </c>
      <c r="B255" t="s">
        <v>472</v>
      </c>
      <c r="C255">
        <v>127</v>
      </c>
      <c r="D255" t="s">
        <v>68</v>
      </c>
      <c r="E255">
        <v>0</v>
      </c>
      <c r="F255">
        <v>843</v>
      </c>
      <c r="G255" t="s">
        <v>119</v>
      </c>
      <c r="H255" s="1">
        <v>3</v>
      </c>
      <c r="I255" t="s">
        <v>70</v>
      </c>
      <c r="J255" t="s">
        <v>71</v>
      </c>
      <c r="K255" t="s">
        <v>109</v>
      </c>
      <c r="L255">
        <v>1</v>
      </c>
      <c r="M255">
        <v>0</v>
      </c>
      <c r="N255">
        <v>0</v>
      </c>
      <c r="O255">
        <v>0</v>
      </c>
      <c r="P255">
        <v>0</v>
      </c>
      <c r="Q255">
        <v>4</v>
      </c>
      <c r="R255">
        <v>0</v>
      </c>
      <c r="S255">
        <v>0</v>
      </c>
      <c r="T255">
        <v>0</v>
      </c>
      <c r="U255">
        <v>0</v>
      </c>
      <c r="V255">
        <f t="shared" si="81"/>
        <v>1</v>
      </c>
      <c r="W255">
        <v>1</v>
      </c>
      <c r="X255">
        <v>1</v>
      </c>
      <c r="Y255">
        <v>1</v>
      </c>
      <c r="Z255" t="s">
        <v>73</v>
      </c>
      <c r="AA255" s="5" t="s">
        <v>73</v>
      </c>
      <c r="AB255" s="5" t="s">
        <v>73</v>
      </c>
      <c r="AC255" t="s">
        <v>73</v>
      </c>
      <c r="AD255" t="s">
        <v>94</v>
      </c>
      <c r="AE255" s="5" t="s">
        <v>94</v>
      </c>
      <c r="AF255" t="s">
        <v>75</v>
      </c>
      <c r="AG255" t="s">
        <v>95</v>
      </c>
      <c r="AH255">
        <f t="shared" ref="AH255:AH268" si="104">AI255</f>
        <v>6.8466990000000005E-2</v>
      </c>
      <c r="AI255">
        <f>AJ255</f>
        <v>6.8466990000000005E-2</v>
      </c>
      <c r="AJ255">
        <f t="shared" si="84"/>
        <v>6.8466990000000005E-2</v>
      </c>
      <c r="AK255">
        <v>6.8466990000000005E-2</v>
      </c>
      <c r="AL255">
        <v>0.11714910000000001</v>
      </c>
      <c r="AM255">
        <v>0.12944718</v>
      </c>
      <c r="AN255">
        <v>0.14160743000000001</v>
      </c>
      <c r="AO255">
        <v>93.153300999999999</v>
      </c>
      <c r="AP255">
        <v>88.285089999999997</v>
      </c>
      <c r="AQ255">
        <v>87.055282000000005</v>
      </c>
      <c r="AR255">
        <v>85.839257000000003</v>
      </c>
      <c r="AS255" t="b">
        <v>1</v>
      </c>
      <c r="AT255" t="b">
        <v>0</v>
      </c>
      <c r="AU255" t="s">
        <v>77</v>
      </c>
      <c r="AV255" t="s">
        <v>78</v>
      </c>
      <c r="AW255" t="s">
        <v>79</v>
      </c>
      <c r="AX255" t="s">
        <v>233</v>
      </c>
      <c r="AY255" t="s">
        <v>459</v>
      </c>
      <c r="AZ255" t="s">
        <v>109</v>
      </c>
      <c r="BA255">
        <v>5</v>
      </c>
      <c r="BB255">
        <v>0.5</v>
      </c>
      <c r="BC255">
        <v>4.1163553999999996E-3</v>
      </c>
      <c r="BD255">
        <v>1.4279989108178799E-4</v>
      </c>
      <c r="BE255">
        <v>4.2591552910817903E-3</v>
      </c>
      <c r="BF255">
        <f>IF(AK255&lt;BE255,1,0)</f>
        <v>0</v>
      </c>
      <c r="BG255">
        <f>IF(AK255&lt;BC255,1,0)</f>
        <v>0</v>
      </c>
      <c r="BH255">
        <f>VLOOKUP($B255,[1]Data_Peer_with_peerVars!$B$2:$Z$1050,20,FALSE)</f>
        <v>0</v>
      </c>
      <c r="BI255">
        <f>VLOOKUP($B255,[1]Data_Peer_with_peerVars!$B$2:$Z$1050,21,FALSE)</f>
        <v>0</v>
      </c>
      <c r="BJ255">
        <v>0</v>
      </c>
      <c r="BK255">
        <f>VLOOKUP($B255,[1]Data_Peer_with_peerVars!$B$2:$Z$1050,23,FALSE)</f>
        <v>0</v>
      </c>
      <c r="BL255">
        <f>VLOOKUP($B255,[1]Data_Peer_with_peerVars!$B$2:$Z$1050,24,FALSE)</f>
        <v>0</v>
      </c>
      <c r="BM255" t="str">
        <f>VLOOKUP($B255,[1]Data_Peer_with_peerVars!$B$2:$Z$1050,25,FALSE)</f>
        <v>NA</v>
      </c>
    </row>
    <row r="256" spans="1:65" x14ac:dyDescent="0.2">
      <c r="A256">
        <v>1</v>
      </c>
      <c r="B256" t="s">
        <v>473</v>
      </c>
      <c r="C256">
        <v>128</v>
      </c>
      <c r="D256" t="s">
        <v>68</v>
      </c>
      <c r="E256">
        <v>1</v>
      </c>
      <c r="F256">
        <v>830</v>
      </c>
      <c r="G256" t="s">
        <v>86</v>
      </c>
      <c r="H256" s="1">
        <v>4</v>
      </c>
      <c r="I256" t="s">
        <v>87</v>
      </c>
      <c r="J256" t="s">
        <v>111</v>
      </c>
      <c r="K256" t="s">
        <v>109</v>
      </c>
      <c r="L256">
        <v>1</v>
      </c>
      <c r="M256">
        <v>0</v>
      </c>
      <c r="N256">
        <v>0</v>
      </c>
      <c r="O256">
        <v>0</v>
      </c>
      <c r="P256">
        <v>0</v>
      </c>
      <c r="Q256">
        <v>6</v>
      </c>
      <c r="R256">
        <v>0</v>
      </c>
      <c r="S256">
        <v>0</v>
      </c>
      <c r="T256">
        <v>0</v>
      </c>
      <c r="U256">
        <v>0</v>
      </c>
      <c r="V256">
        <f t="shared" si="81"/>
        <v>0</v>
      </c>
      <c r="W256">
        <f t="shared" si="82"/>
        <v>1</v>
      </c>
      <c r="X256">
        <v>1</v>
      </c>
      <c r="Y256">
        <v>1</v>
      </c>
      <c r="Z256" t="s">
        <v>76</v>
      </c>
      <c r="AA256" s="5" t="s">
        <v>76</v>
      </c>
      <c r="AB256" s="5" t="s">
        <v>76</v>
      </c>
      <c r="AC256" t="s">
        <v>74</v>
      </c>
      <c r="AD256" t="s">
        <v>76</v>
      </c>
      <c r="AE256" s="5" t="s">
        <v>76</v>
      </c>
      <c r="AF256" t="s">
        <v>75</v>
      </c>
      <c r="AG256" t="s">
        <v>120</v>
      </c>
      <c r="AH256">
        <f t="shared" si="104"/>
        <v>0.10922993</v>
      </c>
      <c r="AI256">
        <f>AJ256</f>
        <v>0.10922993</v>
      </c>
      <c r="AJ256">
        <f>AL256</f>
        <v>0.10922993</v>
      </c>
      <c r="AK256">
        <v>0.10438356</v>
      </c>
      <c r="AL256">
        <v>0.10922993</v>
      </c>
      <c r="AM256">
        <v>0.12992342000000001</v>
      </c>
      <c r="AN256">
        <v>0.13052975999999999</v>
      </c>
      <c r="AO256">
        <v>89.561644000000001</v>
      </c>
      <c r="AP256">
        <v>89.077006999999995</v>
      </c>
      <c r="AQ256">
        <v>87.007658000000006</v>
      </c>
      <c r="AR256">
        <v>86.947023999999999</v>
      </c>
      <c r="AS256" t="b">
        <v>0</v>
      </c>
      <c r="AT256" t="b">
        <v>1</v>
      </c>
      <c r="AU256" t="s">
        <v>78</v>
      </c>
      <c r="AV256" t="s">
        <v>78</v>
      </c>
      <c r="AW256" t="s">
        <v>79</v>
      </c>
      <c r="AX256" t="s">
        <v>233</v>
      </c>
      <c r="AY256" t="s">
        <v>459</v>
      </c>
      <c r="AZ256" t="s">
        <v>109</v>
      </c>
      <c r="BA256">
        <v>10</v>
      </c>
      <c r="BB256">
        <v>3</v>
      </c>
      <c r="BC256">
        <v>2.4738868000000001E-3</v>
      </c>
      <c r="BD256">
        <v>1.4256942275279999E-4</v>
      </c>
      <c r="BE256">
        <v>2.6164562227527998E-3</v>
      </c>
      <c r="BF256">
        <f>IF(AK256&lt;BE256,1,0)</f>
        <v>0</v>
      </c>
      <c r="BG256">
        <f>IF(AK256&lt;BC256,1,0)</f>
        <v>0</v>
      </c>
      <c r="BH256">
        <f>VLOOKUP($B256,[1]Data_Peer_with_peerVars!$B$2:$Z$1050,20,FALSE)</f>
        <v>8</v>
      </c>
      <c r="BI256">
        <f>VLOOKUP($B256,[1]Data_Peer_with_peerVars!$B$2:$Z$1050,21,FALSE)</f>
        <v>6</v>
      </c>
      <c r="BJ256">
        <f>VLOOKUP($B256,[1]Data_Peer_with_peerVars!$B$2:$Z$1050,22,FALSE)</f>
        <v>0.75</v>
      </c>
      <c r="BK256">
        <f>VLOOKUP($B256,[1]Data_Peer_with_peerVars!$B$2:$Z$1050,23,FALSE)</f>
        <v>41</v>
      </c>
      <c r="BL256">
        <f>VLOOKUP($B256,[1]Data_Peer_with_peerVars!$B$2:$Z$1050,24,FALSE)</f>
        <v>30</v>
      </c>
      <c r="BM256">
        <f>VLOOKUP($B256,[1]Data_Peer_with_peerVars!$B$2:$Z$1050,25,FALSE)</f>
        <v>0.73170731700000002</v>
      </c>
    </row>
    <row r="257" spans="1:65" x14ac:dyDescent="0.2">
      <c r="A257">
        <v>1</v>
      </c>
      <c r="B257" t="s">
        <v>474</v>
      </c>
      <c r="C257">
        <v>128</v>
      </c>
      <c r="D257" t="s">
        <v>68</v>
      </c>
      <c r="E257">
        <v>1</v>
      </c>
      <c r="F257">
        <v>830</v>
      </c>
      <c r="G257" t="s">
        <v>86</v>
      </c>
      <c r="H257" s="1">
        <v>4</v>
      </c>
      <c r="I257" t="s">
        <v>87</v>
      </c>
      <c r="J257" t="s">
        <v>111</v>
      </c>
      <c r="K257" t="s">
        <v>109</v>
      </c>
      <c r="L257">
        <v>1</v>
      </c>
      <c r="M257">
        <v>0</v>
      </c>
      <c r="N257">
        <v>0</v>
      </c>
      <c r="O257">
        <v>0</v>
      </c>
      <c r="P257">
        <v>0</v>
      </c>
      <c r="Q257">
        <v>6</v>
      </c>
      <c r="R257">
        <v>0</v>
      </c>
      <c r="S257">
        <v>0</v>
      </c>
      <c r="T257">
        <v>0</v>
      </c>
      <c r="U257">
        <v>0</v>
      </c>
      <c r="V257">
        <f t="shared" si="81"/>
        <v>1</v>
      </c>
      <c r="W257">
        <v>1</v>
      </c>
      <c r="X257">
        <v>1</v>
      </c>
      <c r="Y257">
        <v>1</v>
      </c>
      <c r="Z257" t="s">
        <v>73</v>
      </c>
      <c r="AA257" s="5" t="s">
        <v>73</v>
      </c>
      <c r="AB257" s="5" t="s">
        <v>73</v>
      </c>
      <c r="AC257" t="s">
        <v>73</v>
      </c>
      <c r="AD257" t="s">
        <v>94</v>
      </c>
      <c r="AE257" s="5" t="s">
        <v>94</v>
      </c>
      <c r="AF257" t="s">
        <v>75</v>
      </c>
      <c r="AG257" t="s">
        <v>95</v>
      </c>
      <c r="AH257">
        <f t="shared" si="104"/>
        <v>5.9978190000000001E-2</v>
      </c>
      <c r="AI257">
        <f t="shared" ref="AI257:AI264" si="105">AJ257</f>
        <v>5.9978190000000001E-2</v>
      </c>
      <c r="AJ257">
        <f t="shared" si="84"/>
        <v>5.9978190000000001E-2</v>
      </c>
      <c r="AK257">
        <v>5.9978190000000001E-2</v>
      </c>
      <c r="AL257">
        <v>0.11981441</v>
      </c>
      <c r="AM257">
        <v>0.12910284</v>
      </c>
      <c r="AN257">
        <v>0.14043716000000001</v>
      </c>
      <c r="AO257">
        <v>94.002180999999993</v>
      </c>
      <c r="AP257">
        <v>88.018558999999996</v>
      </c>
      <c r="AQ257">
        <v>87.089715999999996</v>
      </c>
      <c r="AR257">
        <v>85.956283999999997</v>
      </c>
      <c r="AS257" t="b">
        <v>1</v>
      </c>
      <c r="AT257" t="b">
        <v>0</v>
      </c>
      <c r="AU257" t="s">
        <v>77</v>
      </c>
      <c r="AV257" t="s">
        <v>78</v>
      </c>
      <c r="AW257" t="s">
        <v>79</v>
      </c>
      <c r="AX257" t="s">
        <v>233</v>
      </c>
      <c r="AY257" t="s">
        <v>459</v>
      </c>
      <c r="AZ257" t="s">
        <v>109</v>
      </c>
      <c r="BA257">
        <v>5</v>
      </c>
      <c r="BB257">
        <v>0.25</v>
      </c>
      <c r="BC257">
        <v>4.1163553999999996E-3</v>
      </c>
      <c r="BD257">
        <v>1.4279989108178799E-4</v>
      </c>
      <c r="BE257">
        <v>4.2591552910817903E-3</v>
      </c>
      <c r="BF257">
        <f>IF(AK257&lt;BE257,1,0)</f>
        <v>0</v>
      </c>
      <c r="BG257">
        <f>IF(AK257&lt;BC257,1,0)</f>
        <v>0</v>
      </c>
      <c r="BH257">
        <f>VLOOKUP($B257,[1]Data_Peer_with_peerVars!$B$2:$Z$1050,20,FALSE)</f>
        <v>8</v>
      </c>
      <c r="BI257">
        <f>VLOOKUP($B257,[1]Data_Peer_with_peerVars!$B$2:$Z$1050,21,FALSE)</f>
        <v>6</v>
      </c>
      <c r="BJ257">
        <f>VLOOKUP($B257,[1]Data_Peer_with_peerVars!$B$2:$Z$1050,22,FALSE)</f>
        <v>0.75</v>
      </c>
      <c r="BK257">
        <f>VLOOKUP($B257,[1]Data_Peer_with_peerVars!$B$2:$Z$1050,23,FALSE)</f>
        <v>41</v>
      </c>
      <c r="BL257">
        <f>VLOOKUP($B257,[1]Data_Peer_with_peerVars!$B$2:$Z$1050,24,FALSE)</f>
        <v>30</v>
      </c>
      <c r="BM257">
        <f>VLOOKUP($B257,[1]Data_Peer_with_peerVars!$B$2:$Z$1050,25,FALSE)</f>
        <v>0.73170731700000002</v>
      </c>
    </row>
    <row r="258" spans="1:65" x14ac:dyDescent="0.2">
      <c r="A258">
        <v>1</v>
      </c>
      <c r="B258" t="s">
        <v>475</v>
      </c>
      <c r="C258">
        <v>129</v>
      </c>
      <c r="D258" t="s">
        <v>68</v>
      </c>
      <c r="E258">
        <v>0</v>
      </c>
      <c r="F258">
        <v>417</v>
      </c>
      <c r="G258" t="s">
        <v>119</v>
      </c>
      <c r="H258" s="1">
        <v>2</v>
      </c>
      <c r="I258" t="s">
        <v>70</v>
      </c>
      <c r="J258" t="s">
        <v>71</v>
      </c>
      <c r="K258" t="s">
        <v>109</v>
      </c>
      <c r="L258">
        <v>1</v>
      </c>
      <c r="M258">
        <v>0</v>
      </c>
      <c r="N258">
        <v>0</v>
      </c>
      <c r="O258">
        <v>0</v>
      </c>
      <c r="P258">
        <v>0</v>
      </c>
      <c r="Q258">
        <v>11</v>
      </c>
      <c r="R258">
        <v>0</v>
      </c>
      <c r="S258">
        <v>0</v>
      </c>
      <c r="T258">
        <v>0</v>
      </c>
      <c r="U258">
        <v>0</v>
      </c>
      <c r="V258">
        <f t="shared" si="81"/>
        <v>1</v>
      </c>
      <c r="W258">
        <v>1</v>
      </c>
      <c r="X258">
        <v>1</v>
      </c>
      <c r="Y258">
        <v>1</v>
      </c>
      <c r="Z258" t="s">
        <v>76</v>
      </c>
      <c r="AA258" s="5" t="s">
        <v>76</v>
      </c>
      <c r="AB258" s="5" t="s">
        <v>76</v>
      </c>
      <c r="AC258" t="s">
        <v>76</v>
      </c>
      <c r="AD258" t="s">
        <v>74</v>
      </c>
      <c r="AE258" s="5" t="s">
        <v>74</v>
      </c>
      <c r="AF258" t="s">
        <v>75</v>
      </c>
      <c r="AG258" t="s">
        <v>120</v>
      </c>
      <c r="AH258">
        <f t="shared" si="104"/>
        <v>8.3378895999999994E-2</v>
      </c>
      <c r="AI258">
        <f t="shared" si="105"/>
        <v>8.3378895999999994E-2</v>
      </c>
      <c r="AJ258">
        <f t="shared" si="84"/>
        <v>8.3378895999999994E-2</v>
      </c>
      <c r="AK258">
        <v>8.3378895999999994E-2</v>
      </c>
      <c r="AL258">
        <v>0.10696654</v>
      </c>
      <c r="AM258">
        <v>0.12705366000000001</v>
      </c>
      <c r="AN258">
        <v>0.12766538999999999</v>
      </c>
      <c r="AO258">
        <v>91.662110400000003</v>
      </c>
      <c r="AP258">
        <v>89.303346000000005</v>
      </c>
      <c r="AQ258">
        <v>87.294634000000002</v>
      </c>
      <c r="AR258">
        <v>87.233461000000005</v>
      </c>
      <c r="AS258" t="b">
        <v>1</v>
      </c>
      <c r="AT258" t="b">
        <v>0</v>
      </c>
      <c r="AU258" t="s">
        <v>77</v>
      </c>
      <c r="AV258" t="s">
        <v>78</v>
      </c>
      <c r="AW258" t="s">
        <v>79</v>
      </c>
      <c r="AX258" t="s">
        <v>233</v>
      </c>
      <c r="AY258" t="s">
        <v>476</v>
      </c>
      <c r="AZ258" t="s">
        <v>109</v>
      </c>
      <c r="BA258">
        <v>5</v>
      </c>
      <c r="BB258">
        <v>0.5</v>
      </c>
      <c r="BC258">
        <v>7.7070764999999999E-2</v>
      </c>
      <c r="BD258">
        <v>1.90190515067399E-3</v>
      </c>
      <c r="BE258">
        <v>7.8972670150673996E-2</v>
      </c>
      <c r="BF258">
        <f>IF(AK258&lt;BE258,1,0)</f>
        <v>0</v>
      </c>
      <c r="BG258">
        <f>IF(AK258&lt;BC258,1,0)</f>
        <v>0</v>
      </c>
    </row>
    <row r="259" spans="1:65" x14ac:dyDescent="0.2">
      <c r="A259">
        <v>1</v>
      </c>
      <c r="B259" t="s">
        <v>477</v>
      </c>
      <c r="C259">
        <v>130</v>
      </c>
      <c r="D259" t="s">
        <v>68</v>
      </c>
      <c r="E259">
        <v>0</v>
      </c>
      <c r="F259">
        <v>418</v>
      </c>
      <c r="G259" t="s">
        <v>119</v>
      </c>
      <c r="H259" s="1">
        <v>2.3333333333333299</v>
      </c>
      <c r="I259" t="s">
        <v>70</v>
      </c>
      <c r="J259" t="s">
        <v>71</v>
      </c>
      <c r="K259" t="s">
        <v>109</v>
      </c>
      <c r="L259">
        <v>1</v>
      </c>
      <c r="M259">
        <v>0</v>
      </c>
      <c r="N259">
        <v>0</v>
      </c>
      <c r="O259">
        <v>0</v>
      </c>
      <c r="P259">
        <v>1</v>
      </c>
      <c r="Q259">
        <v>6</v>
      </c>
      <c r="R259">
        <v>0</v>
      </c>
      <c r="S259">
        <v>0</v>
      </c>
      <c r="T259">
        <v>0</v>
      </c>
      <c r="U259">
        <v>0</v>
      </c>
      <c r="V259">
        <f t="shared" ref="V259:V322" si="106">IF(Z259=AC259,1,0)</f>
        <v>1</v>
      </c>
      <c r="W259">
        <v>1</v>
      </c>
      <c r="X259">
        <v>1</v>
      </c>
      <c r="Y259">
        <v>1</v>
      </c>
      <c r="Z259" t="s">
        <v>73</v>
      </c>
      <c r="AA259" s="5" t="s">
        <v>73</v>
      </c>
      <c r="AB259" s="5" t="s">
        <v>73</v>
      </c>
      <c r="AC259" t="s">
        <v>73</v>
      </c>
      <c r="AD259" t="s">
        <v>75</v>
      </c>
      <c r="AE259" s="5" t="s">
        <v>478</v>
      </c>
      <c r="AF259" t="s">
        <v>94</v>
      </c>
      <c r="AG259" t="s">
        <v>95</v>
      </c>
      <c r="AH259">
        <f t="shared" si="104"/>
        <v>3.5265174000000003E-2</v>
      </c>
      <c r="AI259">
        <f t="shared" si="105"/>
        <v>3.5265174000000003E-2</v>
      </c>
      <c r="AJ259">
        <f t="shared" ref="AJ259:AJ322" si="107">AK259</f>
        <v>3.5265174000000003E-2</v>
      </c>
      <c r="AK259">
        <v>3.5265174000000003E-2</v>
      </c>
      <c r="AL259">
        <v>0.13666300000000001</v>
      </c>
      <c r="AM259">
        <v>0.13753425</v>
      </c>
      <c r="AN259">
        <v>0.14273973000000001</v>
      </c>
      <c r="AO259">
        <v>96.473482599999997</v>
      </c>
      <c r="AP259">
        <v>86.333699999999993</v>
      </c>
      <c r="AQ259">
        <v>86.246575000000007</v>
      </c>
      <c r="AR259">
        <v>85.726027000000002</v>
      </c>
      <c r="AS259" t="b">
        <v>1</v>
      </c>
      <c r="AT259" t="b">
        <v>0</v>
      </c>
      <c r="AU259" t="s">
        <v>77</v>
      </c>
      <c r="AV259" t="s">
        <v>108</v>
      </c>
      <c r="AW259" t="s">
        <v>79</v>
      </c>
      <c r="AX259" t="s">
        <v>233</v>
      </c>
      <c r="AY259" t="s">
        <v>476</v>
      </c>
      <c r="AZ259" t="s">
        <v>109</v>
      </c>
      <c r="BA259">
        <v>2</v>
      </c>
      <c r="BB259">
        <v>1.5</v>
      </c>
      <c r="BC259">
        <v>4.1163553999999996E-3</v>
      </c>
      <c r="BD259">
        <v>1.4279989108178799E-4</v>
      </c>
      <c r="BE259">
        <v>4.2591552910817903E-3</v>
      </c>
      <c r="BF259">
        <f>IF(AK259&lt;BE259,1,0)</f>
        <v>0</v>
      </c>
      <c r="BG259">
        <f>IF(AK259&lt;BC259,1,0)</f>
        <v>0</v>
      </c>
      <c r="BH259">
        <f>VLOOKUP($B259,[1]Data_Peer_with_peerVars!$B$2:$Z$1050,20,FALSE)</f>
        <v>4</v>
      </c>
      <c r="BI259">
        <f>VLOOKUP($B259,[1]Data_Peer_with_peerVars!$B$2:$Z$1050,21,FALSE)</f>
        <v>4</v>
      </c>
      <c r="BJ259">
        <f>VLOOKUP($B259,[1]Data_Peer_with_peerVars!$B$2:$Z$1050,22,FALSE)</f>
        <v>1</v>
      </c>
      <c r="BK259">
        <f>VLOOKUP($B259,[1]Data_Peer_with_peerVars!$B$2:$Z$1050,23,FALSE)</f>
        <v>12</v>
      </c>
      <c r="BL259">
        <f>VLOOKUP($B259,[1]Data_Peer_with_peerVars!$B$2:$Z$1050,24,FALSE)</f>
        <v>8</v>
      </c>
      <c r="BM259">
        <f>VLOOKUP($B259,[1]Data_Peer_with_peerVars!$B$2:$Z$1050,25,FALSE)</f>
        <v>0.66666666699999999</v>
      </c>
    </row>
    <row r="260" spans="1:65" x14ac:dyDescent="0.2">
      <c r="A260">
        <v>1</v>
      </c>
      <c r="B260" t="s">
        <v>479</v>
      </c>
      <c r="C260">
        <v>130</v>
      </c>
      <c r="D260" t="s">
        <v>68</v>
      </c>
      <c r="E260">
        <v>0</v>
      </c>
      <c r="F260">
        <v>418</v>
      </c>
      <c r="G260" t="s">
        <v>119</v>
      </c>
      <c r="H260" s="1">
        <v>2.3333333333333299</v>
      </c>
      <c r="I260" t="s">
        <v>70</v>
      </c>
      <c r="J260" t="s">
        <v>71</v>
      </c>
      <c r="K260" t="s">
        <v>109</v>
      </c>
      <c r="L260">
        <v>1</v>
      </c>
      <c r="M260">
        <v>0</v>
      </c>
      <c r="N260">
        <v>0</v>
      </c>
      <c r="O260">
        <v>0</v>
      </c>
      <c r="P260">
        <v>1</v>
      </c>
      <c r="Q260">
        <v>6</v>
      </c>
      <c r="R260">
        <v>0</v>
      </c>
      <c r="S260">
        <v>0</v>
      </c>
      <c r="T260">
        <v>0</v>
      </c>
      <c r="U260">
        <v>0</v>
      </c>
      <c r="V260">
        <f t="shared" si="106"/>
        <v>1</v>
      </c>
      <c r="W260">
        <v>1</v>
      </c>
      <c r="X260">
        <v>1</v>
      </c>
      <c r="Y260">
        <v>1</v>
      </c>
      <c r="Z260" t="s">
        <v>76</v>
      </c>
      <c r="AA260" s="5" t="s">
        <v>76</v>
      </c>
      <c r="AB260" s="5" t="s">
        <v>76</v>
      </c>
      <c r="AC260" t="s">
        <v>76</v>
      </c>
      <c r="AD260" t="s">
        <v>74</v>
      </c>
      <c r="AE260" s="5" t="s">
        <v>74</v>
      </c>
      <c r="AF260" t="s">
        <v>75</v>
      </c>
      <c r="AG260" t="s">
        <v>120</v>
      </c>
      <c r="AH260">
        <f t="shared" si="104"/>
        <v>7.1077089999999996E-2</v>
      </c>
      <c r="AI260">
        <f t="shared" si="105"/>
        <v>7.1077089999999996E-2</v>
      </c>
      <c r="AJ260">
        <f t="shared" si="107"/>
        <v>7.1077089999999996E-2</v>
      </c>
      <c r="AK260">
        <v>7.1077089999999996E-2</v>
      </c>
      <c r="AL260">
        <v>9.5172789999999993E-2</v>
      </c>
      <c r="AM260">
        <v>0.11966046</v>
      </c>
      <c r="AN260">
        <v>0.12247129499999999</v>
      </c>
      <c r="AO260">
        <v>92.892291</v>
      </c>
      <c r="AP260">
        <v>90.482720999999998</v>
      </c>
      <c r="AQ260">
        <v>88.033953999999994</v>
      </c>
      <c r="AR260">
        <v>87.7528705</v>
      </c>
      <c r="AS260" t="b">
        <v>1</v>
      </c>
      <c r="AT260" t="b">
        <v>0</v>
      </c>
      <c r="AU260" t="s">
        <v>77</v>
      </c>
      <c r="AV260" t="s">
        <v>77</v>
      </c>
      <c r="AW260" t="s">
        <v>79</v>
      </c>
      <c r="AX260" t="s">
        <v>233</v>
      </c>
      <c r="AY260" t="s">
        <v>476</v>
      </c>
      <c r="AZ260" t="s">
        <v>109</v>
      </c>
      <c r="BA260">
        <v>10</v>
      </c>
      <c r="BB260">
        <v>0.3</v>
      </c>
      <c r="BC260">
        <v>7.7070764999999999E-2</v>
      </c>
      <c r="BD260">
        <v>1.90190515067399E-3</v>
      </c>
      <c r="BE260">
        <v>7.8972670150673996E-2</v>
      </c>
      <c r="BF260">
        <f>IF(AK260&lt;BE260,1,0)</f>
        <v>1</v>
      </c>
      <c r="BG260">
        <f>IF(AK260&lt;BC260,1,0)</f>
        <v>1</v>
      </c>
      <c r="BH260">
        <f>VLOOKUP($B260,[1]Data_Peer_with_peerVars!$B$2:$Z$1050,20,FALSE)</f>
        <v>4</v>
      </c>
      <c r="BI260">
        <f>VLOOKUP($B260,[1]Data_Peer_with_peerVars!$B$2:$Z$1050,21,FALSE)</f>
        <v>4</v>
      </c>
      <c r="BJ260">
        <f>VLOOKUP($B260,[1]Data_Peer_with_peerVars!$B$2:$Z$1050,22,FALSE)</f>
        <v>1</v>
      </c>
      <c r="BK260">
        <f>VLOOKUP($B260,[1]Data_Peer_with_peerVars!$B$2:$Z$1050,23,FALSE)</f>
        <v>12</v>
      </c>
      <c r="BL260">
        <f>VLOOKUP($B260,[1]Data_Peer_with_peerVars!$B$2:$Z$1050,24,FALSE)</f>
        <v>8</v>
      </c>
      <c r="BM260">
        <f>VLOOKUP($B260,[1]Data_Peer_with_peerVars!$B$2:$Z$1050,25,FALSE)</f>
        <v>0.66666666699999999</v>
      </c>
    </row>
    <row r="261" spans="1:65" x14ac:dyDescent="0.2">
      <c r="A261">
        <v>1</v>
      </c>
      <c r="B261" t="s">
        <v>480</v>
      </c>
      <c r="C261">
        <v>131</v>
      </c>
      <c r="D261" t="s">
        <v>68</v>
      </c>
      <c r="E261">
        <v>0</v>
      </c>
      <c r="F261">
        <v>419</v>
      </c>
      <c r="G261" t="s">
        <v>119</v>
      </c>
      <c r="H261" s="1">
        <v>4</v>
      </c>
      <c r="I261" t="s">
        <v>70</v>
      </c>
      <c r="J261" t="s">
        <v>436</v>
      </c>
      <c r="K261" t="s">
        <v>109</v>
      </c>
      <c r="L261">
        <v>1</v>
      </c>
      <c r="M261">
        <v>0</v>
      </c>
      <c r="N261">
        <v>0</v>
      </c>
      <c r="O261">
        <v>0</v>
      </c>
      <c r="P261">
        <v>1</v>
      </c>
      <c r="Q261">
        <v>6</v>
      </c>
      <c r="R261">
        <v>0</v>
      </c>
      <c r="S261">
        <v>0</v>
      </c>
      <c r="T261">
        <v>0</v>
      </c>
      <c r="U261">
        <v>0</v>
      </c>
      <c r="V261">
        <f t="shared" si="106"/>
        <v>1</v>
      </c>
      <c r="W261">
        <v>1</v>
      </c>
      <c r="X261">
        <v>1</v>
      </c>
      <c r="Y261">
        <v>1</v>
      </c>
      <c r="Z261" t="s">
        <v>84</v>
      </c>
      <c r="AA261" s="5" t="s">
        <v>84</v>
      </c>
      <c r="AB261" s="5" t="s">
        <v>84</v>
      </c>
      <c r="AC261" t="s">
        <v>84</v>
      </c>
      <c r="AD261" t="s">
        <v>113</v>
      </c>
      <c r="AE261" s="5" t="s">
        <v>113</v>
      </c>
      <c r="AF261" t="s">
        <v>114</v>
      </c>
      <c r="AG261" t="s">
        <v>76</v>
      </c>
      <c r="AH261">
        <f t="shared" si="104"/>
        <v>5.3326002999999997E-2</v>
      </c>
      <c r="AI261">
        <f t="shared" si="105"/>
        <v>5.3326002999999997E-2</v>
      </c>
      <c r="AJ261">
        <f t="shared" si="107"/>
        <v>5.3326002999999997E-2</v>
      </c>
      <c r="AK261">
        <v>5.3326002999999997E-2</v>
      </c>
      <c r="AL261">
        <v>0.114348546</v>
      </c>
      <c r="AM261">
        <v>0.13603950000000001</v>
      </c>
      <c r="AN261">
        <v>0.13636364000000001</v>
      </c>
      <c r="AO261">
        <v>94.667399700000004</v>
      </c>
      <c r="AP261">
        <v>88.565145400000006</v>
      </c>
      <c r="AQ261">
        <v>86.396050000000002</v>
      </c>
      <c r="AR261">
        <v>86.363636</v>
      </c>
      <c r="AS261" t="b">
        <v>1</v>
      </c>
      <c r="AT261" t="b">
        <v>0</v>
      </c>
      <c r="AU261" t="s">
        <v>77</v>
      </c>
      <c r="AV261" t="s">
        <v>78</v>
      </c>
      <c r="AW261" t="s">
        <v>79</v>
      </c>
      <c r="AX261" t="s">
        <v>233</v>
      </c>
      <c r="AY261" t="s">
        <v>476</v>
      </c>
      <c r="AZ261" t="s">
        <v>109</v>
      </c>
      <c r="BA261">
        <v>2</v>
      </c>
      <c r="BB261">
        <v>0.7</v>
      </c>
      <c r="BC261">
        <v>4.6780407000000003E-2</v>
      </c>
      <c r="BD261">
        <v>6.0749635341231199E-3</v>
      </c>
      <c r="BE261">
        <v>5.2855370534123099E-2</v>
      </c>
      <c r="BF261">
        <f>IF(AK261&lt;BE261,1,0)</f>
        <v>0</v>
      </c>
      <c r="BG261">
        <f>IF(AK261&lt;BC261,1,0)</f>
        <v>0</v>
      </c>
      <c r="BH261">
        <f>VLOOKUP($B261,[1]Data_Peer_with_peerVars!$B$2:$Z$1050,20,FALSE)</f>
        <v>4</v>
      </c>
      <c r="BI261">
        <f>VLOOKUP($B261,[1]Data_Peer_with_peerVars!$B$2:$Z$1050,21,FALSE)</f>
        <v>4</v>
      </c>
      <c r="BJ261">
        <f>VLOOKUP($B261,[1]Data_Peer_with_peerVars!$B$2:$Z$1050,22,FALSE)</f>
        <v>1</v>
      </c>
      <c r="BK261">
        <f>VLOOKUP($B261,[1]Data_Peer_with_peerVars!$B$2:$Z$1050,23,FALSE)</f>
        <v>12</v>
      </c>
      <c r="BL261">
        <f>VLOOKUP($B261,[1]Data_Peer_with_peerVars!$B$2:$Z$1050,24,FALSE)</f>
        <v>8</v>
      </c>
      <c r="BM261">
        <f>VLOOKUP($B261,[1]Data_Peer_with_peerVars!$B$2:$Z$1050,25,FALSE)</f>
        <v>0.66666666699999999</v>
      </c>
    </row>
    <row r="262" spans="1:65" x14ac:dyDescent="0.2">
      <c r="A262">
        <v>1</v>
      </c>
      <c r="B262" t="s">
        <v>481</v>
      </c>
      <c r="C262">
        <v>131</v>
      </c>
      <c r="D262" t="s">
        <v>68</v>
      </c>
      <c r="E262">
        <v>0</v>
      </c>
      <c r="F262">
        <v>419</v>
      </c>
      <c r="G262" t="s">
        <v>119</v>
      </c>
      <c r="H262" s="1">
        <v>4</v>
      </c>
      <c r="I262" t="s">
        <v>70</v>
      </c>
      <c r="J262" t="s">
        <v>436</v>
      </c>
      <c r="K262" t="s">
        <v>109</v>
      </c>
      <c r="L262">
        <v>1</v>
      </c>
      <c r="M262">
        <v>0</v>
      </c>
      <c r="N262">
        <v>0</v>
      </c>
      <c r="O262">
        <v>0</v>
      </c>
      <c r="P262">
        <v>1</v>
      </c>
      <c r="Q262">
        <v>6</v>
      </c>
      <c r="R262">
        <v>0</v>
      </c>
      <c r="S262">
        <v>0</v>
      </c>
      <c r="T262">
        <v>1</v>
      </c>
      <c r="U262">
        <v>1</v>
      </c>
      <c r="V262">
        <f t="shared" si="106"/>
        <v>1</v>
      </c>
      <c r="W262">
        <v>1</v>
      </c>
      <c r="X262">
        <v>1</v>
      </c>
      <c r="Y262">
        <v>1</v>
      </c>
      <c r="Z262" t="s">
        <v>73</v>
      </c>
      <c r="AA262" s="5" t="s">
        <v>73</v>
      </c>
      <c r="AB262" s="5" t="s">
        <v>482</v>
      </c>
      <c r="AC262" t="s">
        <v>73</v>
      </c>
      <c r="AD262" t="s">
        <v>94</v>
      </c>
      <c r="AE262" s="5" t="s">
        <v>106</v>
      </c>
      <c r="AF262" t="s">
        <v>107</v>
      </c>
      <c r="AG262" t="s">
        <v>95</v>
      </c>
      <c r="AH262">
        <f t="shared" si="104"/>
        <v>4.0916529999999998E-3</v>
      </c>
      <c r="AI262">
        <f t="shared" si="105"/>
        <v>4.0916529999999998E-3</v>
      </c>
      <c r="AJ262">
        <f t="shared" si="107"/>
        <v>4.0916529999999998E-3</v>
      </c>
      <c r="AK262">
        <v>4.0916529999999998E-3</v>
      </c>
      <c r="AL262">
        <v>0.13203936999999999</v>
      </c>
      <c r="AM262">
        <v>0.13651315999999999</v>
      </c>
      <c r="AN262">
        <v>0.13902571999999999</v>
      </c>
      <c r="AO262">
        <v>99.590834700000002</v>
      </c>
      <c r="AP262">
        <v>86.796063000000004</v>
      </c>
      <c r="AQ262">
        <v>86.348684000000006</v>
      </c>
      <c r="AR262">
        <v>86.097427999999994</v>
      </c>
      <c r="AS262" t="b">
        <v>1</v>
      </c>
      <c r="AT262" t="b">
        <v>0</v>
      </c>
      <c r="AU262" t="s">
        <v>77</v>
      </c>
      <c r="AV262" t="s">
        <v>108</v>
      </c>
      <c r="AW262" t="s">
        <v>79</v>
      </c>
      <c r="AX262" t="s">
        <v>233</v>
      </c>
      <c r="AY262" t="s">
        <v>476</v>
      </c>
      <c r="AZ262" t="s">
        <v>109</v>
      </c>
      <c r="BA262">
        <v>4</v>
      </c>
      <c r="BB262">
        <v>3</v>
      </c>
      <c r="BC262">
        <v>4.1163553999999996E-3</v>
      </c>
      <c r="BD262">
        <v>1.4279989108178799E-4</v>
      </c>
      <c r="BE262">
        <v>4.2591552910817903E-3</v>
      </c>
      <c r="BF262">
        <f>IF(AK262&lt;BE262,1,0)</f>
        <v>1</v>
      </c>
      <c r="BG262">
        <f>IF(AK262&lt;BC262,1,0)</f>
        <v>1</v>
      </c>
      <c r="BH262">
        <f>VLOOKUP($B262,[1]Data_Peer_with_peerVars!$B$2:$Z$1050,20,FALSE)</f>
        <v>4</v>
      </c>
      <c r="BI262">
        <f>VLOOKUP($B262,[1]Data_Peer_with_peerVars!$B$2:$Z$1050,21,FALSE)</f>
        <v>4</v>
      </c>
      <c r="BJ262">
        <f>VLOOKUP($B262,[1]Data_Peer_with_peerVars!$B$2:$Z$1050,22,FALSE)</f>
        <v>1</v>
      </c>
      <c r="BK262">
        <f>VLOOKUP($B262,[1]Data_Peer_with_peerVars!$B$2:$Z$1050,23,FALSE)</f>
        <v>12</v>
      </c>
      <c r="BL262">
        <f>VLOOKUP($B262,[1]Data_Peer_with_peerVars!$B$2:$Z$1050,24,FALSE)</f>
        <v>8</v>
      </c>
      <c r="BM262">
        <f>VLOOKUP($B262,[1]Data_Peer_with_peerVars!$B$2:$Z$1050,25,FALSE)</f>
        <v>0.66666666699999999</v>
      </c>
    </row>
    <row r="263" spans="1:65" x14ac:dyDescent="0.2">
      <c r="A263">
        <v>1</v>
      </c>
      <c r="B263" t="s">
        <v>483</v>
      </c>
      <c r="C263">
        <v>132</v>
      </c>
      <c r="D263" t="s">
        <v>68</v>
      </c>
      <c r="E263">
        <v>0</v>
      </c>
      <c r="F263">
        <v>424</v>
      </c>
      <c r="G263" t="s">
        <v>119</v>
      </c>
      <c r="H263" s="1">
        <v>3</v>
      </c>
      <c r="I263" t="s">
        <v>70</v>
      </c>
      <c r="J263" t="s">
        <v>71</v>
      </c>
      <c r="K263" t="s">
        <v>109</v>
      </c>
      <c r="L263">
        <v>1</v>
      </c>
      <c r="M263">
        <v>1</v>
      </c>
      <c r="N263">
        <v>0</v>
      </c>
      <c r="O263">
        <v>0</v>
      </c>
      <c r="P263">
        <v>1</v>
      </c>
      <c r="Q263">
        <v>7</v>
      </c>
      <c r="R263">
        <v>0</v>
      </c>
      <c r="S263">
        <v>0</v>
      </c>
      <c r="T263">
        <v>0</v>
      </c>
      <c r="U263">
        <v>0</v>
      </c>
      <c r="V263">
        <f t="shared" si="106"/>
        <v>1</v>
      </c>
      <c r="W263">
        <v>1</v>
      </c>
      <c r="X263">
        <v>1</v>
      </c>
      <c r="Y263">
        <v>1</v>
      </c>
      <c r="Z263" t="s">
        <v>84</v>
      </c>
      <c r="AA263" s="5" t="s">
        <v>84</v>
      </c>
      <c r="AB263" s="5" t="s">
        <v>84</v>
      </c>
      <c r="AC263" t="s">
        <v>84</v>
      </c>
      <c r="AD263" t="s">
        <v>113</v>
      </c>
      <c r="AE263" s="5" t="s">
        <v>113</v>
      </c>
      <c r="AF263" t="s">
        <v>91</v>
      </c>
      <c r="AG263" t="s">
        <v>75</v>
      </c>
      <c r="AH263">
        <f t="shared" si="104"/>
        <v>3.2471105E-2</v>
      </c>
      <c r="AI263">
        <f t="shared" si="105"/>
        <v>3.2471105E-2</v>
      </c>
      <c r="AJ263">
        <f t="shared" si="107"/>
        <v>3.2471105E-2</v>
      </c>
      <c r="AK263">
        <v>3.2471105E-2</v>
      </c>
      <c r="AL263">
        <v>0.12389868</v>
      </c>
      <c r="AM263">
        <v>0.13748627999999999</v>
      </c>
      <c r="AN263">
        <v>0.13783635</v>
      </c>
      <c r="AO263">
        <v>96.752889499999995</v>
      </c>
      <c r="AP263">
        <v>87.610131999999993</v>
      </c>
      <c r="AQ263">
        <v>86.251372000000003</v>
      </c>
      <c r="AR263">
        <v>86.216364999999996</v>
      </c>
      <c r="AS263" t="b">
        <v>1</v>
      </c>
      <c r="AT263" t="b">
        <v>0</v>
      </c>
      <c r="AU263" t="s">
        <v>77</v>
      </c>
      <c r="AV263" t="s">
        <v>78</v>
      </c>
      <c r="AW263" t="s">
        <v>79</v>
      </c>
      <c r="AX263" t="s">
        <v>233</v>
      </c>
      <c r="AY263" t="s">
        <v>484</v>
      </c>
      <c r="AZ263" t="s">
        <v>109</v>
      </c>
      <c r="BA263">
        <v>6</v>
      </c>
      <c r="BB263">
        <v>1</v>
      </c>
      <c r="BC263">
        <v>4.6780407000000003E-2</v>
      </c>
      <c r="BD263">
        <v>6.0749635341231199E-3</v>
      </c>
      <c r="BE263">
        <v>5.2855370534123099E-2</v>
      </c>
      <c r="BF263">
        <f>IF(AK263&lt;BE263,1,0)</f>
        <v>1</v>
      </c>
      <c r="BG263">
        <f>IF(AK263&lt;BC263,1,0)</f>
        <v>1</v>
      </c>
      <c r="BH263">
        <f>VLOOKUP($B263,[1]Data_Peer_with_peerVars!$B$2:$Z$1050,20,FALSE)</f>
        <v>4</v>
      </c>
      <c r="BI263">
        <f>VLOOKUP($B263,[1]Data_Peer_with_peerVars!$B$2:$Z$1050,21,FALSE)</f>
        <v>4</v>
      </c>
      <c r="BJ263">
        <f>VLOOKUP($B263,[1]Data_Peer_with_peerVars!$B$2:$Z$1050,22,FALSE)</f>
        <v>1</v>
      </c>
      <c r="BK263">
        <f>VLOOKUP($B263,[1]Data_Peer_with_peerVars!$B$2:$Z$1050,23,FALSE)</f>
        <v>12</v>
      </c>
      <c r="BL263">
        <f>VLOOKUP($B263,[1]Data_Peer_with_peerVars!$B$2:$Z$1050,24,FALSE)</f>
        <v>8</v>
      </c>
      <c r="BM263">
        <f>VLOOKUP($B263,[1]Data_Peer_with_peerVars!$B$2:$Z$1050,25,FALSE)</f>
        <v>0.66666666699999999</v>
      </c>
    </row>
    <row r="264" spans="1:65" x14ac:dyDescent="0.2">
      <c r="A264">
        <v>1</v>
      </c>
      <c r="B264" t="s">
        <v>485</v>
      </c>
      <c r="C264">
        <v>132</v>
      </c>
      <c r="D264" t="s">
        <v>68</v>
      </c>
      <c r="E264">
        <v>0</v>
      </c>
      <c r="F264">
        <v>424</v>
      </c>
      <c r="G264" t="s">
        <v>119</v>
      </c>
      <c r="H264" s="1">
        <v>3</v>
      </c>
      <c r="I264" t="s">
        <v>70</v>
      </c>
      <c r="J264" t="s">
        <v>71</v>
      </c>
      <c r="K264" t="s">
        <v>109</v>
      </c>
      <c r="L264">
        <v>1</v>
      </c>
      <c r="M264">
        <v>1</v>
      </c>
      <c r="N264">
        <v>0</v>
      </c>
      <c r="O264">
        <v>0</v>
      </c>
      <c r="P264">
        <v>1</v>
      </c>
      <c r="Q264">
        <v>7</v>
      </c>
      <c r="R264">
        <v>0</v>
      </c>
      <c r="S264">
        <v>0</v>
      </c>
      <c r="T264">
        <v>0</v>
      </c>
      <c r="U264">
        <v>0</v>
      </c>
      <c r="V264">
        <f t="shared" si="106"/>
        <v>1</v>
      </c>
      <c r="W264">
        <v>1</v>
      </c>
      <c r="X264">
        <v>1</v>
      </c>
      <c r="Y264">
        <v>1</v>
      </c>
      <c r="Z264" t="s">
        <v>76</v>
      </c>
      <c r="AA264" s="5" t="s">
        <v>76</v>
      </c>
      <c r="AB264" s="5" t="s">
        <v>76</v>
      </c>
      <c r="AC264" t="s">
        <v>76</v>
      </c>
      <c r="AD264" t="s">
        <v>74</v>
      </c>
      <c r="AE264" s="5" t="s">
        <v>74</v>
      </c>
      <c r="AF264" t="s">
        <v>120</v>
      </c>
      <c r="AG264" t="s">
        <v>75</v>
      </c>
      <c r="AH264">
        <f t="shared" si="104"/>
        <v>7.7954049999999997E-2</v>
      </c>
      <c r="AI264">
        <f t="shared" si="105"/>
        <v>7.7954049999999997E-2</v>
      </c>
      <c r="AJ264">
        <f t="shared" si="107"/>
        <v>7.7954049999999997E-2</v>
      </c>
      <c r="AK264">
        <v>7.7954049999999997E-2</v>
      </c>
      <c r="AL264">
        <v>8.8090009999999996E-2</v>
      </c>
      <c r="AM264">
        <v>0.11740558600000001</v>
      </c>
      <c r="AN264">
        <v>0.11979166400000001</v>
      </c>
      <c r="AO264">
        <v>92.204594999999998</v>
      </c>
      <c r="AP264">
        <v>91.190999000000005</v>
      </c>
      <c r="AQ264">
        <v>88.2594414</v>
      </c>
      <c r="AR264">
        <v>88.020833600000003</v>
      </c>
      <c r="AS264" t="b">
        <v>1</v>
      </c>
      <c r="AT264" t="b">
        <v>0</v>
      </c>
      <c r="AU264" t="s">
        <v>77</v>
      </c>
      <c r="AV264" t="s">
        <v>77</v>
      </c>
      <c r="AW264" t="s">
        <v>79</v>
      </c>
      <c r="AX264" t="s">
        <v>233</v>
      </c>
      <c r="AY264" t="s">
        <v>484</v>
      </c>
      <c r="AZ264" t="s">
        <v>72</v>
      </c>
      <c r="BA264" t="s">
        <v>82</v>
      </c>
      <c r="BB264">
        <v>2</v>
      </c>
      <c r="BC264">
        <v>7.7070764999999999E-2</v>
      </c>
      <c r="BD264">
        <v>1.90190515067399E-3</v>
      </c>
      <c r="BE264">
        <v>7.8972670150673996E-2</v>
      </c>
      <c r="BF264">
        <f>IF(AK264&lt;BE264,1,0)</f>
        <v>1</v>
      </c>
      <c r="BG264">
        <f>IF(AK264&lt;BC264,1,0)</f>
        <v>0</v>
      </c>
      <c r="BH264">
        <f>VLOOKUP($B264,[1]Data_Peer_with_peerVars!$B$2:$Z$1050,20,FALSE)</f>
        <v>4</v>
      </c>
      <c r="BI264">
        <f>VLOOKUP($B264,[1]Data_Peer_with_peerVars!$B$2:$Z$1050,21,FALSE)</f>
        <v>4</v>
      </c>
      <c r="BJ264">
        <f>VLOOKUP($B264,[1]Data_Peer_with_peerVars!$B$2:$Z$1050,22,FALSE)</f>
        <v>1</v>
      </c>
      <c r="BK264">
        <f>VLOOKUP($B264,[1]Data_Peer_with_peerVars!$B$2:$Z$1050,23,FALSE)</f>
        <v>12</v>
      </c>
      <c r="BL264">
        <f>VLOOKUP($B264,[1]Data_Peer_with_peerVars!$B$2:$Z$1050,24,FALSE)</f>
        <v>8</v>
      </c>
      <c r="BM264">
        <f>VLOOKUP($B264,[1]Data_Peer_with_peerVars!$B$2:$Z$1050,25,FALSE)</f>
        <v>0.66666666699999999</v>
      </c>
    </row>
    <row r="265" spans="1:65" x14ac:dyDescent="0.2">
      <c r="A265">
        <v>1</v>
      </c>
      <c r="B265" t="s">
        <v>486</v>
      </c>
      <c r="C265">
        <v>133</v>
      </c>
      <c r="D265" t="s">
        <v>68</v>
      </c>
      <c r="E265">
        <v>0</v>
      </c>
      <c r="F265">
        <v>431</v>
      </c>
      <c r="G265" t="s">
        <v>97</v>
      </c>
      <c r="H265" s="1">
        <v>4</v>
      </c>
      <c r="I265" t="s">
        <v>87</v>
      </c>
      <c r="J265" t="s">
        <v>111</v>
      </c>
      <c r="K265" t="s">
        <v>72</v>
      </c>
      <c r="L265">
        <v>1</v>
      </c>
      <c r="M265">
        <v>0</v>
      </c>
      <c r="N265">
        <v>0</v>
      </c>
      <c r="O265">
        <v>0</v>
      </c>
      <c r="P265">
        <v>0</v>
      </c>
      <c r="Q265">
        <v>6</v>
      </c>
      <c r="R265">
        <v>0</v>
      </c>
      <c r="S265">
        <v>0</v>
      </c>
      <c r="T265">
        <v>0</v>
      </c>
      <c r="U265">
        <v>0</v>
      </c>
      <c r="V265">
        <f t="shared" si="106"/>
        <v>0</v>
      </c>
      <c r="W265">
        <f t="shared" ref="W265:W322" si="108">IF(Z265=AD265,1,0)</f>
        <v>0</v>
      </c>
      <c r="X265">
        <f t="shared" ref="X265:X323" si="109">IF(Z265=AF265,1,0)</f>
        <v>1</v>
      </c>
      <c r="Y265">
        <v>1</v>
      </c>
      <c r="Z265" t="s">
        <v>76</v>
      </c>
      <c r="AA265" s="5" t="s">
        <v>76</v>
      </c>
      <c r="AB265" s="5" t="s">
        <v>76</v>
      </c>
      <c r="AC265" t="s">
        <v>74</v>
      </c>
      <c r="AD265" t="s">
        <v>84</v>
      </c>
      <c r="AE265" s="5" t="s">
        <v>84</v>
      </c>
      <c r="AF265" t="s">
        <v>76</v>
      </c>
      <c r="AG265" t="s">
        <v>75</v>
      </c>
      <c r="AH265">
        <f t="shared" si="104"/>
        <v>0.12199125</v>
      </c>
      <c r="AI265">
        <f>AM265</f>
        <v>0.12199125</v>
      </c>
      <c r="AJ265">
        <f t="shared" si="107"/>
        <v>9.8464070000000001E-2</v>
      </c>
      <c r="AK265">
        <v>9.8464070000000001E-2</v>
      </c>
      <c r="AL265">
        <v>0.114348546</v>
      </c>
      <c r="AM265">
        <v>0.12199125</v>
      </c>
      <c r="AN265">
        <v>0.12876712000000001</v>
      </c>
      <c r="AO265">
        <v>90.153593000000001</v>
      </c>
      <c r="AP265">
        <v>88.565145400000006</v>
      </c>
      <c r="AQ265">
        <v>87.800875000000005</v>
      </c>
      <c r="AR265">
        <v>87.123288000000002</v>
      </c>
      <c r="AS265" t="b">
        <v>0</v>
      </c>
      <c r="AT265" t="b">
        <v>0</v>
      </c>
      <c r="AU265" t="s">
        <v>77</v>
      </c>
      <c r="AV265" t="s">
        <v>78</v>
      </c>
      <c r="AW265" t="s">
        <v>79</v>
      </c>
      <c r="AX265" t="s">
        <v>233</v>
      </c>
      <c r="AY265" t="s">
        <v>487</v>
      </c>
      <c r="AZ265" t="s">
        <v>72</v>
      </c>
      <c r="BA265" t="s">
        <v>82</v>
      </c>
      <c r="BB265">
        <v>2</v>
      </c>
      <c r="BC265">
        <v>2.4738868000000001E-3</v>
      </c>
      <c r="BD265">
        <v>1.4256942275279999E-4</v>
      </c>
      <c r="BE265">
        <v>2.6164562227527998E-3</v>
      </c>
      <c r="BF265">
        <f>IF(AK265&lt;BE265,1,0)</f>
        <v>0</v>
      </c>
      <c r="BG265">
        <f>IF(AK265&lt;BC265,1,0)</f>
        <v>0</v>
      </c>
      <c r="BH265">
        <f>VLOOKUP($B265,[1]Data_Peer_with_peerVars!$B$2:$Z$1050,20,FALSE)</f>
        <v>2</v>
      </c>
      <c r="BI265">
        <f>VLOOKUP($B265,[1]Data_Peer_with_peerVars!$B$2:$Z$1050,21,FALSE)</f>
        <v>2</v>
      </c>
      <c r="BJ265">
        <f>VLOOKUP($B265,[1]Data_Peer_with_peerVars!$B$2:$Z$1050,22,FALSE)</f>
        <v>1</v>
      </c>
      <c r="BK265">
        <f>VLOOKUP($B265,[1]Data_Peer_with_peerVars!$B$2:$Z$1050,23,FALSE)</f>
        <v>29</v>
      </c>
      <c r="BL265">
        <f>VLOOKUP($B265,[1]Data_Peer_with_peerVars!$B$2:$Z$1050,24,FALSE)</f>
        <v>22</v>
      </c>
      <c r="BM265">
        <f>VLOOKUP($B265,[1]Data_Peer_with_peerVars!$B$2:$Z$1050,25,FALSE)</f>
        <v>0.75862068999999999</v>
      </c>
    </row>
    <row r="266" spans="1:65" x14ac:dyDescent="0.2">
      <c r="A266">
        <v>1</v>
      </c>
      <c r="B266" t="s">
        <v>488</v>
      </c>
      <c r="C266">
        <v>133</v>
      </c>
      <c r="D266" t="s">
        <v>68</v>
      </c>
      <c r="E266">
        <v>0</v>
      </c>
      <c r="F266">
        <v>431</v>
      </c>
      <c r="G266" t="s">
        <v>97</v>
      </c>
      <c r="H266" s="1">
        <v>4</v>
      </c>
      <c r="I266" t="s">
        <v>87</v>
      </c>
      <c r="J266" t="s">
        <v>111</v>
      </c>
      <c r="K266" t="s">
        <v>72</v>
      </c>
      <c r="L266">
        <v>1</v>
      </c>
      <c r="M266">
        <v>0</v>
      </c>
      <c r="N266">
        <v>0</v>
      </c>
      <c r="O266">
        <v>0</v>
      </c>
      <c r="P266">
        <v>0</v>
      </c>
      <c r="Q266">
        <v>6</v>
      </c>
      <c r="R266">
        <v>0</v>
      </c>
      <c r="S266">
        <v>0</v>
      </c>
      <c r="T266">
        <v>0</v>
      </c>
      <c r="U266">
        <v>0</v>
      </c>
      <c r="V266">
        <f t="shared" si="106"/>
        <v>1</v>
      </c>
      <c r="W266">
        <v>1</v>
      </c>
      <c r="X266">
        <v>1</v>
      </c>
      <c r="Y266">
        <v>1</v>
      </c>
      <c r="Z266" t="s">
        <v>73</v>
      </c>
      <c r="AA266" s="5" t="s">
        <v>73</v>
      </c>
      <c r="AB266" s="5" t="s">
        <v>73</v>
      </c>
      <c r="AC266" t="s">
        <v>73</v>
      </c>
      <c r="AD266" t="s">
        <v>94</v>
      </c>
      <c r="AE266" s="5" t="s">
        <v>94</v>
      </c>
      <c r="AF266" t="s">
        <v>75</v>
      </c>
      <c r="AG266" t="s">
        <v>95</v>
      </c>
      <c r="AH266">
        <f t="shared" si="104"/>
        <v>6.8268709999999996E-2</v>
      </c>
      <c r="AI266">
        <f>AJ266</f>
        <v>6.8268709999999996E-2</v>
      </c>
      <c r="AJ266">
        <f t="shared" si="107"/>
        <v>6.8268709999999996E-2</v>
      </c>
      <c r="AK266">
        <v>6.8268709999999996E-2</v>
      </c>
      <c r="AL266">
        <v>0.120010935</v>
      </c>
      <c r="AM266">
        <v>0.13123287</v>
      </c>
      <c r="AN266">
        <v>0.14258346999999999</v>
      </c>
      <c r="AO266">
        <v>93.173129000000003</v>
      </c>
      <c r="AP266">
        <v>87.998906500000004</v>
      </c>
      <c r="AQ266">
        <v>86.876712999999995</v>
      </c>
      <c r="AR266">
        <v>85.741652999999999</v>
      </c>
      <c r="AS266" t="b">
        <v>1</v>
      </c>
      <c r="AT266" t="b">
        <v>0</v>
      </c>
      <c r="AU266" t="s">
        <v>77</v>
      </c>
      <c r="AV266" t="s">
        <v>78</v>
      </c>
      <c r="AW266" t="s">
        <v>79</v>
      </c>
      <c r="AX266" t="s">
        <v>233</v>
      </c>
      <c r="AY266" t="s">
        <v>487</v>
      </c>
      <c r="AZ266" t="s">
        <v>72</v>
      </c>
      <c r="BA266" t="s">
        <v>82</v>
      </c>
      <c r="BB266">
        <v>1.5</v>
      </c>
      <c r="BC266">
        <v>4.1163553999999996E-3</v>
      </c>
      <c r="BD266">
        <v>1.4279989108178799E-4</v>
      </c>
      <c r="BE266">
        <v>4.2591552910817903E-3</v>
      </c>
      <c r="BF266">
        <f>IF(AK266&lt;BE266,1,0)</f>
        <v>0</v>
      </c>
      <c r="BG266">
        <f>IF(AK266&lt;BC266,1,0)</f>
        <v>0</v>
      </c>
      <c r="BH266">
        <f>VLOOKUP($B266,[1]Data_Peer_with_peerVars!$B$2:$Z$1050,20,FALSE)</f>
        <v>2</v>
      </c>
      <c r="BI266">
        <f>VLOOKUP($B266,[1]Data_Peer_with_peerVars!$B$2:$Z$1050,21,FALSE)</f>
        <v>2</v>
      </c>
      <c r="BJ266">
        <f>VLOOKUP($B266,[1]Data_Peer_with_peerVars!$B$2:$Z$1050,22,FALSE)</f>
        <v>1</v>
      </c>
      <c r="BK266">
        <f>VLOOKUP($B266,[1]Data_Peer_with_peerVars!$B$2:$Z$1050,23,FALSE)</f>
        <v>29</v>
      </c>
      <c r="BL266">
        <f>VLOOKUP($B266,[1]Data_Peer_with_peerVars!$B$2:$Z$1050,24,FALSE)</f>
        <v>22</v>
      </c>
      <c r="BM266">
        <f>VLOOKUP($B266,[1]Data_Peer_with_peerVars!$B$2:$Z$1050,25,FALSE)</f>
        <v>0.75862068999999999</v>
      </c>
    </row>
    <row r="267" spans="1:65" x14ac:dyDescent="0.2">
      <c r="A267">
        <v>1</v>
      </c>
      <c r="B267" t="s">
        <v>489</v>
      </c>
      <c r="C267">
        <v>134</v>
      </c>
      <c r="D267" t="s">
        <v>68</v>
      </c>
      <c r="E267">
        <v>0</v>
      </c>
      <c r="F267">
        <v>439</v>
      </c>
      <c r="G267" t="s">
        <v>97</v>
      </c>
      <c r="H267" s="1">
        <v>4</v>
      </c>
      <c r="I267" t="s">
        <v>70</v>
      </c>
      <c r="J267" t="s">
        <v>71</v>
      </c>
      <c r="K267" t="s">
        <v>109</v>
      </c>
      <c r="L267">
        <v>1</v>
      </c>
      <c r="M267">
        <v>0</v>
      </c>
      <c r="N267">
        <v>1</v>
      </c>
      <c r="O267">
        <v>0</v>
      </c>
      <c r="P267">
        <v>0</v>
      </c>
      <c r="Q267">
        <v>2</v>
      </c>
      <c r="R267">
        <v>0</v>
      </c>
      <c r="S267">
        <v>0</v>
      </c>
      <c r="T267">
        <v>0</v>
      </c>
      <c r="U267">
        <v>0</v>
      </c>
      <c r="V267">
        <f t="shared" si="106"/>
        <v>0</v>
      </c>
      <c r="W267">
        <f t="shared" si="108"/>
        <v>1</v>
      </c>
      <c r="X267">
        <v>1</v>
      </c>
      <c r="Y267">
        <v>1</v>
      </c>
      <c r="Z267" t="s">
        <v>76</v>
      </c>
      <c r="AA267" s="5" t="s">
        <v>76</v>
      </c>
      <c r="AB267" s="5" t="s">
        <v>76</v>
      </c>
      <c r="AC267" t="s">
        <v>84</v>
      </c>
      <c r="AD267" t="s">
        <v>76</v>
      </c>
      <c r="AE267" s="5" t="s">
        <v>76</v>
      </c>
      <c r="AF267" t="s">
        <v>113</v>
      </c>
      <c r="AG267" t="s">
        <v>74</v>
      </c>
      <c r="AH267">
        <f t="shared" si="104"/>
        <v>0.1224546</v>
      </c>
      <c r="AI267">
        <f>AJ267</f>
        <v>0.1224546</v>
      </c>
      <c r="AJ267">
        <f>AL267</f>
        <v>0.1224546</v>
      </c>
      <c r="AK267">
        <v>0.10027625</v>
      </c>
      <c r="AL267">
        <v>0.1224546</v>
      </c>
      <c r="AM267">
        <v>0.14005524999999999</v>
      </c>
      <c r="AN267">
        <v>0.14486755000000001</v>
      </c>
      <c r="AO267">
        <v>89.972375</v>
      </c>
      <c r="AP267">
        <v>87.754540000000006</v>
      </c>
      <c r="AQ267">
        <v>85.994474999999994</v>
      </c>
      <c r="AR267">
        <v>85.513244999999998</v>
      </c>
      <c r="AS267" t="b">
        <v>0</v>
      </c>
      <c r="AT267" t="b">
        <v>1</v>
      </c>
      <c r="AU267" t="s">
        <v>78</v>
      </c>
      <c r="AV267" t="s">
        <v>78</v>
      </c>
      <c r="AW267" t="s">
        <v>79</v>
      </c>
      <c r="AX267" t="s">
        <v>233</v>
      </c>
      <c r="AY267" t="s">
        <v>487</v>
      </c>
      <c r="AZ267" t="s">
        <v>109</v>
      </c>
      <c r="BA267">
        <v>4</v>
      </c>
      <c r="BB267">
        <v>0.5</v>
      </c>
      <c r="BC267">
        <v>4.6780407000000003E-2</v>
      </c>
      <c r="BD267">
        <v>6.0749635341231199E-3</v>
      </c>
      <c r="BE267">
        <v>5.2855370534123099E-2</v>
      </c>
      <c r="BF267">
        <f>IF(AK267&lt;BE267,1,0)</f>
        <v>0</v>
      </c>
      <c r="BG267">
        <f>IF(AK267&lt;BC267,1,0)</f>
        <v>0</v>
      </c>
    </row>
    <row r="268" spans="1:65" x14ac:dyDescent="0.2">
      <c r="A268">
        <v>1</v>
      </c>
      <c r="B268" t="s">
        <v>490</v>
      </c>
      <c r="C268">
        <v>134</v>
      </c>
      <c r="D268" t="s">
        <v>68</v>
      </c>
      <c r="E268">
        <v>0</v>
      </c>
      <c r="F268">
        <v>439</v>
      </c>
      <c r="G268" t="s">
        <v>97</v>
      </c>
      <c r="H268" s="1">
        <v>4</v>
      </c>
      <c r="I268" t="s">
        <v>70</v>
      </c>
      <c r="J268" t="s">
        <v>71</v>
      </c>
      <c r="K268" t="s">
        <v>109</v>
      </c>
      <c r="L268">
        <v>1</v>
      </c>
      <c r="M268">
        <v>0</v>
      </c>
      <c r="N268">
        <v>1</v>
      </c>
      <c r="O268">
        <v>0</v>
      </c>
      <c r="P268">
        <v>0</v>
      </c>
      <c r="Q268">
        <v>2</v>
      </c>
      <c r="R268">
        <v>0</v>
      </c>
      <c r="S268">
        <v>0</v>
      </c>
      <c r="T268">
        <v>0</v>
      </c>
      <c r="U268">
        <v>0</v>
      </c>
      <c r="V268">
        <f t="shared" si="106"/>
        <v>1</v>
      </c>
      <c r="W268">
        <v>1</v>
      </c>
      <c r="X268">
        <v>1</v>
      </c>
      <c r="Y268">
        <v>1</v>
      </c>
      <c r="Z268" t="s">
        <v>73</v>
      </c>
      <c r="AA268" s="5" t="s">
        <v>73</v>
      </c>
      <c r="AB268" s="5" t="s">
        <v>73</v>
      </c>
      <c r="AC268" t="s">
        <v>73</v>
      </c>
      <c r="AD268" t="s">
        <v>94</v>
      </c>
      <c r="AE268" s="5" t="s">
        <v>94</v>
      </c>
      <c r="AF268" t="s">
        <v>75</v>
      </c>
      <c r="AG268" t="s">
        <v>95</v>
      </c>
      <c r="AH268">
        <f t="shared" si="104"/>
        <v>6.8219180000000004E-2</v>
      </c>
      <c r="AI268">
        <f>AJ268</f>
        <v>6.8219180000000004E-2</v>
      </c>
      <c r="AJ268">
        <f t="shared" si="107"/>
        <v>6.8219180000000004E-2</v>
      </c>
      <c r="AK268">
        <v>6.8219180000000004E-2</v>
      </c>
      <c r="AL268">
        <v>0.11821174</v>
      </c>
      <c r="AM268">
        <v>0.12836723</v>
      </c>
      <c r="AN268">
        <v>0.14195497000000001</v>
      </c>
      <c r="AO268">
        <v>93.178082000000003</v>
      </c>
      <c r="AP268">
        <v>88.178826000000001</v>
      </c>
      <c r="AQ268">
        <v>87.163276999999994</v>
      </c>
      <c r="AR268">
        <v>85.804502999999997</v>
      </c>
      <c r="AS268" t="b">
        <v>1</v>
      </c>
      <c r="AT268" t="b">
        <v>0</v>
      </c>
      <c r="AU268" t="s">
        <v>77</v>
      </c>
      <c r="AV268" t="s">
        <v>78</v>
      </c>
      <c r="AW268" t="s">
        <v>79</v>
      </c>
      <c r="AX268" t="s">
        <v>233</v>
      </c>
      <c r="AY268" t="s">
        <v>487</v>
      </c>
      <c r="AZ268" t="s">
        <v>109</v>
      </c>
      <c r="BA268">
        <v>4</v>
      </c>
      <c r="BB268">
        <v>1</v>
      </c>
      <c r="BC268">
        <v>4.1163553999999996E-3</v>
      </c>
      <c r="BD268">
        <v>1.4279989108178799E-4</v>
      </c>
      <c r="BE268">
        <v>4.2591552910817903E-3</v>
      </c>
      <c r="BF268">
        <f>IF(AK268&lt;BE268,1,0)</f>
        <v>0</v>
      </c>
      <c r="BG268">
        <f>IF(AK268&lt;BC268,1,0)</f>
        <v>0</v>
      </c>
    </row>
    <row r="269" spans="1:65" x14ac:dyDescent="0.2">
      <c r="A269">
        <v>1</v>
      </c>
      <c r="B269" t="s">
        <v>491</v>
      </c>
      <c r="C269">
        <v>134</v>
      </c>
      <c r="D269" t="s">
        <v>68</v>
      </c>
      <c r="E269">
        <v>0</v>
      </c>
      <c r="F269">
        <v>439</v>
      </c>
      <c r="G269" t="s">
        <v>97</v>
      </c>
      <c r="H269" s="1">
        <v>4</v>
      </c>
      <c r="I269" t="s">
        <v>70</v>
      </c>
      <c r="J269" t="s">
        <v>71</v>
      </c>
      <c r="K269" t="s">
        <v>109</v>
      </c>
      <c r="L269">
        <v>1</v>
      </c>
      <c r="M269">
        <v>0</v>
      </c>
      <c r="N269">
        <v>1</v>
      </c>
      <c r="O269">
        <v>0</v>
      </c>
      <c r="P269">
        <v>0</v>
      </c>
      <c r="Q269">
        <v>2</v>
      </c>
      <c r="R269">
        <v>0</v>
      </c>
      <c r="S269">
        <v>0</v>
      </c>
      <c r="T269">
        <v>0</v>
      </c>
      <c r="U269">
        <v>0</v>
      </c>
      <c r="V269">
        <f t="shared" si="106"/>
        <v>0</v>
      </c>
      <c r="W269">
        <f t="shared" si="108"/>
        <v>0</v>
      </c>
      <c r="X269">
        <f t="shared" si="109"/>
        <v>0</v>
      </c>
      <c r="Y269">
        <f t="shared" ref="Y269:Y320" si="110">IF(Z269=AG269,1,0)</f>
        <v>0</v>
      </c>
      <c r="Z269" t="s">
        <v>84</v>
      </c>
      <c r="AA269" s="5" t="s">
        <v>84</v>
      </c>
      <c r="AB269" s="5" t="s">
        <v>84</v>
      </c>
      <c r="AC269" t="s">
        <v>76</v>
      </c>
      <c r="AD269" t="s">
        <v>74</v>
      </c>
      <c r="AE269" s="5" t="s">
        <v>74</v>
      </c>
      <c r="AF269" t="s">
        <v>75</v>
      </c>
      <c r="AG269" t="s">
        <v>120</v>
      </c>
      <c r="AH269">
        <f>AI269</f>
        <v>7.4043709999999999E-2</v>
      </c>
      <c r="AI269">
        <f>AJ269</f>
        <v>7.4043709999999999E-2</v>
      </c>
      <c r="AJ269">
        <f t="shared" si="107"/>
        <v>7.4043709999999999E-2</v>
      </c>
      <c r="AK269">
        <v>7.4043709999999999E-2</v>
      </c>
      <c r="AL269">
        <v>9.8958335999999994E-2</v>
      </c>
      <c r="AM269">
        <v>0.12452107</v>
      </c>
      <c r="AN269">
        <v>0.12568304999999999</v>
      </c>
      <c r="AO269">
        <v>92.595629000000002</v>
      </c>
      <c r="AP269">
        <v>90.104166399999997</v>
      </c>
      <c r="AQ269">
        <v>87.547893000000002</v>
      </c>
      <c r="AR269">
        <v>87.431695000000005</v>
      </c>
      <c r="AS269" t="b">
        <v>0</v>
      </c>
      <c r="AT269" t="b">
        <v>0</v>
      </c>
      <c r="AU269" t="s">
        <v>77</v>
      </c>
      <c r="AV269" t="s">
        <v>77</v>
      </c>
      <c r="AW269" t="s">
        <v>79</v>
      </c>
      <c r="AX269" t="s">
        <v>233</v>
      </c>
      <c r="AY269" t="s">
        <v>487</v>
      </c>
      <c r="AZ269" t="s">
        <v>72</v>
      </c>
      <c r="BA269" t="s">
        <v>82</v>
      </c>
      <c r="BB269">
        <v>0.5</v>
      </c>
      <c r="BC269">
        <v>7.7070764999999999E-2</v>
      </c>
      <c r="BD269">
        <v>1.90190515067399E-3</v>
      </c>
      <c r="BE269">
        <v>7.8972670150673996E-2</v>
      </c>
      <c r="BF269">
        <f>IF(AK269&lt;BE269,1,0)</f>
        <v>1</v>
      </c>
      <c r="BG269">
        <f>IF(AK269&lt;BC269,1,0)</f>
        <v>1</v>
      </c>
    </row>
    <row r="270" spans="1:65" x14ac:dyDescent="0.2">
      <c r="A270">
        <v>1</v>
      </c>
      <c r="B270" t="s">
        <v>492</v>
      </c>
      <c r="C270">
        <v>135</v>
      </c>
      <c r="D270" t="s">
        <v>68</v>
      </c>
      <c r="E270">
        <v>1</v>
      </c>
      <c r="F270">
        <v>421</v>
      </c>
      <c r="G270" t="s">
        <v>69</v>
      </c>
      <c r="H270" s="1">
        <v>3</v>
      </c>
      <c r="I270" t="s">
        <v>87</v>
      </c>
      <c r="J270" t="s">
        <v>111</v>
      </c>
      <c r="K270" t="s">
        <v>109</v>
      </c>
      <c r="L270">
        <v>1</v>
      </c>
      <c r="M270">
        <v>0</v>
      </c>
      <c r="N270">
        <v>1</v>
      </c>
      <c r="O270">
        <v>0</v>
      </c>
      <c r="P270">
        <v>0</v>
      </c>
      <c r="Q270">
        <v>6</v>
      </c>
      <c r="R270">
        <v>0</v>
      </c>
      <c r="S270">
        <v>0</v>
      </c>
      <c r="T270">
        <v>0</v>
      </c>
      <c r="U270">
        <v>0</v>
      </c>
      <c r="V270">
        <f t="shared" si="106"/>
        <v>1</v>
      </c>
      <c r="W270">
        <v>1</v>
      </c>
      <c r="X270">
        <v>1</v>
      </c>
      <c r="Y270">
        <v>1</v>
      </c>
      <c r="Z270" t="s">
        <v>73</v>
      </c>
      <c r="AA270" s="5" t="s">
        <v>73</v>
      </c>
      <c r="AB270" s="5" t="s">
        <v>73</v>
      </c>
      <c r="AC270" t="s">
        <v>73</v>
      </c>
      <c r="AD270" t="s">
        <v>94</v>
      </c>
      <c r="AE270" s="5" t="s">
        <v>94</v>
      </c>
      <c r="AF270" t="s">
        <v>75</v>
      </c>
      <c r="AG270" t="s">
        <v>95</v>
      </c>
      <c r="AH270">
        <f t="shared" ref="AH270:AH271" si="111">AI270</f>
        <v>5.4253000000000003E-2</v>
      </c>
      <c r="AI270">
        <f t="shared" ref="AI270:AI271" si="112">AJ270</f>
        <v>5.4253000000000003E-2</v>
      </c>
      <c r="AJ270">
        <f t="shared" si="107"/>
        <v>5.4253000000000003E-2</v>
      </c>
      <c r="AK270">
        <v>5.4253000000000003E-2</v>
      </c>
      <c r="AL270">
        <v>0.12281659</v>
      </c>
      <c r="AM270">
        <v>0.13108921000000001</v>
      </c>
      <c r="AN270">
        <v>0.14215419000000001</v>
      </c>
      <c r="AO270">
        <v>94.574700000000007</v>
      </c>
      <c r="AP270">
        <v>87.718340999999995</v>
      </c>
      <c r="AQ270">
        <v>86.891079000000005</v>
      </c>
      <c r="AR270">
        <v>85.784581000000003</v>
      </c>
      <c r="AS270" t="b">
        <v>1</v>
      </c>
      <c r="AT270" t="b">
        <v>0</v>
      </c>
      <c r="AU270" t="s">
        <v>77</v>
      </c>
      <c r="AV270" t="s">
        <v>78</v>
      </c>
      <c r="AW270" t="s">
        <v>79</v>
      </c>
      <c r="AX270" t="s">
        <v>233</v>
      </c>
      <c r="AY270" t="s">
        <v>493</v>
      </c>
      <c r="AZ270" t="s">
        <v>109</v>
      </c>
      <c r="BA270">
        <v>3</v>
      </c>
      <c r="BB270">
        <v>1.5</v>
      </c>
      <c r="BC270">
        <v>4.1163553999999996E-3</v>
      </c>
      <c r="BD270">
        <v>1.4279989108178799E-4</v>
      </c>
      <c r="BE270">
        <v>4.2591552910817903E-3</v>
      </c>
      <c r="BF270">
        <f>IF(AK270&lt;BE270,1,0)</f>
        <v>0</v>
      </c>
      <c r="BG270">
        <f>IF(AK270&lt;BC270,1,0)</f>
        <v>0</v>
      </c>
    </row>
    <row r="271" spans="1:65" x14ac:dyDescent="0.2">
      <c r="A271">
        <v>1</v>
      </c>
      <c r="B271" t="s">
        <v>494</v>
      </c>
      <c r="C271">
        <v>136</v>
      </c>
      <c r="D271" t="s">
        <v>68</v>
      </c>
      <c r="E271">
        <v>1</v>
      </c>
      <c r="F271">
        <v>422</v>
      </c>
      <c r="G271" t="s">
        <v>69</v>
      </c>
      <c r="H271" s="1">
        <v>3</v>
      </c>
      <c r="I271" t="s">
        <v>87</v>
      </c>
      <c r="J271" t="s">
        <v>111</v>
      </c>
      <c r="K271" t="s">
        <v>109</v>
      </c>
      <c r="L271">
        <v>1</v>
      </c>
      <c r="M271">
        <v>0</v>
      </c>
      <c r="N271">
        <v>1</v>
      </c>
      <c r="O271">
        <v>0</v>
      </c>
      <c r="P271">
        <v>1</v>
      </c>
      <c r="Q271">
        <v>6</v>
      </c>
      <c r="R271">
        <v>0</v>
      </c>
      <c r="S271">
        <v>0</v>
      </c>
      <c r="T271">
        <v>0</v>
      </c>
      <c r="U271">
        <v>0</v>
      </c>
      <c r="V271">
        <f t="shared" si="106"/>
        <v>1</v>
      </c>
      <c r="W271">
        <v>1</v>
      </c>
      <c r="X271">
        <v>1</v>
      </c>
      <c r="Y271">
        <v>1</v>
      </c>
      <c r="Z271" t="s">
        <v>84</v>
      </c>
      <c r="AA271" s="5" t="s">
        <v>84</v>
      </c>
      <c r="AB271" s="5" t="s">
        <v>84</v>
      </c>
      <c r="AC271" t="s">
        <v>84</v>
      </c>
      <c r="AD271" t="s">
        <v>113</v>
      </c>
      <c r="AE271" s="5" t="s">
        <v>113</v>
      </c>
      <c r="AF271" t="s">
        <v>114</v>
      </c>
      <c r="AG271" t="s">
        <v>74</v>
      </c>
      <c r="AH271">
        <f t="shared" si="111"/>
        <v>0.10940076999999999</v>
      </c>
      <c r="AI271">
        <f t="shared" si="112"/>
        <v>0.10940076999999999</v>
      </c>
      <c r="AJ271">
        <f t="shared" si="107"/>
        <v>0.10940076999999999</v>
      </c>
      <c r="AK271">
        <v>0.10940076999999999</v>
      </c>
      <c r="AL271">
        <v>0.14218922000000001</v>
      </c>
      <c r="AM271">
        <v>0.15205479999999999</v>
      </c>
      <c r="AN271">
        <v>0.15650742000000001</v>
      </c>
      <c r="AO271">
        <v>89.059922999999998</v>
      </c>
      <c r="AP271">
        <v>85.781077999999994</v>
      </c>
      <c r="AQ271">
        <v>84.794520000000006</v>
      </c>
      <c r="AR271">
        <v>84.349258000000006</v>
      </c>
      <c r="AS271" t="b">
        <v>1</v>
      </c>
      <c r="AT271" t="b">
        <v>0</v>
      </c>
      <c r="AU271" t="s">
        <v>78</v>
      </c>
      <c r="AV271" t="s">
        <v>78</v>
      </c>
      <c r="AW271" t="s">
        <v>79</v>
      </c>
      <c r="AX271" t="s">
        <v>233</v>
      </c>
      <c r="AY271" t="s">
        <v>495</v>
      </c>
      <c r="AZ271" t="s">
        <v>109</v>
      </c>
      <c r="BA271">
        <v>1</v>
      </c>
      <c r="BB271">
        <v>1</v>
      </c>
      <c r="BC271">
        <v>4.6780407000000003E-2</v>
      </c>
      <c r="BD271">
        <v>6.0749635341231199E-3</v>
      </c>
      <c r="BE271">
        <v>5.2855370534123099E-2</v>
      </c>
      <c r="BF271">
        <f>IF(AK271&lt;BE271,1,0)</f>
        <v>0</v>
      </c>
      <c r="BG271">
        <f>IF(AK271&lt;BC271,1,0)</f>
        <v>0</v>
      </c>
      <c r="BH271">
        <f>VLOOKUP($B271,[1]Data_Peer_with_peerVars!$B$2:$Z$1050,20,FALSE)</f>
        <v>8</v>
      </c>
      <c r="BI271">
        <f>VLOOKUP($B271,[1]Data_Peer_with_peerVars!$B$2:$Z$1050,21,FALSE)</f>
        <v>5</v>
      </c>
      <c r="BJ271">
        <f>VLOOKUP($B271,[1]Data_Peer_with_peerVars!$B$2:$Z$1050,22,FALSE)</f>
        <v>0.625</v>
      </c>
      <c r="BK271">
        <f>VLOOKUP($B271,[1]Data_Peer_with_peerVars!$B$2:$Z$1050,23,FALSE)</f>
        <v>26</v>
      </c>
      <c r="BL271">
        <f>VLOOKUP($B271,[1]Data_Peer_with_peerVars!$B$2:$Z$1050,24,FALSE)</f>
        <v>18</v>
      </c>
      <c r="BM271">
        <f>VLOOKUP($B271,[1]Data_Peer_with_peerVars!$B$2:$Z$1050,25,FALSE)</f>
        <v>0.69230769199999997</v>
      </c>
    </row>
    <row r="272" spans="1:65" x14ac:dyDescent="0.2">
      <c r="A272">
        <v>1</v>
      </c>
      <c r="B272" t="s">
        <v>496</v>
      </c>
      <c r="C272">
        <v>137</v>
      </c>
      <c r="D272" t="s">
        <v>68</v>
      </c>
      <c r="E272">
        <v>1</v>
      </c>
      <c r="F272">
        <v>425</v>
      </c>
      <c r="G272" t="s">
        <v>86</v>
      </c>
      <c r="H272" s="1">
        <v>3</v>
      </c>
      <c r="I272" t="s">
        <v>70</v>
      </c>
      <c r="J272" t="s">
        <v>71</v>
      </c>
      <c r="K272" t="s">
        <v>109</v>
      </c>
      <c r="L272">
        <v>2</v>
      </c>
      <c r="M272">
        <v>0</v>
      </c>
      <c r="N272">
        <v>1</v>
      </c>
      <c r="O272">
        <v>0</v>
      </c>
      <c r="P272">
        <v>1</v>
      </c>
      <c r="Q272">
        <v>6</v>
      </c>
      <c r="R272">
        <v>0</v>
      </c>
      <c r="S272">
        <v>0</v>
      </c>
      <c r="T272">
        <v>0</v>
      </c>
      <c r="U272">
        <v>0</v>
      </c>
      <c r="V272">
        <f t="shared" si="106"/>
        <v>0</v>
      </c>
      <c r="W272">
        <f t="shared" si="108"/>
        <v>0</v>
      </c>
      <c r="X272">
        <f t="shared" si="109"/>
        <v>0</v>
      </c>
      <c r="Y272">
        <f t="shared" si="110"/>
        <v>0</v>
      </c>
      <c r="Z272" t="s">
        <v>73</v>
      </c>
      <c r="AA272" s="5" t="s">
        <v>73</v>
      </c>
      <c r="AB272" s="5" t="s">
        <v>73</v>
      </c>
      <c r="AC272" t="s">
        <v>287</v>
      </c>
      <c r="AD272" t="s">
        <v>137</v>
      </c>
      <c r="AE272" s="5" t="s">
        <v>497</v>
      </c>
      <c r="AF272" t="s">
        <v>103</v>
      </c>
      <c r="AG272" t="s">
        <v>113</v>
      </c>
      <c r="AH272">
        <f t="shared" ref="AH272:AH273" si="113">AI272</f>
        <v>0.11065574</v>
      </c>
      <c r="AI272">
        <f t="shared" ref="AI272:AI273" si="114">AJ272</f>
        <v>0.11065574</v>
      </c>
      <c r="AJ272">
        <f t="shared" si="107"/>
        <v>0.11065574</v>
      </c>
      <c r="AK272">
        <v>0.11065574</v>
      </c>
      <c r="AL272">
        <v>0.11196068000000001</v>
      </c>
      <c r="AM272">
        <v>0.13043478</v>
      </c>
      <c r="AN272">
        <v>0.13688839999999999</v>
      </c>
      <c r="AO272">
        <v>88.934426000000002</v>
      </c>
      <c r="AP272">
        <v>88.803932000000003</v>
      </c>
      <c r="AQ272">
        <v>86.956522000000007</v>
      </c>
      <c r="AR272">
        <v>86.311160000000001</v>
      </c>
      <c r="AS272" t="b">
        <v>0</v>
      </c>
      <c r="AT272" t="b">
        <v>0</v>
      </c>
      <c r="AU272" t="s">
        <v>108</v>
      </c>
      <c r="AV272" t="s">
        <v>108</v>
      </c>
      <c r="AW272" t="s">
        <v>79</v>
      </c>
      <c r="AX272" t="s">
        <v>233</v>
      </c>
      <c r="AY272" t="s">
        <v>493</v>
      </c>
      <c r="AZ272" t="s">
        <v>109</v>
      </c>
      <c r="BA272">
        <v>4</v>
      </c>
      <c r="BB272" t="s">
        <v>82</v>
      </c>
      <c r="BC272">
        <v>5.5106750000000003E-2</v>
      </c>
      <c r="BD272">
        <v>2.4361461616194298E-3</v>
      </c>
      <c r="BE272">
        <v>5.7542896161619402E-2</v>
      </c>
      <c r="BF272">
        <f>IF(AK272&lt;BE272,1,0)</f>
        <v>0</v>
      </c>
      <c r="BG272">
        <f>IF(AK272&lt;BC272,1,0)</f>
        <v>0</v>
      </c>
    </row>
    <row r="273" spans="1:65" x14ac:dyDescent="0.2">
      <c r="A273">
        <v>1</v>
      </c>
      <c r="B273" t="s">
        <v>498</v>
      </c>
      <c r="C273">
        <v>138</v>
      </c>
      <c r="D273" t="s">
        <v>68</v>
      </c>
      <c r="E273">
        <v>1</v>
      </c>
      <c r="F273">
        <v>426</v>
      </c>
      <c r="G273" t="s">
        <v>69</v>
      </c>
      <c r="H273" s="1">
        <v>5</v>
      </c>
      <c r="I273" t="s">
        <v>87</v>
      </c>
      <c r="J273" t="s">
        <v>111</v>
      </c>
      <c r="K273" t="s">
        <v>109</v>
      </c>
      <c r="L273">
        <v>2</v>
      </c>
      <c r="M273">
        <v>1</v>
      </c>
      <c r="N273">
        <v>1</v>
      </c>
      <c r="O273">
        <v>0</v>
      </c>
      <c r="P273">
        <v>1</v>
      </c>
      <c r="Q273">
        <v>3</v>
      </c>
      <c r="R273">
        <v>0</v>
      </c>
      <c r="S273">
        <v>0</v>
      </c>
      <c r="T273">
        <v>0</v>
      </c>
      <c r="U273">
        <v>0</v>
      </c>
      <c r="V273">
        <f t="shared" si="106"/>
        <v>0</v>
      </c>
      <c r="W273">
        <f t="shared" si="108"/>
        <v>0</v>
      </c>
      <c r="X273">
        <f t="shared" si="109"/>
        <v>0</v>
      </c>
      <c r="Y273">
        <f t="shared" si="110"/>
        <v>0</v>
      </c>
      <c r="Z273" t="s">
        <v>76</v>
      </c>
      <c r="AA273" s="5" t="s">
        <v>76</v>
      </c>
      <c r="AB273" s="5" t="s">
        <v>76</v>
      </c>
      <c r="AC273" t="s">
        <v>84</v>
      </c>
      <c r="AD273" t="s">
        <v>113</v>
      </c>
      <c r="AE273" s="5" t="s">
        <v>113</v>
      </c>
      <c r="AF273" t="s">
        <v>114</v>
      </c>
      <c r="AG273" t="s">
        <v>120</v>
      </c>
      <c r="AH273">
        <f t="shared" si="113"/>
        <v>9.2806150000000004E-2</v>
      </c>
      <c r="AI273">
        <f t="shared" si="114"/>
        <v>9.2806150000000004E-2</v>
      </c>
      <c r="AJ273">
        <f t="shared" si="107"/>
        <v>9.2806150000000004E-2</v>
      </c>
      <c r="AK273">
        <v>9.2806150000000004E-2</v>
      </c>
      <c r="AL273">
        <v>0.11936194</v>
      </c>
      <c r="AM273">
        <v>0.13910185999999999</v>
      </c>
      <c r="AN273">
        <v>0.14012042</v>
      </c>
      <c r="AO273">
        <v>90.719385000000003</v>
      </c>
      <c r="AP273">
        <v>88.063806</v>
      </c>
      <c r="AQ273">
        <v>86.089814000000004</v>
      </c>
      <c r="AR273">
        <v>85.987958000000006</v>
      </c>
      <c r="AS273" t="b">
        <v>0</v>
      </c>
      <c r="AT273" t="b">
        <v>0</v>
      </c>
      <c r="AU273" t="s">
        <v>77</v>
      </c>
      <c r="AV273" t="s">
        <v>78</v>
      </c>
      <c r="AW273" t="s">
        <v>79</v>
      </c>
      <c r="AX273" t="s">
        <v>233</v>
      </c>
      <c r="AY273" t="s">
        <v>495</v>
      </c>
      <c r="AZ273" t="s">
        <v>109</v>
      </c>
      <c r="BA273">
        <v>1</v>
      </c>
      <c r="BB273">
        <v>1</v>
      </c>
      <c r="BC273">
        <v>4.6780407000000003E-2</v>
      </c>
      <c r="BD273">
        <v>6.0749635341231199E-3</v>
      </c>
      <c r="BE273">
        <v>5.2855370534123099E-2</v>
      </c>
      <c r="BF273">
        <f>IF(AK273&lt;BE273,1,0)</f>
        <v>0</v>
      </c>
      <c r="BG273">
        <f>IF(AK273&lt;BC273,1,0)</f>
        <v>0</v>
      </c>
      <c r="BH273">
        <f>VLOOKUP($B273,[1]Data_Peer_with_peerVars!$B$2:$Z$1050,20,FALSE)</f>
        <v>7</v>
      </c>
      <c r="BI273">
        <f>VLOOKUP($B273,[1]Data_Peer_with_peerVars!$B$2:$Z$1050,21,FALSE)</f>
        <v>5</v>
      </c>
      <c r="BJ273">
        <f>VLOOKUP($B273,[1]Data_Peer_with_peerVars!$B$2:$Z$1050,22,FALSE)</f>
        <v>0.71428571399999996</v>
      </c>
      <c r="BK273">
        <f>VLOOKUP($B273,[1]Data_Peer_with_peerVars!$B$2:$Z$1050,23,FALSE)</f>
        <v>25</v>
      </c>
      <c r="BL273">
        <f>VLOOKUP($B273,[1]Data_Peer_with_peerVars!$B$2:$Z$1050,24,FALSE)</f>
        <v>18</v>
      </c>
      <c r="BM273">
        <f>VLOOKUP($B273,[1]Data_Peer_with_peerVars!$B$2:$Z$1050,25,FALSE)</f>
        <v>0.72</v>
      </c>
    </row>
    <row r="274" spans="1:65" x14ac:dyDescent="0.2">
      <c r="A274">
        <v>1</v>
      </c>
      <c r="B274" t="s">
        <v>499</v>
      </c>
      <c r="C274">
        <v>138</v>
      </c>
      <c r="D274" t="s">
        <v>68</v>
      </c>
      <c r="E274">
        <v>1</v>
      </c>
      <c r="F274">
        <v>426</v>
      </c>
      <c r="G274" t="s">
        <v>69</v>
      </c>
      <c r="H274" s="1">
        <v>5</v>
      </c>
      <c r="I274" t="s">
        <v>87</v>
      </c>
      <c r="J274" t="s">
        <v>111</v>
      </c>
      <c r="K274" t="s">
        <v>109</v>
      </c>
      <c r="L274">
        <v>2</v>
      </c>
      <c r="M274">
        <v>1</v>
      </c>
      <c r="N274">
        <v>1</v>
      </c>
      <c r="O274">
        <v>0</v>
      </c>
      <c r="P274">
        <v>1</v>
      </c>
      <c r="Q274">
        <v>3</v>
      </c>
      <c r="R274">
        <v>0</v>
      </c>
      <c r="S274">
        <v>0</v>
      </c>
      <c r="T274">
        <v>1</v>
      </c>
      <c r="U274">
        <v>1</v>
      </c>
      <c r="V274">
        <f t="shared" si="106"/>
        <v>1</v>
      </c>
      <c r="W274">
        <v>1</v>
      </c>
      <c r="X274">
        <v>1</v>
      </c>
      <c r="Y274">
        <v>1</v>
      </c>
      <c r="Z274" t="s">
        <v>73</v>
      </c>
      <c r="AA274" s="5" t="s">
        <v>73</v>
      </c>
      <c r="AB274" s="5" t="s">
        <v>73</v>
      </c>
      <c r="AC274" t="s">
        <v>73</v>
      </c>
      <c r="AD274" t="s">
        <v>94</v>
      </c>
      <c r="AE274" s="5" t="s">
        <v>106</v>
      </c>
      <c r="AF274" t="s">
        <v>107</v>
      </c>
      <c r="AG274" t="s">
        <v>95</v>
      </c>
      <c r="AH274">
        <f t="shared" ref="AH274:AI277" si="115">AI274</f>
        <v>3.8188760000000001E-3</v>
      </c>
      <c r="AI274">
        <f t="shared" si="115"/>
        <v>3.8188760000000001E-3</v>
      </c>
      <c r="AJ274">
        <f t="shared" si="107"/>
        <v>3.8188760000000001E-3</v>
      </c>
      <c r="AK274">
        <v>3.8188760000000001E-3</v>
      </c>
      <c r="AL274">
        <v>0.13176599</v>
      </c>
      <c r="AM274">
        <v>0.13603950000000001</v>
      </c>
      <c r="AN274">
        <v>0.13855422000000001</v>
      </c>
      <c r="AO274">
        <v>99.618112400000001</v>
      </c>
      <c r="AP274">
        <v>86.823401000000004</v>
      </c>
      <c r="AQ274">
        <v>86.396050000000002</v>
      </c>
      <c r="AR274">
        <v>86.144577999999996</v>
      </c>
      <c r="AS274" t="b">
        <v>1</v>
      </c>
      <c r="AT274" t="b">
        <v>0</v>
      </c>
      <c r="AU274" t="s">
        <v>77</v>
      </c>
      <c r="AV274" t="s">
        <v>108</v>
      </c>
      <c r="AW274" t="s">
        <v>79</v>
      </c>
      <c r="AX274" t="s">
        <v>233</v>
      </c>
      <c r="AY274" t="s">
        <v>495</v>
      </c>
      <c r="AZ274" t="s">
        <v>109</v>
      </c>
      <c r="BA274">
        <v>1</v>
      </c>
      <c r="BB274">
        <v>1</v>
      </c>
      <c r="BC274">
        <v>4.1163553999999996E-3</v>
      </c>
      <c r="BD274">
        <v>1.4279989108178799E-4</v>
      </c>
      <c r="BE274">
        <v>4.2591552910817903E-3</v>
      </c>
      <c r="BF274">
        <f>IF(AK274&lt;BE274,1,0)</f>
        <v>1</v>
      </c>
      <c r="BG274">
        <f>IF(AK274&lt;BC274,1,0)</f>
        <v>1</v>
      </c>
      <c r="BH274">
        <f>VLOOKUP($B274,[1]Data_Peer_with_peerVars!$B$2:$Z$1050,20,FALSE)</f>
        <v>7</v>
      </c>
      <c r="BI274">
        <f>VLOOKUP($B274,[1]Data_Peer_with_peerVars!$B$2:$Z$1050,21,FALSE)</f>
        <v>5</v>
      </c>
      <c r="BJ274">
        <f>VLOOKUP($B274,[1]Data_Peer_with_peerVars!$B$2:$Z$1050,22,FALSE)</f>
        <v>0.71428571399999996</v>
      </c>
      <c r="BK274">
        <f>VLOOKUP($B274,[1]Data_Peer_with_peerVars!$B$2:$Z$1050,23,FALSE)</f>
        <v>25</v>
      </c>
      <c r="BL274">
        <f>VLOOKUP($B274,[1]Data_Peer_with_peerVars!$B$2:$Z$1050,24,FALSE)</f>
        <v>18</v>
      </c>
      <c r="BM274">
        <f>VLOOKUP($B274,[1]Data_Peer_with_peerVars!$B$2:$Z$1050,25,FALSE)</f>
        <v>0.72</v>
      </c>
    </row>
    <row r="275" spans="1:65" x14ac:dyDescent="0.2">
      <c r="A275">
        <v>1</v>
      </c>
      <c r="B275" t="s">
        <v>500</v>
      </c>
      <c r="C275">
        <v>139</v>
      </c>
      <c r="D275" t="s">
        <v>68</v>
      </c>
      <c r="E275">
        <v>1</v>
      </c>
      <c r="F275">
        <v>428</v>
      </c>
      <c r="G275" t="s">
        <v>69</v>
      </c>
      <c r="H275" s="1">
        <v>4</v>
      </c>
      <c r="I275" t="s">
        <v>87</v>
      </c>
      <c r="J275" t="s">
        <v>111</v>
      </c>
      <c r="K275" t="s">
        <v>109</v>
      </c>
      <c r="L275">
        <v>1</v>
      </c>
      <c r="M275">
        <v>0</v>
      </c>
      <c r="N275">
        <v>1</v>
      </c>
      <c r="O275">
        <v>0</v>
      </c>
      <c r="P275">
        <v>1</v>
      </c>
      <c r="Q275">
        <v>6</v>
      </c>
      <c r="R275">
        <v>0</v>
      </c>
      <c r="S275">
        <v>0</v>
      </c>
      <c r="T275">
        <v>0</v>
      </c>
      <c r="U275">
        <v>0</v>
      </c>
      <c r="V275">
        <f t="shared" si="106"/>
        <v>0</v>
      </c>
      <c r="W275">
        <f t="shared" si="108"/>
        <v>0</v>
      </c>
      <c r="X275">
        <f t="shared" si="109"/>
        <v>0</v>
      </c>
      <c r="Y275">
        <f t="shared" si="110"/>
        <v>0</v>
      </c>
      <c r="Z275" t="s">
        <v>76</v>
      </c>
      <c r="AA275" s="5" t="s">
        <v>76</v>
      </c>
      <c r="AB275" s="5" t="s">
        <v>501</v>
      </c>
      <c r="AC275" t="s">
        <v>101</v>
      </c>
      <c r="AD275" t="s">
        <v>99</v>
      </c>
      <c r="AE275" s="5" t="s">
        <v>502</v>
      </c>
      <c r="AF275" t="s">
        <v>103</v>
      </c>
      <c r="AG275" t="s">
        <v>102</v>
      </c>
      <c r="AH275">
        <f t="shared" si="115"/>
        <v>0.12932453999999999</v>
      </c>
      <c r="AI275">
        <f t="shared" si="115"/>
        <v>0.12932453999999999</v>
      </c>
      <c r="AJ275">
        <f t="shared" si="107"/>
        <v>0.12932453999999999</v>
      </c>
      <c r="AK275">
        <v>0.12932453999999999</v>
      </c>
      <c r="AL275">
        <v>0.13037486000000001</v>
      </c>
      <c r="AM275">
        <v>0.14332966999999999</v>
      </c>
      <c r="AN275">
        <v>0.14746039999999999</v>
      </c>
      <c r="AO275">
        <v>87.067545999999993</v>
      </c>
      <c r="AP275">
        <v>86.962513999999999</v>
      </c>
      <c r="AQ275">
        <v>85.667033000000004</v>
      </c>
      <c r="AR275">
        <v>85.253960000000006</v>
      </c>
      <c r="AS275" t="b">
        <v>0</v>
      </c>
      <c r="AT275" t="b">
        <v>0</v>
      </c>
      <c r="AU275" t="s">
        <v>108</v>
      </c>
      <c r="AV275" t="s">
        <v>108</v>
      </c>
      <c r="AW275" t="s">
        <v>79</v>
      </c>
      <c r="AX275" t="s">
        <v>233</v>
      </c>
      <c r="AY275" t="s">
        <v>495</v>
      </c>
      <c r="AZ275" t="s">
        <v>109</v>
      </c>
      <c r="BA275">
        <v>8</v>
      </c>
      <c r="BB275">
        <v>1</v>
      </c>
      <c r="BC275">
        <v>1.4096186E-2</v>
      </c>
      <c r="BD275">
        <v>1.55088650053763E-3</v>
      </c>
      <c r="BE275">
        <v>1.5647072500537599E-2</v>
      </c>
      <c r="BF275">
        <f>IF(AK275&lt;BE275,1,0)</f>
        <v>0</v>
      </c>
      <c r="BG275">
        <f>IF(AK275&lt;BC275,1,0)</f>
        <v>0</v>
      </c>
      <c r="BH275">
        <f>VLOOKUP($B275,[1]Data_Peer_with_peerVars!$B$2:$Z$1050,20,FALSE)</f>
        <v>0</v>
      </c>
      <c r="BI275">
        <f>VLOOKUP($B275,[1]Data_Peer_with_peerVars!$B$2:$Z$1050,21,FALSE)</f>
        <v>0</v>
      </c>
      <c r="BJ275">
        <v>0</v>
      </c>
      <c r="BK275">
        <f>VLOOKUP($B275,[1]Data_Peer_with_peerVars!$B$2:$Z$1050,23,FALSE)</f>
        <v>34</v>
      </c>
      <c r="BL275">
        <f>VLOOKUP($B275,[1]Data_Peer_with_peerVars!$B$2:$Z$1050,24,FALSE)</f>
        <v>26</v>
      </c>
      <c r="BM275">
        <f>VLOOKUP($B275,[1]Data_Peer_with_peerVars!$B$2:$Z$1050,25,FALSE)</f>
        <v>0.764705882</v>
      </c>
    </row>
    <row r="276" spans="1:65" x14ac:dyDescent="0.2">
      <c r="A276">
        <v>1</v>
      </c>
      <c r="B276" t="s">
        <v>503</v>
      </c>
      <c r="C276">
        <v>139</v>
      </c>
      <c r="D276" t="s">
        <v>68</v>
      </c>
      <c r="E276">
        <v>1</v>
      </c>
      <c r="F276">
        <v>428</v>
      </c>
      <c r="G276" t="s">
        <v>69</v>
      </c>
      <c r="H276" s="1">
        <v>4</v>
      </c>
      <c r="I276" t="s">
        <v>87</v>
      </c>
      <c r="J276" t="s">
        <v>111</v>
      </c>
      <c r="K276" t="s">
        <v>109</v>
      </c>
      <c r="L276">
        <v>1</v>
      </c>
      <c r="M276">
        <v>0</v>
      </c>
      <c r="N276">
        <v>1</v>
      </c>
      <c r="O276">
        <v>0</v>
      </c>
      <c r="P276">
        <v>1</v>
      </c>
      <c r="Q276">
        <v>6</v>
      </c>
      <c r="R276">
        <v>0</v>
      </c>
      <c r="S276">
        <v>0</v>
      </c>
      <c r="T276">
        <v>0</v>
      </c>
      <c r="U276">
        <v>1</v>
      </c>
      <c r="V276">
        <f t="shared" si="106"/>
        <v>1</v>
      </c>
      <c r="W276">
        <v>1</v>
      </c>
      <c r="X276">
        <v>1</v>
      </c>
      <c r="Y276">
        <v>1</v>
      </c>
      <c r="Z276" t="s">
        <v>73</v>
      </c>
      <c r="AA276" s="5" t="s">
        <v>73</v>
      </c>
      <c r="AB276" s="5" t="s">
        <v>158</v>
      </c>
      <c r="AC276" t="s">
        <v>73</v>
      </c>
      <c r="AD276" t="s">
        <v>94</v>
      </c>
      <c r="AE276" s="5" t="s">
        <v>106</v>
      </c>
      <c r="AF276" t="s">
        <v>75</v>
      </c>
      <c r="AG276" t="s">
        <v>107</v>
      </c>
      <c r="AH276">
        <f t="shared" si="115"/>
        <v>1.9083969999999999E-2</v>
      </c>
      <c r="AI276">
        <f t="shared" si="115"/>
        <v>1.9083969999999999E-2</v>
      </c>
      <c r="AJ276">
        <f t="shared" si="107"/>
        <v>1.9083969999999999E-2</v>
      </c>
      <c r="AK276">
        <v>1.9083969999999999E-2</v>
      </c>
      <c r="AL276">
        <v>0.12759562999999999</v>
      </c>
      <c r="AM276">
        <v>0.13335159999999999</v>
      </c>
      <c r="AN276">
        <v>0.13815789000000001</v>
      </c>
      <c r="AO276">
        <v>98.091603000000006</v>
      </c>
      <c r="AP276">
        <v>87.240437</v>
      </c>
      <c r="AQ276">
        <v>86.664839999999998</v>
      </c>
      <c r="AR276">
        <v>86.184211000000005</v>
      </c>
      <c r="AS276" t="b">
        <v>1</v>
      </c>
      <c r="AT276" t="b">
        <v>0</v>
      </c>
      <c r="AU276" t="s">
        <v>77</v>
      </c>
      <c r="AV276" t="s">
        <v>108</v>
      </c>
      <c r="AW276" t="s">
        <v>79</v>
      </c>
      <c r="AX276" t="s">
        <v>233</v>
      </c>
      <c r="AY276" t="s">
        <v>495</v>
      </c>
      <c r="AZ276" t="s">
        <v>109</v>
      </c>
      <c r="BA276">
        <v>3</v>
      </c>
      <c r="BB276">
        <v>0.5</v>
      </c>
      <c r="BC276">
        <v>4.1163553999999996E-3</v>
      </c>
      <c r="BD276">
        <v>1.4279989108178799E-4</v>
      </c>
      <c r="BE276">
        <v>4.2591552910817903E-3</v>
      </c>
      <c r="BF276">
        <f>IF(AK276&lt;BE276,1,0)</f>
        <v>0</v>
      </c>
      <c r="BG276">
        <f>IF(AK276&lt;BC276,1,0)</f>
        <v>0</v>
      </c>
      <c r="BH276">
        <f>VLOOKUP($B276,[1]Data_Peer_with_peerVars!$B$2:$Z$1050,20,FALSE)</f>
        <v>0</v>
      </c>
      <c r="BI276">
        <f>VLOOKUP($B276,[1]Data_Peer_with_peerVars!$B$2:$Z$1050,21,FALSE)</f>
        <v>0</v>
      </c>
      <c r="BJ276">
        <v>0</v>
      </c>
      <c r="BK276">
        <f>VLOOKUP($B276,[1]Data_Peer_with_peerVars!$B$2:$Z$1050,23,FALSE)</f>
        <v>34</v>
      </c>
      <c r="BL276">
        <f>VLOOKUP($B276,[1]Data_Peer_with_peerVars!$B$2:$Z$1050,24,FALSE)</f>
        <v>26</v>
      </c>
      <c r="BM276">
        <f>VLOOKUP($B276,[1]Data_Peer_with_peerVars!$B$2:$Z$1050,25,FALSE)</f>
        <v>0.764705882</v>
      </c>
    </row>
    <row r="277" spans="1:65" x14ac:dyDescent="0.2">
      <c r="A277">
        <v>1</v>
      </c>
      <c r="B277" t="s">
        <v>504</v>
      </c>
      <c r="C277">
        <v>139</v>
      </c>
      <c r="D277" t="s">
        <v>68</v>
      </c>
      <c r="E277">
        <v>1</v>
      </c>
      <c r="F277">
        <v>428</v>
      </c>
      <c r="G277" t="s">
        <v>69</v>
      </c>
      <c r="H277" s="1">
        <v>4</v>
      </c>
      <c r="I277" t="s">
        <v>87</v>
      </c>
      <c r="J277" t="s">
        <v>111</v>
      </c>
      <c r="K277" t="s">
        <v>109</v>
      </c>
      <c r="L277">
        <v>1</v>
      </c>
      <c r="M277">
        <v>0</v>
      </c>
      <c r="N277">
        <v>1</v>
      </c>
      <c r="O277">
        <v>0</v>
      </c>
      <c r="P277">
        <v>1</v>
      </c>
      <c r="Q277">
        <v>6</v>
      </c>
      <c r="R277">
        <v>1</v>
      </c>
      <c r="S277">
        <v>1</v>
      </c>
      <c r="T277">
        <v>1</v>
      </c>
      <c r="U277">
        <v>1</v>
      </c>
      <c r="V277">
        <f t="shared" si="106"/>
        <v>0</v>
      </c>
      <c r="W277">
        <f t="shared" si="108"/>
        <v>0</v>
      </c>
      <c r="X277">
        <f t="shared" si="109"/>
        <v>0</v>
      </c>
      <c r="Y277">
        <f t="shared" si="110"/>
        <v>0</v>
      </c>
      <c r="Z277" t="s">
        <v>177</v>
      </c>
      <c r="AA277" s="5" t="s">
        <v>170</v>
      </c>
      <c r="AB277" s="5" t="s">
        <v>505</v>
      </c>
      <c r="AC277" t="s">
        <v>174</v>
      </c>
      <c r="AD277" t="s">
        <v>173</v>
      </c>
      <c r="AE277" s="5" t="s">
        <v>506</v>
      </c>
      <c r="AF277" t="s">
        <v>198</v>
      </c>
      <c r="AG277" t="s">
        <v>196</v>
      </c>
      <c r="AH277">
        <f t="shared" si="115"/>
        <v>6.2841529999999998E-3</v>
      </c>
      <c r="AI277">
        <f t="shared" si="115"/>
        <v>6.2841529999999998E-3</v>
      </c>
      <c r="AJ277">
        <f t="shared" si="107"/>
        <v>6.2841529999999998E-3</v>
      </c>
      <c r="AK277">
        <v>6.2841529999999998E-3</v>
      </c>
      <c r="AL277">
        <v>3.2751089999999997E-2</v>
      </c>
      <c r="AM277">
        <v>3.4832693999999997E-2</v>
      </c>
      <c r="AN277">
        <v>5.2357458000000003E-2</v>
      </c>
      <c r="AO277">
        <v>99.3715847</v>
      </c>
      <c r="AP277">
        <v>96.724891</v>
      </c>
      <c r="AQ277">
        <v>96.516730600000002</v>
      </c>
      <c r="AR277">
        <v>94.764254199999996</v>
      </c>
      <c r="AS277" t="b">
        <v>0</v>
      </c>
      <c r="AT277" t="b">
        <v>0</v>
      </c>
      <c r="AU277" t="s">
        <v>92</v>
      </c>
      <c r="AV277" t="s">
        <v>92</v>
      </c>
      <c r="AW277" t="s">
        <v>79</v>
      </c>
      <c r="AX277" t="s">
        <v>233</v>
      </c>
      <c r="AY277" t="s">
        <v>495</v>
      </c>
      <c r="AZ277" t="s">
        <v>109</v>
      </c>
      <c r="BA277">
        <v>3</v>
      </c>
      <c r="BB277">
        <v>0.5</v>
      </c>
      <c r="BC277">
        <v>6.6481995999999998E-3</v>
      </c>
      <c r="BD277">
        <v>2.8322716361753601E-4</v>
      </c>
      <c r="BE277">
        <v>6.9314267636175399E-3</v>
      </c>
      <c r="BF277">
        <f>IF(AK277&lt;BE277,1,0)</f>
        <v>1</v>
      </c>
      <c r="BG277">
        <f>IF(AK277&lt;BC277,1,0)</f>
        <v>1</v>
      </c>
      <c r="BH277">
        <f>VLOOKUP($B277,[1]Data_Peer_with_peerVars!$B$2:$Z$1050,20,FALSE)</f>
        <v>0</v>
      </c>
      <c r="BI277">
        <f>VLOOKUP($B277,[1]Data_Peer_with_peerVars!$B$2:$Z$1050,21,FALSE)</f>
        <v>0</v>
      </c>
      <c r="BJ277">
        <v>0</v>
      </c>
      <c r="BK277">
        <f>VLOOKUP($B277,[1]Data_Peer_with_peerVars!$B$2:$Z$1050,23,FALSE)</f>
        <v>34</v>
      </c>
      <c r="BL277">
        <f>VLOOKUP($B277,[1]Data_Peer_with_peerVars!$B$2:$Z$1050,24,FALSE)</f>
        <v>26</v>
      </c>
      <c r="BM277">
        <f>VLOOKUP($B277,[1]Data_Peer_with_peerVars!$B$2:$Z$1050,25,FALSE)</f>
        <v>0.764705882</v>
      </c>
    </row>
    <row r="278" spans="1:65" x14ac:dyDescent="0.2">
      <c r="A278">
        <v>1</v>
      </c>
      <c r="B278" t="s">
        <v>507</v>
      </c>
      <c r="C278">
        <v>140</v>
      </c>
      <c r="D278" t="s">
        <v>68</v>
      </c>
      <c r="E278">
        <v>1</v>
      </c>
      <c r="F278">
        <v>429</v>
      </c>
      <c r="G278" t="s">
        <v>86</v>
      </c>
      <c r="H278" s="1">
        <v>5</v>
      </c>
      <c r="I278" t="s">
        <v>87</v>
      </c>
      <c r="J278" t="s">
        <v>111</v>
      </c>
      <c r="K278" t="s">
        <v>109</v>
      </c>
      <c r="L278">
        <v>1</v>
      </c>
      <c r="M278">
        <v>0</v>
      </c>
      <c r="N278">
        <v>1</v>
      </c>
      <c r="O278">
        <v>0</v>
      </c>
      <c r="P278">
        <v>0</v>
      </c>
      <c r="Q278">
        <v>6</v>
      </c>
      <c r="R278">
        <v>0</v>
      </c>
      <c r="S278">
        <v>0</v>
      </c>
      <c r="T278">
        <v>0</v>
      </c>
      <c r="U278">
        <v>0</v>
      </c>
      <c r="V278">
        <v>1</v>
      </c>
      <c r="W278">
        <v>1</v>
      </c>
      <c r="X278">
        <v>1</v>
      </c>
      <c r="Y278">
        <v>1</v>
      </c>
      <c r="Z278" t="s">
        <v>98</v>
      </c>
      <c r="AA278" s="5" t="s">
        <v>404</v>
      </c>
      <c r="AB278" s="5" t="s">
        <v>404</v>
      </c>
      <c r="AC278" t="s">
        <v>99</v>
      </c>
      <c r="AD278" t="s">
        <v>101</v>
      </c>
      <c r="AE278" s="5" t="s">
        <v>502</v>
      </c>
      <c r="AF278" t="s">
        <v>103</v>
      </c>
      <c r="AG278" t="s">
        <v>167</v>
      </c>
      <c r="AH278">
        <f t="shared" ref="AH278:AH279" si="116">AI278</f>
        <v>0.13239358000000001</v>
      </c>
      <c r="AI278">
        <f t="shared" ref="AI278:AI279" si="117">AJ278</f>
        <v>0.13239358000000001</v>
      </c>
      <c r="AJ278">
        <f t="shared" si="107"/>
        <v>0.13239358000000001</v>
      </c>
      <c r="AK278">
        <v>0.13239358000000001</v>
      </c>
      <c r="AL278">
        <v>0.13408591</v>
      </c>
      <c r="AM278">
        <v>0.14431567000000001</v>
      </c>
      <c r="AN278">
        <v>0.15676567</v>
      </c>
      <c r="AO278">
        <v>86.760642000000004</v>
      </c>
      <c r="AP278">
        <v>86.591408999999999</v>
      </c>
      <c r="AQ278">
        <v>85.568432999999999</v>
      </c>
      <c r="AR278">
        <v>84.323432999999994</v>
      </c>
      <c r="AS278" t="b">
        <v>0</v>
      </c>
      <c r="AT278" t="b">
        <v>0</v>
      </c>
      <c r="AU278" t="s">
        <v>108</v>
      </c>
      <c r="AV278" t="s">
        <v>108</v>
      </c>
      <c r="AW278" t="s">
        <v>79</v>
      </c>
      <c r="AX278" t="s">
        <v>233</v>
      </c>
      <c r="AY278" t="s">
        <v>493</v>
      </c>
      <c r="AZ278" t="s">
        <v>109</v>
      </c>
      <c r="BA278">
        <v>5</v>
      </c>
      <c r="BB278">
        <v>0.5</v>
      </c>
      <c r="BC278">
        <v>2.4711695999999998E-2</v>
      </c>
      <c r="BD278">
        <v>1.72884756304863E-3</v>
      </c>
      <c r="BE278">
        <v>2.6440543563048601E-2</v>
      </c>
      <c r="BF278">
        <f>IF(AK278&lt;BE278,1,0)</f>
        <v>0</v>
      </c>
      <c r="BG278">
        <f>IF(AK278&lt;BC278,1,0)</f>
        <v>0</v>
      </c>
      <c r="BH278">
        <f>VLOOKUP($B278,[1]Data_Peer_with_peerVars!$B$2:$Z$1050,20,FALSE)</f>
        <v>5</v>
      </c>
      <c r="BI278">
        <f>VLOOKUP($B278,[1]Data_Peer_with_peerVars!$B$2:$Z$1050,21,FALSE)</f>
        <v>4</v>
      </c>
      <c r="BJ278">
        <f>VLOOKUP($B278,[1]Data_Peer_with_peerVars!$B$2:$Z$1050,22,FALSE)</f>
        <v>0.8</v>
      </c>
      <c r="BK278">
        <f>VLOOKUP($B278,[1]Data_Peer_with_peerVars!$B$2:$Z$1050,23,FALSE)</f>
        <v>27</v>
      </c>
      <c r="BL278">
        <f>VLOOKUP($B278,[1]Data_Peer_with_peerVars!$B$2:$Z$1050,24,FALSE)</f>
        <v>20</v>
      </c>
      <c r="BM278">
        <f>VLOOKUP($B278,[1]Data_Peer_with_peerVars!$B$2:$Z$1050,25,FALSE)</f>
        <v>0.74074074099999998</v>
      </c>
    </row>
    <row r="279" spans="1:65" x14ac:dyDescent="0.2">
      <c r="A279">
        <v>1</v>
      </c>
      <c r="B279" t="s">
        <v>508</v>
      </c>
      <c r="C279">
        <v>140</v>
      </c>
      <c r="D279" t="s">
        <v>68</v>
      </c>
      <c r="E279">
        <v>1</v>
      </c>
      <c r="F279">
        <v>429</v>
      </c>
      <c r="G279" t="s">
        <v>86</v>
      </c>
      <c r="H279" s="1">
        <v>5</v>
      </c>
      <c r="I279" t="s">
        <v>87</v>
      </c>
      <c r="J279" t="s">
        <v>111</v>
      </c>
      <c r="K279" t="s">
        <v>109</v>
      </c>
      <c r="L279">
        <v>1</v>
      </c>
      <c r="M279">
        <v>0</v>
      </c>
      <c r="N279">
        <v>1</v>
      </c>
      <c r="O279">
        <v>0</v>
      </c>
      <c r="P279">
        <v>0</v>
      </c>
      <c r="Q279">
        <v>6</v>
      </c>
      <c r="R279">
        <v>0</v>
      </c>
      <c r="S279">
        <v>0</v>
      </c>
      <c r="T279">
        <v>0</v>
      </c>
      <c r="U279">
        <v>0</v>
      </c>
      <c r="V279">
        <f t="shared" si="106"/>
        <v>1</v>
      </c>
      <c r="W279">
        <v>1</v>
      </c>
      <c r="X279">
        <v>1</v>
      </c>
      <c r="Y279">
        <v>1</v>
      </c>
      <c r="Z279" t="s">
        <v>73</v>
      </c>
      <c r="AA279" s="5" t="s">
        <v>73</v>
      </c>
      <c r="AB279" s="5" t="s">
        <v>73</v>
      </c>
      <c r="AC279" t="s">
        <v>73</v>
      </c>
      <c r="AD279" t="s">
        <v>94</v>
      </c>
      <c r="AE279" s="5" t="s">
        <v>94</v>
      </c>
      <c r="AF279" t="s">
        <v>75</v>
      </c>
      <c r="AG279" t="s">
        <v>95</v>
      </c>
      <c r="AH279">
        <f t="shared" si="116"/>
        <v>6.6012000000000001E-2</v>
      </c>
      <c r="AI279">
        <f t="shared" si="117"/>
        <v>6.6012000000000001E-2</v>
      </c>
      <c r="AJ279">
        <f t="shared" si="107"/>
        <v>6.6012000000000001E-2</v>
      </c>
      <c r="AK279">
        <v>6.6012000000000001E-2</v>
      </c>
      <c r="AL279">
        <v>0.11742217000000001</v>
      </c>
      <c r="AM279">
        <v>0.12814896000000001</v>
      </c>
      <c r="AN279">
        <v>0.1416849</v>
      </c>
      <c r="AO279">
        <v>93.398799999999994</v>
      </c>
      <c r="AP279">
        <v>88.257783000000003</v>
      </c>
      <c r="AQ279">
        <v>87.185103999999995</v>
      </c>
      <c r="AR279">
        <v>85.831509999999994</v>
      </c>
      <c r="AS279" t="b">
        <v>1</v>
      </c>
      <c r="AT279" t="b">
        <v>0</v>
      </c>
      <c r="AU279" t="s">
        <v>77</v>
      </c>
      <c r="AV279" t="s">
        <v>78</v>
      </c>
      <c r="AW279" t="s">
        <v>79</v>
      </c>
      <c r="AX279" t="s">
        <v>233</v>
      </c>
      <c r="AY279" t="s">
        <v>493</v>
      </c>
      <c r="AZ279" t="s">
        <v>109</v>
      </c>
      <c r="BA279">
        <v>3</v>
      </c>
      <c r="BB279">
        <v>1.5</v>
      </c>
      <c r="BC279">
        <v>4.1163553999999996E-3</v>
      </c>
      <c r="BD279">
        <v>1.4279989108178799E-4</v>
      </c>
      <c r="BE279">
        <v>4.2591552910817903E-3</v>
      </c>
      <c r="BF279">
        <f>IF(AK279&lt;BE279,1,0)</f>
        <v>0</v>
      </c>
      <c r="BG279">
        <f>IF(AK279&lt;BC279,1,0)</f>
        <v>0</v>
      </c>
      <c r="BH279">
        <f>VLOOKUP($B279,[1]Data_Peer_with_peerVars!$B$2:$Z$1050,20,FALSE)</f>
        <v>5</v>
      </c>
      <c r="BI279">
        <f>VLOOKUP($B279,[1]Data_Peer_with_peerVars!$B$2:$Z$1050,21,FALSE)</f>
        <v>4</v>
      </c>
      <c r="BJ279">
        <f>VLOOKUP($B279,[1]Data_Peer_with_peerVars!$B$2:$Z$1050,22,FALSE)</f>
        <v>0.8</v>
      </c>
      <c r="BK279">
        <f>VLOOKUP($B279,[1]Data_Peer_with_peerVars!$B$2:$Z$1050,23,FALSE)</f>
        <v>27</v>
      </c>
      <c r="BL279">
        <f>VLOOKUP($B279,[1]Data_Peer_with_peerVars!$B$2:$Z$1050,24,FALSE)</f>
        <v>20</v>
      </c>
      <c r="BM279">
        <f>VLOOKUP($B279,[1]Data_Peer_with_peerVars!$B$2:$Z$1050,25,FALSE)</f>
        <v>0.74074074099999998</v>
      </c>
    </row>
    <row r="280" spans="1:65" x14ac:dyDescent="0.2">
      <c r="A280">
        <v>1</v>
      </c>
      <c r="B280" t="s">
        <v>509</v>
      </c>
      <c r="C280">
        <v>140</v>
      </c>
      <c r="D280" t="s">
        <v>68</v>
      </c>
      <c r="E280">
        <v>1</v>
      </c>
      <c r="F280">
        <v>429</v>
      </c>
      <c r="G280" t="s">
        <v>86</v>
      </c>
      <c r="H280" s="1">
        <v>5</v>
      </c>
      <c r="I280" t="s">
        <v>87</v>
      </c>
      <c r="J280" t="s">
        <v>111</v>
      </c>
      <c r="K280" t="s">
        <v>109</v>
      </c>
      <c r="L280">
        <v>1</v>
      </c>
      <c r="M280">
        <v>0</v>
      </c>
      <c r="N280">
        <v>1</v>
      </c>
      <c r="O280">
        <v>0</v>
      </c>
      <c r="P280">
        <v>0</v>
      </c>
      <c r="Q280">
        <v>6</v>
      </c>
      <c r="R280">
        <v>0</v>
      </c>
      <c r="S280">
        <v>0</v>
      </c>
      <c r="T280">
        <v>0</v>
      </c>
      <c r="U280">
        <v>0</v>
      </c>
      <c r="V280">
        <f t="shared" si="106"/>
        <v>0</v>
      </c>
      <c r="W280">
        <f t="shared" si="108"/>
        <v>0</v>
      </c>
      <c r="X280">
        <f t="shared" si="109"/>
        <v>0</v>
      </c>
      <c r="Y280">
        <f t="shared" si="110"/>
        <v>0</v>
      </c>
      <c r="Z280" t="s">
        <v>76</v>
      </c>
      <c r="AA280" s="5" t="s">
        <v>76</v>
      </c>
      <c r="AB280" s="5" t="s">
        <v>76</v>
      </c>
      <c r="AC280" t="s">
        <v>84</v>
      </c>
      <c r="AD280" t="s">
        <v>113</v>
      </c>
      <c r="AE280" s="5" t="s">
        <v>113</v>
      </c>
      <c r="AF280" t="s">
        <v>74</v>
      </c>
      <c r="AG280" t="s">
        <v>137</v>
      </c>
      <c r="AH280">
        <f t="shared" ref="AH280:AH289" si="118">AI280</f>
        <v>8.2327110000000002E-3</v>
      </c>
      <c r="AI280">
        <f t="shared" ref="AI280:AI285" si="119">AJ280</f>
        <v>8.2327110000000002E-3</v>
      </c>
      <c r="AJ280">
        <f t="shared" si="107"/>
        <v>8.2327110000000002E-3</v>
      </c>
      <c r="AK280">
        <v>8.2327110000000002E-3</v>
      </c>
      <c r="AL280">
        <v>0.118746564</v>
      </c>
      <c r="AM280">
        <v>0.13419320000000001</v>
      </c>
      <c r="AN280">
        <v>0.13512035</v>
      </c>
      <c r="AO280">
        <v>99.176728900000001</v>
      </c>
      <c r="AP280">
        <v>88.125343599999994</v>
      </c>
      <c r="AQ280">
        <v>86.580680000000001</v>
      </c>
      <c r="AR280">
        <v>86.487965000000003</v>
      </c>
      <c r="AS280" t="b">
        <v>0</v>
      </c>
      <c r="AT280" t="b">
        <v>0</v>
      </c>
      <c r="AU280" t="s">
        <v>77</v>
      </c>
      <c r="AV280" t="s">
        <v>78</v>
      </c>
      <c r="AW280" t="s">
        <v>79</v>
      </c>
      <c r="AX280" t="s">
        <v>233</v>
      </c>
      <c r="AY280" t="s">
        <v>493</v>
      </c>
      <c r="AZ280" t="s">
        <v>72</v>
      </c>
      <c r="BA280" t="s">
        <v>82</v>
      </c>
      <c r="BB280">
        <v>3</v>
      </c>
      <c r="BC280">
        <v>4.6780407000000003E-2</v>
      </c>
      <c r="BD280">
        <v>6.0749635341231199E-3</v>
      </c>
      <c r="BE280">
        <v>5.2855370534123099E-2</v>
      </c>
      <c r="BF280">
        <f>IF(AK280&lt;BE280,1,0)</f>
        <v>1</v>
      </c>
      <c r="BG280">
        <f>IF(AK280&lt;BC280,1,0)</f>
        <v>1</v>
      </c>
      <c r="BH280">
        <f>VLOOKUP($B280,[1]Data_Peer_with_peerVars!$B$2:$Z$1050,20,FALSE)</f>
        <v>5</v>
      </c>
      <c r="BI280">
        <f>VLOOKUP($B280,[1]Data_Peer_with_peerVars!$B$2:$Z$1050,21,FALSE)</f>
        <v>4</v>
      </c>
      <c r="BJ280">
        <f>VLOOKUP($B280,[1]Data_Peer_with_peerVars!$B$2:$Z$1050,22,FALSE)</f>
        <v>0.8</v>
      </c>
      <c r="BK280">
        <f>VLOOKUP($B280,[1]Data_Peer_with_peerVars!$B$2:$Z$1050,23,FALSE)</f>
        <v>27</v>
      </c>
      <c r="BL280">
        <f>VLOOKUP($B280,[1]Data_Peer_with_peerVars!$B$2:$Z$1050,24,FALSE)</f>
        <v>20</v>
      </c>
      <c r="BM280">
        <f>VLOOKUP($B280,[1]Data_Peer_with_peerVars!$B$2:$Z$1050,25,FALSE)</f>
        <v>0.74074074099999998</v>
      </c>
    </row>
    <row r="281" spans="1:65" x14ac:dyDescent="0.2">
      <c r="A281">
        <v>1</v>
      </c>
      <c r="B281" t="s">
        <v>510</v>
      </c>
      <c r="C281">
        <v>140</v>
      </c>
      <c r="D281" t="s">
        <v>68</v>
      </c>
      <c r="E281">
        <v>1</v>
      </c>
      <c r="F281">
        <v>429</v>
      </c>
      <c r="G281" t="s">
        <v>86</v>
      </c>
      <c r="H281" s="1">
        <v>5</v>
      </c>
      <c r="I281" t="s">
        <v>87</v>
      </c>
      <c r="J281" t="s">
        <v>111</v>
      </c>
      <c r="K281" t="s">
        <v>109</v>
      </c>
      <c r="L281">
        <v>1</v>
      </c>
      <c r="M281">
        <v>0</v>
      </c>
      <c r="N281">
        <v>1</v>
      </c>
      <c r="O281">
        <v>0</v>
      </c>
      <c r="P281">
        <v>0</v>
      </c>
      <c r="Q281">
        <v>6</v>
      </c>
      <c r="R281">
        <v>1</v>
      </c>
      <c r="S281">
        <v>1</v>
      </c>
      <c r="T281">
        <v>1</v>
      </c>
      <c r="U281">
        <v>1</v>
      </c>
      <c r="V281">
        <f t="shared" si="106"/>
        <v>0</v>
      </c>
      <c r="W281">
        <f t="shared" si="108"/>
        <v>0</v>
      </c>
      <c r="X281">
        <f t="shared" si="109"/>
        <v>0</v>
      </c>
      <c r="Y281">
        <f t="shared" si="110"/>
        <v>0</v>
      </c>
      <c r="Z281" t="s">
        <v>177</v>
      </c>
      <c r="AA281" s="5" t="s">
        <v>177</v>
      </c>
      <c r="AB281" s="5" t="s">
        <v>511</v>
      </c>
      <c r="AC281" t="s">
        <v>196</v>
      </c>
      <c r="AD281" t="s">
        <v>198</v>
      </c>
      <c r="AE281" s="5" t="s">
        <v>506</v>
      </c>
      <c r="AF281" t="s">
        <v>173</v>
      </c>
      <c r="AG281" t="s">
        <v>95</v>
      </c>
      <c r="AH281">
        <f t="shared" si="118"/>
        <v>0.10641799</v>
      </c>
      <c r="AI281">
        <f t="shared" si="119"/>
        <v>0.10641799</v>
      </c>
      <c r="AJ281">
        <f t="shared" si="107"/>
        <v>0.10641799</v>
      </c>
      <c r="AK281">
        <v>0.10641799</v>
      </c>
      <c r="AL281">
        <v>0.11190346</v>
      </c>
      <c r="AM281">
        <v>0.11250683</v>
      </c>
      <c r="AN281">
        <v>0.113723345</v>
      </c>
      <c r="AO281">
        <v>89.358200999999994</v>
      </c>
      <c r="AP281">
        <v>88.809653999999995</v>
      </c>
      <c r="AQ281">
        <v>88.749317000000005</v>
      </c>
      <c r="AR281">
        <v>88.627665500000006</v>
      </c>
      <c r="AS281" t="b">
        <v>0</v>
      </c>
      <c r="AT281" t="b">
        <v>0</v>
      </c>
      <c r="AU281" t="s">
        <v>92</v>
      </c>
      <c r="AV281" t="s">
        <v>92</v>
      </c>
      <c r="AW281" t="s">
        <v>79</v>
      </c>
      <c r="AX281" t="s">
        <v>233</v>
      </c>
      <c r="AY281" t="s">
        <v>493</v>
      </c>
      <c r="AZ281" t="s">
        <v>109</v>
      </c>
      <c r="BA281">
        <v>3</v>
      </c>
      <c r="BB281">
        <v>1.5</v>
      </c>
      <c r="BC281">
        <v>2.6736494E-2</v>
      </c>
      <c r="BD281">
        <v>2.13125818054995E-3</v>
      </c>
      <c r="BE281">
        <v>2.8867752180549901E-2</v>
      </c>
      <c r="BF281">
        <f>IF(AK281&lt;BE281,1,0)</f>
        <v>0</v>
      </c>
      <c r="BG281">
        <f>IF(AK281&lt;BC281,1,0)</f>
        <v>0</v>
      </c>
      <c r="BH281">
        <f>VLOOKUP($B281,[1]Data_Peer_with_peerVars!$B$2:$Z$1050,20,FALSE)</f>
        <v>5</v>
      </c>
      <c r="BI281">
        <f>VLOOKUP($B281,[1]Data_Peer_with_peerVars!$B$2:$Z$1050,21,FALSE)</f>
        <v>4</v>
      </c>
      <c r="BJ281">
        <f>VLOOKUP($B281,[1]Data_Peer_with_peerVars!$B$2:$Z$1050,22,FALSE)</f>
        <v>0.8</v>
      </c>
      <c r="BK281">
        <f>VLOOKUP($B281,[1]Data_Peer_with_peerVars!$B$2:$Z$1050,23,FALSE)</f>
        <v>27</v>
      </c>
      <c r="BL281">
        <f>VLOOKUP($B281,[1]Data_Peer_with_peerVars!$B$2:$Z$1050,24,FALSE)</f>
        <v>20</v>
      </c>
      <c r="BM281">
        <f>VLOOKUP($B281,[1]Data_Peer_with_peerVars!$B$2:$Z$1050,25,FALSE)</f>
        <v>0.74074074099999998</v>
      </c>
    </row>
    <row r="282" spans="1:65" x14ac:dyDescent="0.2">
      <c r="A282">
        <v>1</v>
      </c>
      <c r="B282" t="s">
        <v>512</v>
      </c>
      <c r="C282">
        <v>141</v>
      </c>
      <c r="D282" t="s">
        <v>68</v>
      </c>
      <c r="E282">
        <v>0</v>
      </c>
      <c r="F282">
        <v>842</v>
      </c>
      <c r="G282" t="s">
        <v>119</v>
      </c>
      <c r="H282" s="1">
        <v>3.5</v>
      </c>
      <c r="I282" t="s">
        <v>87</v>
      </c>
      <c r="J282" t="s">
        <v>111</v>
      </c>
      <c r="K282" t="s">
        <v>109</v>
      </c>
      <c r="L282">
        <v>1</v>
      </c>
      <c r="M282">
        <v>0</v>
      </c>
      <c r="N282">
        <v>0</v>
      </c>
      <c r="O282">
        <v>0</v>
      </c>
      <c r="P282">
        <v>0</v>
      </c>
      <c r="Q282">
        <v>6</v>
      </c>
      <c r="R282">
        <v>0</v>
      </c>
      <c r="S282">
        <v>0</v>
      </c>
      <c r="T282">
        <v>0</v>
      </c>
      <c r="U282">
        <v>0</v>
      </c>
      <c r="V282">
        <f t="shared" si="106"/>
        <v>0</v>
      </c>
      <c r="W282">
        <f t="shared" si="108"/>
        <v>1</v>
      </c>
      <c r="X282">
        <v>1</v>
      </c>
      <c r="Y282">
        <v>1</v>
      </c>
      <c r="Z282" t="s">
        <v>76</v>
      </c>
      <c r="AA282" s="5" t="s">
        <v>76</v>
      </c>
      <c r="AB282" s="5" t="s">
        <v>76</v>
      </c>
      <c r="AC282" t="s">
        <v>74</v>
      </c>
      <c r="AD282" t="s">
        <v>76</v>
      </c>
      <c r="AE282" s="5" t="s">
        <v>432</v>
      </c>
      <c r="AF282" t="s">
        <v>84</v>
      </c>
      <c r="AG282" t="s">
        <v>120</v>
      </c>
      <c r="AH282">
        <f t="shared" si="118"/>
        <v>0.13723347</v>
      </c>
      <c r="AI282">
        <f t="shared" si="119"/>
        <v>0.13723347</v>
      </c>
      <c r="AJ282">
        <f>AL282</f>
        <v>0.13723347</v>
      </c>
      <c r="AK282">
        <v>0.12561712</v>
      </c>
      <c r="AL282">
        <v>0.13723347</v>
      </c>
      <c r="AM282">
        <v>0.13983515999999999</v>
      </c>
      <c r="AN282">
        <v>0.1440678</v>
      </c>
      <c r="AO282">
        <v>87.438288</v>
      </c>
      <c r="AP282">
        <v>86.276652999999996</v>
      </c>
      <c r="AQ282">
        <v>86.016484000000005</v>
      </c>
      <c r="AR282">
        <v>85.593220000000002</v>
      </c>
      <c r="AS282" t="b">
        <v>0</v>
      </c>
      <c r="AT282" t="b">
        <v>0</v>
      </c>
      <c r="AU282" t="s">
        <v>78</v>
      </c>
      <c r="AV282" t="s">
        <v>108</v>
      </c>
      <c r="AW282" t="s">
        <v>79</v>
      </c>
      <c r="AX282" t="s">
        <v>233</v>
      </c>
      <c r="AY282" t="s">
        <v>513</v>
      </c>
      <c r="AZ282" t="s">
        <v>109</v>
      </c>
      <c r="BA282">
        <v>4</v>
      </c>
      <c r="BB282">
        <v>7</v>
      </c>
      <c r="BC282">
        <v>2.4738868000000001E-3</v>
      </c>
      <c r="BD282">
        <v>1.4256942275279999E-4</v>
      </c>
      <c r="BE282">
        <v>2.6164562227527998E-3</v>
      </c>
      <c r="BF282">
        <f>IF(AK282&lt;BE282,1,0)</f>
        <v>0</v>
      </c>
      <c r="BG282">
        <f>IF(AK282&lt;BC282,1,0)</f>
        <v>0</v>
      </c>
      <c r="BH282">
        <f>VLOOKUP($B282,[1]Data_Peer_with_peerVars!$B$2:$Z$1050,20,FALSE)</f>
        <v>7</v>
      </c>
      <c r="BI282">
        <f>VLOOKUP($B282,[1]Data_Peer_with_peerVars!$B$2:$Z$1050,21,FALSE)</f>
        <v>4</v>
      </c>
      <c r="BJ282">
        <f>VLOOKUP($B282,[1]Data_Peer_with_peerVars!$B$2:$Z$1050,22,FALSE)</f>
        <v>0.571428571</v>
      </c>
      <c r="BK282">
        <f>VLOOKUP($B282,[1]Data_Peer_with_peerVars!$B$2:$Z$1050,23,FALSE)</f>
        <v>35</v>
      </c>
      <c r="BL282">
        <f>VLOOKUP($B282,[1]Data_Peer_with_peerVars!$B$2:$Z$1050,24,FALSE)</f>
        <v>24</v>
      </c>
      <c r="BM282">
        <f>VLOOKUP($B282,[1]Data_Peer_with_peerVars!$B$2:$Z$1050,25,FALSE)</f>
        <v>0.68571428599999995</v>
      </c>
    </row>
    <row r="283" spans="1:65" x14ac:dyDescent="0.2">
      <c r="A283">
        <v>1</v>
      </c>
      <c r="B283" t="s">
        <v>514</v>
      </c>
      <c r="C283">
        <v>141</v>
      </c>
      <c r="D283" t="s">
        <v>68</v>
      </c>
      <c r="E283">
        <v>0</v>
      </c>
      <c r="F283">
        <v>842</v>
      </c>
      <c r="G283" t="s">
        <v>119</v>
      </c>
      <c r="H283" s="1">
        <v>3.5</v>
      </c>
      <c r="I283" t="s">
        <v>87</v>
      </c>
      <c r="J283" t="s">
        <v>111</v>
      </c>
      <c r="K283" t="s">
        <v>109</v>
      </c>
      <c r="L283">
        <v>1</v>
      </c>
      <c r="M283">
        <v>0</v>
      </c>
      <c r="N283">
        <v>0</v>
      </c>
      <c r="O283">
        <v>0</v>
      </c>
      <c r="P283">
        <v>0</v>
      </c>
      <c r="Q283">
        <v>6</v>
      </c>
      <c r="R283">
        <v>0</v>
      </c>
      <c r="S283">
        <v>0</v>
      </c>
      <c r="T283">
        <v>0</v>
      </c>
      <c r="U283">
        <v>0</v>
      </c>
      <c r="V283">
        <f t="shared" si="106"/>
        <v>1</v>
      </c>
      <c r="W283">
        <v>1</v>
      </c>
      <c r="X283">
        <v>1</v>
      </c>
      <c r="Y283">
        <v>1</v>
      </c>
      <c r="Z283" t="s">
        <v>73</v>
      </c>
      <c r="AA283" s="5" t="s">
        <v>73</v>
      </c>
      <c r="AB283" s="5" t="s">
        <v>73</v>
      </c>
      <c r="AC283" t="s">
        <v>73</v>
      </c>
      <c r="AD283" t="s">
        <v>137</v>
      </c>
      <c r="AE283" s="5" t="s">
        <v>137</v>
      </c>
      <c r="AF283" t="s">
        <v>287</v>
      </c>
      <c r="AG283" t="s">
        <v>113</v>
      </c>
      <c r="AH283">
        <f t="shared" si="118"/>
        <v>0.12438625</v>
      </c>
      <c r="AI283">
        <f t="shared" si="119"/>
        <v>0.12438625</v>
      </c>
      <c r="AJ283">
        <f t="shared" si="107"/>
        <v>0.12438625</v>
      </c>
      <c r="AK283">
        <v>0.12438625</v>
      </c>
      <c r="AL283">
        <v>0.13407974</v>
      </c>
      <c r="AM283">
        <v>0.15128346000000001</v>
      </c>
      <c r="AN283">
        <v>0.15164836000000001</v>
      </c>
      <c r="AO283">
        <v>87.561374999999998</v>
      </c>
      <c r="AP283">
        <v>86.592026000000004</v>
      </c>
      <c r="AQ283">
        <v>84.871654000000007</v>
      </c>
      <c r="AR283">
        <v>84.835164000000006</v>
      </c>
      <c r="AS283" t="b">
        <v>1</v>
      </c>
      <c r="AT283" t="b">
        <v>0</v>
      </c>
      <c r="AU283" t="s">
        <v>78</v>
      </c>
      <c r="AV283" t="s">
        <v>78</v>
      </c>
      <c r="AW283" t="s">
        <v>79</v>
      </c>
      <c r="AX283" t="s">
        <v>233</v>
      </c>
      <c r="AY283" t="s">
        <v>513</v>
      </c>
      <c r="AZ283" t="s">
        <v>109</v>
      </c>
      <c r="BA283">
        <v>3</v>
      </c>
      <c r="BB283">
        <v>1</v>
      </c>
      <c r="BC283">
        <v>4.1163553999999996E-3</v>
      </c>
      <c r="BD283">
        <v>1.4279989108178799E-4</v>
      </c>
      <c r="BE283">
        <v>4.2591552910817903E-3</v>
      </c>
      <c r="BF283">
        <f>IF(AK283&lt;BE283,1,0)</f>
        <v>0</v>
      </c>
      <c r="BG283">
        <f>IF(AK283&lt;BC283,1,0)</f>
        <v>0</v>
      </c>
      <c r="BH283">
        <f>VLOOKUP($B283,[1]Data_Peer_with_peerVars!$B$2:$Z$1050,20,FALSE)</f>
        <v>7</v>
      </c>
      <c r="BI283">
        <f>VLOOKUP($B283,[1]Data_Peer_with_peerVars!$B$2:$Z$1050,21,FALSE)</f>
        <v>4</v>
      </c>
      <c r="BJ283">
        <f>VLOOKUP($B283,[1]Data_Peer_with_peerVars!$B$2:$Z$1050,22,FALSE)</f>
        <v>0.571428571</v>
      </c>
      <c r="BK283">
        <f>VLOOKUP($B283,[1]Data_Peer_with_peerVars!$B$2:$Z$1050,23,FALSE)</f>
        <v>35</v>
      </c>
      <c r="BL283">
        <f>VLOOKUP($B283,[1]Data_Peer_with_peerVars!$B$2:$Z$1050,24,FALSE)</f>
        <v>24</v>
      </c>
      <c r="BM283">
        <f>VLOOKUP($B283,[1]Data_Peer_with_peerVars!$B$2:$Z$1050,25,FALSE)</f>
        <v>0.68571428599999995</v>
      </c>
    </row>
    <row r="284" spans="1:65" x14ac:dyDescent="0.2">
      <c r="A284">
        <v>1</v>
      </c>
      <c r="B284" t="s">
        <v>515</v>
      </c>
      <c r="C284">
        <v>142</v>
      </c>
      <c r="D284" t="s">
        <v>68</v>
      </c>
      <c r="E284">
        <v>1</v>
      </c>
      <c r="F284">
        <v>405</v>
      </c>
      <c r="G284" t="s">
        <v>86</v>
      </c>
      <c r="H284" s="1">
        <v>3</v>
      </c>
      <c r="I284" t="s">
        <v>70</v>
      </c>
      <c r="J284" t="s">
        <v>71</v>
      </c>
      <c r="K284" t="s">
        <v>109</v>
      </c>
      <c r="L284">
        <v>1</v>
      </c>
      <c r="M284">
        <v>0</v>
      </c>
      <c r="N284">
        <v>1</v>
      </c>
      <c r="O284">
        <v>0</v>
      </c>
      <c r="P284">
        <v>1</v>
      </c>
      <c r="Q284">
        <v>6</v>
      </c>
      <c r="R284">
        <v>0</v>
      </c>
      <c r="S284">
        <v>0</v>
      </c>
      <c r="T284">
        <v>0</v>
      </c>
      <c r="U284">
        <v>0</v>
      </c>
      <c r="V284">
        <f t="shared" si="106"/>
        <v>1</v>
      </c>
      <c r="W284">
        <v>1</v>
      </c>
      <c r="X284">
        <v>1</v>
      </c>
      <c r="Y284">
        <v>1</v>
      </c>
      <c r="Z284" t="s">
        <v>76</v>
      </c>
      <c r="AA284" s="5" t="s">
        <v>76</v>
      </c>
      <c r="AB284" s="5" t="s">
        <v>76</v>
      </c>
      <c r="AC284" t="s">
        <v>76</v>
      </c>
      <c r="AD284" t="s">
        <v>74</v>
      </c>
      <c r="AE284" s="5" t="s">
        <v>74</v>
      </c>
      <c r="AF284" t="s">
        <v>120</v>
      </c>
      <c r="AG284" t="s">
        <v>75</v>
      </c>
      <c r="AH284">
        <f t="shared" si="118"/>
        <v>7.7826320000000004E-2</v>
      </c>
      <c r="AI284">
        <f t="shared" si="119"/>
        <v>7.7826320000000004E-2</v>
      </c>
      <c r="AJ284">
        <f t="shared" si="107"/>
        <v>7.7826320000000004E-2</v>
      </c>
      <c r="AK284">
        <v>7.7826320000000004E-2</v>
      </c>
      <c r="AL284">
        <v>8.3287669999999994E-2</v>
      </c>
      <c r="AM284">
        <v>0.1182414</v>
      </c>
      <c r="AN284">
        <v>0.1214442</v>
      </c>
      <c r="AO284">
        <v>92.217367999999993</v>
      </c>
      <c r="AP284">
        <v>91.671233000000001</v>
      </c>
      <c r="AQ284">
        <v>88.17586</v>
      </c>
      <c r="AR284">
        <v>87.855580000000003</v>
      </c>
      <c r="AS284" t="b">
        <v>1</v>
      </c>
      <c r="AT284" t="b">
        <v>0</v>
      </c>
      <c r="AU284" t="s">
        <v>77</v>
      </c>
      <c r="AV284" t="s">
        <v>77</v>
      </c>
      <c r="AW284" t="s">
        <v>79</v>
      </c>
      <c r="AX284" t="s">
        <v>233</v>
      </c>
      <c r="AY284" t="s">
        <v>516</v>
      </c>
      <c r="AZ284" t="s">
        <v>109</v>
      </c>
      <c r="BA284">
        <v>8</v>
      </c>
      <c r="BB284">
        <v>4</v>
      </c>
      <c r="BC284">
        <v>7.7070764999999999E-2</v>
      </c>
      <c r="BD284">
        <v>1.90190515067399E-3</v>
      </c>
      <c r="BE284">
        <v>7.8972670150673996E-2</v>
      </c>
      <c r="BF284">
        <f>IF(AK284&lt;BE284,1,0)</f>
        <v>1</v>
      </c>
      <c r="BG284">
        <f>IF(AK284&lt;BC284,1,0)</f>
        <v>0</v>
      </c>
      <c r="BH284">
        <f>VLOOKUP($B284,[1]Data_Peer_with_peerVars!$B$2:$Z$1050,20,FALSE)</f>
        <v>0</v>
      </c>
      <c r="BI284">
        <f>VLOOKUP($B284,[1]Data_Peer_with_peerVars!$B$2:$Z$1050,21,FALSE)</f>
        <v>0</v>
      </c>
      <c r="BJ284">
        <v>0</v>
      </c>
      <c r="BK284">
        <f>VLOOKUP($B284,[1]Data_Peer_with_peerVars!$B$2:$Z$1050,23,FALSE)</f>
        <v>19</v>
      </c>
      <c r="BL284">
        <f>VLOOKUP($B284,[1]Data_Peer_with_peerVars!$B$2:$Z$1050,24,FALSE)</f>
        <v>12</v>
      </c>
      <c r="BM284">
        <f>VLOOKUP($B284,[1]Data_Peer_with_peerVars!$B$2:$Z$1050,25,FALSE)</f>
        <v>0.63157894699999995</v>
      </c>
    </row>
    <row r="285" spans="1:65" x14ac:dyDescent="0.2">
      <c r="A285">
        <v>1</v>
      </c>
      <c r="B285" t="s">
        <v>517</v>
      </c>
      <c r="C285">
        <v>142</v>
      </c>
      <c r="D285" t="s">
        <v>68</v>
      </c>
      <c r="E285">
        <v>1</v>
      </c>
      <c r="F285">
        <v>405</v>
      </c>
      <c r="G285" t="s">
        <v>86</v>
      </c>
      <c r="H285" s="1">
        <v>3</v>
      </c>
      <c r="I285" t="s">
        <v>70</v>
      </c>
      <c r="J285" t="s">
        <v>71</v>
      </c>
      <c r="K285" t="s">
        <v>109</v>
      </c>
      <c r="L285">
        <v>1</v>
      </c>
      <c r="M285">
        <v>0</v>
      </c>
      <c r="N285">
        <v>1</v>
      </c>
      <c r="O285">
        <v>0</v>
      </c>
      <c r="P285">
        <v>1</v>
      </c>
      <c r="Q285">
        <v>6</v>
      </c>
      <c r="R285">
        <v>0</v>
      </c>
      <c r="S285">
        <v>0</v>
      </c>
      <c r="T285">
        <v>0</v>
      </c>
      <c r="U285">
        <v>0</v>
      </c>
      <c r="V285">
        <f t="shared" si="106"/>
        <v>1</v>
      </c>
      <c r="W285">
        <v>1</v>
      </c>
      <c r="X285">
        <v>1</v>
      </c>
      <c r="Y285">
        <v>1</v>
      </c>
      <c r="Z285" t="s">
        <v>73</v>
      </c>
      <c r="AA285" s="5" t="s">
        <v>73</v>
      </c>
      <c r="AB285" s="5" t="s">
        <v>73</v>
      </c>
      <c r="AC285" t="s">
        <v>73</v>
      </c>
      <c r="AD285" t="s">
        <v>75</v>
      </c>
      <c r="AE285" s="5" t="s">
        <v>478</v>
      </c>
      <c r="AF285" t="s">
        <v>94</v>
      </c>
      <c r="AG285" t="s">
        <v>95</v>
      </c>
      <c r="AH285">
        <f t="shared" si="118"/>
        <v>3.7077427000000003E-2</v>
      </c>
      <c r="AI285">
        <f t="shared" si="119"/>
        <v>3.7077427000000003E-2</v>
      </c>
      <c r="AJ285">
        <f t="shared" si="107"/>
        <v>3.7077427000000003E-2</v>
      </c>
      <c r="AK285">
        <v>3.7077427000000003E-2</v>
      </c>
      <c r="AL285">
        <v>0.13088717999999999</v>
      </c>
      <c r="AM285">
        <v>0.13469945</v>
      </c>
      <c r="AN285">
        <v>0.14004377000000001</v>
      </c>
      <c r="AO285">
        <v>96.292257300000003</v>
      </c>
      <c r="AP285">
        <v>86.911282</v>
      </c>
      <c r="AQ285">
        <v>86.530055000000004</v>
      </c>
      <c r="AR285">
        <v>85.995622999999995</v>
      </c>
      <c r="AS285" t="b">
        <v>1</v>
      </c>
      <c r="AT285" t="b">
        <v>0</v>
      </c>
      <c r="AU285" t="s">
        <v>77</v>
      </c>
      <c r="AV285" t="s">
        <v>108</v>
      </c>
      <c r="AW285" t="s">
        <v>79</v>
      </c>
      <c r="AX285" t="s">
        <v>233</v>
      </c>
      <c r="AY285" t="s">
        <v>516</v>
      </c>
      <c r="AZ285" t="s">
        <v>109</v>
      </c>
      <c r="BA285">
        <v>5</v>
      </c>
      <c r="BB285">
        <v>2</v>
      </c>
      <c r="BC285">
        <v>4.1163553999999996E-3</v>
      </c>
      <c r="BD285">
        <v>1.4279989108178799E-4</v>
      </c>
      <c r="BE285">
        <v>4.2591552910817903E-3</v>
      </c>
      <c r="BF285">
        <f>IF(AK285&lt;BE285,1,0)</f>
        <v>0</v>
      </c>
      <c r="BG285">
        <f>IF(AK285&lt;BC285,1,0)</f>
        <v>0</v>
      </c>
      <c r="BH285">
        <f>VLOOKUP($B285,[1]Data_Peer_with_peerVars!$B$2:$Z$1050,20,FALSE)</f>
        <v>0</v>
      </c>
      <c r="BI285">
        <f>VLOOKUP($B285,[1]Data_Peer_with_peerVars!$B$2:$Z$1050,21,FALSE)</f>
        <v>0</v>
      </c>
      <c r="BJ285">
        <v>0</v>
      </c>
      <c r="BK285">
        <f>VLOOKUP($B285,[1]Data_Peer_with_peerVars!$B$2:$Z$1050,23,FALSE)</f>
        <v>19</v>
      </c>
      <c r="BL285">
        <f>VLOOKUP($B285,[1]Data_Peer_with_peerVars!$B$2:$Z$1050,24,FALSE)</f>
        <v>12</v>
      </c>
      <c r="BM285">
        <f>VLOOKUP($B285,[1]Data_Peer_with_peerVars!$B$2:$Z$1050,25,FALSE)</f>
        <v>0.63157894699999995</v>
      </c>
    </row>
    <row r="286" spans="1:65" x14ac:dyDescent="0.2">
      <c r="A286">
        <v>1</v>
      </c>
      <c r="B286" t="s">
        <v>518</v>
      </c>
      <c r="C286">
        <v>143</v>
      </c>
      <c r="D286" t="s">
        <v>68</v>
      </c>
      <c r="E286">
        <v>1</v>
      </c>
      <c r="F286">
        <v>408</v>
      </c>
      <c r="G286" t="s">
        <v>69</v>
      </c>
      <c r="H286" s="1">
        <v>5</v>
      </c>
      <c r="I286" t="s">
        <v>70</v>
      </c>
      <c r="J286" t="s">
        <v>71</v>
      </c>
      <c r="K286" t="s">
        <v>72</v>
      </c>
      <c r="L286">
        <v>1</v>
      </c>
      <c r="M286">
        <v>0</v>
      </c>
      <c r="N286">
        <v>1</v>
      </c>
      <c r="O286">
        <v>0</v>
      </c>
      <c r="P286">
        <v>1</v>
      </c>
      <c r="Q286">
        <v>6</v>
      </c>
      <c r="R286">
        <v>0</v>
      </c>
      <c r="S286">
        <v>0</v>
      </c>
      <c r="T286">
        <v>0</v>
      </c>
      <c r="U286">
        <v>0</v>
      </c>
      <c r="V286">
        <f t="shared" si="106"/>
        <v>0</v>
      </c>
      <c r="W286">
        <f t="shared" si="108"/>
        <v>1</v>
      </c>
      <c r="X286">
        <v>1</v>
      </c>
      <c r="Y286">
        <v>1</v>
      </c>
      <c r="Z286" t="s">
        <v>76</v>
      </c>
      <c r="AA286" s="5" t="s">
        <v>76</v>
      </c>
      <c r="AB286" s="5" t="s">
        <v>76</v>
      </c>
      <c r="AC286" t="s">
        <v>74</v>
      </c>
      <c r="AD286" t="s">
        <v>76</v>
      </c>
      <c r="AE286" s="5" t="s">
        <v>76</v>
      </c>
      <c r="AF286" t="s">
        <v>84</v>
      </c>
      <c r="AG286" t="s">
        <v>75</v>
      </c>
      <c r="AH286">
        <f t="shared" si="118"/>
        <v>7.1428574999999994E-2</v>
      </c>
      <c r="AI286">
        <f>AJ286</f>
        <v>7.1428574999999994E-2</v>
      </c>
      <c r="AJ286">
        <f>AL286</f>
        <v>7.1428574999999994E-2</v>
      </c>
      <c r="AK286">
        <v>7.0016469999999997E-2</v>
      </c>
      <c r="AL286">
        <v>7.1428574999999994E-2</v>
      </c>
      <c r="AM286">
        <v>0.10775150999999999</v>
      </c>
      <c r="AN286">
        <v>0.10876711999999999</v>
      </c>
      <c r="AO286">
        <v>92.998352999999994</v>
      </c>
      <c r="AP286">
        <v>92.857142499999995</v>
      </c>
      <c r="AQ286">
        <v>89.224849000000006</v>
      </c>
      <c r="AR286">
        <v>89.123288000000002</v>
      </c>
      <c r="AS286" t="b">
        <v>0</v>
      </c>
      <c r="AT286" t="b">
        <v>1</v>
      </c>
      <c r="AU286" t="s">
        <v>77</v>
      </c>
      <c r="AV286" t="s">
        <v>77</v>
      </c>
      <c r="AW286" t="s">
        <v>79</v>
      </c>
      <c r="AX286" t="s">
        <v>233</v>
      </c>
      <c r="AY286" t="s">
        <v>516</v>
      </c>
      <c r="AZ286" t="s">
        <v>72</v>
      </c>
      <c r="BA286" t="s">
        <v>82</v>
      </c>
      <c r="BB286">
        <v>2</v>
      </c>
      <c r="BC286">
        <v>2.4738868000000001E-3</v>
      </c>
      <c r="BD286">
        <v>1.4256942275279999E-4</v>
      </c>
      <c r="BE286">
        <v>2.6164562227527998E-3</v>
      </c>
      <c r="BF286">
        <f>IF(AK286&lt;BE286,1,0)</f>
        <v>0</v>
      </c>
      <c r="BG286">
        <f>IF(AK286&lt;BC286,1,0)</f>
        <v>0</v>
      </c>
      <c r="BH286">
        <f>VLOOKUP($B286,[1]Data_Peer_with_peerVars!$B$2:$Z$1050,20,FALSE)</f>
        <v>6</v>
      </c>
      <c r="BI286">
        <f>VLOOKUP($B286,[1]Data_Peer_with_peerVars!$B$2:$Z$1050,21,FALSE)</f>
        <v>4</v>
      </c>
      <c r="BJ286">
        <f>VLOOKUP($B286,[1]Data_Peer_with_peerVars!$B$2:$Z$1050,22,FALSE)</f>
        <v>0.66666666699999999</v>
      </c>
      <c r="BK286">
        <f>VLOOKUP($B286,[1]Data_Peer_with_peerVars!$B$2:$Z$1050,23,FALSE)</f>
        <v>24</v>
      </c>
      <c r="BL286">
        <f>VLOOKUP($B286,[1]Data_Peer_with_peerVars!$B$2:$Z$1050,24,FALSE)</f>
        <v>14</v>
      </c>
      <c r="BM286">
        <f>VLOOKUP($B286,[1]Data_Peer_with_peerVars!$B$2:$Z$1050,25,FALSE)</f>
        <v>0.58333333300000001</v>
      </c>
    </row>
    <row r="287" spans="1:65" x14ac:dyDescent="0.2">
      <c r="A287">
        <v>1</v>
      </c>
      <c r="B287" t="s">
        <v>519</v>
      </c>
      <c r="C287">
        <v>143</v>
      </c>
      <c r="D287" t="s">
        <v>68</v>
      </c>
      <c r="E287">
        <v>1</v>
      </c>
      <c r="F287">
        <v>408</v>
      </c>
      <c r="G287" t="s">
        <v>69</v>
      </c>
      <c r="H287" s="1">
        <v>5</v>
      </c>
      <c r="I287" t="s">
        <v>70</v>
      </c>
      <c r="J287" t="s">
        <v>71</v>
      </c>
      <c r="K287" t="s">
        <v>72</v>
      </c>
      <c r="L287">
        <v>1</v>
      </c>
      <c r="M287">
        <v>0</v>
      </c>
      <c r="N287">
        <v>1</v>
      </c>
      <c r="O287">
        <v>0</v>
      </c>
      <c r="P287">
        <v>1</v>
      </c>
      <c r="Q287">
        <v>6</v>
      </c>
      <c r="R287">
        <v>0</v>
      </c>
      <c r="S287">
        <v>0</v>
      </c>
      <c r="T287">
        <v>0</v>
      </c>
      <c r="U287">
        <v>0</v>
      </c>
      <c r="V287">
        <f t="shared" si="106"/>
        <v>1</v>
      </c>
      <c r="W287">
        <v>1</v>
      </c>
      <c r="X287">
        <v>1</v>
      </c>
      <c r="Y287">
        <v>1</v>
      </c>
      <c r="Z287" t="s">
        <v>103</v>
      </c>
      <c r="AA287" s="5" t="s">
        <v>103</v>
      </c>
      <c r="AB287" s="5" t="s">
        <v>103</v>
      </c>
      <c r="AC287" t="s">
        <v>103</v>
      </c>
      <c r="AD287" t="s">
        <v>101</v>
      </c>
      <c r="AE287" s="5" t="s">
        <v>101</v>
      </c>
      <c r="AF287" t="s">
        <v>99</v>
      </c>
      <c r="AG287" t="s">
        <v>137</v>
      </c>
      <c r="AH287">
        <f t="shared" si="118"/>
        <v>2.0936639999999999E-2</v>
      </c>
      <c r="AI287">
        <f t="shared" ref="AI287:AI288" si="120">AJ287</f>
        <v>2.0936639999999999E-2</v>
      </c>
      <c r="AJ287">
        <f t="shared" si="107"/>
        <v>2.0936639999999999E-2</v>
      </c>
      <c r="AK287">
        <v>2.0936639999999999E-2</v>
      </c>
      <c r="AL287">
        <v>7.7197804999999994E-2</v>
      </c>
      <c r="AM287">
        <v>0.111540586</v>
      </c>
      <c r="AN287">
        <v>0.13039912000000001</v>
      </c>
      <c r="AO287">
        <v>97.906335999999996</v>
      </c>
      <c r="AP287">
        <v>92.280219500000001</v>
      </c>
      <c r="AQ287">
        <v>88.845941400000001</v>
      </c>
      <c r="AR287">
        <v>86.960087999999999</v>
      </c>
      <c r="AS287" t="b">
        <v>1</v>
      </c>
      <c r="AT287" t="b">
        <v>0</v>
      </c>
      <c r="AU287" t="s">
        <v>77</v>
      </c>
      <c r="AV287" t="s">
        <v>77</v>
      </c>
      <c r="AW287" t="s">
        <v>79</v>
      </c>
      <c r="AX287" t="s">
        <v>233</v>
      </c>
      <c r="AY287" t="s">
        <v>516</v>
      </c>
      <c r="AZ287" t="s">
        <v>109</v>
      </c>
      <c r="BA287">
        <v>3</v>
      </c>
      <c r="BB287">
        <v>0.5</v>
      </c>
      <c r="BC287">
        <v>1.8406593999999998E-2</v>
      </c>
      <c r="BD287">
        <v>3.30705390234067E-4</v>
      </c>
      <c r="BE287">
        <v>1.8737299390234101E-2</v>
      </c>
      <c r="BF287">
        <f>IF(AK287&lt;BE287,1,0)</f>
        <v>0</v>
      </c>
      <c r="BG287">
        <f>IF(AK287&lt;BC287,1,0)</f>
        <v>0</v>
      </c>
      <c r="BH287">
        <f>VLOOKUP($B287,[1]Data_Peer_with_peerVars!$B$2:$Z$1050,20,FALSE)</f>
        <v>6</v>
      </c>
      <c r="BI287">
        <f>VLOOKUP($B287,[1]Data_Peer_with_peerVars!$B$2:$Z$1050,21,FALSE)</f>
        <v>4</v>
      </c>
      <c r="BJ287">
        <f>VLOOKUP($B287,[1]Data_Peer_with_peerVars!$B$2:$Z$1050,22,FALSE)</f>
        <v>0.66666666699999999</v>
      </c>
      <c r="BK287">
        <f>VLOOKUP($B287,[1]Data_Peer_with_peerVars!$B$2:$Z$1050,23,FALSE)</f>
        <v>24</v>
      </c>
      <c r="BL287">
        <f>VLOOKUP($B287,[1]Data_Peer_with_peerVars!$B$2:$Z$1050,24,FALSE)</f>
        <v>14</v>
      </c>
      <c r="BM287">
        <f>VLOOKUP($B287,[1]Data_Peer_with_peerVars!$B$2:$Z$1050,25,FALSE)</f>
        <v>0.58333333300000001</v>
      </c>
    </row>
    <row r="288" spans="1:65" x14ac:dyDescent="0.2">
      <c r="A288">
        <v>1</v>
      </c>
      <c r="B288" t="s">
        <v>520</v>
      </c>
      <c r="C288">
        <v>143</v>
      </c>
      <c r="D288" t="s">
        <v>68</v>
      </c>
      <c r="E288">
        <v>1</v>
      </c>
      <c r="F288">
        <v>408</v>
      </c>
      <c r="G288" t="s">
        <v>69</v>
      </c>
      <c r="H288" s="1">
        <v>5</v>
      </c>
      <c r="I288" t="s">
        <v>70</v>
      </c>
      <c r="J288" t="s">
        <v>71</v>
      </c>
      <c r="K288" t="s">
        <v>72</v>
      </c>
      <c r="L288">
        <v>1</v>
      </c>
      <c r="M288">
        <v>0</v>
      </c>
      <c r="N288">
        <v>1</v>
      </c>
      <c r="O288">
        <v>0</v>
      </c>
      <c r="P288">
        <v>1</v>
      </c>
      <c r="Q288">
        <v>6</v>
      </c>
      <c r="R288">
        <v>0</v>
      </c>
      <c r="S288">
        <v>0</v>
      </c>
      <c r="T288">
        <v>1</v>
      </c>
      <c r="U288">
        <v>1</v>
      </c>
      <c r="V288">
        <f t="shared" si="106"/>
        <v>1</v>
      </c>
      <c r="W288">
        <v>1</v>
      </c>
      <c r="X288">
        <v>1</v>
      </c>
      <c r="Y288">
        <v>1</v>
      </c>
      <c r="Z288" t="s">
        <v>73</v>
      </c>
      <c r="AA288" s="5" t="s">
        <v>73</v>
      </c>
      <c r="AB288" s="5" t="s">
        <v>73</v>
      </c>
      <c r="AC288" t="s">
        <v>73</v>
      </c>
      <c r="AD288" t="s">
        <v>94</v>
      </c>
      <c r="AE288" s="5" t="s">
        <v>106</v>
      </c>
      <c r="AF288" t="s">
        <v>107</v>
      </c>
      <c r="AG288" t="s">
        <v>95</v>
      </c>
      <c r="AH288">
        <f t="shared" si="118"/>
        <v>3.8230475000000002E-3</v>
      </c>
      <c r="AI288">
        <f t="shared" si="120"/>
        <v>3.8230475000000002E-3</v>
      </c>
      <c r="AJ288">
        <f t="shared" si="107"/>
        <v>3.8230475000000002E-3</v>
      </c>
      <c r="AK288">
        <v>3.8230475000000002E-3</v>
      </c>
      <c r="AL288">
        <v>0.13108921000000001</v>
      </c>
      <c r="AM288">
        <v>0.13611417000000001</v>
      </c>
      <c r="AN288">
        <v>0.13882804000000001</v>
      </c>
      <c r="AO288">
        <v>99.617695249999997</v>
      </c>
      <c r="AP288">
        <v>86.891079000000005</v>
      </c>
      <c r="AQ288">
        <v>86.388582999999997</v>
      </c>
      <c r="AR288">
        <v>86.117196000000007</v>
      </c>
      <c r="AS288" t="b">
        <v>1</v>
      </c>
      <c r="AT288" t="b">
        <v>0</v>
      </c>
      <c r="AU288" t="s">
        <v>77</v>
      </c>
      <c r="AV288" t="s">
        <v>108</v>
      </c>
      <c r="AW288" t="s">
        <v>79</v>
      </c>
      <c r="AX288" t="s">
        <v>233</v>
      </c>
      <c r="AY288" t="s">
        <v>516</v>
      </c>
      <c r="AZ288" t="s">
        <v>109</v>
      </c>
      <c r="BA288">
        <v>1</v>
      </c>
      <c r="BB288">
        <v>0.5</v>
      </c>
      <c r="BC288">
        <v>4.1163553999999996E-3</v>
      </c>
      <c r="BD288">
        <v>1.4279989108178799E-4</v>
      </c>
      <c r="BE288">
        <v>4.2591552910817903E-3</v>
      </c>
      <c r="BF288">
        <f>IF(AK288&lt;BE288,1,0)</f>
        <v>1</v>
      </c>
      <c r="BG288">
        <f>IF(AK288&lt;BC288,1,0)</f>
        <v>1</v>
      </c>
      <c r="BH288">
        <f>VLOOKUP($B288,[1]Data_Peer_with_peerVars!$B$2:$Z$1050,20,FALSE)</f>
        <v>6</v>
      </c>
      <c r="BI288">
        <f>VLOOKUP($B288,[1]Data_Peer_with_peerVars!$B$2:$Z$1050,21,FALSE)</f>
        <v>4</v>
      </c>
      <c r="BJ288">
        <f>VLOOKUP($B288,[1]Data_Peer_with_peerVars!$B$2:$Z$1050,22,FALSE)</f>
        <v>0.66666666699999999</v>
      </c>
      <c r="BK288">
        <f>VLOOKUP($B288,[1]Data_Peer_with_peerVars!$B$2:$Z$1050,23,FALSE)</f>
        <v>24</v>
      </c>
      <c r="BL288">
        <f>VLOOKUP($B288,[1]Data_Peer_with_peerVars!$B$2:$Z$1050,24,FALSE)</f>
        <v>14</v>
      </c>
      <c r="BM288">
        <f>VLOOKUP($B288,[1]Data_Peer_with_peerVars!$B$2:$Z$1050,25,FALSE)</f>
        <v>0.58333333300000001</v>
      </c>
    </row>
    <row r="289" spans="1:65" x14ac:dyDescent="0.2">
      <c r="A289">
        <v>1</v>
      </c>
      <c r="B289" t="s">
        <v>521</v>
      </c>
      <c r="C289">
        <v>144</v>
      </c>
      <c r="D289" t="s">
        <v>68</v>
      </c>
      <c r="E289">
        <v>1</v>
      </c>
      <c r="F289">
        <v>414</v>
      </c>
      <c r="G289" t="s">
        <v>69</v>
      </c>
      <c r="H289" s="1">
        <v>6</v>
      </c>
      <c r="I289" t="s">
        <v>70</v>
      </c>
      <c r="J289" t="s">
        <v>71</v>
      </c>
      <c r="K289" t="s">
        <v>109</v>
      </c>
      <c r="L289">
        <v>1</v>
      </c>
      <c r="M289">
        <v>0</v>
      </c>
      <c r="N289">
        <v>1</v>
      </c>
      <c r="O289">
        <v>0</v>
      </c>
      <c r="P289">
        <v>1</v>
      </c>
      <c r="Q289">
        <v>6</v>
      </c>
      <c r="R289">
        <v>0</v>
      </c>
      <c r="S289">
        <v>0</v>
      </c>
      <c r="T289">
        <v>0</v>
      </c>
      <c r="U289">
        <v>0</v>
      </c>
      <c r="V289">
        <f t="shared" si="106"/>
        <v>0</v>
      </c>
      <c r="W289">
        <f t="shared" si="108"/>
        <v>0</v>
      </c>
      <c r="X289">
        <f t="shared" si="109"/>
        <v>1</v>
      </c>
      <c r="Y289">
        <v>1</v>
      </c>
      <c r="Z289" t="s">
        <v>76</v>
      </c>
      <c r="AA289" s="5" t="s">
        <v>76</v>
      </c>
      <c r="AB289" s="5" t="s">
        <v>76</v>
      </c>
      <c r="AC289" t="s">
        <v>84</v>
      </c>
      <c r="AD289" t="s">
        <v>74</v>
      </c>
      <c r="AE289" s="5" t="s">
        <v>522</v>
      </c>
      <c r="AF289" t="s">
        <v>76</v>
      </c>
      <c r="AG289" t="s">
        <v>75</v>
      </c>
      <c r="AH289">
        <f t="shared" si="118"/>
        <v>0.11199779999999999</v>
      </c>
      <c r="AI289">
        <f>AM289</f>
        <v>0.11199779999999999</v>
      </c>
      <c r="AJ289">
        <f t="shared" si="107"/>
        <v>0.103152655</v>
      </c>
      <c r="AK289">
        <v>0.103152655</v>
      </c>
      <c r="AL289">
        <v>0.10871965</v>
      </c>
      <c r="AM289">
        <v>0.11199779999999999</v>
      </c>
      <c r="AN289">
        <v>0.13257994000000001</v>
      </c>
      <c r="AO289">
        <v>89.684734500000005</v>
      </c>
      <c r="AP289">
        <v>89.128034999999997</v>
      </c>
      <c r="AQ289">
        <v>88.800219999999996</v>
      </c>
      <c r="AR289">
        <v>86.742006000000003</v>
      </c>
      <c r="AS289" t="b">
        <v>0</v>
      </c>
      <c r="AT289" t="b">
        <v>0</v>
      </c>
      <c r="AU289" t="s">
        <v>108</v>
      </c>
      <c r="AV289" t="s">
        <v>108</v>
      </c>
      <c r="AW289" t="s">
        <v>79</v>
      </c>
      <c r="AX289" t="s">
        <v>233</v>
      </c>
      <c r="AY289" t="s">
        <v>523</v>
      </c>
      <c r="AZ289" t="s">
        <v>109</v>
      </c>
      <c r="BA289">
        <v>3</v>
      </c>
      <c r="BB289">
        <v>2</v>
      </c>
      <c r="BC289">
        <v>4.6780407000000003E-2</v>
      </c>
      <c r="BD289">
        <v>6.0749635341231199E-3</v>
      </c>
      <c r="BE289">
        <v>5.2855370534123099E-2</v>
      </c>
      <c r="BF289">
        <f>IF(AK289&lt;BE289,1,0)</f>
        <v>0</v>
      </c>
      <c r="BG289">
        <f>IF(AK289&lt;BC289,1,0)</f>
        <v>0</v>
      </c>
      <c r="BH289">
        <f>VLOOKUP($B289,[1]Data_Peer_with_peerVars!$B$2:$Z$1050,20,FALSE)</f>
        <v>6</v>
      </c>
      <c r="BI289">
        <f>VLOOKUP($B289,[1]Data_Peer_with_peerVars!$B$2:$Z$1050,21,FALSE)</f>
        <v>5</v>
      </c>
      <c r="BJ289">
        <f>VLOOKUP($B289,[1]Data_Peer_with_peerVars!$B$2:$Z$1050,22,FALSE)</f>
        <v>0.83333333300000001</v>
      </c>
      <c r="BK289">
        <f>VLOOKUP($B289,[1]Data_Peer_with_peerVars!$B$2:$Z$1050,23,FALSE)</f>
        <v>29</v>
      </c>
      <c r="BL289">
        <f>VLOOKUP($B289,[1]Data_Peer_with_peerVars!$B$2:$Z$1050,24,FALSE)</f>
        <v>21</v>
      </c>
      <c r="BM289">
        <f>VLOOKUP($B289,[1]Data_Peer_with_peerVars!$B$2:$Z$1050,25,FALSE)</f>
        <v>0.72413793100000001</v>
      </c>
    </row>
    <row r="290" spans="1:65" x14ac:dyDescent="0.2">
      <c r="A290">
        <v>1</v>
      </c>
      <c r="B290" t="s">
        <v>524</v>
      </c>
      <c r="C290">
        <v>144</v>
      </c>
      <c r="D290" t="s">
        <v>68</v>
      </c>
      <c r="E290">
        <v>1</v>
      </c>
      <c r="F290">
        <v>414</v>
      </c>
      <c r="G290" t="s">
        <v>69</v>
      </c>
      <c r="H290" s="1">
        <v>6</v>
      </c>
      <c r="I290" t="s">
        <v>70</v>
      </c>
      <c r="J290" t="s">
        <v>71</v>
      </c>
      <c r="K290" t="s">
        <v>109</v>
      </c>
      <c r="L290">
        <v>1</v>
      </c>
      <c r="M290">
        <v>0</v>
      </c>
      <c r="N290">
        <v>1</v>
      </c>
      <c r="O290">
        <v>0</v>
      </c>
      <c r="P290">
        <v>1</v>
      </c>
      <c r="Q290">
        <v>6</v>
      </c>
      <c r="R290">
        <v>0</v>
      </c>
      <c r="S290">
        <v>0</v>
      </c>
      <c r="T290">
        <v>0</v>
      </c>
      <c r="U290">
        <v>0</v>
      </c>
      <c r="V290">
        <f t="shared" si="106"/>
        <v>0</v>
      </c>
      <c r="W290">
        <f t="shared" si="108"/>
        <v>0</v>
      </c>
      <c r="X290">
        <f t="shared" si="109"/>
        <v>0</v>
      </c>
      <c r="Y290">
        <f t="shared" si="110"/>
        <v>0</v>
      </c>
      <c r="Z290" t="s">
        <v>170</v>
      </c>
      <c r="AA290" s="5" t="s">
        <v>170</v>
      </c>
      <c r="AB290" s="5" t="s">
        <v>525</v>
      </c>
      <c r="AC290" t="s">
        <v>103</v>
      </c>
      <c r="AD290" t="s">
        <v>101</v>
      </c>
      <c r="AE290" s="5" t="s">
        <v>101</v>
      </c>
      <c r="AF290" t="s">
        <v>99</v>
      </c>
      <c r="AG290" t="s">
        <v>113</v>
      </c>
      <c r="AH290">
        <f t="shared" ref="AH290:AH295" si="121">AI290</f>
        <v>7.3619634000000003E-2</v>
      </c>
      <c r="AI290">
        <f t="shared" ref="AI290:AI295" si="122">AJ290</f>
        <v>7.3619634000000003E-2</v>
      </c>
      <c r="AJ290">
        <f t="shared" si="107"/>
        <v>7.3619634000000003E-2</v>
      </c>
      <c r="AK290">
        <v>7.3619634000000003E-2</v>
      </c>
      <c r="AL290">
        <v>8.6944445999999995E-2</v>
      </c>
      <c r="AM290">
        <v>9.9609375E-2</v>
      </c>
      <c r="AN290">
        <v>0.12931034</v>
      </c>
      <c r="AO290">
        <v>92.638036600000007</v>
      </c>
      <c r="AP290">
        <v>91.305555400000003</v>
      </c>
      <c r="AQ290">
        <v>90.0390625</v>
      </c>
      <c r="AR290">
        <v>87.068966000000003</v>
      </c>
      <c r="AS290" t="b">
        <v>0</v>
      </c>
      <c r="AT290" t="b">
        <v>0</v>
      </c>
      <c r="AU290" t="s">
        <v>92</v>
      </c>
      <c r="AV290" t="s">
        <v>92</v>
      </c>
      <c r="AW290" t="s">
        <v>79</v>
      </c>
      <c r="AX290" t="s">
        <v>233</v>
      </c>
      <c r="AY290" t="s">
        <v>526</v>
      </c>
      <c r="AZ290" t="s">
        <v>109</v>
      </c>
      <c r="BA290">
        <v>30</v>
      </c>
      <c r="BB290">
        <v>0.25</v>
      </c>
      <c r="BC290">
        <v>1.8406593999999998E-2</v>
      </c>
      <c r="BD290">
        <v>3.30705390234067E-4</v>
      </c>
      <c r="BE290">
        <v>1.8737299390234101E-2</v>
      </c>
      <c r="BF290">
        <f>IF(AK290&lt;BE290,1,0)</f>
        <v>0</v>
      </c>
      <c r="BG290">
        <f>IF(AK290&lt;BC290,1,0)</f>
        <v>0</v>
      </c>
      <c r="BH290">
        <f>VLOOKUP($B290,[1]Data_Peer_with_peerVars!$B$2:$Z$1050,20,FALSE)</f>
        <v>6</v>
      </c>
      <c r="BI290">
        <f>VLOOKUP($B290,[1]Data_Peer_with_peerVars!$B$2:$Z$1050,21,FALSE)</f>
        <v>5</v>
      </c>
      <c r="BJ290">
        <f>VLOOKUP($B290,[1]Data_Peer_with_peerVars!$B$2:$Z$1050,22,FALSE)</f>
        <v>0.83333333300000001</v>
      </c>
      <c r="BK290">
        <f>VLOOKUP($B290,[1]Data_Peer_with_peerVars!$B$2:$Z$1050,23,FALSE)</f>
        <v>29</v>
      </c>
      <c r="BL290">
        <f>VLOOKUP($B290,[1]Data_Peer_with_peerVars!$B$2:$Z$1050,24,FALSE)</f>
        <v>21</v>
      </c>
      <c r="BM290">
        <f>VLOOKUP($B290,[1]Data_Peer_with_peerVars!$B$2:$Z$1050,25,FALSE)</f>
        <v>0.72413793100000001</v>
      </c>
    </row>
    <row r="291" spans="1:65" x14ac:dyDescent="0.2">
      <c r="A291">
        <v>1</v>
      </c>
      <c r="B291" t="s">
        <v>527</v>
      </c>
      <c r="C291">
        <v>145</v>
      </c>
      <c r="D291" t="s">
        <v>68</v>
      </c>
      <c r="E291">
        <v>1</v>
      </c>
      <c r="F291">
        <v>438</v>
      </c>
      <c r="G291" t="s">
        <v>86</v>
      </c>
      <c r="H291" s="1">
        <v>3</v>
      </c>
      <c r="I291" t="s">
        <v>70</v>
      </c>
      <c r="J291" t="s">
        <v>71</v>
      </c>
      <c r="K291" t="s">
        <v>109</v>
      </c>
      <c r="L291">
        <v>1</v>
      </c>
      <c r="M291">
        <v>0</v>
      </c>
      <c r="N291">
        <v>0</v>
      </c>
      <c r="O291">
        <v>0</v>
      </c>
      <c r="P291">
        <v>1</v>
      </c>
      <c r="Q291">
        <v>6</v>
      </c>
      <c r="R291">
        <v>0</v>
      </c>
      <c r="S291">
        <v>0</v>
      </c>
      <c r="T291">
        <v>0</v>
      </c>
      <c r="U291">
        <v>0</v>
      </c>
      <c r="V291">
        <f t="shared" si="106"/>
        <v>0</v>
      </c>
      <c r="W291">
        <f t="shared" si="108"/>
        <v>0</v>
      </c>
      <c r="X291">
        <f t="shared" si="109"/>
        <v>0</v>
      </c>
      <c r="Y291">
        <f t="shared" si="110"/>
        <v>0</v>
      </c>
      <c r="Z291" t="s">
        <v>76</v>
      </c>
      <c r="AA291" s="5" t="s">
        <v>76</v>
      </c>
      <c r="AB291" s="5" t="s">
        <v>76</v>
      </c>
      <c r="AC291" t="s">
        <v>73</v>
      </c>
      <c r="AD291" t="s">
        <v>94</v>
      </c>
      <c r="AE291" s="5" t="s">
        <v>94</v>
      </c>
      <c r="AF291" t="s">
        <v>75</v>
      </c>
      <c r="AG291" t="s">
        <v>95</v>
      </c>
      <c r="AH291">
        <f t="shared" si="121"/>
        <v>6.6922659999999995E-2</v>
      </c>
      <c r="AI291">
        <f t="shared" si="122"/>
        <v>6.6922659999999995E-2</v>
      </c>
      <c r="AJ291">
        <f t="shared" si="107"/>
        <v>6.6922659999999995E-2</v>
      </c>
      <c r="AK291">
        <v>6.6922659999999995E-2</v>
      </c>
      <c r="AL291">
        <v>0.11779241999999999</v>
      </c>
      <c r="AM291">
        <v>0.12905887999999999</v>
      </c>
      <c r="AN291">
        <v>0.14101155000000001</v>
      </c>
      <c r="AO291">
        <v>93.307733999999996</v>
      </c>
      <c r="AP291">
        <v>88.220758000000004</v>
      </c>
      <c r="AQ291">
        <v>87.094111999999996</v>
      </c>
      <c r="AR291">
        <v>85.898844999999994</v>
      </c>
      <c r="AS291" t="b">
        <v>0</v>
      </c>
      <c r="AT291" t="b">
        <v>0</v>
      </c>
      <c r="AU291" t="s">
        <v>77</v>
      </c>
      <c r="AV291" t="s">
        <v>78</v>
      </c>
      <c r="AW291" t="s">
        <v>79</v>
      </c>
      <c r="AX291" t="s">
        <v>233</v>
      </c>
      <c r="AY291" t="s">
        <v>516</v>
      </c>
      <c r="AZ291" t="s">
        <v>109</v>
      </c>
      <c r="BA291">
        <v>4</v>
      </c>
      <c r="BB291">
        <v>3</v>
      </c>
      <c r="BC291">
        <v>4.1163553999999996E-3</v>
      </c>
      <c r="BD291">
        <v>1.4279989108178799E-4</v>
      </c>
      <c r="BE291">
        <v>4.2591552910817903E-3</v>
      </c>
      <c r="BF291">
        <f>IF(AK291&lt;BE291,1,0)</f>
        <v>0</v>
      </c>
      <c r="BG291">
        <f>IF(AK291&lt;BC291,1,0)</f>
        <v>0</v>
      </c>
      <c r="BH291">
        <f>VLOOKUP($B291,[1]Data_Peer_with_peerVars!$B$2:$Z$1050,20,FALSE)</f>
        <v>3</v>
      </c>
      <c r="BI291">
        <f>VLOOKUP($B291,[1]Data_Peer_with_peerVars!$B$2:$Z$1050,21,FALSE)</f>
        <v>3</v>
      </c>
      <c r="BJ291">
        <f>VLOOKUP($B291,[1]Data_Peer_with_peerVars!$B$2:$Z$1050,22,FALSE)</f>
        <v>1</v>
      </c>
      <c r="BK291">
        <f>VLOOKUP($B291,[1]Data_Peer_with_peerVars!$B$2:$Z$1050,23,FALSE)</f>
        <v>20</v>
      </c>
      <c r="BL291">
        <f>VLOOKUP($B291,[1]Data_Peer_with_peerVars!$B$2:$Z$1050,24,FALSE)</f>
        <v>14</v>
      </c>
      <c r="BM291">
        <f>VLOOKUP($B291,[1]Data_Peer_with_peerVars!$B$2:$Z$1050,25,FALSE)</f>
        <v>0.7</v>
      </c>
    </row>
    <row r="292" spans="1:65" x14ac:dyDescent="0.2">
      <c r="A292">
        <v>1</v>
      </c>
      <c r="B292" t="s">
        <v>528</v>
      </c>
      <c r="C292">
        <v>146</v>
      </c>
      <c r="D292" t="s">
        <v>68</v>
      </c>
      <c r="E292">
        <v>1</v>
      </c>
      <c r="F292">
        <v>442</v>
      </c>
      <c r="G292" t="s">
        <v>86</v>
      </c>
      <c r="H292" s="1">
        <v>6</v>
      </c>
      <c r="I292" t="s">
        <v>70</v>
      </c>
      <c r="J292" t="s">
        <v>71</v>
      </c>
      <c r="K292" t="s">
        <v>109</v>
      </c>
      <c r="L292">
        <v>1</v>
      </c>
      <c r="M292">
        <v>0</v>
      </c>
      <c r="N292">
        <v>1</v>
      </c>
      <c r="O292">
        <v>0</v>
      </c>
      <c r="P292">
        <v>1</v>
      </c>
      <c r="Q292">
        <v>8</v>
      </c>
      <c r="R292">
        <v>0</v>
      </c>
      <c r="S292">
        <v>0</v>
      </c>
      <c r="T292">
        <v>0</v>
      </c>
      <c r="U292">
        <v>0</v>
      </c>
      <c r="V292">
        <f t="shared" si="106"/>
        <v>0</v>
      </c>
      <c r="W292">
        <f t="shared" si="108"/>
        <v>0</v>
      </c>
      <c r="X292">
        <f t="shared" si="109"/>
        <v>0</v>
      </c>
      <c r="Y292">
        <f t="shared" si="110"/>
        <v>0</v>
      </c>
      <c r="Z292" t="s">
        <v>177</v>
      </c>
      <c r="AA292" s="5" t="s">
        <v>170</v>
      </c>
      <c r="AB292" s="5" t="s">
        <v>529</v>
      </c>
      <c r="AC292" t="s">
        <v>74</v>
      </c>
      <c r="AD292" t="s">
        <v>76</v>
      </c>
      <c r="AE292" s="5" t="s">
        <v>76</v>
      </c>
      <c r="AF292" t="s">
        <v>84</v>
      </c>
      <c r="AG292" t="s">
        <v>75</v>
      </c>
      <c r="AH292">
        <f t="shared" si="121"/>
        <v>7.1900829999999999E-2</v>
      </c>
      <c r="AI292">
        <f t="shared" si="122"/>
        <v>7.1900829999999999E-2</v>
      </c>
      <c r="AJ292">
        <f t="shared" si="107"/>
        <v>7.1900829999999999E-2</v>
      </c>
      <c r="AK292">
        <v>7.1900829999999999E-2</v>
      </c>
      <c r="AL292">
        <v>7.2762220000000002E-2</v>
      </c>
      <c r="AM292">
        <v>0.10810810999999999</v>
      </c>
      <c r="AN292">
        <v>0.11276127399999999</v>
      </c>
      <c r="AO292">
        <v>92.809916999999999</v>
      </c>
      <c r="AP292">
        <v>92.723777999999996</v>
      </c>
      <c r="AQ292">
        <v>89.189188999999999</v>
      </c>
      <c r="AR292">
        <v>88.723872600000007</v>
      </c>
      <c r="AS292" t="b">
        <v>0</v>
      </c>
      <c r="AT292" t="b">
        <v>0</v>
      </c>
      <c r="AU292" t="s">
        <v>92</v>
      </c>
      <c r="AV292" t="s">
        <v>92</v>
      </c>
      <c r="AW292" t="s">
        <v>79</v>
      </c>
      <c r="AX292" t="s">
        <v>233</v>
      </c>
      <c r="AY292" t="s">
        <v>523</v>
      </c>
      <c r="AZ292" t="s">
        <v>109</v>
      </c>
      <c r="BA292">
        <v>2</v>
      </c>
      <c r="BB292">
        <v>0.5</v>
      </c>
      <c r="BC292">
        <v>2.4738868000000001E-3</v>
      </c>
      <c r="BD292">
        <v>1.4256942275279999E-4</v>
      </c>
      <c r="BE292">
        <v>2.6164562227527998E-3</v>
      </c>
      <c r="BF292">
        <f>IF(AK292&lt;BE292,1,0)</f>
        <v>0</v>
      </c>
      <c r="BG292">
        <f>IF(AK292&lt;BC292,1,0)</f>
        <v>0</v>
      </c>
      <c r="BH292">
        <f>VLOOKUP($B292,[1]Data_Peer_with_peerVars!$B$2:$Z$1050,20,FALSE)</f>
        <v>2</v>
      </c>
      <c r="BI292">
        <f>VLOOKUP($B292,[1]Data_Peer_with_peerVars!$B$2:$Z$1050,21,FALSE)</f>
        <v>0</v>
      </c>
      <c r="BJ292">
        <f>VLOOKUP($B292,[1]Data_Peer_with_peerVars!$B$2:$Z$1050,22,FALSE)</f>
        <v>0</v>
      </c>
      <c r="BK292">
        <f>VLOOKUP($B292,[1]Data_Peer_with_peerVars!$B$2:$Z$1050,23,FALSE)</f>
        <v>42</v>
      </c>
      <c r="BL292">
        <f>VLOOKUP($B292,[1]Data_Peer_with_peerVars!$B$2:$Z$1050,24,FALSE)</f>
        <v>29</v>
      </c>
      <c r="BM292">
        <f>VLOOKUP($B292,[1]Data_Peer_with_peerVars!$B$2:$Z$1050,25,FALSE)</f>
        <v>0.69047619000000005</v>
      </c>
    </row>
    <row r="293" spans="1:65" x14ac:dyDescent="0.2">
      <c r="A293">
        <v>1</v>
      </c>
      <c r="B293" t="s">
        <v>530</v>
      </c>
      <c r="C293">
        <v>146</v>
      </c>
      <c r="D293" t="s">
        <v>68</v>
      </c>
      <c r="E293">
        <v>1</v>
      </c>
      <c r="F293">
        <v>442</v>
      </c>
      <c r="G293" t="s">
        <v>86</v>
      </c>
      <c r="H293" s="1">
        <v>6</v>
      </c>
      <c r="I293" t="s">
        <v>70</v>
      </c>
      <c r="J293" t="s">
        <v>71</v>
      </c>
      <c r="K293" t="s">
        <v>109</v>
      </c>
      <c r="L293">
        <v>1</v>
      </c>
      <c r="M293">
        <v>0</v>
      </c>
      <c r="N293">
        <v>1</v>
      </c>
      <c r="O293">
        <v>0</v>
      </c>
      <c r="P293">
        <v>1</v>
      </c>
      <c r="Q293">
        <v>8</v>
      </c>
      <c r="R293">
        <v>0</v>
      </c>
      <c r="S293">
        <v>0</v>
      </c>
      <c r="T293">
        <v>0</v>
      </c>
      <c r="U293">
        <v>0</v>
      </c>
      <c r="V293">
        <f t="shared" si="106"/>
        <v>1</v>
      </c>
      <c r="W293">
        <v>1</v>
      </c>
      <c r="X293">
        <v>1</v>
      </c>
      <c r="Y293">
        <v>1</v>
      </c>
      <c r="Z293" t="s">
        <v>84</v>
      </c>
      <c r="AA293" s="5" t="s">
        <v>84</v>
      </c>
      <c r="AB293" s="5" t="s">
        <v>84</v>
      </c>
      <c r="AC293" t="s">
        <v>84</v>
      </c>
      <c r="AD293" t="s">
        <v>113</v>
      </c>
      <c r="AE293" s="5" t="s">
        <v>113</v>
      </c>
      <c r="AF293" t="s">
        <v>114</v>
      </c>
      <c r="AG293" t="s">
        <v>76</v>
      </c>
      <c r="AH293">
        <f t="shared" si="121"/>
        <v>6.4017660000000004E-2</v>
      </c>
      <c r="AI293">
        <f t="shared" si="122"/>
        <v>6.4017660000000004E-2</v>
      </c>
      <c r="AJ293">
        <f t="shared" si="107"/>
        <v>6.4017660000000004E-2</v>
      </c>
      <c r="AK293">
        <v>6.4017660000000004E-2</v>
      </c>
      <c r="AL293">
        <v>0.12182321</v>
      </c>
      <c r="AM293">
        <v>0.1406164</v>
      </c>
      <c r="AN293">
        <v>0.14163915999999999</v>
      </c>
      <c r="AO293">
        <v>93.598234000000005</v>
      </c>
      <c r="AP293">
        <v>87.817678999999998</v>
      </c>
      <c r="AQ293">
        <v>85.938360000000003</v>
      </c>
      <c r="AR293">
        <v>85.836084</v>
      </c>
      <c r="AS293" t="b">
        <v>1</v>
      </c>
      <c r="AT293" t="b">
        <v>0</v>
      </c>
      <c r="AU293" t="s">
        <v>77</v>
      </c>
      <c r="AV293" t="s">
        <v>78</v>
      </c>
      <c r="AW293" t="s">
        <v>79</v>
      </c>
      <c r="AX293" t="s">
        <v>233</v>
      </c>
      <c r="AY293" t="s">
        <v>526</v>
      </c>
      <c r="AZ293" t="s">
        <v>109</v>
      </c>
      <c r="BA293">
        <v>2</v>
      </c>
      <c r="BB293">
        <v>1.5</v>
      </c>
      <c r="BC293">
        <v>4.6780407000000003E-2</v>
      </c>
      <c r="BD293">
        <v>6.0749635341231199E-3</v>
      </c>
      <c r="BE293">
        <v>5.2855370534123099E-2</v>
      </c>
      <c r="BF293">
        <f>IF(AK293&lt;BE293,1,0)</f>
        <v>0</v>
      </c>
      <c r="BG293">
        <f>IF(AK293&lt;BC293,1,0)</f>
        <v>0</v>
      </c>
      <c r="BH293">
        <f>VLOOKUP($B293,[1]Data_Peer_with_peerVars!$B$2:$Z$1050,20,FALSE)</f>
        <v>2</v>
      </c>
      <c r="BI293">
        <f>VLOOKUP($B293,[1]Data_Peer_with_peerVars!$B$2:$Z$1050,21,FALSE)</f>
        <v>0</v>
      </c>
      <c r="BJ293">
        <f>VLOOKUP($B293,[1]Data_Peer_with_peerVars!$B$2:$Z$1050,22,FALSE)</f>
        <v>0</v>
      </c>
      <c r="BK293">
        <f>VLOOKUP($B293,[1]Data_Peer_with_peerVars!$B$2:$Z$1050,23,FALSE)</f>
        <v>42</v>
      </c>
      <c r="BL293">
        <f>VLOOKUP($B293,[1]Data_Peer_with_peerVars!$B$2:$Z$1050,24,FALSE)</f>
        <v>29</v>
      </c>
      <c r="BM293">
        <f>VLOOKUP($B293,[1]Data_Peer_with_peerVars!$B$2:$Z$1050,25,FALSE)</f>
        <v>0.69047619000000005</v>
      </c>
    </row>
    <row r="294" spans="1:65" x14ac:dyDescent="0.2">
      <c r="A294">
        <v>1</v>
      </c>
      <c r="B294" t="s">
        <v>531</v>
      </c>
      <c r="C294">
        <v>147</v>
      </c>
      <c r="D294" t="s">
        <v>68</v>
      </c>
      <c r="E294">
        <v>0</v>
      </c>
      <c r="F294">
        <v>411</v>
      </c>
      <c r="G294" t="s">
        <v>119</v>
      </c>
      <c r="H294" s="1">
        <v>6</v>
      </c>
      <c r="I294" t="s">
        <v>87</v>
      </c>
      <c r="J294" t="s">
        <v>111</v>
      </c>
      <c r="K294" t="s">
        <v>109</v>
      </c>
      <c r="L294">
        <v>1</v>
      </c>
      <c r="M294">
        <v>1</v>
      </c>
      <c r="N294">
        <v>0</v>
      </c>
      <c r="O294">
        <v>0</v>
      </c>
      <c r="P294">
        <v>1</v>
      </c>
      <c r="Q294">
        <v>6</v>
      </c>
      <c r="R294">
        <v>0</v>
      </c>
      <c r="S294">
        <v>0</v>
      </c>
      <c r="T294">
        <v>0</v>
      </c>
      <c r="U294">
        <v>0</v>
      </c>
      <c r="V294">
        <f t="shared" si="106"/>
        <v>1</v>
      </c>
      <c r="W294">
        <v>1</v>
      </c>
      <c r="X294">
        <v>1</v>
      </c>
      <c r="Y294">
        <v>1</v>
      </c>
      <c r="Z294" t="s">
        <v>76</v>
      </c>
      <c r="AA294" s="5" t="s">
        <v>76</v>
      </c>
      <c r="AB294" s="5" t="s">
        <v>76</v>
      </c>
      <c r="AC294" t="s">
        <v>76</v>
      </c>
      <c r="AD294" t="s">
        <v>74</v>
      </c>
      <c r="AE294" s="5" t="s">
        <v>74</v>
      </c>
      <c r="AF294" t="s">
        <v>120</v>
      </c>
      <c r="AG294" t="s">
        <v>75</v>
      </c>
      <c r="AH294">
        <f t="shared" si="121"/>
        <v>7.7280169999999995E-2</v>
      </c>
      <c r="AI294">
        <f t="shared" si="122"/>
        <v>7.7280169999999995E-2</v>
      </c>
      <c r="AJ294">
        <f t="shared" si="107"/>
        <v>7.7280169999999995E-2</v>
      </c>
      <c r="AK294">
        <v>7.7280169999999995E-2</v>
      </c>
      <c r="AL294">
        <v>9.5890409999999995E-2</v>
      </c>
      <c r="AM294">
        <v>0.12124522</v>
      </c>
      <c r="AN294">
        <v>0.12253828999999999</v>
      </c>
      <c r="AO294">
        <v>92.271983000000006</v>
      </c>
      <c r="AP294">
        <v>90.410959000000005</v>
      </c>
      <c r="AQ294">
        <v>87.875478000000001</v>
      </c>
      <c r="AR294">
        <v>87.746171000000004</v>
      </c>
      <c r="AS294" t="b">
        <v>1</v>
      </c>
      <c r="AT294" t="b">
        <v>0</v>
      </c>
      <c r="AU294" t="s">
        <v>77</v>
      </c>
      <c r="AV294" t="s">
        <v>77</v>
      </c>
      <c r="AW294" t="s">
        <v>79</v>
      </c>
      <c r="AX294" t="s">
        <v>233</v>
      </c>
      <c r="AY294" t="s">
        <v>523</v>
      </c>
      <c r="AZ294" t="s">
        <v>109</v>
      </c>
      <c r="BA294">
        <v>2</v>
      </c>
      <c r="BB294">
        <v>6</v>
      </c>
      <c r="BC294">
        <v>7.7070764999999999E-2</v>
      </c>
      <c r="BD294">
        <v>1.90190515067399E-3</v>
      </c>
      <c r="BE294">
        <v>7.8972670150673996E-2</v>
      </c>
      <c r="BF294">
        <f>IF(AK294&lt;BE294,1,0)</f>
        <v>1</v>
      </c>
      <c r="BG294">
        <f>IF(AK294&lt;BC294,1,0)</f>
        <v>0</v>
      </c>
      <c r="BH294">
        <f>VLOOKUP($B294,[1]Data_Peer_with_peerVars!$B$2:$Z$1050,20,FALSE)</f>
        <v>10</v>
      </c>
      <c r="BI294">
        <f>VLOOKUP($B294,[1]Data_Peer_with_peerVars!$B$2:$Z$1050,21,FALSE)</f>
        <v>7</v>
      </c>
      <c r="BJ294">
        <f>VLOOKUP($B294,[1]Data_Peer_with_peerVars!$B$2:$Z$1050,22,FALSE)</f>
        <v>0.7</v>
      </c>
      <c r="BK294">
        <f>VLOOKUP($B294,[1]Data_Peer_with_peerVars!$B$2:$Z$1050,23,FALSE)</f>
        <v>26</v>
      </c>
      <c r="BL294">
        <f>VLOOKUP($B294,[1]Data_Peer_with_peerVars!$B$2:$Z$1050,24,FALSE)</f>
        <v>16</v>
      </c>
      <c r="BM294">
        <f>VLOOKUP($B294,[1]Data_Peer_with_peerVars!$B$2:$Z$1050,25,FALSE)</f>
        <v>0.61538461499999997</v>
      </c>
    </row>
    <row r="295" spans="1:65" x14ac:dyDescent="0.2">
      <c r="A295">
        <v>1</v>
      </c>
      <c r="B295" t="s">
        <v>532</v>
      </c>
      <c r="C295">
        <v>148</v>
      </c>
      <c r="D295" t="s">
        <v>68</v>
      </c>
      <c r="E295">
        <v>0</v>
      </c>
      <c r="F295">
        <v>413</v>
      </c>
      <c r="G295" t="s">
        <v>97</v>
      </c>
      <c r="H295" s="1">
        <v>5</v>
      </c>
      <c r="I295" t="s">
        <v>70</v>
      </c>
      <c r="J295" t="s">
        <v>71</v>
      </c>
      <c r="K295" t="s">
        <v>109</v>
      </c>
      <c r="L295">
        <v>1</v>
      </c>
      <c r="M295">
        <v>0</v>
      </c>
      <c r="N295">
        <v>1</v>
      </c>
      <c r="O295">
        <v>0</v>
      </c>
      <c r="P295">
        <v>1</v>
      </c>
      <c r="Q295">
        <v>6</v>
      </c>
      <c r="R295">
        <v>0</v>
      </c>
      <c r="S295">
        <v>0</v>
      </c>
      <c r="T295">
        <v>0</v>
      </c>
      <c r="U295">
        <v>0</v>
      </c>
      <c r="V295">
        <f t="shared" si="106"/>
        <v>1</v>
      </c>
      <c r="W295">
        <v>1</v>
      </c>
      <c r="X295">
        <v>1</v>
      </c>
      <c r="Y295">
        <v>1</v>
      </c>
      <c r="Z295" t="s">
        <v>76</v>
      </c>
      <c r="AA295" s="5" t="s">
        <v>76</v>
      </c>
      <c r="AB295" s="5" t="s">
        <v>76</v>
      </c>
      <c r="AC295" t="s">
        <v>76</v>
      </c>
      <c r="AD295" t="s">
        <v>74</v>
      </c>
      <c r="AE295" s="5" t="s">
        <v>74</v>
      </c>
      <c r="AF295" t="s">
        <v>75</v>
      </c>
      <c r="AG295" t="s">
        <v>120</v>
      </c>
      <c r="AH295">
        <f t="shared" si="121"/>
        <v>7.4590160000000003E-2</v>
      </c>
      <c r="AI295">
        <f t="shared" si="122"/>
        <v>7.4590160000000003E-2</v>
      </c>
      <c r="AJ295">
        <f t="shared" si="107"/>
        <v>7.4590160000000003E-2</v>
      </c>
      <c r="AK295">
        <v>7.4590160000000003E-2</v>
      </c>
      <c r="AL295">
        <v>9.5394740000000006E-2</v>
      </c>
      <c r="AM295">
        <v>0.121784344</v>
      </c>
      <c r="AN295">
        <v>0.12185792600000001</v>
      </c>
      <c r="AO295">
        <v>92.540983999999995</v>
      </c>
      <c r="AP295">
        <v>90.460526000000002</v>
      </c>
      <c r="AQ295">
        <v>87.8215656</v>
      </c>
      <c r="AR295">
        <v>87.814207400000001</v>
      </c>
      <c r="AS295" t="b">
        <v>1</v>
      </c>
      <c r="AT295" t="b">
        <v>0</v>
      </c>
      <c r="AU295" t="s">
        <v>77</v>
      </c>
      <c r="AV295" t="s">
        <v>77</v>
      </c>
      <c r="AW295" t="s">
        <v>79</v>
      </c>
      <c r="AX295" t="s">
        <v>233</v>
      </c>
      <c r="AY295" t="s">
        <v>526</v>
      </c>
      <c r="AZ295" t="s">
        <v>109</v>
      </c>
      <c r="BA295">
        <v>2</v>
      </c>
      <c r="BB295">
        <v>3</v>
      </c>
      <c r="BC295">
        <v>7.7070764999999999E-2</v>
      </c>
      <c r="BD295">
        <v>1.90190515067399E-3</v>
      </c>
      <c r="BE295">
        <v>7.8972670150673996E-2</v>
      </c>
      <c r="BF295">
        <f>IF(AK295&lt;BE295,1,0)</f>
        <v>1</v>
      </c>
      <c r="BG295">
        <f>IF(AK295&lt;BC295,1,0)</f>
        <v>1</v>
      </c>
      <c r="BH295">
        <f>VLOOKUP($B295,[1]Data_Peer_with_peerVars!$B$2:$Z$1050,20,FALSE)</f>
        <v>7</v>
      </c>
      <c r="BI295">
        <f>VLOOKUP($B295,[1]Data_Peer_with_peerVars!$B$2:$Z$1050,21,FALSE)</f>
        <v>4</v>
      </c>
      <c r="BJ295">
        <f>VLOOKUP($B295,[1]Data_Peer_with_peerVars!$B$2:$Z$1050,22,FALSE)</f>
        <v>0.571428571</v>
      </c>
      <c r="BK295">
        <f>VLOOKUP($B295,[1]Data_Peer_with_peerVars!$B$2:$Z$1050,23,FALSE)</f>
        <v>28</v>
      </c>
      <c r="BL295">
        <f>VLOOKUP($B295,[1]Data_Peer_with_peerVars!$B$2:$Z$1050,24,FALSE)</f>
        <v>18</v>
      </c>
      <c r="BM295">
        <f>VLOOKUP($B295,[1]Data_Peer_with_peerVars!$B$2:$Z$1050,25,FALSE)</f>
        <v>0.64285714299999996</v>
      </c>
    </row>
    <row r="296" spans="1:65" x14ac:dyDescent="0.2">
      <c r="A296">
        <v>1</v>
      </c>
      <c r="B296" t="s">
        <v>533</v>
      </c>
      <c r="C296">
        <v>149</v>
      </c>
      <c r="D296" t="s">
        <v>68</v>
      </c>
      <c r="E296">
        <v>0</v>
      </c>
      <c r="F296">
        <v>436</v>
      </c>
      <c r="G296" t="s">
        <v>97</v>
      </c>
      <c r="H296" s="1">
        <v>4.3333333333333304</v>
      </c>
      <c r="I296" t="s">
        <v>70</v>
      </c>
      <c r="J296" t="s">
        <v>71</v>
      </c>
      <c r="K296" t="s">
        <v>72</v>
      </c>
      <c r="L296">
        <v>1</v>
      </c>
      <c r="M296">
        <v>0</v>
      </c>
      <c r="N296">
        <v>1</v>
      </c>
      <c r="O296">
        <v>0</v>
      </c>
      <c r="P296">
        <v>0</v>
      </c>
      <c r="Q296">
        <v>2</v>
      </c>
      <c r="R296">
        <v>1</v>
      </c>
      <c r="S296">
        <v>1</v>
      </c>
      <c r="T296">
        <v>1</v>
      </c>
      <c r="U296">
        <v>1</v>
      </c>
      <c r="V296">
        <f t="shared" si="106"/>
        <v>0</v>
      </c>
      <c r="W296">
        <f t="shared" si="108"/>
        <v>0</v>
      </c>
      <c r="X296">
        <f t="shared" si="109"/>
        <v>0</v>
      </c>
      <c r="Y296">
        <f t="shared" si="110"/>
        <v>0</v>
      </c>
      <c r="Z296" t="s">
        <v>177</v>
      </c>
      <c r="AA296" s="5" t="s">
        <v>107</v>
      </c>
      <c r="AB296" s="5" t="s">
        <v>107</v>
      </c>
      <c r="AC296" t="s">
        <v>107</v>
      </c>
      <c r="AD296" t="s">
        <v>95</v>
      </c>
      <c r="AE296" s="5" t="s">
        <v>95</v>
      </c>
      <c r="AF296" t="s">
        <v>173</v>
      </c>
      <c r="AG296" t="s">
        <v>174</v>
      </c>
      <c r="AH296">
        <f>AI296</f>
        <v>3.5890409999999998E-2</v>
      </c>
      <c r="AI296">
        <f t="shared" ref="AI296:AI297" si="123">AJ296</f>
        <v>3.5890409999999998E-2</v>
      </c>
      <c r="AJ296">
        <f t="shared" si="107"/>
        <v>3.5890409999999998E-2</v>
      </c>
      <c r="AK296">
        <v>3.5890409999999998E-2</v>
      </c>
      <c r="AL296">
        <v>9.0038313999999994E-2</v>
      </c>
      <c r="AM296">
        <v>0.10655737999999999</v>
      </c>
      <c r="AN296">
        <v>0.109742746</v>
      </c>
      <c r="AO296">
        <v>96.410959000000005</v>
      </c>
      <c r="AP296">
        <v>90.996168600000004</v>
      </c>
      <c r="AQ296">
        <v>89.344262000000001</v>
      </c>
      <c r="AR296">
        <v>89.025725399999999</v>
      </c>
      <c r="AS296" t="b">
        <v>1</v>
      </c>
      <c r="AT296" t="b">
        <v>0</v>
      </c>
      <c r="AU296" t="s">
        <v>77</v>
      </c>
      <c r="AV296" t="s">
        <v>77</v>
      </c>
      <c r="AW296" t="s">
        <v>79</v>
      </c>
      <c r="AX296" t="s">
        <v>233</v>
      </c>
      <c r="AY296" t="s">
        <v>526</v>
      </c>
      <c r="AZ296" t="s">
        <v>72</v>
      </c>
      <c r="BA296" t="s">
        <v>82</v>
      </c>
      <c r="BB296">
        <v>0.35</v>
      </c>
      <c r="BC296">
        <v>2.6475456000000001E-2</v>
      </c>
      <c r="BD296">
        <v>8.8330364056477401E-3</v>
      </c>
      <c r="BE296">
        <v>3.53084924056477E-2</v>
      </c>
      <c r="BF296">
        <f>IF(AK296&lt;BE296,1,0)</f>
        <v>0</v>
      </c>
      <c r="BG296">
        <f>IF(AK296&lt;BC296,1,0)</f>
        <v>0</v>
      </c>
      <c r="BH296">
        <f>VLOOKUP($B296,[1]Data_Peer_with_peerVars!$B$2:$Z$1050,20,FALSE)</f>
        <v>8</v>
      </c>
      <c r="BI296">
        <f>VLOOKUP($B296,[1]Data_Peer_with_peerVars!$B$2:$Z$1050,21,FALSE)</f>
        <v>6</v>
      </c>
      <c r="BJ296">
        <f>VLOOKUP($B296,[1]Data_Peer_with_peerVars!$B$2:$Z$1050,22,FALSE)</f>
        <v>0.75</v>
      </c>
      <c r="BK296">
        <f>VLOOKUP($B296,[1]Data_Peer_with_peerVars!$B$2:$Z$1050,23,FALSE)</f>
        <v>24</v>
      </c>
      <c r="BL296">
        <f>VLOOKUP($B296,[1]Data_Peer_with_peerVars!$B$2:$Z$1050,24,FALSE)</f>
        <v>15</v>
      </c>
      <c r="BM296">
        <f>VLOOKUP($B296,[1]Data_Peer_with_peerVars!$B$2:$Z$1050,25,FALSE)</f>
        <v>0.625</v>
      </c>
    </row>
    <row r="297" spans="1:65" x14ac:dyDescent="0.2">
      <c r="A297">
        <v>1</v>
      </c>
      <c r="B297" t="s">
        <v>534</v>
      </c>
      <c r="C297">
        <v>149</v>
      </c>
      <c r="D297" t="s">
        <v>68</v>
      </c>
      <c r="E297">
        <v>0</v>
      </c>
      <c r="F297">
        <v>436</v>
      </c>
      <c r="G297" t="s">
        <v>97</v>
      </c>
      <c r="H297" s="1">
        <v>4.3333333333333304</v>
      </c>
      <c r="I297" t="s">
        <v>70</v>
      </c>
      <c r="J297" t="s">
        <v>71</v>
      </c>
      <c r="K297" t="s">
        <v>72</v>
      </c>
      <c r="L297">
        <v>1</v>
      </c>
      <c r="M297">
        <v>0</v>
      </c>
      <c r="N297">
        <v>1</v>
      </c>
      <c r="O297">
        <v>0</v>
      </c>
      <c r="P297">
        <v>0</v>
      </c>
      <c r="Q297">
        <v>2</v>
      </c>
      <c r="R297">
        <v>0</v>
      </c>
      <c r="S297">
        <v>0</v>
      </c>
      <c r="T297">
        <v>0</v>
      </c>
      <c r="U297">
        <v>0</v>
      </c>
      <c r="V297">
        <f t="shared" si="106"/>
        <v>0</v>
      </c>
      <c r="W297">
        <f t="shared" si="108"/>
        <v>1</v>
      </c>
      <c r="X297">
        <v>1</v>
      </c>
      <c r="Y297">
        <v>1</v>
      </c>
      <c r="Z297" t="s">
        <v>76</v>
      </c>
      <c r="AA297" s="5" t="s">
        <v>76</v>
      </c>
      <c r="AB297" s="5" t="s">
        <v>76</v>
      </c>
      <c r="AC297" t="s">
        <v>74</v>
      </c>
      <c r="AD297" t="s">
        <v>76</v>
      </c>
      <c r="AE297" s="5" t="s">
        <v>76</v>
      </c>
      <c r="AF297" t="s">
        <v>75</v>
      </c>
      <c r="AG297" t="s">
        <v>84</v>
      </c>
      <c r="AH297">
        <f t="shared" ref="AH297:AH298" si="124">AI297</f>
        <v>7.0491806000000004E-2</v>
      </c>
      <c r="AI297">
        <f t="shared" si="123"/>
        <v>7.0491806000000004E-2</v>
      </c>
      <c r="AJ297">
        <f>AL297</f>
        <v>7.0491806000000004E-2</v>
      </c>
      <c r="AK297">
        <v>6.7160084999999994E-2</v>
      </c>
      <c r="AL297">
        <v>7.0491806000000004E-2</v>
      </c>
      <c r="AM297">
        <v>0.10782704</v>
      </c>
      <c r="AN297">
        <v>0.10873146</v>
      </c>
      <c r="AO297">
        <v>93.283991499999999</v>
      </c>
      <c r="AP297">
        <v>92.9508194</v>
      </c>
      <c r="AQ297">
        <v>89.217296000000005</v>
      </c>
      <c r="AR297">
        <v>89.126853999999994</v>
      </c>
      <c r="AS297" t="b">
        <v>0</v>
      </c>
      <c r="AT297" t="b">
        <v>1</v>
      </c>
      <c r="AU297" t="s">
        <v>77</v>
      </c>
      <c r="AV297" t="s">
        <v>77</v>
      </c>
      <c r="AW297" t="s">
        <v>79</v>
      </c>
      <c r="AX297" t="s">
        <v>233</v>
      </c>
      <c r="AY297" t="s">
        <v>523</v>
      </c>
      <c r="AZ297" t="s">
        <v>72</v>
      </c>
      <c r="BA297" t="s">
        <v>82</v>
      </c>
      <c r="BB297">
        <v>1.75</v>
      </c>
      <c r="BC297">
        <v>2.4738868000000001E-3</v>
      </c>
      <c r="BD297">
        <v>1.4256942275279999E-4</v>
      </c>
      <c r="BE297">
        <v>2.6164562227527998E-3</v>
      </c>
      <c r="BF297">
        <f>IF(AK297&lt;BE297,1,0)</f>
        <v>0</v>
      </c>
      <c r="BG297">
        <f>IF(AK297&lt;BC297,1,0)</f>
        <v>0</v>
      </c>
      <c r="BH297">
        <f>VLOOKUP($B297,[1]Data_Peer_with_peerVars!$B$2:$Z$1050,20,FALSE)</f>
        <v>8</v>
      </c>
      <c r="BI297">
        <f>VLOOKUP($B297,[1]Data_Peer_with_peerVars!$B$2:$Z$1050,21,FALSE)</f>
        <v>6</v>
      </c>
      <c r="BJ297">
        <f>VLOOKUP($B297,[1]Data_Peer_with_peerVars!$B$2:$Z$1050,22,FALSE)</f>
        <v>0.75</v>
      </c>
      <c r="BK297">
        <f>VLOOKUP($B297,[1]Data_Peer_with_peerVars!$B$2:$Z$1050,23,FALSE)</f>
        <v>24</v>
      </c>
      <c r="BL297">
        <f>VLOOKUP($B297,[1]Data_Peer_with_peerVars!$B$2:$Z$1050,24,FALSE)</f>
        <v>15</v>
      </c>
      <c r="BM297">
        <f>VLOOKUP($B297,[1]Data_Peer_with_peerVars!$B$2:$Z$1050,25,FALSE)</f>
        <v>0.625</v>
      </c>
    </row>
    <row r="298" spans="1:65" x14ac:dyDescent="0.2">
      <c r="A298">
        <v>1</v>
      </c>
      <c r="B298" t="s">
        <v>535</v>
      </c>
      <c r="C298">
        <v>149</v>
      </c>
      <c r="D298" t="s">
        <v>68</v>
      </c>
      <c r="E298">
        <v>0</v>
      </c>
      <c r="F298">
        <v>436</v>
      </c>
      <c r="G298" t="s">
        <v>97</v>
      </c>
      <c r="H298" s="1">
        <v>4.3333333333333304</v>
      </c>
      <c r="I298" t="s">
        <v>70</v>
      </c>
      <c r="J298" t="s">
        <v>71</v>
      </c>
      <c r="K298" t="s">
        <v>72</v>
      </c>
      <c r="L298">
        <v>1</v>
      </c>
      <c r="M298">
        <v>0</v>
      </c>
      <c r="N298">
        <v>1</v>
      </c>
      <c r="O298">
        <v>0</v>
      </c>
      <c r="P298">
        <v>0</v>
      </c>
      <c r="Q298">
        <v>2</v>
      </c>
      <c r="R298">
        <v>0</v>
      </c>
      <c r="S298">
        <v>0</v>
      </c>
      <c r="T298">
        <v>0</v>
      </c>
      <c r="U298">
        <v>0</v>
      </c>
      <c r="V298">
        <f t="shared" si="106"/>
        <v>1</v>
      </c>
      <c r="W298">
        <v>1</v>
      </c>
      <c r="X298">
        <v>1</v>
      </c>
      <c r="Y298">
        <v>1</v>
      </c>
      <c r="Z298" t="s">
        <v>103</v>
      </c>
      <c r="AA298" s="5" t="s">
        <v>103</v>
      </c>
      <c r="AB298" s="5" t="s">
        <v>103</v>
      </c>
      <c r="AC298" t="s">
        <v>103</v>
      </c>
      <c r="AD298" t="s">
        <v>101</v>
      </c>
      <c r="AE298" s="5" t="s">
        <v>101</v>
      </c>
      <c r="AF298" t="s">
        <v>99</v>
      </c>
      <c r="AG298" t="s">
        <v>137</v>
      </c>
      <c r="AH298">
        <f t="shared" si="124"/>
        <v>1.6822944999999999E-2</v>
      </c>
      <c r="AI298">
        <f>AJ298</f>
        <v>1.6822944999999999E-2</v>
      </c>
      <c r="AJ298">
        <f t="shared" si="107"/>
        <v>1.6822944999999999E-2</v>
      </c>
      <c r="AK298">
        <v>1.6822944999999999E-2</v>
      </c>
      <c r="AL298">
        <v>7.8889500000000001E-2</v>
      </c>
      <c r="AM298">
        <v>0.10994474999999999</v>
      </c>
      <c r="AN298">
        <v>0.12547944</v>
      </c>
      <c r="AO298">
        <v>98.317705500000002</v>
      </c>
      <c r="AP298">
        <v>92.111050000000006</v>
      </c>
      <c r="AQ298">
        <v>89.005525000000006</v>
      </c>
      <c r="AR298">
        <v>87.452055999999999</v>
      </c>
      <c r="AS298" t="b">
        <v>1</v>
      </c>
      <c r="AT298" t="b">
        <v>0</v>
      </c>
      <c r="AU298" t="s">
        <v>77</v>
      </c>
      <c r="AV298" t="s">
        <v>77</v>
      </c>
      <c r="AW298" t="s">
        <v>79</v>
      </c>
      <c r="AX298" t="s">
        <v>233</v>
      </c>
      <c r="AY298" t="s">
        <v>526</v>
      </c>
      <c r="AZ298" t="s">
        <v>109</v>
      </c>
      <c r="BA298">
        <v>4</v>
      </c>
      <c r="BB298">
        <v>0.35</v>
      </c>
      <c r="BC298">
        <v>1.8406593999999998E-2</v>
      </c>
      <c r="BD298">
        <v>3.30705390234067E-4</v>
      </c>
      <c r="BE298">
        <v>1.8737299390234101E-2</v>
      </c>
      <c r="BF298">
        <f>IF(AK298&lt;BE298,1,0)</f>
        <v>1</v>
      </c>
      <c r="BG298">
        <f>IF(AK298&lt;BC298,1,0)</f>
        <v>1</v>
      </c>
      <c r="BH298">
        <f>VLOOKUP($B298,[1]Data_Peer_with_peerVars!$B$2:$Z$1050,20,FALSE)</f>
        <v>8</v>
      </c>
      <c r="BI298">
        <f>VLOOKUP($B298,[1]Data_Peer_with_peerVars!$B$2:$Z$1050,21,FALSE)</f>
        <v>6</v>
      </c>
      <c r="BJ298">
        <f>VLOOKUP($B298,[1]Data_Peer_with_peerVars!$B$2:$Z$1050,22,FALSE)</f>
        <v>0.75</v>
      </c>
      <c r="BK298">
        <f>VLOOKUP($B298,[1]Data_Peer_with_peerVars!$B$2:$Z$1050,23,FALSE)</f>
        <v>24</v>
      </c>
      <c r="BL298">
        <f>VLOOKUP($B298,[1]Data_Peer_with_peerVars!$B$2:$Z$1050,24,FALSE)</f>
        <v>15</v>
      </c>
      <c r="BM298">
        <f>VLOOKUP($B298,[1]Data_Peer_with_peerVars!$B$2:$Z$1050,25,FALSE)</f>
        <v>0.625</v>
      </c>
    </row>
    <row r="299" spans="1:65" x14ac:dyDescent="0.2">
      <c r="A299">
        <v>1</v>
      </c>
      <c r="B299" t="s">
        <v>536</v>
      </c>
      <c r="C299">
        <v>150</v>
      </c>
      <c r="D299" t="s">
        <v>68</v>
      </c>
      <c r="E299">
        <v>0</v>
      </c>
      <c r="F299">
        <v>437</v>
      </c>
      <c r="G299" t="s">
        <v>97</v>
      </c>
      <c r="H299" s="1">
        <v>6</v>
      </c>
      <c r="I299" t="s">
        <v>87</v>
      </c>
      <c r="J299" t="s">
        <v>111</v>
      </c>
      <c r="K299" t="s">
        <v>109</v>
      </c>
      <c r="L299">
        <v>1</v>
      </c>
      <c r="M299">
        <v>0</v>
      </c>
      <c r="N299">
        <v>1</v>
      </c>
      <c r="O299">
        <v>0</v>
      </c>
      <c r="P299">
        <v>1</v>
      </c>
      <c r="Q299">
        <v>6</v>
      </c>
      <c r="R299">
        <v>0</v>
      </c>
      <c r="S299">
        <v>0</v>
      </c>
      <c r="T299">
        <v>0</v>
      </c>
      <c r="U299">
        <v>0</v>
      </c>
      <c r="V299">
        <f t="shared" si="106"/>
        <v>0</v>
      </c>
      <c r="W299">
        <f t="shared" si="108"/>
        <v>0</v>
      </c>
      <c r="X299">
        <f t="shared" si="109"/>
        <v>0</v>
      </c>
      <c r="Y299">
        <f t="shared" si="110"/>
        <v>0</v>
      </c>
      <c r="Z299" t="s">
        <v>98</v>
      </c>
      <c r="AA299" s="5" t="s">
        <v>537</v>
      </c>
      <c r="AB299" s="5" t="s">
        <v>538</v>
      </c>
      <c r="AC299" t="s">
        <v>103</v>
      </c>
      <c r="AD299" t="s">
        <v>101</v>
      </c>
      <c r="AE299" s="5" t="s">
        <v>101</v>
      </c>
      <c r="AF299" t="s">
        <v>137</v>
      </c>
      <c r="AG299" t="s">
        <v>99</v>
      </c>
      <c r="AH299">
        <f t="shared" ref="AH299:AH301" si="125">AI299</f>
        <v>0.10421286</v>
      </c>
      <c r="AI299">
        <f t="shared" ref="AI299:AI301" si="126">AJ299</f>
        <v>0.10421286</v>
      </c>
      <c r="AJ299">
        <f t="shared" si="107"/>
        <v>0.10421286</v>
      </c>
      <c r="AK299">
        <v>0.10421286</v>
      </c>
      <c r="AL299">
        <v>0.11374931000000001</v>
      </c>
      <c r="AM299">
        <v>0.11758242000000001</v>
      </c>
      <c r="AN299">
        <v>0.12132964</v>
      </c>
      <c r="AO299">
        <v>89.578714000000005</v>
      </c>
      <c r="AP299">
        <v>88.625068999999996</v>
      </c>
      <c r="AQ299">
        <v>88.241758000000004</v>
      </c>
      <c r="AR299">
        <v>87.867035999999999</v>
      </c>
      <c r="AS299" t="b">
        <v>0</v>
      </c>
      <c r="AT299" t="b">
        <v>0</v>
      </c>
      <c r="AU299" t="s">
        <v>92</v>
      </c>
      <c r="AV299" t="s">
        <v>92</v>
      </c>
      <c r="AW299" t="s">
        <v>79</v>
      </c>
      <c r="AX299" t="s">
        <v>233</v>
      </c>
      <c r="AY299" t="s">
        <v>526</v>
      </c>
      <c r="AZ299" t="s">
        <v>109</v>
      </c>
      <c r="BA299">
        <v>30</v>
      </c>
      <c r="BB299">
        <v>0.5</v>
      </c>
      <c r="BC299">
        <v>1.8406593999999998E-2</v>
      </c>
      <c r="BD299">
        <v>3.30705390234067E-4</v>
      </c>
      <c r="BE299">
        <v>1.8737299390234101E-2</v>
      </c>
      <c r="BF299">
        <f>IF(AK299&lt;BE299,1,0)</f>
        <v>0</v>
      </c>
      <c r="BG299">
        <f>IF(AK299&lt;BC299,1,0)</f>
        <v>0</v>
      </c>
      <c r="BH299">
        <f>VLOOKUP($B299,[1]Data_Peer_with_peerVars!$B$2:$Z$1050,20,FALSE)</f>
        <v>2</v>
      </c>
      <c r="BI299">
        <f>VLOOKUP($B299,[1]Data_Peer_with_peerVars!$B$2:$Z$1050,21,FALSE)</f>
        <v>1</v>
      </c>
      <c r="BJ299">
        <f>VLOOKUP($B299,[1]Data_Peer_with_peerVars!$B$2:$Z$1050,22,FALSE)</f>
        <v>0.5</v>
      </c>
      <c r="BK299">
        <f>VLOOKUP($B299,[1]Data_Peer_with_peerVars!$B$2:$Z$1050,23,FALSE)</f>
        <v>42</v>
      </c>
      <c r="BL299">
        <f>VLOOKUP($B299,[1]Data_Peer_with_peerVars!$B$2:$Z$1050,24,FALSE)</f>
        <v>30</v>
      </c>
      <c r="BM299">
        <f>VLOOKUP($B299,[1]Data_Peer_with_peerVars!$B$2:$Z$1050,25,FALSE)</f>
        <v>0.71428571399999996</v>
      </c>
    </row>
    <row r="300" spans="1:65" x14ac:dyDescent="0.2">
      <c r="A300">
        <v>1</v>
      </c>
      <c r="B300" t="s">
        <v>539</v>
      </c>
      <c r="C300">
        <v>150</v>
      </c>
      <c r="D300" t="s">
        <v>68</v>
      </c>
      <c r="E300">
        <v>0</v>
      </c>
      <c r="F300">
        <v>437</v>
      </c>
      <c r="G300" t="s">
        <v>97</v>
      </c>
      <c r="H300" s="1">
        <v>6</v>
      </c>
      <c r="I300" t="s">
        <v>87</v>
      </c>
      <c r="J300" t="s">
        <v>111</v>
      </c>
      <c r="K300" t="s">
        <v>109</v>
      </c>
      <c r="L300">
        <v>1</v>
      </c>
      <c r="M300">
        <v>0</v>
      </c>
      <c r="N300">
        <v>1</v>
      </c>
      <c r="O300">
        <v>0</v>
      </c>
      <c r="P300">
        <v>1</v>
      </c>
      <c r="Q300">
        <v>6</v>
      </c>
      <c r="R300">
        <v>1</v>
      </c>
      <c r="S300">
        <v>1</v>
      </c>
      <c r="T300">
        <v>1</v>
      </c>
      <c r="U300">
        <v>1</v>
      </c>
      <c r="V300">
        <f t="shared" si="106"/>
        <v>0</v>
      </c>
      <c r="W300">
        <f t="shared" si="108"/>
        <v>0</v>
      </c>
      <c r="X300">
        <f t="shared" si="109"/>
        <v>0</v>
      </c>
      <c r="Y300">
        <f t="shared" si="110"/>
        <v>0</v>
      </c>
      <c r="Z300" t="s">
        <v>177</v>
      </c>
      <c r="AA300" s="5" t="s">
        <v>107</v>
      </c>
      <c r="AB300" s="5" t="s">
        <v>107</v>
      </c>
      <c r="AC300" t="s">
        <v>107</v>
      </c>
      <c r="AD300" t="s">
        <v>95</v>
      </c>
      <c r="AE300" s="5" t="s">
        <v>95</v>
      </c>
      <c r="AF300" t="s">
        <v>173</v>
      </c>
      <c r="AG300" t="s">
        <v>174</v>
      </c>
      <c r="AH300">
        <f t="shared" si="125"/>
        <v>8.8105719999999992E-3</v>
      </c>
      <c r="AI300">
        <f t="shared" si="126"/>
        <v>8.8105719999999992E-3</v>
      </c>
      <c r="AJ300">
        <f t="shared" si="107"/>
        <v>8.8105719999999992E-3</v>
      </c>
      <c r="AK300">
        <v>8.8105719999999992E-3</v>
      </c>
      <c r="AL300">
        <v>7.7367839999999993E-2</v>
      </c>
      <c r="AM300">
        <v>9.3956046000000001E-2</v>
      </c>
      <c r="AN300">
        <v>9.801762E-2</v>
      </c>
      <c r="AO300">
        <v>99.118942799999999</v>
      </c>
      <c r="AP300">
        <v>92.263216</v>
      </c>
      <c r="AQ300">
        <v>90.604395400000001</v>
      </c>
      <c r="AR300">
        <v>90.198238000000003</v>
      </c>
      <c r="AS300" t="b">
        <v>1</v>
      </c>
      <c r="AT300" t="b">
        <v>0</v>
      </c>
      <c r="AU300" t="s">
        <v>77</v>
      </c>
      <c r="AV300" t="s">
        <v>77</v>
      </c>
      <c r="AW300" t="s">
        <v>79</v>
      </c>
      <c r="AX300" t="s">
        <v>233</v>
      </c>
      <c r="AY300" t="s">
        <v>523</v>
      </c>
      <c r="AZ300" t="s">
        <v>72</v>
      </c>
      <c r="BA300" t="s">
        <v>82</v>
      </c>
      <c r="BB300">
        <v>0.5</v>
      </c>
      <c r="BC300">
        <v>2.6475456000000001E-2</v>
      </c>
      <c r="BD300">
        <v>8.8330364056477401E-3</v>
      </c>
      <c r="BE300">
        <v>3.53084924056477E-2</v>
      </c>
      <c r="BF300">
        <f>IF(AK300&lt;BE300,1,0)</f>
        <v>1</v>
      </c>
      <c r="BG300">
        <f>IF(AK300&lt;BC300,1,0)</f>
        <v>1</v>
      </c>
      <c r="BH300">
        <f>VLOOKUP($B300,[1]Data_Peer_with_peerVars!$B$2:$Z$1050,20,FALSE)</f>
        <v>2</v>
      </c>
      <c r="BI300">
        <f>VLOOKUP($B300,[1]Data_Peer_with_peerVars!$B$2:$Z$1050,21,FALSE)</f>
        <v>1</v>
      </c>
      <c r="BJ300">
        <f>VLOOKUP($B300,[1]Data_Peer_with_peerVars!$B$2:$Z$1050,22,FALSE)</f>
        <v>0.5</v>
      </c>
      <c r="BK300">
        <f>VLOOKUP($B300,[1]Data_Peer_with_peerVars!$B$2:$Z$1050,23,FALSE)</f>
        <v>42</v>
      </c>
      <c r="BL300">
        <f>VLOOKUP($B300,[1]Data_Peer_with_peerVars!$B$2:$Z$1050,24,FALSE)</f>
        <v>30</v>
      </c>
      <c r="BM300">
        <f>VLOOKUP($B300,[1]Data_Peer_with_peerVars!$B$2:$Z$1050,25,FALSE)</f>
        <v>0.71428571399999996</v>
      </c>
    </row>
    <row r="301" spans="1:65" x14ac:dyDescent="0.2">
      <c r="A301">
        <v>1</v>
      </c>
      <c r="B301" t="s">
        <v>540</v>
      </c>
      <c r="C301">
        <v>151</v>
      </c>
      <c r="D301" t="s">
        <v>68</v>
      </c>
      <c r="E301">
        <v>0</v>
      </c>
      <c r="F301">
        <v>440</v>
      </c>
      <c r="G301" t="s">
        <v>97</v>
      </c>
      <c r="H301" s="1">
        <v>6</v>
      </c>
      <c r="I301" t="s">
        <v>87</v>
      </c>
      <c r="J301" t="s">
        <v>111</v>
      </c>
      <c r="K301" t="s">
        <v>72</v>
      </c>
      <c r="L301">
        <v>1</v>
      </c>
      <c r="M301">
        <v>0</v>
      </c>
      <c r="N301">
        <v>1</v>
      </c>
      <c r="O301">
        <v>0</v>
      </c>
      <c r="P301">
        <v>1</v>
      </c>
      <c r="Q301">
        <v>6</v>
      </c>
      <c r="R301">
        <v>1</v>
      </c>
      <c r="S301">
        <v>1</v>
      </c>
      <c r="T301">
        <v>1</v>
      </c>
      <c r="U301">
        <v>1</v>
      </c>
      <c r="V301">
        <f t="shared" si="106"/>
        <v>0</v>
      </c>
      <c r="W301">
        <f t="shared" si="108"/>
        <v>0</v>
      </c>
      <c r="X301">
        <f t="shared" si="109"/>
        <v>0</v>
      </c>
      <c r="Y301">
        <f t="shared" si="110"/>
        <v>0</v>
      </c>
      <c r="Z301" t="s">
        <v>177</v>
      </c>
      <c r="AA301" s="5" t="s">
        <v>174</v>
      </c>
      <c r="AB301" s="5" t="s">
        <v>541</v>
      </c>
      <c r="AC301" t="s">
        <v>174</v>
      </c>
      <c r="AD301" t="s">
        <v>173</v>
      </c>
      <c r="AE301" s="5" t="s">
        <v>506</v>
      </c>
      <c r="AF301" t="s">
        <v>198</v>
      </c>
      <c r="AG301" t="s">
        <v>95</v>
      </c>
      <c r="AH301">
        <f t="shared" si="125"/>
        <v>8.5305450000000005E-3</v>
      </c>
      <c r="AI301">
        <f t="shared" si="126"/>
        <v>8.5305450000000005E-3</v>
      </c>
      <c r="AJ301">
        <f t="shared" si="107"/>
        <v>8.5305450000000005E-3</v>
      </c>
      <c r="AK301">
        <v>8.5305450000000005E-3</v>
      </c>
      <c r="AL301">
        <v>3.2692310000000002E-2</v>
      </c>
      <c r="AM301">
        <v>3.4511319999999998E-2</v>
      </c>
      <c r="AN301">
        <v>5.5066080000000003E-2</v>
      </c>
      <c r="AO301">
        <v>99.146945500000001</v>
      </c>
      <c r="AP301">
        <v>96.730768999999995</v>
      </c>
      <c r="AQ301">
        <v>96.548867999999999</v>
      </c>
      <c r="AR301">
        <v>94.493392</v>
      </c>
      <c r="AS301" t="b">
        <v>0</v>
      </c>
      <c r="AT301" t="b">
        <v>0</v>
      </c>
      <c r="AU301" t="s">
        <v>77</v>
      </c>
      <c r="AV301" t="s">
        <v>108</v>
      </c>
      <c r="AW301" t="s">
        <v>79</v>
      </c>
      <c r="AX301" t="s">
        <v>233</v>
      </c>
      <c r="AY301" t="s">
        <v>542</v>
      </c>
      <c r="AZ301" t="s">
        <v>72</v>
      </c>
      <c r="BA301" t="s">
        <v>82</v>
      </c>
      <c r="BB301">
        <v>1.5</v>
      </c>
      <c r="BC301">
        <v>6.6481995999999998E-3</v>
      </c>
      <c r="BD301">
        <v>2.8322716361753601E-4</v>
      </c>
      <c r="BE301">
        <v>6.9314267636175399E-3</v>
      </c>
      <c r="BF301">
        <f>IF(AK301&lt;BE301,1,0)</f>
        <v>0</v>
      </c>
      <c r="BG301">
        <f>IF(AK301&lt;BC301,1,0)</f>
        <v>0</v>
      </c>
      <c r="BH301">
        <f>VLOOKUP($B301,[1]Data_Peer_with_peerVars!$B$2:$Z$1050,20,FALSE)</f>
        <v>3</v>
      </c>
      <c r="BI301">
        <f>VLOOKUP($B301,[1]Data_Peer_with_peerVars!$B$2:$Z$1050,21,FALSE)</f>
        <v>2</v>
      </c>
      <c r="BJ301">
        <f>VLOOKUP($B301,[1]Data_Peer_with_peerVars!$B$2:$Z$1050,22,FALSE)</f>
        <v>0.66666666699999999</v>
      </c>
      <c r="BK301">
        <f>VLOOKUP($B301,[1]Data_Peer_with_peerVars!$B$2:$Z$1050,23,FALSE)</f>
        <v>24</v>
      </c>
      <c r="BL301">
        <f>VLOOKUP($B301,[1]Data_Peer_with_peerVars!$B$2:$Z$1050,24,FALSE)</f>
        <v>16</v>
      </c>
      <c r="BM301">
        <f>VLOOKUP($B301,[1]Data_Peer_with_peerVars!$B$2:$Z$1050,25,FALSE)</f>
        <v>0.66666666699999999</v>
      </c>
    </row>
    <row r="302" spans="1:65" x14ac:dyDescent="0.2">
      <c r="A302">
        <v>1</v>
      </c>
      <c r="B302" t="s">
        <v>543</v>
      </c>
      <c r="C302">
        <v>151</v>
      </c>
      <c r="D302" t="s">
        <v>68</v>
      </c>
      <c r="E302">
        <v>0</v>
      </c>
      <c r="F302">
        <v>440</v>
      </c>
      <c r="G302" t="s">
        <v>97</v>
      </c>
      <c r="H302" s="1">
        <v>6</v>
      </c>
      <c r="I302" t="s">
        <v>87</v>
      </c>
      <c r="J302" t="s">
        <v>111</v>
      </c>
      <c r="K302" t="s">
        <v>72</v>
      </c>
      <c r="L302">
        <v>1</v>
      </c>
      <c r="M302">
        <v>0</v>
      </c>
      <c r="N302">
        <v>1</v>
      </c>
      <c r="O302">
        <v>0</v>
      </c>
      <c r="P302">
        <v>1</v>
      </c>
      <c r="Q302">
        <v>6</v>
      </c>
      <c r="R302">
        <v>0</v>
      </c>
      <c r="S302">
        <v>0</v>
      </c>
      <c r="T302">
        <v>0</v>
      </c>
      <c r="U302">
        <v>0</v>
      </c>
      <c r="V302">
        <f t="shared" si="106"/>
        <v>1</v>
      </c>
      <c r="W302">
        <v>1</v>
      </c>
      <c r="X302">
        <v>1</v>
      </c>
      <c r="Y302">
        <v>1</v>
      </c>
      <c r="Z302" t="s">
        <v>73</v>
      </c>
      <c r="AA302" s="5" t="s">
        <v>73</v>
      </c>
      <c r="AB302" s="5" t="s">
        <v>458</v>
      </c>
      <c r="AC302" t="s">
        <v>73</v>
      </c>
      <c r="AD302" t="s">
        <v>94</v>
      </c>
      <c r="AE302" s="5" t="s">
        <v>94</v>
      </c>
      <c r="AF302" t="s">
        <v>75</v>
      </c>
      <c r="AG302" t="s">
        <v>95</v>
      </c>
      <c r="AH302">
        <f>AI302</f>
        <v>5.8484349999999997E-2</v>
      </c>
      <c r="AI302">
        <f>AJ302</f>
        <v>5.8484349999999997E-2</v>
      </c>
      <c r="AJ302">
        <f t="shared" si="107"/>
        <v>5.8484349999999997E-2</v>
      </c>
      <c r="AK302">
        <v>5.8484349999999997E-2</v>
      </c>
      <c r="AL302">
        <v>0.11929632</v>
      </c>
      <c r="AM302">
        <v>0.12920110000000001</v>
      </c>
      <c r="AN302">
        <v>0.14281783000000001</v>
      </c>
      <c r="AO302">
        <v>94.151565000000005</v>
      </c>
      <c r="AP302">
        <v>88.070368000000002</v>
      </c>
      <c r="AQ302">
        <v>87.079890000000006</v>
      </c>
      <c r="AR302">
        <v>85.718216999999996</v>
      </c>
      <c r="AS302" t="b">
        <v>1</v>
      </c>
      <c r="AT302" t="b">
        <v>0</v>
      </c>
      <c r="AU302" t="s">
        <v>77</v>
      </c>
      <c r="AV302" t="s">
        <v>78</v>
      </c>
      <c r="AW302" t="s">
        <v>79</v>
      </c>
      <c r="AX302" t="s">
        <v>233</v>
      </c>
      <c r="AY302" t="s">
        <v>542</v>
      </c>
      <c r="AZ302" t="s">
        <v>109</v>
      </c>
      <c r="BA302">
        <v>3</v>
      </c>
      <c r="BB302">
        <v>1</v>
      </c>
      <c r="BC302">
        <v>4.1163553999999996E-3</v>
      </c>
      <c r="BD302">
        <v>1.4279989108178799E-4</v>
      </c>
      <c r="BE302">
        <v>4.2591552910817903E-3</v>
      </c>
      <c r="BF302">
        <f>IF(AK302&lt;BE302,1,0)</f>
        <v>0</v>
      </c>
      <c r="BG302">
        <f>IF(AK302&lt;BC302,1,0)</f>
        <v>0</v>
      </c>
      <c r="BH302">
        <f>VLOOKUP($B302,[1]Data_Peer_with_peerVars!$B$2:$Z$1050,20,FALSE)</f>
        <v>3</v>
      </c>
      <c r="BI302">
        <f>VLOOKUP($B302,[1]Data_Peer_with_peerVars!$B$2:$Z$1050,21,FALSE)</f>
        <v>2</v>
      </c>
      <c r="BJ302">
        <f>VLOOKUP($B302,[1]Data_Peer_with_peerVars!$B$2:$Z$1050,22,FALSE)</f>
        <v>0.66666666699999999</v>
      </c>
      <c r="BK302">
        <f>VLOOKUP($B302,[1]Data_Peer_with_peerVars!$B$2:$Z$1050,23,FALSE)</f>
        <v>24</v>
      </c>
      <c r="BL302">
        <f>VLOOKUP($B302,[1]Data_Peer_with_peerVars!$B$2:$Z$1050,24,FALSE)</f>
        <v>16</v>
      </c>
      <c r="BM302">
        <f>VLOOKUP($B302,[1]Data_Peer_with_peerVars!$B$2:$Z$1050,25,FALSE)</f>
        <v>0.66666666699999999</v>
      </c>
    </row>
    <row r="303" spans="1:65" x14ac:dyDescent="0.2">
      <c r="A303">
        <v>1</v>
      </c>
      <c r="B303" t="s">
        <v>544</v>
      </c>
      <c r="C303">
        <v>151</v>
      </c>
      <c r="D303" t="s">
        <v>68</v>
      </c>
      <c r="E303">
        <v>0</v>
      </c>
      <c r="F303">
        <v>440</v>
      </c>
      <c r="G303" t="s">
        <v>97</v>
      </c>
      <c r="H303" s="1">
        <v>6</v>
      </c>
      <c r="I303" t="s">
        <v>87</v>
      </c>
      <c r="J303" t="s">
        <v>111</v>
      </c>
      <c r="K303" t="s">
        <v>72</v>
      </c>
      <c r="L303">
        <v>1</v>
      </c>
      <c r="M303">
        <v>0</v>
      </c>
      <c r="N303">
        <v>1</v>
      </c>
      <c r="O303">
        <v>0</v>
      </c>
      <c r="P303">
        <v>1</v>
      </c>
      <c r="Q303">
        <v>6</v>
      </c>
      <c r="R303">
        <v>1</v>
      </c>
      <c r="S303">
        <v>1</v>
      </c>
      <c r="T303">
        <v>1</v>
      </c>
      <c r="U303">
        <v>1</v>
      </c>
      <c r="V303">
        <f t="shared" si="106"/>
        <v>0</v>
      </c>
      <c r="W303">
        <f t="shared" si="108"/>
        <v>0</v>
      </c>
      <c r="X303">
        <f t="shared" si="109"/>
        <v>0</v>
      </c>
      <c r="Y303">
        <f t="shared" si="110"/>
        <v>0</v>
      </c>
      <c r="Z303" t="s">
        <v>177</v>
      </c>
      <c r="AA303" s="5" t="s">
        <v>170</v>
      </c>
      <c r="AB303" s="5" t="s">
        <v>545</v>
      </c>
      <c r="AC303" t="s">
        <v>174</v>
      </c>
      <c r="AD303" t="s">
        <v>173</v>
      </c>
      <c r="AE303" s="5" t="s">
        <v>506</v>
      </c>
      <c r="AF303" t="s">
        <v>198</v>
      </c>
      <c r="AG303" t="s">
        <v>196</v>
      </c>
      <c r="AH303">
        <f>AI303</f>
        <v>6.3256323E-3</v>
      </c>
      <c r="AI303">
        <f>AJ303</f>
        <v>6.3256323E-3</v>
      </c>
      <c r="AJ303">
        <f t="shared" si="107"/>
        <v>6.3256323E-3</v>
      </c>
      <c r="AK303">
        <v>6.3256323E-3</v>
      </c>
      <c r="AL303">
        <v>3.2674354000000003E-2</v>
      </c>
      <c r="AM303">
        <v>3.5044150000000003E-2</v>
      </c>
      <c r="AN303">
        <v>5.2950909999999997E-2</v>
      </c>
      <c r="AO303">
        <v>99.367436769999998</v>
      </c>
      <c r="AP303">
        <v>96.732564600000003</v>
      </c>
      <c r="AQ303">
        <v>96.495585000000005</v>
      </c>
      <c r="AR303">
        <v>94.704909000000001</v>
      </c>
      <c r="AS303" t="b">
        <v>0</v>
      </c>
      <c r="AT303" t="b">
        <v>0</v>
      </c>
      <c r="AU303" t="s">
        <v>92</v>
      </c>
      <c r="AV303" t="s">
        <v>92</v>
      </c>
      <c r="AW303" t="s">
        <v>79</v>
      </c>
      <c r="AX303" t="s">
        <v>233</v>
      </c>
      <c r="AY303" t="s">
        <v>542</v>
      </c>
      <c r="AZ303" t="s">
        <v>72</v>
      </c>
      <c r="BA303" t="s">
        <v>82</v>
      </c>
      <c r="BB303">
        <v>0.5</v>
      </c>
      <c r="BC303">
        <v>6.6481995999999998E-3</v>
      </c>
      <c r="BD303">
        <v>2.8322716361753601E-4</v>
      </c>
      <c r="BE303">
        <v>6.9314267636175399E-3</v>
      </c>
      <c r="BF303">
        <f>IF(AK303&lt;BE303,1,0)</f>
        <v>1</v>
      </c>
      <c r="BG303">
        <f>IF(AK303&lt;BC303,1,0)</f>
        <v>1</v>
      </c>
      <c r="BH303">
        <f>VLOOKUP($B303,[1]Data_Peer_with_peerVars!$B$2:$Z$1050,20,FALSE)</f>
        <v>3</v>
      </c>
      <c r="BI303">
        <f>VLOOKUP($B303,[1]Data_Peer_with_peerVars!$B$2:$Z$1050,21,FALSE)</f>
        <v>2</v>
      </c>
      <c r="BJ303">
        <f>VLOOKUP($B303,[1]Data_Peer_with_peerVars!$B$2:$Z$1050,22,FALSE)</f>
        <v>0.66666666699999999</v>
      </c>
      <c r="BK303">
        <f>VLOOKUP($B303,[1]Data_Peer_with_peerVars!$B$2:$Z$1050,23,FALSE)</f>
        <v>24</v>
      </c>
      <c r="BL303">
        <f>VLOOKUP($B303,[1]Data_Peer_with_peerVars!$B$2:$Z$1050,24,FALSE)</f>
        <v>16</v>
      </c>
      <c r="BM303">
        <f>VLOOKUP($B303,[1]Data_Peer_with_peerVars!$B$2:$Z$1050,25,FALSE)</f>
        <v>0.66666666699999999</v>
      </c>
    </row>
    <row r="304" spans="1:65" x14ac:dyDescent="0.2">
      <c r="A304">
        <v>1</v>
      </c>
      <c r="B304" t="s">
        <v>546</v>
      </c>
      <c r="C304">
        <v>152</v>
      </c>
      <c r="D304" t="s">
        <v>68</v>
      </c>
      <c r="E304">
        <v>0</v>
      </c>
      <c r="F304">
        <v>441</v>
      </c>
      <c r="G304" t="s">
        <v>97</v>
      </c>
      <c r="H304" s="1">
        <v>4</v>
      </c>
      <c r="I304" t="s">
        <v>70</v>
      </c>
      <c r="J304" t="s">
        <v>71</v>
      </c>
      <c r="K304" t="s">
        <v>109</v>
      </c>
      <c r="L304">
        <v>1</v>
      </c>
      <c r="M304">
        <v>0</v>
      </c>
      <c r="N304">
        <v>1</v>
      </c>
      <c r="O304">
        <v>0</v>
      </c>
      <c r="P304">
        <v>1</v>
      </c>
      <c r="Q304">
        <v>6</v>
      </c>
      <c r="R304">
        <v>0</v>
      </c>
      <c r="S304">
        <v>0</v>
      </c>
      <c r="T304">
        <v>0</v>
      </c>
      <c r="U304">
        <v>0</v>
      </c>
      <c r="V304">
        <f t="shared" si="106"/>
        <v>1</v>
      </c>
      <c r="W304">
        <v>1</v>
      </c>
      <c r="X304">
        <v>1</v>
      </c>
      <c r="Y304">
        <v>1</v>
      </c>
      <c r="Z304" t="s">
        <v>76</v>
      </c>
      <c r="AA304" s="5" t="s">
        <v>76</v>
      </c>
      <c r="AB304" s="5" t="s">
        <v>76</v>
      </c>
      <c r="AC304" t="s">
        <v>76</v>
      </c>
      <c r="AD304" t="s">
        <v>74</v>
      </c>
      <c r="AE304" s="5" t="s">
        <v>74</v>
      </c>
      <c r="AF304" t="s">
        <v>120</v>
      </c>
      <c r="AG304" t="s">
        <v>75</v>
      </c>
      <c r="AH304">
        <f t="shared" ref="AH304:AH309" si="127">AI304</f>
        <v>8.1446715000000003E-2</v>
      </c>
      <c r="AI304">
        <f t="shared" ref="AI304:AI307" si="128">AJ304</f>
        <v>8.1446715000000003E-2</v>
      </c>
      <c r="AJ304">
        <f t="shared" si="107"/>
        <v>8.1446715000000003E-2</v>
      </c>
      <c r="AK304">
        <v>8.1446715000000003E-2</v>
      </c>
      <c r="AL304">
        <v>9.5791799999999996E-2</v>
      </c>
      <c r="AM304">
        <v>0.11954721</v>
      </c>
      <c r="AN304">
        <v>0.12112832</v>
      </c>
      <c r="AO304">
        <v>91.855328499999999</v>
      </c>
      <c r="AP304">
        <v>90.420820000000006</v>
      </c>
      <c r="AQ304">
        <v>88.045278999999994</v>
      </c>
      <c r="AR304">
        <v>87.887168000000003</v>
      </c>
      <c r="AS304" t="b">
        <v>1</v>
      </c>
      <c r="AT304" t="b">
        <v>0</v>
      </c>
      <c r="AU304" t="s">
        <v>77</v>
      </c>
      <c r="AV304" t="s">
        <v>77</v>
      </c>
      <c r="AW304" t="s">
        <v>79</v>
      </c>
      <c r="AX304" t="s">
        <v>233</v>
      </c>
      <c r="AY304" t="s">
        <v>547</v>
      </c>
      <c r="AZ304" t="s">
        <v>109</v>
      </c>
      <c r="BA304">
        <v>2</v>
      </c>
      <c r="BB304">
        <v>2</v>
      </c>
      <c r="BC304">
        <v>7.7070764999999999E-2</v>
      </c>
      <c r="BD304">
        <v>1.90190515067399E-3</v>
      </c>
      <c r="BE304">
        <v>7.8972670150673996E-2</v>
      </c>
      <c r="BF304">
        <f>IF(AK304&lt;BE304,1,0)</f>
        <v>0</v>
      </c>
      <c r="BG304">
        <f>IF(AK304&lt;BC304,1,0)</f>
        <v>0</v>
      </c>
      <c r="BH304">
        <f>VLOOKUP($B304,[1]Data_Peer_with_peerVars!$B$2:$Z$1050,20,FALSE)</f>
        <v>8</v>
      </c>
      <c r="BI304">
        <f>VLOOKUP($B304,[1]Data_Peer_with_peerVars!$B$2:$Z$1050,21,FALSE)</f>
        <v>6</v>
      </c>
      <c r="BJ304">
        <f>VLOOKUP($B304,[1]Data_Peer_with_peerVars!$B$2:$Z$1050,22,FALSE)</f>
        <v>0.75</v>
      </c>
      <c r="BK304">
        <f>VLOOKUP($B304,[1]Data_Peer_with_peerVars!$B$2:$Z$1050,23,FALSE)</f>
        <v>41</v>
      </c>
      <c r="BL304">
        <f>VLOOKUP($B304,[1]Data_Peer_with_peerVars!$B$2:$Z$1050,24,FALSE)</f>
        <v>30</v>
      </c>
      <c r="BM304">
        <f>VLOOKUP($B304,[1]Data_Peer_with_peerVars!$B$2:$Z$1050,25,FALSE)</f>
        <v>0.73170731700000002</v>
      </c>
    </row>
    <row r="305" spans="1:65" x14ac:dyDescent="0.2">
      <c r="A305">
        <v>1</v>
      </c>
      <c r="B305" t="s">
        <v>548</v>
      </c>
      <c r="C305">
        <v>152</v>
      </c>
      <c r="D305" t="s">
        <v>68</v>
      </c>
      <c r="E305">
        <v>0</v>
      </c>
      <c r="F305">
        <v>441</v>
      </c>
      <c r="G305" t="s">
        <v>97</v>
      </c>
      <c r="H305" s="1">
        <v>4</v>
      </c>
      <c r="I305" t="s">
        <v>70</v>
      </c>
      <c r="J305" t="s">
        <v>71</v>
      </c>
      <c r="K305" t="s">
        <v>109</v>
      </c>
      <c r="L305">
        <v>1</v>
      </c>
      <c r="M305">
        <v>0</v>
      </c>
      <c r="N305">
        <v>1</v>
      </c>
      <c r="O305">
        <v>0</v>
      </c>
      <c r="P305">
        <v>1</v>
      </c>
      <c r="Q305">
        <v>6</v>
      </c>
      <c r="R305">
        <v>0</v>
      </c>
      <c r="S305">
        <v>0</v>
      </c>
      <c r="T305">
        <v>0</v>
      </c>
      <c r="U305">
        <v>0</v>
      </c>
      <c r="V305">
        <f t="shared" si="106"/>
        <v>1</v>
      </c>
      <c r="W305">
        <v>1</v>
      </c>
      <c r="X305">
        <v>1</v>
      </c>
      <c r="Y305">
        <v>1</v>
      </c>
      <c r="Z305" t="s">
        <v>73</v>
      </c>
      <c r="AA305" s="5" t="s">
        <v>73</v>
      </c>
      <c r="AB305" s="5" t="s">
        <v>73</v>
      </c>
      <c r="AC305" t="s">
        <v>73</v>
      </c>
      <c r="AD305" t="s">
        <v>94</v>
      </c>
      <c r="AE305" s="5" t="s">
        <v>94</v>
      </c>
      <c r="AF305" t="s">
        <v>75</v>
      </c>
      <c r="AG305" t="s">
        <v>95</v>
      </c>
      <c r="AH305">
        <f t="shared" si="127"/>
        <v>5.9345535999999997E-2</v>
      </c>
      <c r="AI305">
        <f t="shared" si="128"/>
        <v>5.9345535999999997E-2</v>
      </c>
      <c r="AJ305">
        <f t="shared" si="107"/>
        <v>5.9345535999999997E-2</v>
      </c>
      <c r="AK305">
        <v>5.9345535999999997E-2</v>
      </c>
      <c r="AL305">
        <v>0.11805555</v>
      </c>
      <c r="AM305">
        <v>0.12945434</v>
      </c>
      <c r="AN305">
        <v>0.13924402</v>
      </c>
      <c r="AO305">
        <v>94.065446399999999</v>
      </c>
      <c r="AP305">
        <v>88.194445000000002</v>
      </c>
      <c r="AQ305">
        <v>87.054565999999994</v>
      </c>
      <c r="AR305">
        <v>86.075597999999999</v>
      </c>
      <c r="AS305" t="b">
        <v>1</v>
      </c>
      <c r="AT305" t="b">
        <v>0</v>
      </c>
      <c r="AU305" t="s">
        <v>77</v>
      </c>
      <c r="AV305" t="s">
        <v>78</v>
      </c>
      <c r="AW305" t="s">
        <v>79</v>
      </c>
      <c r="AX305" t="s">
        <v>233</v>
      </c>
      <c r="AY305" t="s">
        <v>547</v>
      </c>
      <c r="AZ305" t="s">
        <v>109</v>
      </c>
      <c r="BA305">
        <v>2</v>
      </c>
      <c r="BB305">
        <v>0.17499999999999899</v>
      </c>
      <c r="BC305">
        <v>4.1163553999999996E-3</v>
      </c>
      <c r="BD305">
        <v>1.4279989108178799E-4</v>
      </c>
      <c r="BE305">
        <v>4.2591552910817903E-3</v>
      </c>
      <c r="BF305">
        <f>IF(AK305&lt;BE305,1,0)</f>
        <v>0</v>
      </c>
      <c r="BG305">
        <f>IF(AK305&lt;BC305,1,0)</f>
        <v>0</v>
      </c>
      <c r="BH305">
        <f>VLOOKUP($B305,[1]Data_Peer_with_peerVars!$B$2:$Z$1050,20,FALSE)</f>
        <v>8</v>
      </c>
      <c r="BI305">
        <f>VLOOKUP($B305,[1]Data_Peer_with_peerVars!$B$2:$Z$1050,21,FALSE)</f>
        <v>6</v>
      </c>
      <c r="BJ305">
        <f>VLOOKUP($B305,[1]Data_Peer_with_peerVars!$B$2:$Z$1050,22,FALSE)</f>
        <v>0.75</v>
      </c>
      <c r="BK305">
        <f>VLOOKUP($B305,[1]Data_Peer_with_peerVars!$B$2:$Z$1050,23,FALSE)</f>
        <v>41</v>
      </c>
      <c r="BL305">
        <f>VLOOKUP($B305,[1]Data_Peer_with_peerVars!$B$2:$Z$1050,24,FALSE)</f>
        <v>30</v>
      </c>
      <c r="BM305">
        <f>VLOOKUP($B305,[1]Data_Peer_with_peerVars!$B$2:$Z$1050,25,FALSE)</f>
        <v>0.73170731700000002</v>
      </c>
    </row>
    <row r="306" spans="1:65" x14ac:dyDescent="0.2">
      <c r="A306">
        <v>1</v>
      </c>
      <c r="B306" t="s">
        <v>549</v>
      </c>
      <c r="C306">
        <v>153</v>
      </c>
      <c r="D306" t="s">
        <v>155</v>
      </c>
      <c r="E306">
        <v>0</v>
      </c>
      <c r="F306" s="14" t="s">
        <v>82</v>
      </c>
      <c r="G306" s="14" t="s">
        <v>82</v>
      </c>
      <c r="H306" s="1">
        <v>7</v>
      </c>
      <c r="I306" t="s">
        <v>70</v>
      </c>
      <c r="J306" t="s">
        <v>71</v>
      </c>
      <c r="K306" t="s">
        <v>109</v>
      </c>
      <c r="L306">
        <v>1</v>
      </c>
      <c r="M306">
        <v>1</v>
      </c>
      <c r="N306">
        <v>0</v>
      </c>
      <c r="O306">
        <v>0</v>
      </c>
      <c r="P306">
        <v>1</v>
      </c>
      <c r="Q306">
        <v>6</v>
      </c>
      <c r="R306">
        <v>0</v>
      </c>
      <c r="S306">
        <v>0</v>
      </c>
      <c r="T306">
        <v>1</v>
      </c>
      <c r="U306">
        <v>1</v>
      </c>
      <c r="V306">
        <f t="shared" si="106"/>
        <v>1</v>
      </c>
      <c r="W306">
        <v>1</v>
      </c>
      <c r="X306">
        <v>1</v>
      </c>
      <c r="Y306">
        <v>1</v>
      </c>
      <c r="Z306" t="s">
        <v>73</v>
      </c>
      <c r="AA306" s="5" t="s">
        <v>73</v>
      </c>
      <c r="AB306" s="5" t="s">
        <v>73</v>
      </c>
      <c r="AC306" t="s">
        <v>73</v>
      </c>
      <c r="AD306" t="s">
        <v>94</v>
      </c>
      <c r="AE306" s="5" t="s">
        <v>106</v>
      </c>
      <c r="AF306" t="s">
        <v>107</v>
      </c>
      <c r="AG306" t="s">
        <v>95</v>
      </c>
      <c r="AH306">
        <f t="shared" si="127"/>
        <v>4.3763676999999997E-3</v>
      </c>
      <c r="AI306">
        <f t="shared" si="128"/>
        <v>4.3763676999999997E-3</v>
      </c>
      <c r="AJ306">
        <f t="shared" si="107"/>
        <v>4.3763676999999997E-3</v>
      </c>
      <c r="AK306">
        <v>4.3763676999999997E-3</v>
      </c>
      <c r="AL306">
        <v>0.13157895</v>
      </c>
      <c r="AM306">
        <v>0.13586359000000001</v>
      </c>
      <c r="AN306">
        <v>0.13830955</v>
      </c>
      <c r="AO306">
        <v>99.562363230000003</v>
      </c>
      <c r="AP306">
        <v>86.842105000000004</v>
      </c>
      <c r="AQ306">
        <v>86.413640999999998</v>
      </c>
      <c r="AR306">
        <v>86.169044999999997</v>
      </c>
      <c r="AS306" t="b">
        <v>1</v>
      </c>
      <c r="AT306" t="b">
        <v>0</v>
      </c>
      <c r="AU306" t="s">
        <v>77</v>
      </c>
      <c r="AV306" t="s">
        <v>108</v>
      </c>
      <c r="AW306" t="s">
        <v>79</v>
      </c>
      <c r="AX306" t="s">
        <v>233</v>
      </c>
      <c r="AY306" t="s">
        <v>550</v>
      </c>
      <c r="AZ306" t="s">
        <v>109</v>
      </c>
      <c r="BA306">
        <v>3</v>
      </c>
      <c r="BB306">
        <v>3</v>
      </c>
      <c r="BC306">
        <v>4.1163553999999996E-3</v>
      </c>
      <c r="BD306">
        <v>1.4279989108178799E-4</v>
      </c>
      <c r="BE306">
        <v>4.2591552910817903E-3</v>
      </c>
      <c r="BF306">
        <f>IF(AK306&lt;BE306,1,0)</f>
        <v>0</v>
      </c>
      <c r="BG306">
        <f>IF(AK306&lt;BC306,1,0)</f>
        <v>0</v>
      </c>
      <c r="BH306">
        <f>VLOOKUP($B306,[1]Data_Peer_with_peerVars!$B$2:$Z$1050,20,FALSE)</f>
        <v>10</v>
      </c>
      <c r="BI306">
        <f>VLOOKUP($B306,[1]Data_Peer_with_peerVars!$B$2:$Z$1050,21,FALSE)</f>
        <v>7</v>
      </c>
      <c r="BJ306">
        <f>VLOOKUP($B306,[1]Data_Peer_with_peerVars!$B$2:$Z$1050,22,FALSE)</f>
        <v>0.7</v>
      </c>
      <c r="BK306">
        <f>VLOOKUP($B306,[1]Data_Peer_with_peerVars!$B$2:$Z$1050,23,FALSE)</f>
        <v>26</v>
      </c>
      <c r="BL306">
        <f>VLOOKUP($B306,[1]Data_Peer_with_peerVars!$B$2:$Z$1050,24,FALSE)</f>
        <v>16</v>
      </c>
      <c r="BM306">
        <f>VLOOKUP($B306,[1]Data_Peer_with_peerVars!$B$2:$Z$1050,25,FALSE)</f>
        <v>0.61538461499999997</v>
      </c>
    </row>
    <row r="307" spans="1:65" x14ac:dyDescent="0.2">
      <c r="A307">
        <v>1</v>
      </c>
      <c r="B307" t="s">
        <v>551</v>
      </c>
      <c r="C307">
        <v>153</v>
      </c>
      <c r="D307" t="s">
        <v>155</v>
      </c>
      <c r="E307">
        <v>0</v>
      </c>
      <c r="F307" s="14" t="s">
        <v>82</v>
      </c>
      <c r="G307" s="14" t="s">
        <v>82</v>
      </c>
      <c r="H307" s="1">
        <v>7</v>
      </c>
      <c r="I307" t="s">
        <v>70</v>
      </c>
      <c r="J307" t="s">
        <v>71</v>
      </c>
      <c r="K307" t="s">
        <v>109</v>
      </c>
      <c r="L307">
        <v>1</v>
      </c>
      <c r="M307">
        <v>1</v>
      </c>
      <c r="N307">
        <v>0</v>
      </c>
      <c r="O307">
        <v>0</v>
      </c>
      <c r="P307">
        <v>1</v>
      </c>
      <c r="Q307">
        <v>6</v>
      </c>
      <c r="R307">
        <v>0</v>
      </c>
      <c r="S307">
        <v>0</v>
      </c>
      <c r="T307">
        <v>0</v>
      </c>
      <c r="U307">
        <v>0</v>
      </c>
      <c r="V307">
        <f t="shared" si="106"/>
        <v>1</v>
      </c>
      <c r="W307">
        <v>1</v>
      </c>
      <c r="X307">
        <v>1</v>
      </c>
      <c r="Y307">
        <v>1</v>
      </c>
      <c r="Z307" t="s">
        <v>76</v>
      </c>
      <c r="AA307" s="5" t="s">
        <v>76</v>
      </c>
      <c r="AB307" s="5" t="s">
        <v>76</v>
      </c>
      <c r="AC307" t="s">
        <v>76</v>
      </c>
      <c r="AD307" t="s">
        <v>74</v>
      </c>
      <c r="AE307" s="5" t="s">
        <v>74</v>
      </c>
      <c r="AF307" t="s">
        <v>120</v>
      </c>
      <c r="AG307" t="s">
        <v>75</v>
      </c>
      <c r="AH307">
        <f t="shared" si="127"/>
        <v>7.5616439999999993E-2</v>
      </c>
      <c r="AI307">
        <f t="shared" si="128"/>
        <v>7.5616439999999993E-2</v>
      </c>
      <c r="AJ307">
        <f t="shared" si="107"/>
        <v>7.5616439999999993E-2</v>
      </c>
      <c r="AK307">
        <v>7.5616439999999993E-2</v>
      </c>
      <c r="AL307">
        <v>9.8405720000000002E-2</v>
      </c>
      <c r="AM307">
        <v>0.12356164</v>
      </c>
      <c r="AN307">
        <v>0.12458836</v>
      </c>
      <c r="AO307">
        <v>92.438355999999999</v>
      </c>
      <c r="AP307">
        <v>90.159428000000005</v>
      </c>
      <c r="AQ307">
        <v>87.643835999999993</v>
      </c>
      <c r="AR307">
        <v>87.541163999999995</v>
      </c>
      <c r="AS307" t="b">
        <v>1</v>
      </c>
      <c r="AT307" t="b">
        <v>0</v>
      </c>
      <c r="AU307" t="s">
        <v>77</v>
      </c>
      <c r="AV307" t="s">
        <v>77</v>
      </c>
      <c r="AW307" t="s">
        <v>79</v>
      </c>
      <c r="AX307" t="s">
        <v>233</v>
      </c>
      <c r="AY307" t="s">
        <v>550</v>
      </c>
      <c r="AZ307" t="s">
        <v>109</v>
      </c>
      <c r="BA307">
        <v>2</v>
      </c>
      <c r="BB307">
        <v>6</v>
      </c>
      <c r="BC307">
        <v>7.7070764999999999E-2</v>
      </c>
      <c r="BD307">
        <v>1.90190515067399E-3</v>
      </c>
      <c r="BE307">
        <v>7.8972670150673996E-2</v>
      </c>
      <c r="BF307">
        <f>IF(AK307&lt;BE307,1,0)</f>
        <v>1</v>
      </c>
      <c r="BG307">
        <f>IF(AK307&lt;BC307,1,0)</f>
        <v>1</v>
      </c>
    </row>
    <row r="308" spans="1:65" x14ac:dyDescent="0.2">
      <c r="A308">
        <v>1</v>
      </c>
      <c r="B308" t="s">
        <v>552</v>
      </c>
      <c r="C308">
        <v>154</v>
      </c>
      <c r="D308" t="s">
        <v>155</v>
      </c>
      <c r="E308">
        <v>0</v>
      </c>
      <c r="F308" s="14" t="s">
        <v>82</v>
      </c>
      <c r="G308" s="14" t="s">
        <v>82</v>
      </c>
      <c r="H308" s="1">
        <v>6</v>
      </c>
      <c r="I308" t="s">
        <v>87</v>
      </c>
      <c r="J308" t="s">
        <v>111</v>
      </c>
      <c r="K308" t="s">
        <v>109</v>
      </c>
      <c r="L308">
        <v>1</v>
      </c>
      <c r="M308">
        <v>1</v>
      </c>
      <c r="N308">
        <v>0</v>
      </c>
      <c r="O308">
        <v>0</v>
      </c>
      <c r="P308">
        <v>0</v>
      </c>
      <c r="Q308">
        <v>6</v>
      </c>
      <c r="R308">
        <v>0</v>
      </c>
      <c r="S308">
        <v>0</v>
      </c>
      <c r="T308">
        <v>0</v>
      </c>
      <c r="U308">
        <v>0</v>
      </c>
      <c r="V308">
        <f t="shared" si="106"/>
        <v>0</v>
      </c>
      <c r="W308">
        <f t="shared" si="108"/>
        <v>1</v>
      </c>
      <c r="X308">
        <v>1</v>
      </c>
      <c r="Y308">
        <v>1</v>
      </c>
      <c r="Z308" t="s">
        <v>76</v>
      </c>
      <c r="AA308" s="5" t="s">
        <v>76</v>
      </c>
      <c r="AB308" s="5" t="s">
        <v>76</v>
      </c>
      <c r="AC308" t="s">
        <v>74</v>
      </c>
      <c r="AD308" t="s">
        <v>76</v>
      </c>
      <c r="AE308" s="5" t="s">
        <v>76</v>
      </c>
      <c r="AF308" t="s">
        <v>75</v>
      </c>
      <c r="AG308" t="s">
        <v>167</v>
      </c>
      <c r="AH308">
        <f t="shared" si="127"/>
        <v>0.101912566</v>
      </c>
      <c r="AI308">
        <f>AJ308</f>
        <v>0.101912566</v>
      </c>
      <c r="AJ308">
        <f>AL308</f>
        <v>0.101912566</v>
      </c>
      <c r="AK308">
        <v>9.5120616000000005E-2</v>
      </c>
      <c r="AL308">
        <v>0.101912566</v>
      </c>
      <c r="AM308">
        <v>0.124794744</v>
      </c>
      <c r="AN308">
        <v>0.12554824000000001</v>
      </c>
      <c r="AO308">
        <v>90.487938400000004</v>
      </c>
      <c r="AP308">
        <v>89.808743399999997</v>
      </c>
      <c r="AQ308">
        <v>87.520525599999999</v>
      </c>
      <c r="AR308">
        <v>87.445176000000004</v>
      </c>
      <c r="AS308" t="b">
        <v>0</v>
      </c>
      <c r="AT308" t="b">
        <v>1</v>
      </c>
      <c r="AU308" t="s">
        <v>77</v>
      </c>
      <c r="AV308" t="s">
        <v>78</v>
      </c>
      <c r="AW308" t="s">
        <v>79</v>
      </c>
      <c r="AX308" t="s">
        <v>233</v>
      </c>
      <c r="AY308" t="s">
        <v>553</v>
      </c>
      <c r="AZ308" t="s">
        <v>109</v>
      </c>
      <c r="BA308">
        <v>2</v>
      </c>
      <c r="BB308">
        <v>0.35</v>
      </c>
      <c r="BC308">
        <v>2.4738868000000001E-3</v>
      </c>
      <c r="BD308">
        <v>1.4256942275279999E-4</v>
      </c>
      <c r="BE308">
        <v>2.6164562227527998E-3</v>
      </c>
      <c r="BF308">
        <f>IF(AK308&lt;BE308,1,0)</f>
        <v>0</v>
      </c>
      <c r="BG308">
        <f>IF(AK308&lt;BC308,1,0)</f>
        <v>0</v>
      </c>
      <c r="BH308">
        <f>VLOOKUP($B308,[1]Data_Peer_with_peerVars!$B$2:$Z$1050,20,FALSE)</f>
        <v>0</v>
      </c>
      <c r="BI308">
        <f>VLOOKUP($B308,[1]Data_Peer_with_peerVars!$B$2:$Z$1050,21,FALSE)</f>
        <v>0</v>
      </c>
      <c r="BJ308">
        <v>0</v>
      </c>
      <c r="BK308">
        <f>VLOOKUP($B308,[1]Data_Peer_with_peerVars!$B$2:$Z$1050,23,FALSE)</f>
        <v>6</v>
      </c>
      <c r="BL308">
        <f>VLOOKUP($B308,[1]Data_Peer_with_peerVars!$B$2:$Z$1050,24,FALSE)</f>
        <v>5</v>
      </c>
      <c r="BM308">
        <f>VLOOKUP($B308,[1]Data_Peer_with_peerVars!$B$2:$Z$1050,25,FALSE)</f>
        <v>0.83333333300000001</v>
      </c>
    </row>
    <row r="309" spans="1:65" x14ac:dyDescent="0.2">
      <c r="A309">
        <v>1</v>
      </c>
      <c r="B309" t="s">
        <v>554</v>
      </c>
      <c r="C309">
        <v>154</v>
      </c>
      <c r="D309" t="s">
        <v>155</v>
      </c>
      <c r="E309">
        <v>0</v>
      </c>
      <c r="F309" s="14" t="s">
        <v>82</v>
      </c>
      <c r="G309" s="14" t="s">
        <v>82</v>
      </c>
      <c r="H309" s="1">
        <v>6</v>
      </c>
      <c r="I309" t="s">
        <v>87</v>
      </c>
      <c r="J309" t="s">
        <v>111</v>
      </c>
      <c r="K309" t="s">
        <v>109</v>
      </c>
      <c r="L309">
        <v>1</v>
      </c>
      <c r="M309">
        <v>1</v>
      </c>
      <c r="N309">
        <v>0</v>
      </c>
      <c r="O309">
        <v>0</v>
      </c>
      <c r="P309">
        <v>0</v>
      </c>
      <c r="Q309">
        <v>6</v>
      </c>
      <c r="R309">
        <v>0</v>
      </c>
      <c r="S309">
        <v>0</v>
      </c>
      <c r="T309">
        <v>0</v>
      </c>
      <c r="U309">
        <v>0</v>
      </c>
      <c r="V309">
        <f t="shared" si="106"/>
        <v>1</v>
      </c>
      <c r="W309">
        <v>1</v>
      </c>
      <c r="X309">
        <v>1</v>
      </c>
      <c r="Y309">
        <v>1</v>
      </c>
      <c r="Z309" t="s">
        <v>73</v>
      </c>
      <c r="AA309" s="5" t="s">
        <v>73</v>
      </c>
      <c r="AB309" s="5" t="s">
        <v>73</v>
      </c>
      <c r="AC309" t="s">
        <v>73</v>
      </c>
      <c r="AD309" t="s">
        <v>94</v>
      </c>
      <c r="AE309" s="5" t="s">
        <v>94</v>
      </c>
      <c r="AF309" t="s">
        <v>75</v>
      </c>
      <c r="AG309" t="s">
        <v>95</v>
      </c>
      <c r="AH309">
        <f t="shared" si="127"/>
        <v>6.9012544999999995E-2</v>
      </c>
      <c r="AI309">
        <f>AJ309</f>
        <v>6.9012544999999995E-2</v>
      </c>
      <c r="AJ309">
        <f t="shared" si="107"/>
        <v>6.9012544999999995E-2</v>
      </c>
      <c r="AK309">
        <v>6.9012544999999995E-2</v>
      </c>
      <c r="AL309">
        <v>0.11796832</v>
      </c>
      <c r="AM309">
        <v>0.12964988999999999</v>
      </c>
      <c r="AN309">
        <v>0.14180328</v>
      </c>
      <c r="AO309">
        <v>93.098745500000007</v>
      </c>
      <c r="AP309">
        <v>88.203168000000005</v>
      </c>
      <c r="AQ309">
        <v>87.035010999999997</v>
      </c>
      <c r="AR309">
        <v>85.819671999999997</v>
      </c>
      <c r="AS309" t="b">
        <v>1</v>
      </c>
      <c r="AT309" t="b">
        <v>0</v>
      </c>
      <c r="AU309" t="s">
        <v>77</v>
      </c>
      <c r="AV309" t="s">
        <v>78</v>
      </c>
      <c r="AW309" t="s">
        <v>79</v>
      </c>
      <c r="AX309" t="s">
        <v>233</v>
      </c>
      <c r="AY309" t="s">
        <v>553</v>
      </c>
      <c r="AZ309" t="s">
        <v>109</v>
      </c>
      <c r="BA309">
        <v>2</v>
      </c>
      <c r="BB309">
        <v>1.5</v>
      </c>
      <c r="BC309">
        <v>4.1163553999999996E-3</v>
      </c>
      <c r="BD309">
        <v>1.4279989108178799E-4</v>
      </c>
      <c r="BE309">
        <v>4.2591552910817903E-3</v>
      </c>
      <c r="BF309">
        <f>IF(AK309&lt;BE309,1,0)</f>
        <v>0</v>
      </c>
      <c r="BG309">
        <f>IF(AK309&lt;BC309,1,0)</f>
        <v>0</v>
      </c>
      <c r="BH309">
        <f>VLOOKUP($B309,[1]Data_Peer_with_peerVars!$B$2:$Z$1050,20,FALSE)</f>
        <v>0</v>
      </c>
      <c r="BI309">
        <f>VLOOKUP($B309,[1]Data_Peer_with_peerVars!$B$2:$Z$1050,21,FALSE)</f>
        <v>0</v>
      </c>
      <c r="BJ309">
        <v>0</v>
      </c>
      <c r="BK309">
        <f>VLOOKUP($B309,[1]Data_Peer_with_peerVars!$B$2:$Z$1050,23,FALSE)</f>
        <v>6</v>
      </c>
      <c r="BL309">
        <f>VLOOKUP($B309,[1]Data_Peer_with_peerVars!$B$2:$Z$1050,24,FALSE)</f>
        <v>5</v>
      </c>
      <c r="BM309">
        <f>VLOOKUP($B309,[1]Data_Peer_with_peerVars!$B$2:$Z$1050,25,FALSE)</f>
        <v>0.83333333300000001</v>
      </c>
    </row>
    <row r="310" spans="1:65" x14ac:dyDescent="0.2">
      <c r="A310">
        <v>1</v>
      </c>
      <c r="B310" t="s">
        <v>555</v>
      </c>
      <c r="C310">
        <v>154</v>
      </c>
      <c r="D310" t="s">
        <v>155</v>
      </c>
      <c r="E310">
        <v>0</v>
      </c>
      <c r="F310" s="14" t="s">
        <v>82</v>
      </c>
      <c r="G310" s="14" t="s">
        <v>82</v>
      </c>
      <c r="H310" s="1">
        <v>6</v>
      </c>
      <c r="I310" t="s">
        <v>87</v>
      </c>
      <c r="J310" t="s">
        <v>111</v>
      </c>
      <c r="K310" t="s">
        <v>109</v>
      </c>
      <c r="L310">
        <v>1</v>
      </c>
      <c r="M310">
        <v>1</v>
      </c>
      <c r="N310">
        <v>0</v>
      </c>
      <c r="O310">
        <v>0</v>
      </c>
      <c r="P310">
        <v>0</v>
      </c>
      <c r="Q310">
        <v>6</v>
      </c>
      <c r="R310">
        <v>0</v>
      </c>
      <c r="S310">
        <v>0</v>
      </c>
      <c r="T310">
        <v>0</v>
      </c>
      <c r="U310">
        <v>0</v>
      </c>
      <c r="V310">
        <f t="shared" si="106"/>
        <v>0</v>
      </c>
      <c r="W310">
        <f t="shared" si="108"/>
        <v>0</v>
      </c>
      <c r="X310">
        <f t="shared" si="109"/>
        <v>0</v>
      </c>
      <c r="Y310">
        <f t="shared" si="110"/>
        <v>0</v>
      </c>
      <c r="Z310" t="s">
        <v>84</v>
      </c>
      <c r="AA310" s="5" t="s">
        <v>84</v>
      </c>
      <c r="AB310" s="5" t="s">
        <v>84</v>
      </c>
      <c r="AC310" t="s">
        <v>76</v>
      </c>
      <c r="AD310" t="s">
        <v>74</v>
      </c>
      <c r="AE310" s="5" t="s">
        <v>142</v>
      </c>
      <c r="AF310" t="s">
        <v>120</v>
      </c>
      <c r="AG310" t="s">
        <v>167</v>
      </c>
      <c r="AH310">
        <f>AI310</f>
        <v>0.10267613</v>
      </c>
      <c r="AI310">
        <f>AJ310</f>
        <v>0.10267613</v>
      </c>
      <c r="AJ310">
        <f t="shared" si="107"/>
        <v>0.10267613</v>
      </c>
      <c r="AK310">
        <v>0.10267613</v>
      </c>
      <c r="AL310">
        <v>0.106027395</v>
      </c>
      <c r="AM310">
        <v>0.13080284</v>
      </c>
      <c r="AN310">
        <v>0.13095889999999999</v>
      </c>
      <c r="AO310">
        <v>89.732387000000003</v>
      </c>
      <c r="AP310">
        <v>89.397260500000002</v>
      </c>
      <c r="AQ310">
        <v>86.919715999999994</v>
      </c>
      <c r="AR310">
        <v>86.904110000000003</v>
      </c>
      <c r="AS310" t="b">
        <v>0</v>
      </c>
      <c r="AT310" t="b">
        <v>0</v>
      </c>
      <c r="AU310" t="s">
        <v>108</v>
      </c>
      <c r="AV310" t="s">
        <v>108</v>
      </c>
      <c r="AW310" t="s">
        <v>79</v>
      </c>
      <c r="AX310" t="s">
        <v>233</v>
      </c>
      <c r="AY310" t="s">
        <v>553</v>
      </c>
      <c r="AZ310" t="s">
        <v>109</v>
      </c>
      <c r="BA310">
        <v>2</v>
      </c>
      <c r="BB310">
        <v>2</v>
      </c>
      <c r="BC310">
        <v>7.7070764999999999E-2</v>
      </c>
      <c r="BD310">
        <v>1.90190515067399E-3</v>
      </c>
      <c r="BE310">
        <v>7.8972670150673996E-2</v>
      </c>
      <c r="BF310">
        <f>IF(AK310&lt;BE310,1,0)</f>
        <v>0</v>
      </c>
      <c r="BG310">
        <f>IF(AK310&lt;BC310,1,0)</f>
        <v>0</v>
      </c>
      <c r="BH310">
        <f>VLOOKUP($B310,[1]Data_Peer_with_peerVars!$B$2:$Z$1050,20,FALSE)</f>
        <v>0</v>
      </c>
      <c r="BI310">
        <f>VLOOKUP($B310,[1]Data_Peer_with_peerVars!$B$2:$Z$1050,21,FALSE)</f>
        <v>0</v>
      </c>
      <c r="BJ310">
        <v>0</v>
      </c>
      <c r="BK310">
        <f>VLOOKUP($B310,[1]Data_Peer_with_peerVars!$B$2:$Z$1050,23,FALSE)</f>
        <v>6</v>
      </c>
      <c r="BL310">
        <f>VLOOKUP($B310,[1]Data_Peer_with_peerVars!$B$2:$Z$1050,24,FALSE)</f>
        <v>5</v>
      </c>
      <c r="BM310">
        <f>VLOOKUP($B310,[1]Data_Peer_with_peerVars!$B$2:$Z$1050,25,FALSE)</f>
        <v>0.83333333300000001</v>
      </c>
    </row>
    <row r="311" spans="1:65" x14ac:dyDescent="0.2">
      <c r="A311">
        <v>1</v>
      </c>
      <c r="B311" t="s">
        <v>556</v>
      </c>
      <c r="C311">
        <v>154</v>
      </c>
      <c r="D311" t="s">
        <v>155</v>
      </c>
      <c r="E311">
        <v>0</v>
      </c>
      <c r="F311" s="14" t="s">
        <v>82</v>
      </c>
      <c r="G311" s="14" t="s">
        <v>82</v>
      </c>
      <c r="H311" s="1">
        <v>6</v>
      </c>
      <c r="I311" t="s">
        <v>87</v>
      </c>
      <c r="J311" t="s">
        <v>111</v>
      </c>
      <c r="K311" t="s">
        <v>109</v>
      </c>
      <c r="L311">
        <v>1</v>
      </c>
      <c r="M311">
        <v>1</v>
      </c>
      <c r="N311">
        <v>0</v>
      </c>
      <c r="O311">
        <v>0</v>
      </c>
      <c r="P311">
        <v>0</v>
      </c>
      <c r="Q311">
        <v>6</v>
      </c>
      <c r="R311">
        <v>0</v>
      </c>
      <c r="S311">
        <v>0</v>
      </c>
      <c r="T311">
        <v>0</v>
      </c>
      <c r="U311">
        <v>0</v>
      </c>
      <c r="V311">
        <f t="shared" si="106"/>
        <v>1</v>
      </c>
      <c r="W311">
        <v>1</v>
      </c>
      <c r="X311">
        <v>1</v>
      </c>
      <c r="Y311">
        <v>1</v>
      </c>
      <c r="Z311" t="s">
        <v>103</v>
      </c>
      <c r="AA311" s="5" t="s">
        <v>103</v>
      </c>
      <c r="AB311" s="5" t="s">
        <v>103</v>
      </c>
      <c r="AC311" t="s">
        <v>103</v>
      </c>
      <c r="AD311" t="s">
        <v>101</v>
      </c>
      <c r="AE311" s="5" t="s">
        <v>101</v>
      </c>
      <c r="AF311" t="s">
        <v>99</v>
      </c>
      <c r="AG311" t="s">
        <v>137</v>
      </c>
      <c r="AH311">
        <f t="shared" ref="AH311:AH314" si="129">AI311</f>
        <v>1.8987339999999998E-2</v>
      </c>
      <c r="AI311">
        <f t="shared" ref="AI311:AI314" si="130">AJ311</f>
        <v>1.8987339999999998E-2</v>
      </c>
      <c r="AJ311">
        <f t="shared" si="107"/>
        <v>1.8987339999999998E-2</v>
      </c>
      <c r="AK311">
        <v>1.8987339999999998E-2</v>
      </c>
      <c r="AL311">
        <v>7.9582879999999995E-2</v>
      </c>
      <c r="AM311">
        <v>0.11196911</v>
      </c>
      <c r="AN311">
        <v>0.12779902000000001</v>
      </c>
      <c r="AO311">
        <v>98.101265999999995</v>
      </c>
      <c r="AP311">
        <v>92.041712000000004</v>
      </c>
      <c r="AQ311">
        <v>88.803089</v>
      </c>
      <c r="AR311">
        <v>87.220097999999993</v>
      </c>
      <c r="AS311" t="b">
        <v>1</v>
      </c>
      <c r="AT311" t="b">
        <v>0</v>
      </c>
      <c r="AU311" t="s">
        <v>77</v>
      </c>
      <c r="AV311" t="s">
        <v>77</v>
      </c>
      <c r="AW311" t="s">
        <v>79</v>
      </c>
      <c r="AX311" t="s">
        <v>233</v>
      </c>
      <c r="AY311" t="s">
        <v>553</v>
      </c>
      <c r="AZ311" t="s">
        <v>109</v>
      </c>
      <c r="BA311">
        <v>2</v>
      </c>
      <c r="BB311">
        <v>0.35</v>
      </c>
      <c r="BC311">
        <v>1.8406593999999998E-2</v>
      </c>
      <c r="BD311">
        <v>3.30705390234067E-4</v>
      </c>
      <c r="BE311">
        <v>1.8737299390234101E-2</v>
      </c>
      <c r="BF311">
        <f>IF(AK311&lt;BE311,1,0)</f>
        <v>0</v>
      </c>
      <c r="BG311">
        <f>IF(AK311&lt;BC311,1,0)</f>
        <v>0</v>
      </c>
      <c r="BH311">
        <f>VLOOKUP($B311,[1]Data_Peer_with_peerVars!$B$2:$Z$1050,20,FALSE)</f>
        <v>0</v>
      </c>
      <c r="BI311">
        <f>VLOOKUP($B311,[1]Data_Peer_with_peerVars!$B$2:$Z$1050,21,FALSE)</f>
        <v>0</v>
      </c>
      <c r="BJ311">
        <v>0</v>
      </c>
      <c r="BK311">
        <f>VLOOKUP($B311,[1]Data_Peer_with_peerVars!$B$2:$Z$1050,23,FALSE)</f>
        <v>6</v>
      </c>
      <c r="BL311">
        <f>VLOOKUP($B311,[1]Data_Peer_with_peerVars!$B$2:$Z$1050,24,FALSE)</f>
        <v>5</v>
      </c>
      <c r="BM311">
        <f>VLOOKUP($B311,[1]Data_Peer_with_peerVars!$B$2:$Z$1050,25,FALSE)</f>
        <v>0.83333333300000001</v>
      </c>
    </row>
    <row r="312" spans="1:65" x14ac:dyDescent="0.2">
      <c r="A312">
        <v>1</v>
      </c>
      <c r="B312" t="s">
        <v>557</v>
      </c>
      <c r="C312">
        <v>155</v>
      </c>
      <c r="D312" t="s">
        <v>155</v>
      </c>
      <c r="E312">
        <v>0</v>
      </c>
      <c r="F312" s="14" t="s">
        <v>82</v>
      </c>
      <c r="G312" s="14" t="s">
        <v>82</v>
      </c>
      <c r="H312" s="1">
        <v>6</v>
      </c>
      <c r="I312" t="s">
        <v>70</v>
      </c>
      <c r="J312" t="s">
        <v>71</v>
      </c>
      <c r="K312" t="s">
        <v>109</v>
      </c>
      <c r="L312">
        <v>1</v>
      </c>
      <c r="M312">
        <v>1</v>
      </c>
      <c r="N312">
        <v>0</v>
      </c>
      <c r="O312">
        <v>0</v>
      </c>
      <c r="P312">
        <v>0</v>
      </c>
      <c r="Q312">
        <v>6</v>
      </c>
      <c r="R312">
        <v>0</v>
      </c>
      <c r="S312">
        <v>0</v>
      </c>
      <c r="T312">
        <v>0</v>
      </c>
      <c r="U312">
        <v>0</v>
      </c>
      <c r="V312">
        <f t="shared" si="106"/>
        <v>1</v>
      </c>
      <c r="W312">
        <v>1</v>
      </c>
      <c r="X312">
        <v>1</v>
      </c>
      <c r="Y312">
        <v>1</v>
      </c>
      <c r="Z312" t="s">
        <v>73</v>
      </c>
      <c r="AA312" s="5" t="s">
        <v>73</v>
      </c>
      <c r="AB312" s="5" t="s">
        <v>73</v>
      </c>
      <c r="AC312" t="s">
        <v>73</v>
      </c>
      <c r="AD312" t="s">
        <v>94</v>
      </c>
      <c r="AE312" s="5" t="s">
        <v>94</v>
      </c>
      <c r="AF312" t="s">
        <v>75</v>
      </c>
      <c r="AG312" t="s">
        <v>137</v>
      </c>
      <c r="AH312">
        <f t="shared" si="129"/>
        <v>8.0196400000000001E-2</v>
      </c>
      <c r="AI312">
        <f t="shared" si="130"/>
        <v>8.0196400000000001E-2</v>
      </c>
      <c r="AJ312">
        <f t="shared" si="107"/>
        <v>8.0196400000000001E-2</v>
      </c>
      <c r="AK312">
        <v>8.0196400000000001E-2</v>
      </c>
      <c r="AL312">
        <v>0.12472708</v>
      </c>
      <c r="AM312">
        <v>0.12972085</v>
      </c>
      <c r="AN312">
        <v>0.13891922000000001</v>
      </c>
      <c r="AO312">
        <v>91.980360000000005</v>
      </c>
      <c r="AP312">
        <v>87.527292000000003</v>
      </c>
      <c r="AQ312">
        <v>87.027914999999993</v>
      </c>
      <c r="AR312">
        <v>86.108078000000006</v>
      </c>
      <c r="AS312" t="b">
        <v>1</v>
      </c>
      <c r="AT312" t="b">
        <v>0</v>
      </c>
      <c r="AU312" t="s">
        <v>77</v>
      </c>
      <c r="AV312" t="s">
        <v>78</v>
      </c>
      <c r="AW312" t="s">
        <v>79</v>
      </c>
      <c r="AX312" t="s">
        <v>233</v>
      </c>
      <c r="AY312" t="s">
        <v>233</v>
      </c>
      <c r="AZ312" t="s">
        <v>109</v>
      </c>
      <c r="BA312">
        <v>5</v>
      </c>
      <c r="BB312">
        <v>1.5</v>
      </c>
      <c r="BC312">
        <v>4.1163553999999996E-3</v>
      </c>
      <c r="BD312">
        <v>1.4279989108178799E-4</v>
      </c>
      <c r="BE312">
        <v>4.2591552910817903E-3</v>
      </c>
      <c r="BF312">
        <f>IF(AK312&lt;BE312,1,0)</f>
        <v>0</v>
      </c>
      <c r="BG312">
        <f>IF(AK312&lt;BC312,1,0)</f>
        <v>0</v>
      </c>
      <c r="BH312">
        <f>VLOOKUP($B312,[1]Data_Peer_with_peerVars!$B$2:$Z$1050,20,FALSE)</f>
        <v>6</v>
      </c>
      <c r="BI312">
        <f>VLOOKUP($B312,[1]Data_Peer_with_peerVars!$B$2:$Z$1050,21,FALSE)</f>
        <v>3</v>
      </c>
      <c r="BJ312">
        <f>VLOOKUP($B312,[1]Data_Peer_with_peerVars!$B$2:$Z$1050,22,FALSE)</f>
        <v>0.5</v>
      </c>
      <c r="BK312">
        <f>VLOOKUP($B312,[1]Data_Peer_with_peerVars!$B$2:$Z$1050,23,FALSE)</f>
        <v>42</v>
      </c>
      <c r="BL312">
        <f>VLOOKUP($B312,[1]Data_Peer_with_peerVars!$B$2:$Z$1050,24,FALSE)</f>
        <v>32</v>
      </c>
      <c r="BM312">
        <f>VLOOKUP($B312,[1]Data_Peer_with_peerVars!$B$2:$Z$1050,25,FALSE)</f>
        <v>0.76190476200000001</v>
      </c>
    </row>
    <row r="313" spans="1:65" x14ac:dyDescent="0.2">
      <c r="A313">
        <v>1</v>
      </c>
      <c r="B313" t="s">
        <v>558</v>
      </c>
      <c r="C313">
        <v>155</v>
      </c>
      <c r="D313" t="s">
        <v>155</v>
      </c>
      <c r="E313">
        <v>0</v>
      </c>
      <c r="F313" s="14" t="s">
        <v>82</v>
      </c>
      <c r="G313" s="14" t="s">
        <v>82</v>
      </c>
      <c r="H313" s="1">
        <v>6</v>
      </c>
      <c r="I313" t="s">
        <v>70</v>
      </c>
      <c r="J313" t="s">
        <v>71</v>
      </c>
      <c r="K313" t="s">
        <v>109</v>
      </c>
      <c r="L313">
        <v>1</v>
      </c>
      <c r="M313">
        <v>1</v>
      </c>
      <c r="N313">
        <v>0</v>
      </c>
      <c r="O313">
        <v>0</v>
      </c>
      <c r="P313">
        <v>0</v>
      </c>
      <c r="Q313">
        <v>6</v>
      </c>
      <c r="R313">
        <v>0</v>
      </c>
      <c r="S313">
        <v>0</v>
      </c>
      <c r="T313">
        <v>0</v>
      </c>
      <c r="U313">
        <v>0</v>
      </c>
      <c r="V313">
        <f t="shared" si="106"/>
        <v>1</v>
      </c>
      <c r="W313">
        <v>1</v>
      </c>
      <c r="X313">
        <v>1</v>
      </c>
      <c r="Y313">
        <v>1</v>
      </c>
      <c r="Z313" t="s">
        <v>76</v>
      </c>
      <c r="AA313" s="5" t="s">
        <v>76</v>
      </c>
      <c r="AB313" s="5" t="s">
        <v>76</v>
      </c>
      <c r="AC313" t="s">
        <v>76</v>
      </c>
      <c r="AD313" t="s">
        <v>74</v>
      </c>
      <c r="AE313" s="5" t="s">
        <v>241</v>
      </c>
      <c r="AF313" t="s">
        <v>75</v>
      </c>
      <c r="AG313" t="s">
        <v>120</v>
      </c>
      <c r="AH313">
        <f t="shared" si="129"/>
        <v>7.0530350000000006E-2</v>
      </c>
      <c r="AI313">
        <f t="shared" si="130"/>
        <v>7.0530350000000006E-2</v>
      </c>
      <c r="AJ313">
        <f t="shared" si="107"/>
        <v>7.0530350000000006E-2</v>
      </c>
      <c r="AK313">
        <v>7.0530350000000006E-2</v>
      </c>
      <c r="AL313">
        <v>7.1585300000000004E-2</v>
      </c>
      <c r="AM313">
        <v>0.11007667</v>
      </c>
      <c r="AN313">
        <v>0.11399672</v>
      </c>
      <c r="AO313">
        <v>92.946965000000006</v>
      </c>
      <c r="AP313">
        <v>92.841470000000001</v>
      </c>
      <c r="AQ313">
        <v>88.992333000000002</v>
      </c>
      <c r="AR313">
        <v>88.600328000000005</v>
      </c>
      <c r="AS313" t="b">
        <v>0</v>
      </c>
      <c r="AT313" t="b">
        <v>0</v>
      </c>
      <c r="AU313" t="s">
        <v>108</v>
      </c>
      <c r="AV313" t="s">
        <v>108</v>
      </c>
      <c r="AW313" t="s">
        <v>79</v>
      </c>
      <c r="AX313" t="s">
        <v>233</v>
      </c>
      <c r="AY313" t="s">
        <v>233</v>
      </c>
      <c r="AZ313" t="s">
        <v>109</v>
      </c>
      <c r="BA313">
        <v>3</v>
      </c>
      <c r="BB313">
        <v>1.5</v>
      </c>
      <c r="BC313">
        <v>7.7070764999999999E-2</v>
      </c>
      <c r="BD313">
        <v>1.90190515067399E-3</v>
      </c>
      <c r="BE313">
        <v>7.8972670150673996E-2</v>
      </c>
      <c r="BF313">
        <f>IF(AK313&lt;BE313,1,0)</f>
        <v>1</v>
      </c>
      <c r="BG313">
        <f>IF(AK313&lt;BC313,1,0)</f>
        <v>1</v>
      </c>
      <c r="BH313">
        <f>VLOOKUP($B313,[1]Data_Peer_with_peerVars!$B$2:$Z$1050,20,FALSE)</f>
        <v>6</v>
      </c>
      <c r="BI313">
        <f>VLOOKUP($B313,[1]Data_Peer_with_peerVars!$B$2:$Z$1050,21,FALSE)</f>
        <v>3</v>
      </c>
      <c r="BJ313">
        <f>VLOOKUP($B313,[1]Data_Peer_with_peerVars!$B$2:$Z$1050,22,FALSE)</f>
        <v>0.5</v>
      </c>
      <c r="BK313">
        <f>VLOOKUP($B313,[1]Data_Peer_with_peerVars!$B$2:$Z$1050,23,FALSE)</f>
        <v>42</v>
      </c>
      <c r="BL313">
        <f>VLOOKUP($B313,[1]Data_Peer_with_peerVars!$B$2:$Z$1050,24,FALSE)</f>
        <v>32</v>
      </c>
      <c r="BM313">
        <f>VLOOKUP($B313,[1]Data_Peer_with_peerVars!$B$2:$Z$1050,25,FALSE)</f>
        <v>0.76190476200000001</v>
      </c>
    </row>
    <row r="314" spans="1:65" x14ac:dyDescent="0.2">
      <c r="A314">
        <v>1</v>
      </c>
      <c r="B314" t="s">
        <v>559</v>
      </c>
      <c r="C314">
        <v>156</v>
      </c>
      <c r="D314" t="s">
        <v>155</v>
      </c>
      <c r="E314">
        <v>0</v>
      </c>
      <c r="F314" s="14" t="s">
        <v>82</v>
      </c>
      <c r="G314" s="14" t="s">
        <v>82</v>
      </c>
      <c r="H314" s="1">
        <v>4</v>
      </c>
      <c r="I314" t="s">
        <v>70</v>
      </c>
      <c r="J314" t="s">
        <v>71</v>
      </c>
      <c r="K314" t="s">
        <v>109</v>
      </c>
      <c r="L314">
        <v>1</v>
      </c>
      <c r="M314">
        <v>1</v>
      </c>
      <c r="N314">
        <v>0</v>
      </c>
      <c r="O314">
        <v>0</v>
      </c>
      <c r="P314">
        <v>0</v>
      </c>
      <c r="Q314">
        <v>6</v>
      </c>
      <c r="R314">
        <v>0</v>
      </c>
      <c r="S314">
        <v>0</v>
      </c>
      <c r="T314">
        <v>0</v>
      </c>
      <c r="U314">
        <v>0</v>
      </c>
      <c r="V314">
        <f t="shared" si="106"/>
        <v>1</v>
      </c>
      <c r="W314">
        <v>1</v>
      </c>
      <c r="X314">
        <v>1</v>
      </c>
      <c r="Y314">
        <v>1</v>
      </c>
      <c r="Z314" t="s">
        <v>73</v>
      </c>
      <c r="AA314" s="5" t="s">
        <v>73</v>
      </c>
      <c r="AB314" s="5" t="s">
        <v>73</v>
      </c>
      <c r="AC314" t="s">
        <v>73</v>
      </c>
      <c r="AD314" t="s">
        <v>94</v>
      </c>
      <c r="AE314" s="5" t="s">
        <v>94</v>
      </c>
      <c r="AF314" t="s">
        <v>75</v>
      </c>
      <c r="AG314" t="s">
        <v>95</v>
      </c>
      <c r="AH314">
        <f t="shared" si="129"/>
        <v>5.8647024999999998E-2</v>
      </c>
      <c r="AI314">
        <f t="shared" si="130"/>
        <v>5.8647024999999998E-2</v>
      </c>
      <c r="AJ314">
        <f t="shared" si="107"/>
        <v>5.8647024999999998E-2</v>
      </c>
      <c r="AK314">
        <v>5.8647024999999998E-2</v>
      </c>
      <c r="AL314">
        <v>0.1226106</v>
      </c>
      <c r="AM314">
        <v>0.1302682</v>
      </c>
      <c r="AN314">
        <v>0.14434116999999999</v>
      </c>
      <c r="AO314">
        <v>94.135297499999993</v>
      </c>
      <c r="AP314">
        <v>87.738939999999999</v>
      </c>
      <c r="AQ314">
        <v>86.973179999999999</v>
      </c>
      <c r="AR314">
        <v>85.565882999999999</v>
      </c>
      <c r="AS314" t="b">
        <v>1</v>
      </c>
      <c r="AT314" t="b">
        <v>0</v>
      </c>
      <c r="AU314" t="s">
        <v>77</v>
      </c>
      <c r="AV314" t="s">
        <v>78</v>
      </c>
      <c r="AW314" t="s">
        <v>79</v>
      </c>
      <c r="AX314" t="s">
        <v>233</v>
      </c>
      <c r="AY314" t="s">
        <v>233</v>
      </c>
      <c r="AZ314" t="s">
        <v>109</v>
      </c>
      <c r="BA314">
        <v>3</v>
      </c>
      <c r="BB314">
        <v>9</v>
      </c>
      <c r="BC314">
        <v>4.1163553999999996E-3</v>
      </c>
      <c r="BD314">
        <v>1.4279989108178799E-4</v>
      </c>
      <c r="BE314">
        <v>4.2591552910817903E-3</v>
      </c>
      <c r="BF314">
        <f>IF(AK314&lt;BE314,1,0)</f>
        <v>0</v>
      </c>
      <c r="BG314">
        <f>IF(AK314&lt;BC314,1,0)</f>
        <v>0</v>
      </c>
      <c r="BH314">
        <f>VLOOKUP($B314,[1]Data_Peer_with_peerVars!$B$2:$Z$1050,20,FALSE)</f>
        <v>0</v>
      </c>
      <c r="BI314">
        <f>VLOOKUP($B314,[1]Data_Peer_with_peerVars!$B$2:$Z$1050,21,FALSE)</f>
        <v>0</v>
      </c>
      <c r="BJ314">
        <v>0</v>
      </c>
      <c r="BK314">
        <f>VLOOKUP($B314,[1]Data_Peer_with_peerVars!$B$2:$Z$1050,23,FALSE)</f>
        <v>37</v>
      </c>
      <c r="BL314">
        <f>VLOOKUP($B314,[1]Data_Peer_with_peerVars!$B$2:$Z$1050,24,FALSE)</f>
        <v>28</v>
      </c>
      <c r="BM314">
        <f>VLOOKUP($B314,[1]Data_Peer_with_peerVars!$B$2:$Z$1050,25,FALSE)</f>
        <v>0.756756757</v>
      </c>
    </row>
    <row r="315" spans="1:65" x14ac:dyDescent="0.2">
      <c r="A315">
        <v>1</v>
      </c>
      <c r="B315" t="s">
        <v>560</v>
      </c>
      <c r="C315">
        <v>156</v>
      </c>
      <c r="D315" t="s">
        <v>155</v>
      </c>
      <c r="E315">
        <v>0</v>
      </c>
      <c r="F315" s="14" t="s">
        <v>82</v>
      </c>
      <c r="G315" s="14" t="s">
        <v>82</v>
      </c>
      <c r="H315" s="1">
        <v>4</v>
      </c>
      <c r="I315" t="s">
        <v>70</v>
      </c>
      <c r="J315" t="s">
        <v>71</v>
      </c>
      <c r="K315" t="s">
        <v>109</v>
      </c>
      <c r="L315">
        <v>1</v>
      </c>
      <c r="M315">
        <v>1</v>
      </c>
      <c r="N315">
        <v>0</v>
      </c>
      <c r="O315">
        <v>0</v>
      </c>
      <c r="P315">
        <v>0</v>
      </c>
      <c r="Q315">
        <v>6</v>
      </c>
      <c r="R315">
        <v>0</v>
      </c>
      <c r="S315">
        <v>0</v>
      </c>
      <c r="T315">
        <v>1</v>
      </c>
      <c r="U315">
        <v>1</v>
      </c>
      <c r="V315">
        <f t="shared" si="106"/>
        <v>0</v>
      </c>
      <c r="W315">
        <f t="shared" si="108"/>
        <v>0</v>
      </c>
      <c r="X315">
        <f t="shared" si="109"/>
        <v>0</v>
      </c>
      <c r="Y315">
        <f t="shared" si="110"/>
        <v>0</v>
      </c>
      <c r="Z315" t="s">
        <v>73</v>
      </c>
      <c r="AA315" s="5" t="s">
        <v>73</v>
      </c>
      <c r="AB315" s="5" t="s">
        <v>73</v>
      </c>
      <c r="AC315" t="s">
        <v>76</v>
      </c>
      <c r="AD315" t="s">
        <v>74</v>
      </c>
      <c r="AE315" s="5" t="s">
        <v>74</v>
      </c>
      <c r="AF315" t="s">
        <v>174</v>
      </c>
      <c r="AG315" t="s">
        <v>173</v>
      </c>
      <c r="AH315">
        <f t="shared" ref="AH315:AH319" si="131">AI315</f>
        <v>9.704757E-2</v>
      </c>
      <c r="AI315">
        <f t="shared" ref="AI315:AI319" si="132">AJ315</f>
        <v>9.704757E-2</v>
      </c>
      <c r="AJ315">
        <f t="shared" si="107"/>
        <v>9.704757E-2</v>
      </c>
      <c r="AK315">
        <v>9.704757E-2</v>
      </c>
      <c r="AL315">
        <v>0.10422381</v>
      </c>
      <c r="AM315">
        <v>0.10852924999999999</v>
      </c>
      <c r="AN315">
        <v>0.113264196</v>
      </c>
      <c r="AO315">
        <v>90.295242999999999</v>
      </c>
      <c r="AP315">
        <v>89.577618999999999</v>
      </c>
      <c r="AQ315">
        <v>89.147075000000001</v>
      </c>
      <c r="AR315">
        <v>88.673580400000006</v>
      </c>
      <c r="AS315" t="b">
        <v>0</v>
      </c>
      <c r="AT315" t="b">
        <v>0</v>
      </c>
      <c r="AU315" t="s">
        <v>77</v>
      </c>
      <c r="AV315" t="s">
        <v>78</v>
      </c>
      <c r="AW315" t="s">
        <v>79</v>
      </c>
      <c r="AX315" t="s">
        <v>233</v>
      </c>
      <c r="AY315" t="s">
        <v>233</v>
      </c>
      <c r="AZ315" t="s">
        <v>109</v>
      </c>
      <c r="BA315">
        <v>3</v>
      </c>
      <c r="BB315">
        <v>6</v>
      </c>
      <c r="BC315">
        <v>7.7070764999999999E-2</v>
      </c>
      <c r="BD315">
        <v>1.90190515067399E-3</v>
      </c>
      <c r="BE315">
        <v>7.8972670150673996E-2</v>
      </c>
      <c r="BF315">
        <f>IF(AK315&lt;BE315,1,0)</f>
        <v>0</v>
      </c>
      <c r="BG315">
        <f>IF(AK315&lt;BC315,1,0)</f>
        <v>0</v>
      </c>
    </row>
    <row r="316" spans="1:65" x14ac:dyDescent="0.2">
      <c r="A316">
        <v>1</v>
      </c>
      <c r="B316" t="s">
        <v>561</v>
      </c>
      <c r="C316">
        <v>157</v>
      </c>
      <c r="D316" t="s">
        <v>155</v>
      </c>
      <c r="E316">
        <v>0</v>
      </c>
      <c r="F316" s="14" t="s">
        <v>82</v>
      </c>
      <c r="G316" s="14" t="s">
        <v>82</v>
      </c>
      <c r="H316" s="1">
        <v>6</v>
      </c>
      <c r="I316" t="s">
        <v>70</v>
      </c>
      <c r="J316" t="s">
        <v>71</v>
      </c>
      <c r="K316" t="s">
        <v>72</v>
      </c>
      <c r="L316">
        <v>1</v>
      </c>
      <c r="M316">
        <v>1</v>
      </c>
      <c r="N316">
        <v>0</v>
      </c>
      <c r="O316">
        <v>0</v>
      </c>
      <c r="P316">
        <v>0</v>
      </c>
      <c r="Q316">
        <v>11</v>
      </c>
      <c r="R316">
        <v>1</v>
      </c>
      <c r="S316">
        <v>1</v>
      </c>
      <c r="T316">
        <v>1</v>
      </c>
      <c r="U316">
        <v>1</v>
      </c>
      <c r="V316">
        <f t="shared" si="106"/>
        <v>0</v>
      </c>
      <c r="W316">
        <f t="shared" si="108"/>
        <v>0</v>
      </c>
      <c r="X316">
        <f t="shared" si="109"/>
        <v>0</v>
      </c>
      <c r="Y316">
        <f t="shared" si="110"/>
        <v>0</v>
      </c>
      <c r="Z316" t="s">
        <v>177</v>
      </c>
      <c r="AA316" s="5" t="s">
        <v>107</v>
      </c>
      <c r="AB316" s="5" t="s">
        <v>107</v>
      </c>
      <c r="AC316" t="s">
        <v>107</v>
      </c>
      <c r="AD316" t="s">
        <v>95</v>
      </c>
      <c r="AE316" s="5" t="s">
        <v>95</v>
      </c>
      <c r="AF316" t="s">
        <v>74</v>
      </c>
      <c r="AG316" t="s">
        <v>173</v>
      </c>
      <c r="AH316">
        <f t="shared" si="131"/>
        <v>8.3425109999999997E-2</v>
      </c>
      <c r="AI316">
        <f t="shared" si="132"/>
        <v>8.3425109999999997E-2</v>
      </c>
      <c r="AJ316">
        <f t="shared" si="107"/>
        <v>8.3425109999999997E-2</v>
      </c>
      <c r="AK316">
        <v>8.3425109999999997E-2</v>
      </c>
      <c r="AL316">
        <v>0.11132491</v>
      </c>
      <c r="AM316">
        <v>0.11686879999999999</v>
      </c>
      <c r="AN316">
        <v>0.12040592999999999</v>
      </c>
      <c r="AO316">
        <v>91.657488999999998</v>
      </c>
      <c r="AP316">
        <v>88.867508999999998</v>
      </c>
      <c r="AQ316">
        <v>88.313119999999998</v>
      </c>
      <c r="AR316">
        <v>87.959406999999999</v>
      </c>
      <c r="AS316" t="b">
        <v>1</v>
      </c>
      <c r="AT316" t="b">
        <v>0</v>
      </c>
      <c r="AU316" t="s">
        <v>77</v>
      </c>
      <c r="AV316" t="s">
        <v>78</v>
      </c>
      <c r="AW316" t="s">
        <v>79</v>
      </c>
      <c r="AX316" t="s">
        <v>233</v>
      </c>
      <c r="AY316" t="s">
        <v>233</v>
      </c>
      <c r="AZ316" t="s">
        <v>72</v>
      </c>
      <c r="BA316" t="s">
        <v>82</v>
      </c>
      <c r="BB316">
        <v>0.25</v>
      </c>
      <c r="BC316">
        <v>2.6475456000000001E-2</v>
      </c>
      <c r="BD316">
        <v>8.8330364056477401E-3</v>
      </c>
      <c r="BE316">
        <v>3.53084924056477E-2</v>
      </c>
      <c r="BF316">
        <f>IF(AK316&lt;BE316,1,0)</f>
        <v>0</v>
      </c>
      <c r="BG316">
        <f>IF(AK316&lt;BC316,1,0)</f>
        <v>0</v>
      </c>
      <c r="BH316">
        <f>VLOOKUP($B316,[1]Data_Peer_with_peerVars!$B$2:$Z$1050,20,FALSE)</f>
        <v>7</v>
      </c>
      <c r="BI316">
        <f>VLOOKUP($B316,[1]Data_Peer_with_peerVars!$B$2:$Z$1050,21,FALSE)</f>
        <v>5</v>
      </c>
      <c r="BJ316">
        <f>VLOOKUP($B316,[1]Data_Peer_with_peerVars!$B$2:$Z$1050,22,FALSE)</f>
        <v>0.71428571399999996</v>
      </c>
      <c r="BK316">
        <f>VLOOKUP($B316,[1]Data_Peer_with_peerVars!$B$2:$Z$1050,23,FALSE)</f>
        <v>46</v>
      </c>
      <c r="BL316">
        <f>VLOOKUP($B316,[1]Data_Peer_with_peerVars!$B$2:$Z$1050,24,FALSE)</f>
        <v>35</v>
      </c>
      <c r="BM316">
        <f>VLOOKUP($B316,[1]Data_Peer_with_peerVars!$B$2:$Z$1050,25,FALSE)</f>
        <v>0.76086956500000003</v>
      </c>
    </row>
    <row r="317" spans="1:65" x14ac:dyDescent="0.2">
      <c r="A317">
        <v>1</v>
      </c>
      <c r="B317" t="s">
        <v>562</v>
      </c>
      <c r="C317">
        <v>157</v>
      </c>
      <c r="D317" t="s">
        <v>155</v>
      </c>
      <c r="E317">
        <v>0</v>
      </c>
      <c r="F317" s="14" t="s">
        <v>82</v>
      </c>
      <c r="G317" s="14" t="s">
        <v>82</v>
      </c>
      <c r="H317" s="1">
        <v>6</v>
      </c>
      <c r="I317" t="s">
        <v>70</v>
      </c>
      <c r="J317" t="s">
        <v>71</v>
      </c>
      <c r="K317" t="s">
        <v>72</v>
      </c>
      <c r="L317">
        <v>1</v>
      </c>
      <c r="M317">
        <v>1</v>
      </c>
      <c r="N317">
        <v>0</v>
      </c>
      <c r="O317">
        <v>0</v>
      </c>
      <c r="P317">
        <v>0</v>
      </c>
      <c r="Q317">
        <v>11</v>
      </c>
      <c r="R317">
        <v>0</v>
      </c>
      <c r="S317">
        <v>0</v>
      </c>
      <c r="T317">
        <v>1</v>
      </c>
      <c r="U317">
        <v>1</v>
      </c>
      <c r="V317">
        <f t="shared" si="106"/>
        <v>1</v>
      </c>
      <c r="W317">
        <v>1</v>
      </c>
      <c r="X317">
        <v>1</v>
      </c>
      <c r="Y317">
        <v>1</v>
      </c>
      <c r="Z317" t="s">
        <v>73</v>
      </c>
      <c r="AA317" s="5" t="s">
        <v>73</v>
      </c>
      <c r="AB317" s="5" t="s">
        <v>458</v>
      </c>
      <c r="AC317" t="s">
        <v>73</v>
      </c>
      <c r="AD317" t="s">
        <v>94</v>
      </c>
      <c r="AE317" s="5" t="s">
        <v>106</v>
      </c>
      <c r="AF317" t="s">
        <v>107</v>
      </c>
      <c r="AG317" t="s">
        <v>95</v>
      </c>
      <c r="AH317">
        <f t="shared" si="131"/>
        <v>4.3715849999999999E-3</v>
      </c>
      <c r="AI317">
        <f t="shared" si="132"/>
        <v>4.3715849999999999E-3</v>
      </c>
      <c r="AJ317">
        <f t="shared" si="107"/>
        <v>4.3715849999999999E-3</v>
      </c>
      <c r="AK317">
        <v>4.3715849999999999E-3</v>
      </c>
      <c r="AL317">
        <v>0.13143483</v>
      </c>
      <c r="AM317">
        <v>0.13653846</v>
      </c>
      <c r="AN317">
        <v>0.13898026999999999</v>
      </c>
      <c r="AO317">
        <v>99.562841500000005</v>
      </c>
      <c r="AP317">
        <v>86.856516999999997</v>
      </c>
      <c r="AQ317">
        <v>86.346153999999999</v>
      </c>
      <c r="AR317">
        <v>86.101973000000001</v>
      </c>
      <c r="AS317" t="b">
        <v>1</v>
      </c>
      <c r="AT317" t="b">
        <v>0</v>
      </c>
      <c r="AU317" t="s">
        <v>77</v>
      </c>
      <c r="AV317" t="s">
        <v>108</v>
      </c>
      <c r="AW317" t="s">
        <v>79</v>
      </c>
      <c r="AX317" t="s">
        <v>233</v>
      </c>
      <c r="AY317" t="s">
        <v>233</v>
      </c>
      <c r="AZ317" t="s">
        <v>109</v>
      </c>
      <c r="BA317">
        <v>2</v>
      </c>
      <c r="BB317">
        <v>2</v>
      </c>
      <c r="BC317">
        <v>4.1163553999999996E-3</v>
      </c>
      <c r="BD317">
        <v>1.4279989108178799E-4</v>
      </c>
      <c r="BE317">
        <v>4.2591552910817903E-3</v>
      </c>
      <c r="BF317">
        <f>IF(AK317&lt;BE317,1,0)</f>
        <v>0</v>
      </c>
      <c r="BG317">
        <f>IF(AK317&lt;BC317,1,0)</f>
        <v>0</v>
      </c>
      <c r="BH317">
        <f>VLOOKUP($B317,[1]Data_Peer_with_peerVars!$B$2:$Z$1050,20,FALSE)</f>
        <v>7</v>
      </c>
      <c r="BI317">
        <f>VLOOKUP($B317,[1]Data_Peer_with_peerVars!$B$2:$Z$1050,21,FALSE)</f>
        <v>5</v>
      </c>
      <c r="BJ317">
        <f>VLOOKUP($B317,[1]Data_Peer_with_peerVars!$B$2:$Z$1050,22,FALSE)</f>
        <v>0.71428571399999996</v>
      </c>
      <c r="BK317">
        <f>VLOOKUP($B317,[1]Data_Peer_with_peerVars!$B$2:$Z$1050,23,FALSE)</f>
        <v>46</v>
      </c>
      <c r="BL317">
        <f>VLOOKUP($B317,[1]Data_Peer_with_peerVars!$B$2:$Z$1050,24,FALSE)</f>
        <v>35</v>
      </c>
      <c r="BM317">
        <f>VLOOKUP($B317,[1]Data_Peer_with_peerVars!$B$2:$Z$1050,25,FALSE)</f>
        <v>0.76086956500000003</v>
      </c>
    </row>
    <row r="318" spans="1:65" x14ac:dyDescent="0.2">
      <c r="A318">
        <v>1</v>
      </c>
      <c r="B318" t="s">
        <v>563</v>
      </c>
      <c r="C318">
        <v>158</v>
      </c>
      <c r="D318" t="s">
        <v>155</v>
      </c>
      <c r="E318">
        <v>0</v>
      </c>
      <c r="F318" s="14" t="s">
        <v>82</v>
      </c>
      <c r="G318" s="14" t="s">
        <v>82</v>
      </c>
      <c r="H318" s="1">
        <v>6</v>
      </c>
      <c r="I318" t="s">
        <v>70</v>
      </c>
      <c r="J318" t="s">
        <v>71</v>
      </c>
      <c r="K318" t="s">
        <v>109</v>
      </c>
      <c r="L318">
        <v>1</v>
      </c>
      <c r="M318">
        <v>0</v>
      </c>
      <c r="N318">
        <v>0</v>
      </c>
      <c r="O318">
        <v>0</v>
      </c>
      <c r="P318">
        <v>1</v>
      </c>
      <c r="Q318">
        <v>6</v>
      </c>
      <c r="R318">
        <v>0</v>
      </c>
      <c r="S318">
        <v>0</v>
      </c>
      <c r="T318">
        <v>0</v>
      </c>
      <c r="U318">
        <v>0</v>
      </c>
      <c r="V318">
        <f t="shared" si="106"/>
        <v>1</v>
      </c>
      <c r="W318">
        <v>1</v>
      </c>
      <c r="X318">
        <v>1</v>
      </c>
      <c r="Y318">
        <v>1</v>
      </c>
      <c r="Z318" t="s">
        <v>73</v>
      </c>
      <c r="AA318" s="5" t="s">
        <v>73</v>
      </c>
      <c r="AB318" s="5" t="s">
        <v>73</v>
      </c>
      <c r="AC318" t="s">
        <v>73</v>
      </c>
      <c r="AD318" t="s">
        <v>137</v>
      </c>
      <c r="AE318" s="5" t="s">
        <v>137</v>
      </c>
      <c r="AF318" t="s">
        <v>103</v>
      </c>
      <c r="AG318" t="s">
        <v>113</v>
      </c>
      <c r="AH318">
        <f t="shared" si="131"/>
        <v>0.111504905</v>
      </c>
      <c r="AI318">
        <f t="shared" si="132"/>
        <v>0.111504905</v>
      </c>
      <c r="AJ318">
        <f t="shared" si="107"/>
        <v>0.111504905</v>
      </c>
      <c r="AK318">
        <v>0.111504905</v>
      </c>
      <c r="AL318">
        <v>0.14274017999999999</v>
      </c>
      <c r="AM318">
        <v>0.14887175999999999</v>
      </c>
      <c r="AN318">
        <v>0.15595827000000001</v>
      </c>
      <c r="AO318">
        <v>88.849509499999996</v>
      </c>
      <c r="AP318">
        <v>85.725982000000002</v>
      </c>
      <c r="AQ318">
        <v>85.112824000000003</v>
      </c>
      <c r="AR318">
        <v>84.404173</v>
      </c>
      <c r="AS318" t="b">
        <v>1</v>
      </c>
      <c r="AT318" t="b">
        <v>0</v>
      </c>
      <c r="AU318" t="s">
        <v>78</v>
      </c>
      <c r="AV318" t="s">
        <v>78</v>
      </c>
      <c r="AW318" t="s">
        <v>79</v>
      </c>
      <c r="AX318" t="s">
        <v>233</v>
      </c>
      <c r="AY318" t="s">
        <v>493</v>
      </c>
      <c r="AZ318" t="s">
        <v>109</v>
      </c>
      <c r="BA318">
        <v>5</v>
      </c>
      <c r="BB318">
        <v>2</v>
      </c>
      <c r="BC318">
        <v>4.1163553999999996E-3</v>
      </c>
      <c r="BD318">
        <v>1.4279989108178799E-4</v>
      </c>
      <c r="BE318">
        <v>4.2591552910817903E-3</v>
      </c>
      <c r="BF318">
        <f>IF(AK318&lt;BE318,1,0)</f>
        <v>0</v>
      </c>
      <c r="BG318">
        <f>IF(AK318&lt;BC318,1,0)</f>
        <v>0</v>
      </c>
    </row>
    <row r="319" spans="1:65" x14ac:dyDescent="0.2">
      <c r="A319">
        <v>1</v>
      </c>
      <c r="B319" t="s">
        <v>564</v>
      </c>
      <c r="C319">
        <v>158</v>
      </c>
      <c r="D319" t="s">
        <v>155</v>
      </c>
      <c r="E319">
        <v>0</v>
      </c>
      <c r="F319" s="14" t="s">
        <v>82</v>
      </c>
      <c r="G319" s="14" t="s">
        <v>82</v>
      </c>
      <c r="H319" s="1">
        <v>6</v>
      </c>
      <c r="I319" t="s">
        <v>70</v>
      </c>
      <c r="J319" t="s">
        <v>71</v>
      </c>
      <c r="K319" t="s">
        <v>109</v>
      </c>
      <c r="L319">
        <v>1</v>
      </c>
      <c r="M319">
        <v>0</v>
      </c>
      <c r="N319">
        <v>0</v>
      </c>
      <c r="O319">
        <v>0</v>
      </c>
      <c r="P319">
        <v>1</v>
      </c>
      <c r="Q319">
        <v>6</v>
      </c>
      <c r="R319">
        <v>0</v>
      </c>
      <c r="S319">
        <v>0</v>
      </c>
      <c r="T319">
        <v>0</v>
      </c>
      <c r="U319">
        <v>0</v>
      </c>
      <c r="V319">
        <f t="shared" si="106"/>
        <v>1</v>
      </c>
      <c r="W319">
        <v>1</v>
      </c>
      <c r="X319">
        <v>1</v>
      </c>
      <c r="Y319">
        <v>1</v>
      </c>
      <c r="Z319" t="s">
        <v>84</v>
      </c>
      <c r="AA319" s="5" t="s">
        <v>84</v>
      </c>
      <c r="AB319" s="5" t="s">
        <v>84</v>
      </c>
      <c r="AC319" t="s">
        <v>84</v>
      </c>
      <c r="AD319" t="s">
        <v>113</v>
      </c>
      <c r="AE319" s="5" t="s">
        <v>565</v>
      </c>
      <c r="AF319" t="s">
        <v>74</v>
      </c>
      <c r="AG319" t="s">
        <v>102</v>
      </c>
      <c r="AH319">
        <f t="shared" si="131"/>
        <v>0.12740253000000001</v>
      </c>
      <c r="AI319">
        <f t="shared" si="132"/>
        <v>0.12740253000000001</v>
      </c>
      <c r="AJ319">
        <f t="shared" si="107"/>
        <v>0.12740253000000001</v>
      </c>
      <c r="AK319">
        <v>0.12740253000000001</v>
      </c>
      <c r="AL319">
        <v>0.15530511999999999</v>
      </c>
      <c r="AM319">
        <v>0.15825562000000001</v>
      </c>
      <c r="AN319">
        <v>0.15911571999999999</v>
      </c>
      <c r="AO319">
        <v>87.259747000000004</v>
      </c>
      <c r="AP319">
        <v>84.469487999999998</v>
      </c>
      <c r="AQ319">
        <v>84.174437999999995</v>
      </c>
      <c r="AR319">
        <v>84.088427999999993</v>
      </c>
      <c r="AS319" t="b">
        <v>1</v>
      </c>
      <c r="AT319" t="b">
        <v>0</v>
      </c>
      <c r="AU319" t="s">
        <v>78</v>
      </c>
      <c r="AV319" t="s">
        <v>108</v>
      </c>
      <c r="AW319" t="s">
        <v>79</v>
      </c>
      <c r="AX319" t="s">
        <v>233</v>
      </c>
      <c r="AY319" t="s">
        <v>493</v>
      </c>
      <c r="AZ319" t="s">
        <v>109</v>
      </c>
      <c r="BA319">
        <v>7</v>
      </c>
      <c r="BB319">
        <v>1</v>
      </c>
      <c r="BC319">
        <v>4.6780407000000003E-2</v>
      </c>
      <c r="BD319">
        <v>6.0749635341231199E-3</v>
      </c>
      <c r="BE319">
        <v>5.2855370534123099E-2</v>
      </c>
      <c r="BF319">
        <f>IF(AK319&lt;BE319,1,0)</f>
        <v>0</v>
      </c>
      <c r="BG319">
        <f>IF(AK319&lt;BC319,1,0)</f>
        <v>0</v>
      </c>
    </row>
    <row r="320" spans="1:65" x14ac:dyDescent="0.2">
      <c r="A320">
        <v>1</v>
      </c>
      <c r="B320" t="s">
        <v>566</v>
      </c>
      <c r="C320">
        <v>158</v>
      </c>
      <c r="D320" t="s">
        <v>155</v>
      </c>
      <c r="E320">
        <v>0</v>
      </c>
      <c r="F320" s="14" t="s">
        <v>82</v>
      </c>
      <c r="G320" s="14" t="s">
        <v>82</v>
      </c>
      <c r="H320" s="1">
        <v>6</v>
      </c>
      <c r="I320" t="s">
        <v>70</v>
      </c>
      <c r="J320" t="s">
        <v>71</v>
      </c>
      <c r="K320" t="s">
        <v>109</v>
      </c>
      <c r="L320">
        <v>1</v>
      </c>
      <c r="M320">
        <v>0</v>
      </c>
      <c r="N320">
        <v>0</v>
      </c>
      <c r="O320">
        <v>0</v>
      </c>
      <c r="P320">
        <v>1</v>
      </c>
      <c r="Q320">
        <v>6</v>
      </c>
      <c r="R320">
        <v>0</v>
      </c>
      <c r="S320">
        <v>0</v>
      </c>
      <c r="T320">
        <v>0</v>
      </c>
      <c r="U320">
        <v>0</v>
      </c>
      <c r="V320">
        <f t="shared" si="106"/>
        <v>0</v>
      </c>
      <c r="W320">
        <f t="shared" si="108"/>
        <v>0</v>
      </c>
      <c r="X320">
        <f t="shared" si="109"/>
        <v>0</v>
      </c>
      <c r="Y320">
        <f t="shared" si="110"/>
        <v>0</v>
      </c>
      <c r="Z320" t="s">
        <v>76</v>
      </c>
      <c r="AA320" s="5" t="s">
        <v>76</v>
      </c>
      <c r="AB320" s="5" t="s">
        <v>76</v>
      </c>
      <c r="AC320" t="s">
        <v>84</v>
      </c>
      <c r="AD320" t="s">
        <v>113</v>
      </c>
      <c r="AE320" s="5" t="s">
        <v>113</v>
      </c>
      <c r="AF320" t="s">
        <v>74</v>
      </c>
      <c r="AG320" t="s">
        <v>75</v>
      </c>
      <c r="AH320">
        <f>AI320</f>
        <v>4.7003847000000001E-2</v>
      </c>
      <c r="AI320">
        <f t="shared" ref="AI320:AI321" si="133">AJ320</f>
        <v>4.7003847000000001E-2</v>
      </c>
      <c r="AJ320">
        <f t="shared" si="107"/>
        <v>4.7003847000000001E-2</v>
      </c>
      <c r="AK320">
        <v>4.7003847000000001E-2</v>
      </c>
      <c r="AL320">
        <v>0.12685746000000001</v>
      </c>
      <c r="AM320">
        <v>0.13846154999999999</v>
      </c>
      <c r="AN320">
        <v>0.14125067999999999</v>
      </c>
      <c r="AO320">
        <v>95.299615299999999</v>
      </c>
      <c r="AP320">
        <v>87.314254000000005</v>
      </c>
      <c r="AQ320">
        <v>86.153845000000004</v>
      </c>
      <c r="AR320">
        <v>85.874932000000001</v>
      </c>
      <c r="AS320" t="b">
        <v>0</v>
      </c>
      <c r="AT320" t="b">
        <v>0</v>
      </c>
      <c r="AU320" t="s">
        <v>77</v>
      </c>
      <c r="AV320" t="s">
        <v>78</v>
      </c>
      <c r="AW320" t="s">
        <v>79</v>
      </c>
      <c r="AX320" t="s">
        <v>233</v>
      </c>
      <c r="AY320" t="s">
        <v>493</v>
      </c>
      <c r="AZ320" t="s">
        <v>109</v>
      </c>
      <c r="BA320">
        <v>6</v>
      </c>
      <c r="BB320">
        <v>2</v>
      </c>
      <c r="BC320">
        <v>4.6780407000000003E-2</v>
      </c>
      <c r="BD320">
        <v>6.0749635341231199E-3</v>
      </c>
      <c r="BE320">
        <v>5.2855370534123099E-2</v>
      </c>
      <c r="BF320">
        <f>IF(AK320&lt;BE320,1,0)</f>
        <v>1</v>
      </c>
      <c r="BG320">
        <f>IF(AK320&lt;BC320,1,0)</f>
        <v>0</v>
      </c>
    </row>
    <row r="321" spans="1:65" x14ac:dyDescent="0.2">
      <c r="A321">
        <v>1</v>
      </c>
      <c r="B321" t="s">
        <v>567</v>
      </c>
      <c r="C321">
        <v>159</v>
      </c>
      <c r="D321" t="s">
        <v>155</v>
      </c>
      <c r="E321">
        <v>0</v>
      </c>
      <c r="F321" s="14" t="s">
        <v>82</v>
      </c>
      <c r="G321" s="14" t="s">
        <v>82</v>
      </c>
      <c r="H321" s="1">
        <v>3</v>
      </c>
      <c r="I321" t="s">
        <v>70</v>
      </c>
      <c r="J321" t="s">
        <v>71</v>
      </c>
      <c r="K321" t="s">
        <v>109</v>
      </c>
      <c r="L321">
        <v>1</v>
      </c>
      <c r="M321">
        <v>0</v>
      </c>
      <c r="N321">
        <v>0</v>
      </c>
      <c r="O321">
        <v>0</v>
      </c>
      <c r="P321">
        <v>1</v>
      </c>
      <c r="Q321">
        <v>6</v>
      </c>
      <c r="R321">
        <v>0</v>
      </c>
      <c r="S321">
        <v>0</v>
      </c>
      <c r="T321">
        <v>0</v>
      </c>
      <c r="U321">
        <v>0</v>
      </c>
      <c r="V321">
        <f t="shared" si="106"/>
        <v>0</v>
      </c>
      <c r="W321">
        <f t="shared" si="108"/>
        <v>1</v>
      </c>
      <c r="X321">
        <v>1</v>
      </c>
      <c r="Y321">
        <v>1</v>
      </c>
      <c r="Z321" t="s">
        <v>76</v>
      </c>
      <c r="AA321" s="5" t="s">
        <v>76</v>
      </c>
      <c r="AB321" s="5" t="s">
        <v>76</v>
      </c>
      <c r="AC321" t="s">
        <v>74</v>
      </c>
      <c r="AD321" t="s">
        <v>76</v>
      </c>
      <c r="AE321" s="5" t="s">
        <v>76</v>
      </c>
      <c r="AF321" t="s">
        <v>75</v>
      </c>
      <c r="AG321" t="s">
        <v>84</v>
      </c>
      <c r="AH321">
        <f t="shared" ref="AH321:AH322" si="134">AI321</f>
        <v>6.9589040000000005E-2</v>
      </c>
      <c r="AI321">
        <f t="shared" si="133"/>
        <v>6.9589040000000005E-2</v>
      </c>
      <c r="AJ321">
        <f>AL321</f>
        <v>6.9589040000000005E-2</v>
      </c>
      <c r="AK321">
        <v>5.3846154E-2</v>
      </c>
      <c r="AL321">
        <v>6.9589040000000005E-2</v>
      </c>
      <c r="AM321">
        <v>0.10340099</v>
      </c>
      <c r="AN321">
        <v>0.10533553</v>
      </c>
      <c r="AO321">
        <v>94.615384599999999</v>
      </c>
      <c r="AP321">
        <v>93.041095999999996</v>
      </c>
      <c r="AQ321">
        <v>89.659901000000005</v>
      </c>
      <c r="AR321">
        <v>89.466447000000002</v>
      </c>
      <c r="AS321" t="b">
        <v>0</v>
      </c>
      <c r="AT321" t="b">
        <v>1</v>
      </c>
      <c r="AU321" t="s">
        <v>77</v>
      </c>
      <c r="AV321" t="s">
        <v>77</v>
      </c>
      <c r="AW321" t="s">
        <v>79</v>
      </c>
      <c r="AX321" t="s">
        <v>233</v>
      </c>
      <c r="AY321" t="s">
        <v>526</v>
      </c>
      <c r="AZ321" t="s">
        <v>109</v>
      </c>
      <c r="BA321">
        <v>2</v>
      </c>
      <c r="BB321">
        <v>3</v>
      </c>
      <c r="BC321">
        <v>2.4738868000000001E-3</v>
      </c>
      <c r="BD321">
        <v>1.4256942275279999E-4</v>
      </c>
      <c r="BE321">
        <v>2.6164562227527998E-3</v>
      </c>
      <c r="BF321">
        <f>IF(AK321&lt;BE321,1,0)</f>
        <v>0</v>
      </c>
      <c r="BG321">
        <f>IF(AK321&lt;BC321,1,0)</f>
        <v>0</v>
      </c>
      <c r="BH321">
        <f>VLOOKUP($B321,[1]Data_Peer_with_peerVars!$B$2:$Z$1050,20,FALSE)</f>
        <v>9</v>
      </c>
      <c r="BI321">
        <f>VLOOKUP($B321,[1]Data_Peer_with_peerVars!$B$2:$Z$1050,21,FALSE)</f>
        <v>7</v>
      </c>
      <c r="BJ321">
        <f>VLOOKUP($B321,[1]Data_Peer_with_peerVars!$B$2:$Z$1050,22,FALSE)</f>
        <v>0.77777777800000003</v>
      </c>
      <c r="BK321">
        <f>VLOOKUP($B321,[1]Data_Peer_with_peerVars!$B$2:$Z$1050,23,FALSE)</f>
        <v>42</v>
      </c>
      <c r="BL321">
        <f>VLOOKUP($B321,[1]Data_Peer_with_peerVars!$B$2:$Z$1050,24,FALSE)</f>
        <v>31</v>
      </c>
      <c r="BM321">
        <f>VLOOKUP($B321,[1]Data_Peer_with_peerVars!$B$2:$Z$1050,25,FALSE)</f>
        <v>0.73809523799999999</v>
      </c>
    </row>
    <row r="322" spans="1:65" x14ac:dyDescent="0.2">
      <c r="A322">
        <v>1</v>
      </c>
      <c r="B322" t="s">
        <v>568</v>
      </c>
      <c r="C322">
        <v>160</v>
      </c>
      <c r="D322" t="s">
        <v>155</v>
      </c>
      <c r="E322">
        <v>0</v>
      </c>
      <c r="F322" s="14" t="s">
        <v>82</v>
      </c>
      <c r="G322" s="14" t="s">
        <v>82</v>
      </c>
      <c r="H322" s="1">
        <v>6</v>
      </c>
      <c r="I322" t="s">
        <v>70</v>
      </c>
      <c r="J322" t="s">
        <v>71</v>
      </c>
      <c r="K322" t="s">
        <v>72</v>
      </c>
      <c r="L322">
        <v>1</v>
      </c>
      <c r="M322">
        <v>0</v>
      </c>
      <c r="N322">
        <v>0</v>
      </c>
      <c r="O322">
        <v>0</v>
      </c>
      <c r="P322">
        <v>1</v>
      </c>
      <c r="Q322">
        <v>6</v>
      </c>
      <c r="R322">
        <v>0</v>
      </c>
      <c r="S322">
        <v>0</v>
      </c>
      <c r="T322">
        <v>0</v>
      </c>
      <c r="U322">
        <v>0</v>
      </c>
      <c r="V322">
        <f t="shared" si="106"/>
        <v>0</v>
      </c>
      <c r="W322">
        <f t="shared" si="108"/>
        <v>0</v>
      </c>
      <c r="X322">
        <f t="shared" si="109"/>
        <v>1</v>
      </c>
      <c r="Y322">
        <v>1</v>
      </c>
      <c r="Z322" t="s">
        <v>76</v>
      </c>
      <c r="AA322" s="5" t="s">
        <v>76</v>
      </c>
      <c r="AB322" s="5" t="s">
        <v>76</v>
      </c>
      <c r="AC322" t="s">
        <v>74</v>
      </c>
      <c r="AD322" t="s">
        <v>73</v>
      </c>
      <c r="AE322" s="5" t="s">
        <v>73</v>
      </c>
      <c r="AF322" t="s">
        <v>76</v>
      </c>
      <c r="AG322" t="s">
        <v>75</v>
      </c>
      <c r="AH322">
        <f t="shared" si="134"/>
        <v>0.111748636</v>
      </c>
      <c r="AI322">
        <f>AM322</f>
        <v>0.111748636</v>
      </c>
      <c r="AJ322">
        <f t="shared" si="107"/>
        <v>0.102796055</v>
      </c>
      <c r="AK322">
        <v>0.102796055</v>
      </c>
      <c r="AL322">
        <v>0.11074741</v>
      </c>
      <c r="AM322">
        <v>0.111748636</v>
      </c>
      <c r="AN322">
        <v>0.12643678</v>
      </c>
      <c r="AO322">
        <v>89.720394499999998</v>
      </c>
      <c r="AP322">
        <v>88.925258999999997</v>
      </c>
      <c r="AQ322">
        <v>88.825136400000005</v>
      </c>
      <c r="AR322">
        <v>87.356322000000006</v>
      </c>
      <c r="AS322" t="b">
        <v>0</v>
      </c>
      <c r="AT322" t="b">
        <v>0</v>
      </c>
      <c r="AU322" t="s">
        <v>78</v>
      </c>
      <c r="AV322" t="s">
        <v>78</v>
      </c>
      <c r="AW322" t="s">
        <v>79</v>
      </c>
      <c r="AX322" t="s">
        <v>233</v>
      </c>
      <c r="AY322" t="s">
        <v>526</v>
      </c>
      <c r="AZ322" t="s">
        <v>72</v>
      </c>
      <c r="BA322" t="s">
        <v>82</v>
      </c>
      <c r="BB322">
        <v>1</v>
      </c>
      <c r="BC322">
        <v>2.4738868000000001E-3</v>
      </c>
      <c r="BD322">
        <v>1.4256942275279999E-4</v>
      </c>
      <c r="BE322">
        <v>2.6164562227527998E-3</v>
      </c>
      <c r="BF322">
        <f>IF(AK322&lt;BE322,1,0)</f>
        <v>0</v>
      </c>
      <c r="BG322">
        <f>IF(AK322&lt;BC322,1,0)</f>
        <v>0</v>
      </c>
    </row>
    <row r="323" spans="1:65" x14ac:dyDescent="0.2">
      <c r="A323">
        <v>1</v>
      </c>
      <c r="B323" t="s">
        <v>569</v>
      </c>
      <c r="C323">
        <v>160</v>
      </c>
      <c r="D323" t="s">
        <v>155</v>
      </c>
      <c r="E323">
        <v>0</v>
      </c>
      <c r="F323" s="14" t="s">
        <v>82</v>
      </c>
      <c r="G323" s="14" t="s">
        <v>82</v>
      </c>
      <c r="H323" s="1">
        <v>6</v>
      </c>
      <c r="I323" t="s">
        <v>70</v>
      </c>
      <c r="J323" t="s">
        <v>71</v>
      </c>
      <c r="K323" t="s">
        <v>72</v>
      </c>
      <c r="L323">
        <v>1</v>
      </c>
      <c r="M323">
        <v>0</v>
      </c>
      <c r="N323">
        <v>0</v>
      </c>
      <c r="O323">
        <v>0</v>
      </c>
      <c r="P323">
        <v>1</v>
      </c>
      <c r="Q323">
        <v>6</v>
      </c>
      <c r="R323">
        <v>1</v>
      </c>
      <c r="S323">
        <v>1</v>
      </c>
      <c r="T323">
        <v>1</v>
      </c>
      <c r="U323">
        <v>1</v>
      </c>
      <c r="V323">
        <f t="shared" ref="V323:V386" si="135">IF(Z323=AC323,1,0)</f>
        <v>0</v>
      </c>
      <c r="W323">
        <f t="shared" ref="W323:W386" si="136">IF(Z323=AD323,1,0)</f>
        <v>0</v>
      </c>
      <c r="X323">
        <f t="shared" si="109"/>
        <v>0</v>
      </c>
      <c r="Y323">
        <f t="shared" ref="Y323:Y386" si="137">IF(Z323=AG323,1,0)</f>
        <v>0</v>
      </c>
      <c r="Z323" t="s">
        <v>177</v>
      </c>
      <c r="AA323" s="5" t="s">
        <v>107</v>
      </c>
      <c r="AB323" s="5" t="s">
        <v>107</v>
      </c>
      <c r="AC323" t="s">
        <v>107</v>
      </c>
      <c r="AD323" t="s">
        <v>95</v>
      </c>
      <c r="AE323" s="5" t="s">
        <v>95</v>
      </c>
      <c r="AF323" t="s">
        <v>173</v>
      </c>
      <c r="AG323" t="s">
        <v>174</v>
      </c>
      <c r="AH323">
        <f>AI323</f>
        <v>9.320175E-3</v>
      </c>
      <c r="AI323">
        <f>AJ323</f>
        <v>9.320175E-3</v>
      </c>
      <c r="AJ323">
        <f t="shared" ref="AJ323:AJ386" si="138">AK323</f>
        <v>9.320175E-3</v>
      </c>
      <c r="AK323">
        <v>9.320175E-3</v>
      </c>
      <c r="AL323">
        <v>7.7302634999999995E-2</v>
      </c>
      <c r="AM323">
        <v>9.4365425000000003E-2</v>
      </c>
      <c r="AN323">
        <v>9.7861840000000005E-2</v>
      </c>
      <c r="AO323">
        <v>99.067982499999999</v>
      </c>
      <c r="AP323">
        <v>92.269736499999993</v>
      </c>
      <c r="AQ323">
        <v>90.563457499999998</v>
      </c>
      <c r="AR323">
        <v>90.213815999999994</v>
      </c>
      <c r="AS323" t="b">
        <v>1</v>
      </c>
      <c r="AT323" t="b">
        <v>0</v>
      </c>
      <c r="AU323" t="s">
        <v>77</v>
      </c>
      <c r="AV323" t="s">
        <v>77</v>
      </c>
      <c r="AW323" t="s">
        <v>79</v>
      </c>
      <c r="AX323" t="s">
        <v>233</v>
      </c>
      <c r="AY323" t="s">
        <v>526</v>
      </c>
      <c r="AZ323" t="s">
        <v>72</v>
      </c>
      <c r="BA323" t="s">
        <v>82</v>
      </c>
      <c r="BB323">
        <v>0.25</v>
      </c>
      <c r="BC323">
        <v>2.6475456000000001E-2</v>
      </c>
      <c r="BD323">
        <v>8.8330364056477401E-3</v>
      </c>
      <c r="BE323">
        <v>3.53084924056477E-2</v>
      </c>
      <c r="BF323">
        <f>IF(AK323&lt;BE323,1,0)</f>
        <v>1</v>
      </c>
      <c r="BG323">
        <f>IF(AK323&lt;BC323,1,0)</f>
        <v>1</v>
      </c>
    </row>
    <row r="324" spans="1:65" x14ac:dyDescent="0.2">
      <c r="A324">
        <v>1</v>
      </c>
      <c r="B324" t="s">
        <v>570</v>
      </c>
      <c r="C324">
        <v>160</v>
      </c>
      <c r="D324" t="s">
        <v>155</v>
      </c>
      <c r="E324">
        <v>0</v>
      </c>
      <c r="F324" s="14" t="s">
        <v>82</v>
      </c>
      <c r="G324" s="14" t="s">
        <v>82</v>
      </c>
      <c r="H324" s="1">
        <v>6</v>
      </c>
      <c r="I324" t="s">
        <v>70</v>
      </c>
      <c r="J324" t="s">
        <v>71</v>
      </c>
      <c r="K324" t="s">
        <v>72</v>
      </c>
      <c r="L324">
        <v>1</v>
      </c>
      <c r="M324">
        <v>0</v>
      </c>
      <c r="N324">
        <v>0</v>
      </c>
      <c r="O324">
        <v>0</v>
      </c>
      <c r="P324">
        <v>1</v>
      </c>
      <c r="Q324">
        <v>6</v>
      </c>
      <c r="R324">
        <v>0</v>
      </c>
      <c r="S324">
        <v>0</v>
      </c>
      <c r="T324">
        <v>0</v>
      </c>
      <c r="U324">
        <v>0</v>
      </c>
      <c r="V324">
        <f t="shared" si="135"/>
        <v>1</v>
      </c>
      <c r="W324">
        <v>1</v>
      </c>
      <c r="X324">
        <v>1</v>
      </c>
      <c r="Y324">
        <v>1</v>
      </c>
      <c r="Z324" t="s">
        <v>73</v>
      </c>
      <c r="AA324" s="5" t="s">
        <v>73</v>
      </c>
      <c r="AB324" s="5" t="s">
        <v>73</v>
      </c>
      <c r="AC324" t="s">
        <v>73</v>
      </c>
      <c r="AD324" t="s">
        <v>94</v>
      </c>
      <c r="AE324" s="5" t="s">
        <v>94</v>
      </c>
      <c r="AF324" t="s">
        <v>75</v>
      </c>
      <c r="AG324" t="s">
        <v>95</v>
      </c>
      <c r="AH324">
        <f>AI324</f>
        <v>5.8984160000000001E-2</v>
      </c>
      <c r="AI324">
        <f>AJ324</f>
        <v>5.8984160000000001E-2</v>
      </c>
      <c r="AJ324">
        <f t="shared" si="138"/>
        <v>5.8984160000000001E-2</v>
      </c>
      <c r="AK324">
        <v>5.8984160000000001E-2</v>
      </c>
      <c r="AL324">
        <v>0.12165117</v>
      </c>
      <c r="AM324">
        <v>0.13068493</v>
      </c>
      <c r="AN324">
        <v>0.13957306999999999</v>
      </c>
      <c r="AO324">
        <v>94.101584000000003</v>
      </c>
      <c r="AP324">
        <v>87.834883000000005</v>
      </c>
      <c r="AQ324">
        <v>86.931506999999996</v>
      </c>
      <c r="AR324">
        <v>86.042693</v>
      </c>
      <c r="AS324" t="b">
        <v>1</v>
      </c>
      <c r="AT324" t="b">
        <v>0</v>
      </c>
      <c r="AU324" t="s">
        <v>77</v>
      </c>
      <c r="AV324" t="s">
        <v>78</v>
      </c>
      <c r="AW324" t="s">
        <v>79</v>
      </c>
      <c r="AX324" t="s">
        <v>233</v>
      </c>
      <c r="AY324" t="s">
        <v>526</v>
      </c>
      <c r="AZ324" t="s">
        <v>72</v>
      </c>
      <c r="BA324" t="s">
        <v>82</v>
      </c>
      <c r="BB324">
        <v>2</v>
      </c>
      <c r="BC324">
        <v>4.1163553999999996E-3</v>
      </c>
      <c r="BD324">
        <v>1.4279989108178799E-4</v>
      </c>
      <c r="BE324">
        <v>4.2591552910817903E-3</v>
      </c>
      <c r="BF324">
        <f>IF(AK324&lt;BE324,1,0)</f>
        <v>0</v>
      </c>
      <c r="BG324">
        <f>IF(AK324&lt;BC324,1,0)</f>
        <v>0</v>
      </c>
    </row>
    <row r="325" spans="1:65" x14ac:dyDescent="0.2">
      <c r="A325">
        <v>1</v>
      </c>
      <c r="B325" t="s">
        <v>571</v>
      </c>
      <c r="C325">
        <v>162</v>
      </c>
      <c r="D325" t="s">
        <v>68</v>
      </c>
      <c r="E325">
        <v>1</v>
      </c>
      <c r="F325">
        <v>250</v>
      </c>
      <c r="G325" t="s">
        <v>69</v>
      </c>
      <c r="H325" s="1">
        <v>7</v>
      </c>
      <c r="I325" t="s">
        <v>70</v>
      </c>
      <c r="J325" t="s">
        <v>71</v>
      </c>
      <c r="K325" t="s">
        <v>109</v>
      </c>
      <c r="L325">
        <v>1</v>
      </c>
      <c r="M325">
        <v>1</v>
      </c>
      <c r="N325">
        <v>1</v>
      </c>
      <c r="O325">
        <v>1</v>
      </c>
      <c r="P325">
        <v>0</v>
      </c>
      <c r="Q325">
        <v>6</v>
      </c>
      <c r="R325">
        <v>0</v>
      </c>
      <c r="S325">
        <v>0</v>
      </c>
      <c r="T325">
        <v>0</v>
      </c>
      <c r="U325">
        <v>0</v>
      </c>
      <c r="V325">
        <f t="shared" si="135"/>
        <v>0</v>
      </c>
      <c r="W325">
        <f t="shared" si="136"/>
        <v>0</v>
      </c>
      <c r="X325">
        <f t="shared" ref="X325:X387" si="139">IF(Z325=AF325,1,0)</f>
        <v>0</v>
      </c>
      <c r="Y325">
        <f t="shared" si="137"/>
        <v>0</v>
      </c>
      <c r="Z325" t="s">
        <v>73</v>
      </c>
      <c r="AA325" s="5" t="s">
        <v>73</v>
      </c>
      <c r="AB325" s="5" t="s">
        <v>73</v>
      </c>
      <c r="AC325" t="s">
        <v>137</v>
      </c>
      <c r="AD325" t="s">
        <v>103</v>
      </c>
      <c r="AE325" s="5" t="s">
        <v>203</v>
      </c>
      <c r="AF325" t="s">
        <v>99</v>
      </c>
      <c r="AG325" t="s">
        <v>113</v>
      </c>
      <c r="AH325">
        <f t="shared" ref="AH325:AH336" si="140">AI325</f>
        <v>0.11150685</v>
      </c>
      <c r="AI325">
        <f t="shared" ref="AI325:AI331" si="141">AJ325</f>
        <v>0.11150685</v>
      </c>
      <c r="AJ325">
        <f t="shared" si="138"/>
        <v>0.11150685</v>
      </c>
      <c r="AK325">
        <v>0.11150685</v>
      </c>
      <c r="AL325">
        <v>0.113598675</v>
      </c>
      <c r="AM325">
        <v>0.1147677</v>
      </c>
      <c r="AN325">
        <v>0.122724764</v>
      </c>
      <c r="AO325">
        <v>88.849315000000004</v>
      </c>
      <c r="AP325">
        <v>88.640132500000007</v>
      </c>
      <c r="AQ325">
        <v>88.523229999999998</v>
      </c>
      <c r="AR325">
        <v>87.727523599999998</v>
      </c>
      <c r="AS325" t="b">
        <v>0</v>
      </c>
      <c r="AT325" t="b">
        <v>0</v>
      </c>
      <c r="AU325" t="s">
        <v>108</v>
      </c>
      <c r="AV325" t="s">
        <v>108</v>
      </c>
      <c r="AW325" t="s">
        <v>79</v>
      </c>
      <c r="AX325" t="s">
        <v>80</v>
      </c>
      <c r="AY325" t="s">
        <v>572</v>
      </c>
      <c r="AZ325" t="s">
        <v>109</v>
      </c>
      <c r="BA325">
        <v>2</v>
      </c>
      <c r="BB325">
        <v>0.7</v>
      </c>
      <c r="BC325">
        <v>5.4824560000000001E-2</v>
      </c>
      <c r="BD325">
        <v>2.68252196314279E-2</v>
      </c>
      <c r="BE325">
        <v>8.1649779631427902E-2</v>
      </c>
      <c r="BF325">
        <f>IF(AK325&lt;BE325,1,0)</f>
        <v>0</v>
      </c>
      <c r="BG325">
        <f>IF(AK325&lt;BC325,1,0)</f>
        <v>0</v>
      </c>
      <c r="BH325">
        <f>VLOOKUP($B325,[1]Data_Peer_with_peerVars!$B$2:$Z$1050,20,FALSE)</f>
        <v>12</v>
      </c>
      <c r="BI325">
        <f>VLOOKUP($B325,[1]Data_Peer_with_peerVars!$B$2:$Z$1050,21,FALSE)</f>
        <v>9</v>
      </c>
      <c r="BJ325">
        <f>VLOOKUP($B325,[1]Data_Peer_with_peerVars!$B$2:$Z$1050,22,FALSE)</f>
        <v>0.75</v>
      </c>
      <c r="BK325">
        <f>VLOOKUP($B325,[1]Data_Peer_with_peerVars!$B$2:$Z$1050,23,FALSE)</f>
        <v>16</v>
      </c>
      <c r="BL325">
        <f>VLOOKUP($B325,[1]Data_Peer_with_peerVars!$B$2:$Z$1050,24,FALSE)</f>
        <v>13</v>
      </c>
      <c r="BM325">
        <f>VLOOKUP($B325,[1]Data_Peer_with_peerVars!$B$2:$Z$1050,25,FALSE)</f>
        <v>0.8125</v>
      </c>
    </row>
    <row r="326" spans="1:65" x14ac:dyDescent="0.2">
      <c r="A326">
        <v>1</v>
      </c>
      <c r="B326" t="s">
        <v>573</v>
      </c>
      <c r="C326">
        <v>162</v>
      </c>
      <c r="D326" t="s">
        <v>68</v>
      </c>
      <c r="E326">
        <v>1</v>
      </c>
      <c r="F326">
        <v>250</v>
      </c>
      <c r="G326" t="s">
        <v>69</v>
      </c>
      <c r="H326" s="1">
        <v>7</v>
      </c>
      <c r="I326" t="s">
        <v>70</v>
      </c>
      <c r="J326" t="s">
        <v>71</v>
      </c>
      <c r="K326" t="s">
        <v>109</v>
      </c>
      <c r="L326">
        <v>1</v>
      </c>
      <c r="M326">
        <v>1</v>
      </c>
      <c r="N326">
        <v>1</v>
      </c>
      <c r="O326">
        <v>1</v>
      </c>
      <c r="P326">
        <v>0</v>
      </c>
      <c r="Q326">
        <v>6</v>
      </c>
      <c r="R326">
        <v>0</v>
      </c>
      <c r="S326">
        <v>0</v>
      </c>
      <c r="T326">
        <v>1</v>
      </c>
      <c r="U326">
        <v>1</v>
      </c>
      <c r="V326">
        <f t="shared" si="135"/>
        <v>0</v>
      </c>
      <c r="W326">
        <f t="shared" si="136"/>
        <v>0</v>
      </c>
      <c r="X326">
        <f t="shared" si="139"/>
        <v>0</v>
      </c>
      <c r="Y326">
        <f t="shared" si="137"/>
        <v>0</v>
      </c>
      <c r="Z326" t="s">
        <v>98</v>
      </c>
      <c r="AA326" s="5" t="s">
        <v>537</v>
      </c>
      <c r="AB326" s="5" t="s">
        <v>574</v>
      </c>
      <c r="AC326" t="s">
        <v>94</v>
      </c>
      <c r="AD326" t="s">
        <v>95</v>
      </c>
      <c r="AE326" s="5" t="s">
        <v>95</v>
      </c>
      <c r="AF326" t="s">
        <v>107</v>
      </c>
      <c r="AG326" t="s">
        <v>74</v>
      </c>
      <c r="AH326">
        <f t="shared" si="140"/>
        <v>1.5027323E-2</v>
      </c>
      <c r="AI326">
        <f t="shared" si="141"/>
        <v>1.5027323E-2</v>
      </c>
      <c r="AJ326">
        <f t="shared" si="138"/>
        <v>1.5027323E-2</v>
      </c>
      <c r="AK326">
        <v>1.5027323E-2</v>
      </c>
      <c r="AL326">
        <v>0.11022976</v>
      </c>
      <c r="AM326">
        <v>0.112664476</v>
      </c>
      <c r="AN326">
        <v>0.12781129999999999</v>
      </c>
      <c r="AO326">
        <v>98.497267699999995</v>
      </c>
      <c r="AP326">
        <v>88.977024</v>
      </c>
      <c r="AQ326">
        <v>88.733552399999994</v>
      </c>
      <c r="AR326">
        <v>87.218869999999995</v>
      </c>
      <c r="AS326" t="b">
        <v>0</v>
      </c>
      <c r="AT326" t="b">
        <v>0</v>
      </c>
      <c r="AU326" t="s">
        <v>77</v>
      </c>
      <c r="AV326" t="s">
        <v>78</v>
      </c>
      <c r="AW326" t="s">
        <v>79</v>
      </c>
      <c r="AX326" t="s">
        <v>80</v>
      </c>
      <c r="AY326" t="s">
        <v>572</v>
      </c>
      <c r="AZ326" t="s">
        <v>109</v>
      </c>
      <c r="BA326">
        <v>2</v>
      </c>
      <c r="BB326">
        <v>0.28000000000000003</v>
      </c>
      <c r="BC326">
        <v>1.6447369E-2</v>
      </c>
      <c r="BD326">
        <v>4.2236161269162102E-4</v>
      </c>
      <c r="BE326">
        <v>1.6869730612691598E-2</v>
      </c>
      <c r="BF326">
        <f>IF(AK326&lt;BE326,1,0)</f>
        <v>1</v>
      </c>
      <c r="BG326">
        <f>IF(AK326&lt;BC326,1,0)</f>
        <v>1</v>
      </c>
      <c r="BH326">
        <f>VLOOKUP($B326,[1]Data_Peer_with_peerVars!$B$2:$Z$1050,20,FALSE)</f>
        <v>12</v>
      </c>
      <c r="BI326">
        <f>VLOOKUP($B326,[1]Data_Peer_with_peerVars!$B$2:$Z$1050,21,FALSE)</f>
        <v>9</v>
      </c>
      <c r="BJ326">
        <f>VLOOKUP($B326,[1]Data_Peer_with_peerVars!$B$2:$Z$1050,22,FALSE)</f>
        <v>0.75</v>
      </c>
      <c r="BK326">
        <f>VLOOKUP($B326,[1]Data_Peer_with_peerVars!$B$2:$Z$1050,23,FALSE)</f>
        <v>16</v>
      </c>
      <c r="BL326">
        <f>VLOOKUP($B326,[1]Data_Peer_with_peerVars!$B$2:$Z$1050,24,FALSE)</f>
        <v>13</v>
      </c>
      <c r="BM326">
        <f>VLOOKUP($B326,[1]Data_Peer_with_peerVars!$B$2:$Z$1050,25,FALSE)</f>
        <v>0.8125</v>
      </c>
    </row>
    <row r="327" spans="1:65" x14ac:dyDescent="0.2">
      <c r="A327">
        <v>1</v>
      </c>
      <c r="B327" t="s">
        <v>575</v>
      </c>
      <c r="C327">
        <v>163</v>
      </c>
      <c r="D327" t="s">
        <v>68</v>
      </c>
      <c r="E327">
        <v>1</v>
      </c>
      <c r="F327">
        <v>252</v>
      </c>
      <c r="G327" t="s">
        <v>69</v>
      </c>
      <c r="H327" s="1">
        <v>7</v>
      </c>
      <c r="I327" t="s">
        <v>70</v>
      </c>
      <c r="J327" t="s">
        <v>71</v>
      </c>
      <c r="K327" t="s">
        <v>109</v>
      </c>
      <c r="L327">
        <v>1</v>
      </c>
      <c r="M327">
        <v>0</v>
      </c>
      <c r="N327">
        <v>1</v>
      </c>
      <c r="O327">
        <v>0</v>
      </c>
      <c r="P327">
        <v>0</v>
      </c>
      <c r="Q327">
        <v>6</v>
      </c>
      <c r="R327">
        <v>0</v>
      </c>
      <c r="S327">
        <v>0</v>
      </c>
      <c r="T327">
        <v>0</v>
      </c>
      <c r="U327">
        <v>0</v>
      </c>
      <c r="V327">
        <f t="shared" si="135"/>
        <v>0</v>
      </c>
      <c r="W327">
        <f t="shared" si="136"/>
        <v>0</v>
      </c>
      <c r="X327">
        <f t="shared" si="139"/>
        <v>0</v>
      </c>
      <c r="Y327">
        <f t="shared" si="137"/>
        <v>0</v>
      </c>
      <c r="Z327" t="s">
        <v>73</v>
      </c>
      <c r="AA327" s="5" t="s">
        <v>73</v>
      </c>
      <c r="AB327" s="5" t="s">
        <v>73</v>
      </c>
      <c r="AC327" t="s">
        <v>74</v>
      </c>
      <c r="AD327" t="s">
        <v>76</v>
      </c>
      <c r="AE327" s="5" t="s">
        <v>76</v>
      </c>
      <c r="AF327" t="s">
        <v>120</v>
      </c>
      <c r="AG327" t="s">
        <v>75</v>
      </c>
      <c r="AH327">
        <f t="shared" si="140"/>
        <v>8.5753425999999994E-2</v>
      </c>
      <c r="AI327">
        <f t="shared" si="141"/>
        <v>8.5753425999999994E-2</v>
      </c>
      <c r="AJ327">
        <f t="shared" si="138"/>
        <v>8.5753425999999994E-2</v>
      </c>
      <c r="AK327">
        <v>8.5753425999999994E-2</v>
      </c>
      <c r="AL327">
        <v>9.1206990000000002E-2</v>
      </c>
      <c r="AM327">
        <v>0.11796832</v>
      </c>
      <c r="AN327">
        <v>0.11898249399999999</v>
      </c>
      <c r="AO327">
        <v>91.424657400000001</v>
      </c>
      <c r="AP327">
        <v>90.879300999999998</v>
      </c>
      <c r="AQ327">
        <v>88.203168000000005</v>
      </c>
      <c r="AR327">
        <v>88.101750600000003</v>
      </c>
      <c r="AS327" t="b">
        <v>0</v>
      </c>
      <c r="AT327" t="b">
        <v>0</v>
      </c>
      <c r="AU327" t="s">
        <v>77</v>
      </c>
      <c r="AV327" t="s">
        <v>77</v>
      </c>
      <c r="AW327" t="s">
        <v>79</v>
      </c>
      <c r="AX327" t="s">
        <v>80</v>
      </c>
      <c r="AY327" t="s">
        <v>572</v>
      </c>
      <c r="AZ327" t="s">
        <v>109</v>
      </c>
      <c r="BA327">
        <v>8</v>
      </c>
      <c r="BB327">
        <v>0.1</v>
      </c>
      <c r="BC327">
        <v>2.4738868000000001E-3</v>
      </c>
      <c r="BD327">
        <v>1.4256942275279999E-4</v>
      </c>
      <c r="BE327">
        <v>2.6164562227527998E-3</v>
      </c>
      <c r="BF327">
        <f>IF(AK327&lt;BE327,1,0)</f>
        <v>0</v>
      </c>
      <c r="BG327">
        <f>IF(AK327&lt;BC327,1,0)</f>
        <v>0</v>
      </c>
      <c r="BH327">
        <f>VLOOKUP($B327,[1]Data_Peer_with_peerVars!$B$2:$Z$1050,20,FALSE)</f>
        <v>1</v>
      </c>
      <c r="BI327">
        <f>VLOOKUP($B327,[1]Data_Peer_with_peerVars!$B$2:$Z$1050,21,FALSE)</f>
        <v>0</v>
      </c>
      <c r="BJ327">
        <f>VLOOKUP($B327,[1]Data_Peer_with_peerVars!$B$2:$Z$1050,22,FALSE)</f>
        <v>0</v>
      </c>
      <c r="BK327">
        <f>VLOOKUP($B327,[1]Data_Peer_with_peerVars!$B$2:$Z$1050,23,FALSE)</f>
        <v>5</v>
      </c>
      <c r="BL327">
        <f>VLOOKUP($B327,[1]Data_Peer_with_peerVars!$B$2:$Z$1050,24,FALSE)</f>
        <v>4</v>
      </c>
      <c r="BM327">
        <f>VLOOKUP($B327,[1]Data_Peer_with_peerVars!$B$2:$Z$1050,25,FALSE)</f>
        <v>0.8</v>
      </c>
    </row>
    <row r="328" spans="1:65" x14ac:dyDescent="0.2">
      <c r="A328">
        <v>1</v>
      </c>
      <c r="B328" t="s">
        <v>576</v>
      </c>
      <c r="C328">
        <v>164</v>
      </c>
      <c r="D328" t="s">
        <v>68</v>
      </c>
      <c r="E328">
        <v>1</v>
      </c>
      <c r="F328">
        <v>839</v>
      </c>
      <c r="G328" t="s">
        <v>86</v>
      </c>
      <c r="H328" s="1">
        <v>7</v>
      </c>
      <c r="I328" t="s">
        <v>87</v>
      </c>
      <c r="J328" t="s">
        <v>150</v>
      </c>
      <c r="K328" t="s">
        <v>72</v>
      </c>
      <c r="L328">
        <v>1</v>
      </c>
      <c r="M328">
        <v>0</v>
      </c>
      <c r="N328">
        <v>1</v>
      </c>
      <c r="O328">
        <v>0</v>
      </c>
      <c r="P328">
        <v>0</v>
      </c>
      <c r="Q328">
        <v>6</v>
      </c>
      <c r="R328">
        <v>0</v>
      </c>
      <c r="S328">
        <v>0</v>
      </c>
      <c r="T328">
        <v>0</v>
      </c>
      <c r="U328">
        <v>0</v>
      </c>
      <c r="V328">
        <f t="shared" si="135"/>
        <v>0</v>
      </c>
      <c r="W328">
        <f t="shared" si="136"/>
        <v>0</v>
      </c>
      <c r="X328">
        <f t="shared" si="139"/>
        <v>0</v>
      </c>
      <c r="Y328">
        <f t="shared" si="137"/>
        <v>0</v>
      </c>
      <c r="Z328" t="s">
        <v>89</v>
      </c>
      <c r="AA328" s="5" t="s">
        <v>89</v>
      </c>
      <c r="AB328" s="5" t="s">
        <v>577</v>
      </c>
      <c r="AC328" t="s">
        <v>76</v>
      </c>
      <c r="AD328" t="s">
        <v>74</v>
      </c>
      <c r="AE328" s="5" t="s">
        <v>142</v>
      </c>
      <c r="AF328" t="s">
        <v>120</v>
      </c>
      <c r="AG328" t="s">
        <v>75</v>
      </c>
      <c r="AH328">
        <f t="shared" si="140"/>
        <v>8.2741670000000003E-2</v>
      </c>
      <c r="AI328">
        <f t="shared" si="141"/>
        <v>8.2741670000000003E-2</v>
      </c>
      <c r="AJ328">
        <f t="shared" si="138"/>
        <v>8.2741670000000003E-2</v>
      </c>
      <c r="AK328">
        <v>8.2741670000000003E-2</v>
      </c>
      <c r="AL328">
        <v>8.4383559999999996E-2</v>
      </c>
      <c r="AM328">
        <v>0.11851447</v>
      </c>
      <c r="AN328">
        <v>0.12089716</v>
      </c>
      <c r="AO328">
        <v>91.725832999999994</v>
      </c>
      <c r="AP328">
        <v>91.561644000000001</v>
      </c>
      <c r="AQ328">
        <v>88.148553000000007</v>
      </c>
      <c r="AR328">
        <v>87.910284000000004</v>
      </c>
      <c r="AS328" t="b">
        <v>0</v>
      </c>
      <c r="AT328" t="b">
        <v>0</v>
      </c>
      <c r="AU328" t="s">
        <v>92</v>
      </c>
      <c r="AV328" t="s">
        <v>92</v>
      </c>
      <c r="AW328" t="s">
        <v>79</v>
      </c>
      <c r="AX328" t="s">
        <v>80</v>
      </c>
      <c r="AY328" t="s">
        <v>572</v>
      </c>
      <c r="AZ328" t="s">
        <v>72</v>
      </c>
      <c r="BA328" t="s">
        <v>82</v>
      </c>
      <c r="BB328">
        <v>0.1</v>
      </c>
      <c r="BC328">
        <v>7.7070764999999999E-2</v>
      </c>
      <c r="BD328">
        <v>1.90190515067399E-3</v>
      </c>
      <c r="BE328">
        <v>7.8972670150673996E-2</v>
      </c>
      <c r="BF328">
        <f>IF(AK328&lt;BE328,1,0)</f>
        <v>0</v>
      </c>
      <c r="BG328">
        <f>IF(AK328&lt;BC328,1,0)</f>
        <v>0</v>
      </c>
      <c r="BH328">
        <f>VLOOKUP($B328,[1]Data_Peer_with_peerVars!$B$2:$Z$1050,20,FALSE)</f>
        <v>1</v>
      </c>
      <c r="BI328">
        <f>VLOOKUP($B328,[1]Data_Peer_with_peerVars!$B$2:$Z$1050,21,FALSE)</f>
        <v>0</v>
      </c>
      <c r="BJ328">
        <f>VLOOKUP($B328,[1]Data_Peer_with_peerVars!$B$2:$Z$1050,22,FALSE)</f>
        <v>0</v>
      </c>
      <c r="BK328">
        <f>VLOOKUP($B328,[1]Data_Peer_with_peerVars!$B$2:$Z$1050,23,FALSE)</f>
        <v>5</v>
      </c>
      <c r="BL328">
        <f>VLOOKUP($B328,[1]Data_Peer_with_peerVars!$B$2:$Z$1050,24,FALSE)</f>
        <v>4</v>
      </c>
      <c r="BM328">
        <f>VLOOKUP($B328,[1]Data_Peer_with_peerVars!$B$2:$Z$1050,25,FALSE)</f>
        <v>0.8</v>
      </c>
    </row>
    <row r="329" spans="1:65" x14ac:dyDescent="0.2">
      <c r="A329">
        <v>1</v>
      </c>
      <c r="B329" t="s">
        <v>578</v>
      </c>
      <c r="C329">
        <v>165</v>
      </c>
      <c r="D329" t="s">
        <v>68</v>
      </c>
      <c r="E329">
        <v>0</v>
      </c>
      <c r="F329">
        <v>206</v>
      </c>
      <c r="G329" t="s">
        <v>119</v>
      </c>
      <c r="H329" s="1">
        <v>7</v>
      </c>
      <c r="I329" t="s">
        <v>70</v>
      </c>
      <c r="J329" t="s">
        <v>71</v>
      </c>
      <c r="K329" t="s">
        <v>72</v>
      </c>
      <c r="L329">
        <v>1</v>
      </c>
      <c r="M329">
        <v>0</v>
      </c>
      <c r="N329">
        <v>0</v>
      </c>
      <c r="O329">
        <v>1</v>
      </c>
      <c r="P329">
        <v>0</v>
      </c>
      <c r="Q329">
        <v>6</v>
      </c>
      <c r="R329">
        <v>0</v>
      </c>
      <c r="S329">
        <v>0</v>
      </c>
      <c r="T329">
        <v>0</v>
      </c>
      <c r="U329">
        <v>0</v>
      </c>
      <c r="V329">
        <f t="shared" si="135"/>
        <v>0</v>
      </c>
      <c r="W329">
        <f t="shared" si="136"/>
        <v>0</v>
      </c>
      <c r="X329">
        <f t="shared" si="139"/>
        <v>0</v>
      </c>
      <c r="Y329">
        <f t="shared" si="137"/>
        <v>0</v>
      </c>
      <c r="Z329" t="s">
        <v>73</v>
      </c>
      <c r="AA329" s="5" t="s">
        <v>73</v>
      </c>
      <c r="AB329" s="5" t="s">
        <v>73</v>
      </c>
      <c r="AC329" t="s">
        <v>94</v>
      </c>
      <c r="AD329" t="s">
        <v>75</v>
      </c>
      <c r="AE329" s="5" t="s">
        <v>75</v>
      </c>
      <c r="AF329" t="s">
        <v>120</v>
      </c>
      <c r="AG329" t="s">
        <v>74</v>
      </c>
      <c r="AH329">
        <f t="shared" si="140"/>
        <v>0.10464480499999999</v>
      </c>
      <c r="AI329">
        <f t="shared" si="141"/>
        <v>0.10464480499999999</v>
      </c>
      <c r="AJ329">
        <f t="shared" si="138"/>
        <v>0.10464480499999999</v>
      </c>
      <c r="AK329">
        <v>0.10464480499999999</v>
      </c>
      <c r="AL329">
        <v>0.116986305</v>
      </c>
      <c r="AM329">
        <v>0.13074398000000001</v>
      </c>
      <c r="AN329">
        <v>0.13329675999999999</v>
      </c>
      <c r="AO329">
        <v>89.535519500000007</v>
      </c>
      <c r="AP329">
        <v>88.301369500000007</v>
      </c>
      <c r="AQ329">
        <v>86.925601999999998</v>
      </c>
      <c r="AR329">
        <v>86.670323999999994</v>
      </c>
      <c r="AS329" t="b">
        <v>0</v>
      </c>
      <c r="AT329" t="b">
        <v>0</v>
      </c>
      <c r="AU329" t="s">
        <v>78</v>
      </c>
      <c r="AV329" t="s">
        <v>78</v>
      </c>
      <c r="AW329" t="s">
        <v>79</v>
      </c>
      <c r="AX329" t="s">
        <v>80</v>
      </c>
      <c r="AY329" t="s">
        <v>579</v>
      </c>
      <c r="AZ329" t="s">
        <v>72</v>
      </c>
      <c r="BA329" t="s">
        <v>82</v>
      </c>
      <c r="BB329">
        <v>1.4</v>
      </c>
      <c r="BC329">
        <v>1.6447369E-2</v>
      </c>
      <c r="BD329">
        <v>4.2236161269162102E-4</v>
      </c>
      <c r="BE329">
        <v>1.6869730612691598E-2</v>
      </c>
      <c r="BF329">
        <f>IF(AK329&lt;BE329,1,0)</f>
        <v>0</v>
      </c>
      <c r="BG329">
        <f>IF(AK329&lt;BC329,1,0)</f>
        <v>0</v>
      </c>
      <c r="BH329">
        <f>VLOOKUP($B329,[1]Data_Peer_with_peerVars!$B$2:$Z$1050,20,FALSE)</f>
        <v>2</v>
      </c>
      <c r="BI329">
        <f>VLOOKUP($B329,[1]Data_Peer_with_peerVars!$B$2:$Z$1050,21,FALSE)</f>
        <v>2</v>
      </c>
      <c r="BJ329">
        <f>VLOOKUP($B329,[1]Data_Peer_with_peerVars!$B$2:$Z$1050,22,FALSE)</f>
        <v>1</v>
      </c>
      <c r="BK329">
        <f>VLOOKUP($B329,[1]Data_Peer_with_peerVars!$B$2:$Z$1050,23,FALSE)</f>
        <v>38</v>
      </c>
      <c r="BL329">
        <f>VLOOKUP($B329,[1]Data_Peer_with_peerVars!$B$2:$Z$1050,24,FALSE)</f>
        <v>25</v>
      </c>
      <c r="BM329">
        <f>VLOOKUP($B329,[1]Data_Peer_with_peerVars!$B$2:$Z$1050,25,FALSE)</f>
        <v>0.65789473700000001</v>
      </c>
    </row>
    <row r="330" spans="1:65" x14ac:dyDescent="0.2">
      <c r="A330">
        <v>1</v>
      </c>
      <c r="B330" t="s">
        <v>580</v>
      </c>
      <c r="C330">
        <v>165</v>
      </c>
      <c r="D330" t="s">
        <v>68</v>
      </c>
      <c r="E330">
        <v>0</v>
      </c>
      <c r="F330">
        <v>206</v>
      </c>
      <c r="G330" t="s">
        <v>119</v>
      </c>
      <c r="H330" s="1">
        <v>7</v>
      </c>
      <c r="I330" t="s">
        <v>70</v>
      </c>
      <c r="J330" t="s">
        <v>71</v>
      </c>
      <c r="K330" t="s">
        <v>72</v>
      </c>
      <c r="L330">
        <v>1</v>
      </c>
      <c r="M330">
        <v>0</v>
      </c>
      <c r="N330">
        <v>0</v>
      </c>
      <c r="O330">
        <v>1</v>
      </c>
      <c r="P330">
        <v>0</v>
      </c>
      <c r="Q330">
        <v>6</v>
      </c>
      <c r="R330">
        <v>0</v>
      </c>
      <c r="S330">
        <v>0</v>
      </c>
      <c r="T330">
        <v>0</v>
      </c>
      <c r="U330">
        <v>0</v>
      </c>
      <c r="V330">
        <f t="shared" si="135"/>
        <v>1</v>
      </c>
      <c r="W330">
        <v>1</v>
      </c>
      <c r="X330">
        <v>1</v>
      </c>
      <c r="Y330">
        <v>1</v>
      </c>
      <c r="Z330" t="s">
        <v>76</v>
      </c>
      <c r="AA330" s="5" t="s">
        <v>76</v>
      </c>
      <c r="AB330" s="5" t="s">
        <v>76</v>
      </c>
      <c r="AC330" t="s">
        <v>76</v>
      </c>
      <c r="AD330" t="s">
        <v>74</v>
      </c>
      <c r="AE330" s="5" t="s">
        <v>74</v>
      </c>
      <c r="AF330" t="s">
        <v>120</v>
      </c>
      <c r="AG330" t="s">
        <v>75</v>
      </c>
      <c r="AH330">
        <f t="shared" si="140"/>
        <v>7.9321660000000002E-2</v>
      </c>
      <c r="AI330">
        <f t="shared" si="141"/>
        <v>7.9321660000000002E-2</v>
      </c>
      <c r="AJ330">
        <f t="shared" si="138"/>
        <v>7.9321660000000002E-2</v>
      </c>
      <c r="AK330">
        <v>7.9321660000000002E-2</v>
      </c>
      <c r="AL330">
        <v>8.4248080000000003E-2</v>
      </c>
      <c r="AM330">
        <v>0.11624727</v>
      </c>
      <c r="AN330">
        <v>0.12109589</v>
      </c>
      <c r="AO330">
        <v>92.067834000000005</v>
      </c>
      <c r="AP330">
        <v>91.575192000000001</v>
      </c>
      <c r="AQ330">
        <v>88.375273000000007</v>
      </c>
      <c r="AR330">
        <v>87.890411</v>
      </c>
      <c r="AS330" t="b">
        <v>1</v>
      </c>
      <c r="AT330" t="b">
        <v>0</v>
      </c>
      <c r="AU330" t="s">
        <v>77</v>
      </c>
      <c r="AV330" t="s">
        <v>77</v>
      </c>
      <c r="AW330" t="s">
        <v>79</v>
      </c>
      <c r="AX330" t="s">
        <v>80</v>
      </c>
      <c r="AY330" t="s">
        <v>579</v>
      </c>
      <c r="AZ330" t="s">
        <v>109</v>
      </c>
      <c r="BA330">
        <v>2</v>
      </c>
      <c r="BB330">
        <v>3</v>
      </c>
      <c r="BC330">
        <v>7.7070764999999999E-2</v>
      </c>
      <c r="BD330">
        <v>1.90190515067399E-3</v>
      </c>
      <c r="BE330">
        <v>7.8972670150673996E-2</v>
      </c>
      <c r="BF330">
        <f>IF(AK330&lt;BE330,1,0)</f>
        <v>0</v>
      </c>
      <c r="BG330">
        <f>IF(AK330&lt;BC330,1,0)</f>
        <v>0</v>
      </c>
      <c r="BH330">
        <f>VLOOKUP($B330,[1]Data_Peer_with_peerVars!$B$2:$Z$1050,20,FALSE)</f>
        <v>2</v>
      </c>
      <c r="BI330">
        <f>VLOOKUP($B330,[1]Data_Peer_with_peerVars!$B$2:$Z$1050,21,FALSE)</f>
        <v>2</v>
      </c>
      <c r="BJ330">
        <f>VLOOKUP($B330,[1]Data_Peer_with_peerVars!$B$2:$Z$1050,22,FALSE)</f>
        <v>1</v>
      </c>
      <c r="BK330">
        <f>VLOOKUP($B330,[1]Data_Peer_with_peerVars!$B$2:$Z$1050,23,FALSE)</f>
        <v>38</v>
      </c>
      <c r="BL330">
        <f>VLOOKUP($B330,[1]Data_Peer_with_peerVars!$B$2:$Z$1050,24,FALSE)</f>
        <v>25</v>
      </c>
      <c r="BM330">
        <f>VLOOKUP($B330,[1]Data_Peer_with_peerVars!$B$2:$Z$1050,25,FALSE)</f>
        <v>0.65789473700000001</v>
      </c>
    </row>
    <row r="331" spans="1:65" x14ac:dyDescent="0.2">
      <c r="A331">
        <v>1</v>
      </c>
      <c r="B331" t="s">
        <v>581</v>
      </c>
      <c r="C331">
        <v>166</v>
      </c>
      <c r="D331" t="s">
        <v>68</v>
      </c>
      <c r="E331">
        <v>0</v>
      </c>
      <c r="F331">
        <v>208</v>
      </c>
      <c r="G331" t="s">
        <v>119</v>
      </c>
      <c r="H331" s="1">
        <v>4.5</v>
      </c>
      <c r="I331" t="s">
        <v>87</v>
      </c>
      <c r="J331" t="s">
        <v>88</v>
      </c>
      <c r="L331">
        <v>1</v>
      </c>
      <c r="M331">
        <v>0</v>
      </c>
      <c r="N331">
        <v>0</v>
      </c>
      <c r="O331">
        <v>0</v>
      </c>
      <c r="P331">
        <v>0</v>
      </c>
      <c r="Q331">
        <v>11</v>
      </c>
      <c r="R331">
        <v>0</v>
      </c>
      <c r="S331">
        <v>0</v>
      </c>
      <c r="T331">
        <v>1</v>
      </c>
      <c r="U331">
        <v>1</v>
      </c>
      <c r="V331">
        <f t="shared" si="135"/>
        <v>1</v>
      </c>
      <c r="W331">
        <v>1</v>
      </c>
      <c r="X331">
        <v>1</v>
      </c>
      <c r="Y331">
        <v>1</v>
      </c>
      <c r="Z331" t="s">
        <v>73</v>
      </c>
      <c r="AA331" s="5" t="s">
        <v>73</v>
      </c>
      <c r="AB331" s="5" t="s">
        <v>73</v>
      </c>
      <c r="AC331" t="s">
        <v>73</v>
      </c>
      <c r="AD331" t="s">
        <v>94</v>
      </c>
      <c r="AE331" s="5" t="s">
        <v>106</v>
      </c>
      <c r="AF331" t="s">
        <v>107</v>
      </c>
      <c r="AG331" t="s">
        <v>95</v>
      </c>
      <c r="AH331">
        <f t="shared" si="140"/>
        <v>3.8230475000000002E-3</v>
      </c>
      <c r="AI331">
        <f t="shared" si="141"/>
        <v>3.8230475000000002E-3</v>
      </c>
      <c r="AJ331">
        <f t="shared" si="138"/>
        <v>3.8230475000000002E-3</v>
      </c>
      <c r="AK331">
        <v>3.8230475000000002E-3</v>
      </c>
      <c r="AL331">
        <v>0.13136289000000001</v>
      </c>
      <c r="AM331">
        <v>0.13646348</v>
      </c>
      <c r="AN331">
        <v>0.13890411</v>
      </c>
      <c r="AO331">
        <v>99.617695249999997</v>
      </c>
      <c r="AP331">
        <v>86.863710999999995</v>
      </c>
      <c r="AQ331">
        <v>86.353651999999997</v>
      </c>
      <c r="AR331">
        <v>86.109589</v>
      </c>
      <c r="AS331" t="b">
        <v>1</v>
      </c>
      <c r="AT331" t="b">
        <v>0</v>
      </c>
      <c r="AU331" t="s">
        <v>77</v>
      </c>
      <c r="AV331" t="s">
        <v>108</v>
      </c>
      <c r="AW331" t="s">
        <v>79</v>
      </c>
      <c r="AX331" t="s">
        <v>80</v>
      </c>
      <c r="AY331" t="s">
        <v>579</v>
      </c>
      <c r="AZ331" t="s">
        <v>89</v>
      </c>
      <c r="BA331" t="s">
        <v>82</v>
      </c>
      <c r="BB331">
        <v>2.8</v>
      </c>
      <c r="BC331">
        <v>4.1163553999999996E-3</v>
      </c>
      <c r="BD331">
        <v>1.4279989108178799E-4</v>
      </c>
      <c r="BE331">
        <v>4.2591552910817903E-3</v>
      </c>
      <c r="BF331">
        <f>IF(AK331&lt;BE331,1,0)</f>
        <v>1</v>
      </c>
      <c r="BG331">
        <f>IF(AK331&lt;BC331,1,0)</f>
        <v>1</v>
      </c>
      <c r="BH331">
        <f>VLOOKUP($B331,[1]Data_Peer_with_peerVars!$B$2:$Z$1050,20,FALSE)</f>
        <v>5</v>
      </c>
      <c r="BI331">
        <f>VLOOKUP($B331,[1]Data_Peer_with_peerVars!$B$2:$Z$1050,21,FALSE)</f>
        <v>2</v>
      </c>
      <c r="BJ331">
        <f>VLOOKUP($B331,[1]Data_Peer_with_peerVars!$B$2:$Z$1050,22,FALSE)</f>
        <v>0.4</v>
      </c>
      <c r="BK331">
        <f>VLOOKUP($B331,[1]Data_Peer_with_peerVars!$B$2:$Z$1050,23,FALSE)</f>
        <v>42</v>
      </c>
      <c r="BL331">
        <f>VLOOKUP($B331,[1]Data_Peer_with_peerVars!$B$2:$Z$1050,24,FALSE)</f>
        <v>22</v>
      </c>
      <c r="BM331">
        <f>VLOOKUP($B331,[1]Data_Peer_with_peerVars!$B$2:$Z$1050,25,FALSE)</f>
        <v>0.52380952400000003</v>
      </c>
    </row>
    <row r="332" spans="1:65" x14ac:dyDescent="0.2">
      <c r="A332">
        <v>1</v>
      </c>
      <c r="B332" t="s">
        <v>582</v>
      </c>
      <c r="C332">
        <v>166</v>
      </c>
      <c r="D332" t="s">
        <v>68</v>
      </c>
      <c r="E332">
        <v>0</v>
      </c>
      <c r="F332">
        <v>208</v>
      </c>
      <c r="G332" t="s">
        <v>119</v>
      </c>
      <c r="H332" s="1">
        <v>4.5</v>
      </c>
      <c r="I332" t="s">
        <v>87</v>
      </c>
      <c r="J332" t="s">
        <v>88</v>
      </c>
      <c r="L332">
        <v>1</v>
      </c>
      <c r="M332">
        <v>0</v>
      </c>
      <c r="N332">
        <v>0</v>
      </c>
      <c r="O332">
        <v>0</v>
      </c>
      <c r="P332">
        <v>0</v>
      </c>
      <c r="Q332">
        <v>11</v>
      </c>
      <c r="R332">
        <v>0</v>
      </c>
      <c r="S332">
        <v>0</v>
      </c>
      <c r="T332">
        <v>0</v>
      </c>
      <c r="U332">
        <v>0</v>
      </c>
      <c r="V332">
        <f t="shared" si="135"/>
        <v>0</v>
      </c>
      <c r="W332">
        <f t="shared" si="136"/>
        <v>1</v>
      </c>
      <c r="X332">
        <v>1</v>
      </c>
      <c r="Y332">
        <v>1</v>
      </c>
      <c r="Z332" t="s">
        <v>76</v>
      </c>
      <c r="AA332" s="5" t="s">
        <v>76</v>
      </c>
      <c r="AB332" s="5" t="s">
        <v>76</v>
      </c>
      <c r="AC332" t="s">
        <v>74</v>
      </c>
      <c r="AD332" t="s">
        <v>76</v>
      </c>
      <c r="AE332" s="5" t="s">
        <v>76</v>
      </c>
      <c r="AF332" t="s">
        <v>75</v>
      </c>
      <c r="AG332" t="s">
        <v>120</v>
      </c>
      <c r="AH332">
        <f t="shared" si="140"/>
        <v>8.557323E-2</v>
      </c>
      <c r="AI332">
        <f t="shared" ref="AI332:AI336" si="142">AJ332</f>
        <v>8.557323E-2</v>
      </c>
      <c r="AJ332">
        <f t="shared" ref="AJ332:AJ333" si="143">AL332</f>
        <v>8.557323E-2</v>
      </c>
      <c r="AK332">
        <v>4.2652721999999997E-2</v>
      </c>
      <c r="AL332">
        <v>8.557323E-2</v>
      </c>
      <c r="AM332">
        <v>9.9725276000000002E-2</v>
      </c>
      <c r="AN332">
        <v>0.10422381</v>
      </c>
      <c r="AO332">
        <v>95.734727800000002</v>
      </c>
      <c r="AP332">
        <v>91.442677000000003</v>
      </c>
      <c r="AQ332">
        <v>90.027472399999994</v>
      </c>
      <c r="AR332">
        <v>89.577618999999999</v>
      </c>
      <c r="AS332" t="b">
        <v>0</v>
      </c>
      <c r="AT332" t="b">
        <v>1</v>
      </c>
      <c r="AU332" t="s">
        <v>77</v>
      </c>
      <c r="AV332" t="s">
        <v>77</v>
      </c>
      <c r="AW332" t="s">
        <v>79</v>
      </c>
      <c r="AX332" t="s">
        <v>80</v>
      </c>
      <c r="AY332" t="s">
        <v>579</v>
      </c>
      <c r="AZ332" t="s">
        <v>72</v>
      </c>
      <c r="BA332" t="s">
        <v>82</v>
      </c>
      <c r="BB332">
        <v>2</v>
      </c>
      <c r="BC332">
        <v>2.4738868000000001E-3</v>
      </c>
      <c r="BD332">
        <v>1.4256942275279999E-4</v>
      </c>
      <c r="BE332">
        <v>2.6164562227527998E-3</v>
      </c>
      <c r="BF332">
        <f>IF(AK332&lt;BE332,1,0)</f>
        <v>0</v>
      </c>
      <c r="BG332">
        <f>IF(AK332&lt;BC332,1,0)</f>
        <v>0</v>
      </c>
      <c r="BH332">
        <f>VLOOKUP($B332,[1]Data_Peer_with_peerVars!$B$2:$Z$1050,20,FALSE)</f>
        <v>5</v>
      </c>
      <c r="BI332">
        <f>VLOOKUP($B332,[1]Data_Peer_with_peerVars!$B$2:$Z$1050,21,FALSE)</f>
        <v>2</v>
      </c>
      <c r="BJ332">
        <f>VLOOKUP($B332,[1]Data_Peer_with_peerVars!$B$2:$Z$1050,22,FALSE)</f>
        <v>0.4</v>
      </c>
      <c r="BK332">
        <f>VLOOKUP($B332,[1]Data_Peer_with_peerVars!$B$2:$Z$1050,23,FALSE)</f>
        <v>42</v>
      </c>
      <c r="BL332">
        <f>VLOOKUP($B332,[1]Data_Peer_with_peerVars!$B$2:$Z$1050,24,FALSE)</f>
        <v>22</v>
      </c>
      <c r="BM332">
        <f>VLOOKUP($B332,[1]Data_Peer_with_peerVars!$B$2:$Z$1050,25,FALSE)</f>
        <v>0.52380952400000003</v>
      </c>
    </row>
    <row r="333" spans="1:65" x14ac:dyDescent="0.2">
      <c r="A333">
        <v>1</v>
      </c>
      <c r="B333" t="s">
        <v>583</v>
      </c>
      <c r="C333">
        <v>167</v>
      </c>
      <c r="D333" t="s">
        <v>68</v>
      </c>
      <c r="E333">
        <v>0</v>
      </c>
      <c r="F333">
        <v>222</v>
      </c>
      <c r="G333" t="s">
        <v>119</v>
      </c>
      <c r="H333" s="1">
        <v>7</v>
      </c>
      <c r="I333" t="s">
        <v>70</v>
      </c>
      <c r="J333" t="s">
        <v>71</v>
      </c>
      <c r="K333" t="s">
        <v>109</v>
      </c>
      <c r="L333">
        <v>1</v>
      </c>
      <c r="M333">
        <v>0</v>
      </c>
      <c r="N333">
        <v>1</v>
      </c>
      <c r="O333">
        <v>1</v>
      </c>
      <c r="P333">
        <v>0</v>
      </c>
      <c r="Q333">
        <v>4</v>
      </c>
      <c r="R333">
        <v>0</v>
      </c>
      <c r="S333">
        <v>0</v>
      </c>
      <c r="T333">
        <v>0</v>
      </c>
      <c r="U333">
        <v>0</v>
      </c>
      <c r="V333">
        <f t="shared" si="135"/>
        <v>0</v>
      </c>
      <c r="W333">
        <f t="shared" si="136"/>
        <v>1</v>
      </c>
      <c r="X333">
        <v>1</v>
      </c>
      <c r="Y333">
        <v>1</v>
      </c>
      <c r="Z333" t="s">
        <v>76</v>
      </c>
      <c r="AA333" s="5" t="s">
        <v>76</v>
      </c>
      <c r="AB333" s="5" t="s">
        <v>76</v>
      </c>
      <c r="AC333" t="s">
        <v>74</v>
      </c>
      <c r="AD333" t="s">
        <v>76</v>
      </c>
      <c r="AE333" s="5" t="s">
        <v>584</v>
      </c>
      <c r="AF333" t="s">
        <v>75</v>
      </c>
      <c r="AG333" t="s">
        <v>120</v>
      </c>
      <c r="AH333">
        <f t="shared" si="140"/>
        <v>9.0884129999999994E-2</v>
      </c>
      <c r="AI333">
        <f t="shared" si="142"/>
        <v>9.0884129999999994E-2</v>
      </c>
      <c r="AJ333">
        <f t="shared" si="143"/>
        <v>9.0884129999999994E-2</v>
      </c>
      <c r="AK333">
        <v>1.26443105E-2</v>
      </c>
      <c r="AL333">
        <v>9.0884129999999994E-2</v>
      </c>
      <c r="AM333">
        <v>9.1483519999999999E-2</v>
      </c>
      <c r="AN333">
        <v>9.5721340000000002E-2</v>
      </c>
      <c r="AO333">
        <v>98.735568950000001</v>
      </c>
      <c r="AP333">
        <v>90.911586999999997</v>
      </c>
      <c r="AQ333">
        <v>90.851647999999997</v>
      </c>
      <c r="AR333">
        <v>90.427865999999995</v>
      </c>
      <c r="AS333" t="b">
        <v>0</v>
      </c>
      <c r="AT333" t="b">
        <v>0</v>
      </c>
      <c r="AU333" t="s">
        <v>77</v>
      </c>
      <c r="AV333" t="s">
        <v>108</v>
      </c>
      <c r="AW333" t="s">
        <v>79</v>
      </c>
      <c r="AX333" t="s">
        <v>80</v>
      </c>
      <c r="AY333" t="s">
        <v>579</v>
      </c>
      <c r="AZ333" t="s">
        <v>109</v>
      </c>
      <c r="BA333">
        <v>20</v>
      </c>
      <c r="BB333">
        <v>0.98</v>
      </c>
      <c r="BC333">
        <v>2.4738868000000001E-3</v>
      </c>
      <c r="BD333">
        <v>1.4256942275279999E-4</v>
      </c>
      <c r="BE333">
        <v>2.6164562227527998E-3</v>
      </c>
      <c r="BF333">
        <f>IF(AK333&lt;BE333,1,0)</f>
        <v>0</v>
      </c>
      <c r="BG333">
        <f>IF(AK333&lt;BC333,1,0)</f>
        <v>0</v>
      </c>
      <c r="BH333">
        <f>VLOOKUP($B333,[1]Data_Peer_with_peerVars!$B$2:$Z$1050,20,FALSE)</f>
        <v>4</v>
      </c>
      <c r="BI333">
        <f>VLOOKUP($B333,[1]Data_Peer_with_peerVars!$B$2:$Z$1050,21,FALSE)</f>
        <v>3</v>
      </c>
      <c r="BJ333">
        <f>VLOOKUP($B333,[1]Data_Peer_with_peerVars!$B$2:$Z$1050,22,FALSE)</f>
        <v>0.75</v>
      </c>
      <c r="BK333">
        <f>VLOOKUP($B333,[1]Data_Peer_with_peerVars!$B$2:$Z$1050,23,FALSE)</f>
        <v>35</v>
      </c>
      <c r="BL333">
        <f>VLOOKUP($B333,[1]Data_Peer_with_peerVars!$B$2:$Z$1050,24,FALSE)</f>
        <v>22</v>
      </c>
      <c r="BM333">
        <f>VLOOKUP($B333,[1]Data_Peer_with_peerVars!$B$2:$Z$1050,25,FALSE)</f>
        <v>0.62857142899999996</v>
      </c>
    </row>
    <row r="334" spans="1:65" x14ac:dyDescent="0.2">
      <c r="A334">
        <v>1</v>
      </c>
      <c r="B334" t="s">
        <v>585</v>
      </c>
      <c r="C334">
        <v>167</v>
      </c>
      <c r="D334" t="s">
        <v>68</v>
      </c>
      <c r="E334">
        <v>0</v>
      </c>
      <c r="F334">
        <v>222</v>
      </c>
      <c r="G334" t="s">
        <v>119</v>
      </c>
      <c r="H334" s="1">
        <v>7</v>
      </c>
      <c r="I334" t="s">
        <v>70</v>
      </c>
      <c r="J334" t="s">
        <v>71</v>
      </c>
      <c r="K334" t="s">
        <v>109</v>
      </c>
      <c r="L334">
        <v>1</v>
      </c>
      <c r="M334">
        <v>0</v>
      </c>
      <c r="N334">
        <v>1</v>
      </c>
      <c r="O334">
        <v>1</v>
      </c>
      <c r="P334">
        <v>0</v>
      </c>
      <c r="Q334">
        <v>4</v>
      </c>
      <c r="R334">
        <v>0</v>
      </c>
      <c r="S334">
        <v>0</v>
      </c>
      <c r="T334">
        <v>0</v>
      </c>
      <c r="U334">
        <v>0</v>
      </c>
      <c r="V334">
        <f t="shared" si="135"/>
        <v>1</v>
      </c>
      <c r="W334">
        <v>1</v>
      </c>
      <c r="X334">
        <v>1</v>
      </c>
      <c r="Y334">
        <v>1</v>
      </c>
      <c r="Z334" t="s">
        <v>73</v>
      </c>
      <c r="AA334" s="5" t="s">
        <v>73</v>
      </c>
      <c r="AB334" s="5" t="s">
        <v>73</v>
      </c>
      <c r="AC334" t="s">
        <v>73</v>
      </c>
      <c r="AD334" t="s">
        <v>94</v>
      </c>
      <c r="AE334" s="5" t="s">
        <v>106</v>
      </c>
      <c r="AF334" t="s">
        <v>75</v>
      </c>
      <c r="AG334" t="s">
        <v>95</v>
      </c>
      <c r="AH334">
        <f t="shared" si="140"/>
        <v>3.3551554999999997E-2</v>
      </c>
      <c r="AI334">
        <f t="shared" si="142"/>
        <v>3.3551554999999997E-2</v>
      </c>
      <c r="AJ334">
        <f t="shared" si="138"/>
        <v>3.3551554999999997E-2</v>
      </c>
      <c r="AK334">
        <v>3.3551554999999997E-2</v>
      </c>
      <c r="AL334">
        <v>0.13306011000000001</v>
      </c>
      <c r="AM334">
        <v>0.13992333000000001</v>
      </c>
      <c r="AN334">
        <v>0.14660830999999999</v>
      </c>
      <c r="AO334">
        <v>96.644844500000005</v>
      </c>
      <c r="AP334">
        <v>86.693989000000002</v>
      </c>
      <c r="AQ334">
        <v>86.007666999999998</v>
      </c>
      <c r="AR334">
        <v>85.339168999999998</v>
      </c>
      <c r="AS334" t="b">
        <v>1</v>
      </c>
      <c r="AT334" t="b">
        <v>0</v>
      </c>
      <c r="AU334" t="s">
        <v>77</v>
      </c>
      <c r="AV334" t="s">
        <v>108</v>
      </c>
      <c r="AW334" t="s">
        <v>79</v>
      </c>
      <c r="AX334" t="s">
        <v>80</v>
      </c>
      <c r="AY334" t="s">
        <v>579</v>
      </c>
      <c r="AZ334" t="s">
        <v>109</v>
      </c>
      <c r="BA334">
        <v>20</v>
      </c>
      <c r="BB334">
        <v>1.4</v>
      </c>
      <c r="BC334">
        <v>4.1163553999999996E-3</v>
      </c>
      <c r="BD334">
        <v>1.4279989108178799E-4</v>
      </c>
      <c r="BE334">
        <v>4.2591552910817903E-3</v>
      </c>
      <c r="BF334">
        <f>IF(AK334&lt;BE334,1,0)</f>
        <v>0</v>
      </c>
      <c r="BG334">
        <f>IF(AK334&lt;BC334,1,0)</f>
        <v>0</v>
      </c>
    </row>
    <row r="335" spans="1:65" x14ac:dyDescent="0.2">
      <c r="A335">
        <v>1</v>
      </c>
      <c r="B335" t="s">
        <v>586</v>
      </c>
      <c r="C335">
        <v>168</v>
      </c>
      <c r="D335" t="s">
        <v>68</v>
      </c>
      <c r="E335">
        <v>0</v>
      </c>
      <c r="F335">
        <v>232</v>
      </c>
      <c r="G335" t="s">
        <v>119</v>
      </c>
      <c r="H335" s="1">
        <v>5</v>
      </c>
      <c r="I335" t="s">
        <v>70</v>
      </c>
      <c r="J335" t="s">
        <v>71</v>
      </c>
      <c r="K335" t="s">
        <v>72</v>
      </c>
      <c r="L335">
        <v>1</v>
      </c>
      <c r="M335">
        <v>1</v>
      </c>
      <c r="N335">
        <v>0</v>
      </c>
      <c r="O335">
        <v>1</v>
      </c>
      <c r="P335">
        <v>0</v>
      </c>
      <c r="Q335">
        <v>6</v>
      </c>
      <c r="R335">
        <v>0</v>
      </c>
      <c r="S335">
        <v>0</v>
      </c>
      <c r="T335">
        <v>0</v>
      </c>
      <c r="U335">
        <v>0</v>
      </c>
      <c r="V335">
        <f t="shared" si="135"/>
        <v>1</v>
      </c>
      <c r="W335">
        <v>1</v>
      </c>
      <c r="X335">
        <v>1</v>
      </c>
      <c r="Y335">
        <v>1</v>
      </c>
      <c r="Z335" t="s">
        <v>76</v>
      </c>
      <c r="AA335" s="5" t="s">
        <v>76</v>
      </c>
      <c r="AB335" s="5" t="s">
        <v>76</v>
      </c>
      <c r="AC335" t="s">
        <v>76</v>
      </c>
      <c r="AD335" t="s">
        <v>74</v>
      </c>
      <c r="AE335" s="5" t="s">
        <v>74</v>
      </c>
      <c r="AF335" t="s">
        <v>120</v>
      </c>
      <c r="AG335" t="s">
        <v>75</v>
      </c>
      <c r="AH335">
        <f t="shared" si="140"/>
        <v>8.6386000000000004E-2</v>
      </c>
      <c r="AI335">
        <f t="shared" si="142"/>
        <v>8.6386000000000004E-2</v>
      </c>
      <c r="AJ335">
        <f t="shared" si="138"/>
        <v>8.6386000000000004E-2</v>
      </c>
      <c r="AK335">
        <v>8.6386000000000004E-2</v>
      </c>
      <c r="AL335">
        <v>9.2978604000000006E-2</v>
      </c>
      <c r="AM335">
        <v>0.12028431000000001</v>
      </c>
      <c r="AN335">
        <v>0.12294633000000001</v>
      </c>
      <c r="AO335">
        <v>91.361400000000003</v>
      </c>
      <c r="AP335">
        <v>90.702139599999995</v>
      </c>
      <c r="AQ335">
        <v>87.971569000000002</v>
      </c>
      <c r="AR335">
        <v>87.705366999999995</v>
      </c>
      <c r="AS335" t="b">
        <v>1</v>
      </c>
      <c r="AT335" t="b">
        <v>0</v>
      </c>
      <c r="AU335" t="s">
        <v>77</v>
      </c>
      <c r="AV335" t="s">
        <v>77</v>
      </c>
      <c r="AW335" t="s">
        <v>79</v>
      </c>
      <c r="AX335" t="s">
        <v>80</v>
      </c>
      <c r="AY335" t="s">
        <v>587</v>
      </c>
      <c r="AZ335" t="s">
        <v>72</v>
      </c>
      <c r="BA335" t="s">
        <v>82</v>
      </c>
      <c r="BB335">
        <v>2</v>
      </c>
      <c r="BC335">
        <v>7.7070764999999999E-2</v>
      </c>
      <c r="BD335">
        <v>1.90190515067399E-3</v>
      </c>
      <c r="BE335">
        <v>7.8972670150673996E-2</v>
      </c>
      <c r="BF335">
        <f>IF(AK335&lt;BE335,1,0)</f>
        <v>0</v>
      </c>
      <c r="BG335">
        <f>IF(AK335&lt;BC335,1,0)</f>
        <v>0</v>
      </c>
      <c r="BH335">
        <f>VLOOKUP($B335,[1]Data_Peer_with_peerVars!$B$2:$Z$1050,20,FALSE)</f>
        <v>0</v>
      </c>
      <c r="BI335">
        <f>VLOOKUP($B335,[1]Data_Peer_with_peerVars!$B$2:$Z$1050,21,FALSE)</f>
        <v>0</v>
      </c>
      <c r="BJ335">
        <v>0</v>
      </c>
      <c r="BK335">
        <f>VLOOKUP($B335,[1]Data_Peer_with_peerVars!$B$2:$Z$1050,23,FALSE)</f>
        <v>23</v>
      </c>
      <c r="BL335">
        <f>VLOOKUP($B335,[1]Data_Peer_with_peerVars!$B$2:$Z$1050,24,FALSE)</f>
        <v>17</v>
      </c>
      <c r="BM335">
        <f>VLOOKUP($B335,[1]Data_Peer_with_peerVars!$B$2:$Z$1050,25,FALSE)</f>
        <v>0.73913043499999997</v>
      </c>
    </row>
    <row r="336" spans="1:65" x14ac:dyDescent="0.2">
      <c r="A336">
        <v>1</v>
      </c>
      <c r="B336" t="s">
        <v>588</v>
      </c>
      <c r="C336">
        <v>168</v>
      </c>
      <c r="D336" t="s">
        <v>68</v>
      </c>
      <c r="E336">
        <v>0</v>
      </c>
      <c r="F336">
        <v>232</v>
      </c>
      <c r="G336" t="s">
        <v>119</v>
      </c>
      <c r="H336" s="1">
        <v>5</v>
      </c>
      <c r="I336" t="s">
        <v>70</v>
      </c>
      <c r="J336" t="s">
        <v>71</v>
      </c>
      <c r="K336" t="s">
        <v>72</v>
      </c>
      <c r="L336">
        <v>1</v>
      </c>
      <c r="M336">
        <v>1</v>
      </c>
      <c r="N336">
        <v>0</v>
      </c>
      <c r="O336">
        <v>1</v>
      </c>
      <c r="P336">
        <v>0</v>
      </c>
      <c r="Q336">
        <v>6</v>
      </c>
      <c r="R336">
        <v>0</v>
      </c>
      <c r="S336">
        <v>0</v>
      </c>
      <c r="T336">
        <v>1</v>
      </c>
      <c r="U336">
        <v>1</v>
      </c>
      <c r="V336">
        <f t="shared" si="135"/>
        <v>1</v>
      </c>
      <c r="W336">
        <v>1</v>
      </c>
      <c r="X336">
        <v>1</v>
      </c>
      <c r="Y336">
        <v>1</v>
      </c>
      <c r="Z336" t="s">
        <v>73</v>
      </c>
      <c r="AA336" s="5" t="s">
        <v>73</v>
      </c>
      <c r="AB336" s="5" t="s">
        <v>73</v>
      </c>
      <c r="AC336" t="s">
        <v>73</v>
      </c>
      <c r="AD336" t="s">
        <v>94</v>
      </c>
      <c r="AE336" s="5" t="s">
        <v>106</v>
      </c>
      <c r="AF336" t="s">
        <v>107</v>
      </c>
      <c r="AG336" t="s">
        <v>75</v>
      </c>
      <c r="AH336">
        <f t="shared" si="140"/>
        <v>2.7808070000000001E-2</v>
      </c>
      <c r="AI336">
        <f t="shared" si="142"/>
        <v>2.7808070000000001E-2</v>
      </c>
      <c r="AJ336">
        <f t="shared" si="138"/>
        <v>2.7808070000000001E-2</v>
      </c>
      <c r="AK336">
        <v>2.7808070000000001E-2</v>
      </c>
      <c r="AL336">
        <v>0.12971054000000001</v>
      </c>
      <c r="AM336">
        <v>0.14027397</v>
      </c>
      <c r="AN336">
        <v>0.14148878000000001</v>
      </c>
      <c r="AO336">
        <v>97.219193000000004</v>
      </c>
      <c r="AP336">
        <v>87.028946000000005</v>
      </c>
      <c r="AQ336">
        <v>85.972603000000007</v>
      </c>
      <c r="AR336">
        <v>85.851122000000004</v>
      </c>
      <c r="AS336" t="b">
        <v>1</v>
      </c>
      <c r="AT336" t="b">
        <v>0</v>
      </c>
      <c r="AU336" t="s">
        <v>77</v>
      </c>
      <c r="AV336" t="s">
        <v>108</v>
      </c>
      <c r="AW336" t="s">
        <v>79</v>
      </c>
      <c r="AX336" t="s">
        <v>80</v>
      </c>
      <c r="AY336" t="s">
        <v>587</v>
      </c>
      <c r="AZ336" t="s">
        <v>109</v>
      </c>
      <c r="BA336">
        <v>2</v>
      </c>
      <c r="BB336">
        <v>2</v>
      </c>
      <c r="BC336">
        <v>4.1163553999999996E-3</v>
      </c>
      <c r="BD336">
        <v>1.4279989108178799E-4</v>
      </c>
      <c r="BE336">
        <v>4.2591552910817903E-3</v>
      </c>
      <c r="BF336">
        <f>IF(AK336&lt;BE336,1,0)</f>
        <v>0</v>
      </c>
      <c r="BG336">
        <f>IF(AK336&lt;BC336,1,0)</f>
        <v>0</v>
      </c>
      <c r="BH336">
        <f>VLOOKUP($B336,[1]Data_Peer_with_peerVars!$B$2:$Z$1050,20,FALSE)</f>
        <v>0</v>
      </c>
      <c r="BI336">
        <f>VLOOKUP($B336,[1]Data_Peer_with_peerVars!$B$2:$Z$1050,21,FALSE)</f>
        <v>0</v>
      </c>
      <c r="BJ336">
        <v>0</v>
      </c>
      <c r="BK336">
        <f>VLOOKUP($B336,[1]Data_Peer_with_peerVars!$B$2:$Z$1050,23,FALSE)</f>
        <v>23</v>
      </c>
      <c r="BL336">
        <f>VLOOKUP($B336,[1]Data_Peer_with_peerVars!$B$2:$Z$1050,24,FALSE)</f>
        <v>17</v>
      </c>
      <c r="BM336">
        <f>VLOOKUP($B336,[1]Data_Peer_with_peerVars!$B$2:$Z$1050,25,FALSE)</f>
        <v>0.73913043499999997</v>
      </c>
    </row>
    <row r="337" spans="1:65" x14ac:dyDescent="0.2">
      <c r="A337">
        <v>1</v>
      </c>
      <c r="B337" t="s">
        <v>589</v>
      </c>
      <c r="C337">
        <v>169</v>
      </c>
      <c r="D337" t="s">
        <v>68</v>
      </c>
      <c r="E337">
        <v>0</v>
      </c>
      <c r="F337">
        <v>243</v>
      </c>
      <c r="G337" t="s">
        <v>119</v>
      </c>
      <c r="H337" s="1">
        <v>7</v>
      </c>
      <c r="I337" t="s">
        <v>87</v>
      </c>
      <c r="J337" t="s">
        <v>88</v>
      </c>
      <c r="K337" t="s">
        <v>109</v>
      </c>
      <c r="L337">
        <v>1</v>
      </c>
      <c r="M337">
        <v>0</v>
      </c>
      <c r="N337">
        <v>0</v>
      </c>
      <c r="O337">
        <v>1</v>
      </c>
      <c r="P337">
        <v>0</v>
      </c>
      <c r="Q337">
        <v>9</v>
      </c>
      <c r="R337">
        <v>0</v>
      </c>
      <c r="S337">
        <v>0</v>
      </c>
      <c r="T337">
        <v>0</v>
      </c>
      <c r="U337">
        <v>0</v>
      </c>
      <c r="V337">
        <f t="shared" si="135"/>
        <v>0</v>
      </c>
      <c r="W337">
        <f t="shared" si="136"/>
        <v>0</v>
      </c>
      <c r="X337">
        <f t="shared" si="139"/>
        <v>0</v>
      </c>
      <c r="Y337">
        <f t="shared" si="137"/>
        <v>0</v>
      </c>
      <c r="Z337" t="s">
        <v>98</v>
      </c>
      <c r="AA337" s="5" t="s">
        <v>141</v>
      </c>
      <c r="AB337" s="5" t="s">
        <v>141</v>
      </c>
      <c r="AC337" t="s">
        <v>74</v>
      </c>
      <c r="AD337" t="s">
        <v>101</v>
      </c>
      <c r="AE337" s="5" t="s">
        <v>101</v>
      </c>
      <c r="AF337" t="s">
        <v>76</v>
      </c>
      <c r="AG337" t="s">
        <v>102</v>
      </c>
      <c r="AH337">
        <f>AI337</f>
        <v>9.3972600000000003E-2</v>
      </c>
      <c r="AI337">
        <f>AJ337</f>
        <v>9.3972600000000003E-2</v>
      </c>
      <c r="AJ337">
        <f t="shared" si="138"/>
        <v>9.3972600000000003E-2</v>
      </c>
      <c r="AK337">
        <v>9.3972600000000003E-2</v>
      </c>
      <c r="AL337">
        <v>0.1215697</v>
      </c>
      <c r="AM337">
        <v>0.12179137</v>
      </c>
      <c r="AN337">
        <v>0.12868048000000001</v>
      </c>
      <c r="AO337">
        <v>90.602739999999997</v>
      </c>
      <c r="AP337">
        <v>87.843029999999999</v>
      </c>
      <c r="AQ337">
        <v>87.820863000000003</v>
      </c>
      <c r="AR337">
        <v>87.131951999999998</v>
      </c>
      <c r="AS337" t="b">
        <v>0</v>
      </c>
      <c r="AT337" t="b">
        <v>0</v>
      </c>
      <c r="AU337" t="s">
        <v>77</v>
      </c>
      <c r="AV337" t="s">
        <v>78</v>
      </c>
      <c r="AW337" t="s">
        <v>79</v>
      </c>
      <c r="AX337" t="s">
        <v>80</v>
      </c>
      <c r="AY337" t="s">
        <v>579</v>
      </c>
      <c r="AZ337" t="s">
        <v>109</v>
      </c>
      <c r="BA337">
        <v>2</v>
      </c>
      <c r="BB337">
        <v>0.5</v>
      </c>
      <c r="BC337">
        <v>2.4738868000000001E-3</v>
      </c>
      <c r="BD337">
        <v>1.4256942275279999E-4</v>
      </c>
      <c r="BE337">
        <v>2.6164562227527998E-3</v>
      </c>
      <c r="BF337">
        <f>IF(AK337&lt;BE337,1,0)</f>
        <v>0</v>
      </c>
      <c r="BG337">
        <f>IF(AK337&lt;BC337,1,0)</f>
        <v>0</v>
      </c>
      <c r="BH337">
        <f>VLOOKUP($B337,[1]Data_Peer_with_peerVars!$B$2:$Z$1050,20,FALSE)</f>
        <v>2</v>
      </c>
      <c r="BI337">
        <f>VLOOKUP($B337,[1]Data_Peer_with_peerVars!$B$2:$Z$1050,21,FALSE)</f>
        <v>1</v>
      </c>
      <c r="BJ337">
        <f>VLOOKUP($B337,[1]Data_Peer_with_peerVars!$B$2:$Z$1050,22,FALSE)</f>
        <v>0.5</v>
      </c>
      <c r="BK337">
        <f>VLOOKUP($B337,[1]Data_Peer_with_peerVars!$B$2:$Z$1050,23,FALSE)</f>
        <v>38</v>
      </c>
      <c r="BL337">
        <f>VLOOKUP($B337,[1]Data_Peer_with_peerVars!$B$2:$Z$1050,24,FALSE)</f>
        <v>25</v>
      </c>
      <c r="BM337">
        <f>VLOOKUP($B337,[1]Data_Peer_with_peerVars!$B$2:$Z$1050,25,FALSE)</f>
        <v>0.65789473700000001</v>
      </c>
    </row>
    <row r="338" spans="1:65" x14ac:dyDescent="0.2">
      <c r="A338">
        <v>1</v>
      </c>
      <c r="B338" t="s">
        <v>590</v>
      </c>
      <c r="C338">
        <v>169</v>
      </c>
      <c r="D338" t="s">
        <v>68</v>
      </c>
      <c r="E338">
        <v>0</v>
      </c>
      <c r="F338">
        <v>243</v>
      </c>
      <c r="G338" t="s">
        <v>119</v>
      </c>
      <c r="H338" s="1">
        <v>7</v>
      </c>
      <c r="I338" t="s">
        <v>87</v>
      </c>
      <c r="J338" t="s">
        <v>88</v>
      </c>
      <c r="K338" t="s">
        <v>109</v>
      </c>
      <c r="L338">
        <v>1</v>
      </c>
      <c r="M338">
        <v>0</v>
      </c>
      <c r="N338">
        <v>0</v>
      </c>
      <c r="O338">
        <v>1</v>
      </c>
      <c r="P338">
        <v>0</v>
      </c>
      <c r="Q338">
        <v>9</v>
      </c>
      <c r="R338">
        <v>0</v>
      </c>
      <c r="S338">
        <v>0</v>
      </c>
      <c r="T338">
        <v>1</v>
      </c>
      <c r="U338">
        <v>1</v>
      </c>
      <c r="V338">
        <f t="shared" si="135"/>
        <v>1</v>
      </c>
      <c r="W338">
        <v>1</v>
      </c>
      <c r="X338">
        <v>1</v>
      </c>
      <c r="Y338">
        <v>1</v>
      </c>
      <c r="Z338" t="s">
        <v>73</v>
      </c>
      <c r="AA338" s="5" t="s">
        <v>73</v>
      </c>
      <c r="AB338" s="5" t="s">
        <v>73</v>
      </c>
      <c r="AC338" t="s">
        <v>73</v>
      </c>
      <c r="AD338" t="s">
        <v>94</v>
      </c>
      <c r="AE338" s="5" t="s">
        <v>106</v>
      </c>
      <c r="AF338" t="s">
        <v>107</v>
      </c>
      <c r="AG338" t="s">
        <v>95</v>
      </c>
      <c r="AH338">
        <f t="shared" ref="AH338:AH339" si="144">AI338</f>
        <v>3.8167940000000001E-3</v>
      </c>
      <c r="AI338">
        <f t="shared" ref="AI338:AI339" si="145">AJ338</f>
        <v>3.8167940000000001E-3</v>
      </c>
      <c r="AJ338">
        <f t="shared" si="138"/>
        <v>3.8167940000000001E-3</v>
      </c>
      <c r="AK338">
        <v>3.8167940000000001E-3</v>
      </c>
      <c r="AL338">
        <v>0.13169399000000001</v>
      </c>
      <c r="AM338">
        <v>0.13623904000000001</v>
      </c>
      <c r="AN338">
        <v>0.13867615</v>
      </c>
      <c r="AO338">
        <v>99.618320600000004</v>
      </c>
      <c r="AP338">
        <v>86.830601000000001</v>
      </c>
      <c r="AQ338">
        <v>86.376096000000004</v>
      </c>
      <c r="AR338">
        <v>86.132384999999999</v>
      </c>
      <c r="AS338" t="b">
        <v>1</v>
      </c>
      <c r="AT338" t="b">
        <v>0</v>
      </c>
      <c r="AU338" t="s">
        <v>77</v>
      </c>
      <c r="AV338" t="s">
        <v>108</v>
      </c>
      <c r="AW338" t="s">
        <v>79</v>
      </c>
      <c r="AX338" t="s">
        <v>80</v>
      </c>
      <c r="AY338" t="s">
        <v>579</v>
      </c>
      <c r="AZ338" t="s">
        <v>109</v>
      </c>
      <c r="BA338">
        <v>1</v>
      </c>
      <c r="BB338">
        <v>1</v>
      </c>
      <c r="BC338">
        <v>4.1163553999999996E-3</v>
      </c>
      <c r="BD338">
        <v>1.4279989108178799E-4</v>
      </c>
      <c r="BE338">
        <v>4.2591552910817903E-3</v>
      </c>
      <c r="BF338">
        <f>IF(AK338&lt;BE338,1,0)</f>
        <v>1</v>
      </c>
      <c r="BG338">
        <f>IF(AK338&lt;BC338,1,0)</f>
        <v>1</v>
      </c>
      <c r="BH338">
        <f>VLOOKUP($B338,[1]Data_Peer_with_peerVars!$B$2:$Z$1050,20,FALSE)</f>
        <v>2</v>
      </c>
      <c r="BI338">
        <f>VLOOKUP($B338,[1]Data_Peer_with_peerVars!$B$2:$Z$1050,21,FALSE)</f>
        <v>1</v>
      </c>
      <c r="BJ338">
        <f>VLOOKUP($B338,[1]Data_Peer_with_peerVars!$B$2:$Z$1050,22,FALSE)</f>
        <v>0.5</v>
      </c>
      <c r="BK338">
        <f>VLOOKUP($B338,[1]Data_Peer_with_peerVars!$B$2:$Z$1050,23,FALSE)</f>
        <v>38</v>
      </c>
      <c r="BL338">
        <f>VLOOKUP($B338,[1]Data_Peer_with_peerVars!$B$2:$Z$1050,24,FALSE)</f>
        <v>25</v>
      </c>
      <c r="BM338">
        <f>VLOOKUP($B338,[1]Data_Peer_with_peerVars!$B$2:$Z$1050,25,FALSE)</f>
        <v>0.65789473700000001</v>
      </c>
    </row>
    <row r="339" spans="1:65" x14ac:dyDescent="0.2">
      <c r="A339">
        <v>1</v>
      </c>
      <c r="B339" t="s">
        <v>591</v>
      </c>
      <c r="C339">
        <v>170</v>
      </c>
      <c r="D339" t="s">
        <v>68</v>
      </c>
      <c r="E339">
        <v>0</v>
      </c>
      <c r="F339">
        <v>253</v>
      </c>
      <c r="G339" t="s">
        <v>119</v>
      </c>
      <c r="H339" s="1">
        <v>6</v>
      </c>
      <c r="I339" t="s">
        <v>70</v>
      </c>
      <c r="J339" t="s">
        <v>71</v>
      </c>
      <c r="K339" t="s">
        <v>109</v>
      </c>
      <c r="L339">
        <v>1</v>
      </c>
      <c r="M339">
        <v>0</v>
      </c>
      <c r="N339">
        <v>0</v>
      </c>
      <c r="O339">
        <v>0</v>
      </c>
      <c r="P339">
        <v>0</v>
      </c>
      <c r="Q339">
        <v>4</v>
      </c>
      <c r="R339">
        <v>0</v>
      </c>
      <c r="S339">
        <v>0</v>
      </c>
      <c r="T339">
        <v>1</v>
      </c>
      <c r="U339">
        <v>1</v>
      </c>
      <c r="V339">
        <f t="shared" si="135"/>
        <v>1</v>
      </c>
      <c r="W339">
        <v>1</v>
      </c>
      <c r="X339">
        <v>1</v>
      </c>
      <c r="Y339">
        <v>1</v>
      </c>
      <c r="Z339" t="s">
        <v>73</v>
      </c>
      <c r="AA339" s="5" t="s">
        <v>73</v>
      </c>
      <c r="AB339" s="5" t="s">
        <v>73</v>
      </c>
      <c r="AC339" t="s">
        <v>73</v>
      </c>
      <c r="AD339" t="s">
        <v>94</v>
      </c>
      <c r="AE339" s="5" t="s">
        <v>106</v>
      </c>
      <c r="AF339" t="s">
        <v>107</v>
      </c>
      <c r="AG339" t="s">
        <v>95</v>
      </c>
      <c r="AH339">
        <f t="shared" si="144"/>
        <v>4.0938863999999998E-3</v>
      </c>
      <c r="AI339">
        <f t="shared" si="145"/>
        <v>4.0938863999999998E-3</v>
      </c>
      <c r="AJ339">
        <f t="shared" si="138"/>
        <v>4.0938863999999998E-3</v>
      </c>
      <c r="AK339">
        <v>4.0938863999999998E-3</v>
      </c>
      <c r="AL339">
        <v>0.13156456</v>
      </c>
      <c r="AM339">
        <v>0.13666300000000001</v>
      </c>
      <c r="AN339">
        <v>0.13910185999999999</v>
      </c>
      <c r="AO339">
        <v>99.590611359999997</v>
      </c>
      <c r="AP339">
        <v>86.843543999999994</v>
      </c>
      <c r="AQ339">
        <v>86.333699999999993</v>
      </c>
      <c r="AR339">
        <v>86.089814000000004</v>
      </c>
      <c r="AS339" t="b">
        <v>1</v>
      </c>
      <c r="AT339" t="b">
        <v>0</v>
      </c>
      <c r="AU339" t="s">
        <v>77</v>
      </c>
      <c r="AV339" t="s">
        <v>108</v>
      </c>
      <c r="AW339" t="s">
        <v>79</v>
      </c>
      <c r="AX339" t="s">
        <v>80</v>
      </c>
      <c r="AY339" t="s">
        <v>579</v>
      </c>
      <c r="AZ339" t="s">
        <v>109</v>
      </c>
      <c r="BA339">
        <v>4</v>
      </c>
      <c r="BB339">
        <v>1.5</v>
      </c>
      <c r="BC339">
        <v>4.1163553999999996E-3</v>
      </c>
      <c r="BD339">
        <v>1.4279989108178799E-4</v>
      </c>
      <c r="BE339">
        <v>4.2591552910817903E-3</v>
      </c>
      <c r="BF339">
        <f>IF(AK339&lt;BE339,1,0)</f>
        <v>1</v>
      </c>
      <c r="BG339">
        <f>IF(AK339&lt;BC339,1,0)</f>
        <v>1</v>
      </c>
      <c r="BH339">
        <f>VLOOKUP($B339,[1]Data_Peer_with_peerVars!$B$2:$Z$1050,20,FALSE)</f>
        <v>0</v>
      </c>
      <c r="BI339">
        <f>VLOOKUP($B339,[1]Data_Peer_with_peerVars!$B$2:$Z$1050,21,FALSE)</f>
        <v>0</v>
      </c>
      <c r="BJ339">
        <v>0</v>
      </c>
      <c r="BK339">
        <f>VLOOKUP($B339,[1]Data_Peer_with_peerVars!$B$2:$Z$1050,23,FALSE)</f>
        <v>35</v>
      </c>
      <c r="BL339">
        <f>VLOOKUP($B339,[1]Data_Peer_with_peerVars!$B$2:$Z$1050,24,FALSE)</f>
        <v>25</v>
      </c>
      <c r="BM339">
        <f>VLOOKUP($B339,[1]Data_Peer_with_peerVars!$B$2:$Z$1050,25,FALSE)</f>
        <v>0.71428571399999996</v>
      </c>
    </row>
    <row r="340" spans="1:65" x14ac:dyDescent="0.2">
      <c r="A340">
        <v>1</v>
      </c>
      <c r="B340" t="s">
        <v>592</v>
      </c>
      <c r="C340">
        <v>170</v>
      </c>
      <c r="D340" t="s">
        <v>68</v>
      </c>
      <c r="E340">
        <v>0</v>
      </c>
      <c r="F340">
        <v>253</v>
      </c>
      <c r="G340" t="s">
        <v>119</v>
      </c>
      <c r="H340" s="1">
        <v>6</v>
      </c>
      <c r="I340" t="s">
        <v>70</v>
      </c>
      <c r="J340" t="s">
        <v>71</v>
      </c>
      <c r="K340" t="s">
        <v>109</v>
      </c>
      <c r="L340">
        <v>1</v>
      </c>
      <c r="M340">
        <v>0</v>
      </c>
      <c r="N340">
        <v>0</v>
      </c>
      <c r="O340">
        <v>0</v>
      </c>
      <c r="P340">
        <v>0</v>
      </c>
      <c r="Q340">
        <v>4</v>
      </c>
      <c r="R340">
        <v>1</v>
      </c>
      <c r="S340">
        <v>1</v>
      </c>
      <c r="T340">
        <v>1</v>
      </c>
      <c r="U340">
        <v>1</v>
      </c>
      <c r="V340">
        <f t="shared" si="135"/>
        <v>0</v>
      </c>
      <c r="W340">
        <f t="shared" si="136"/>
        <v>0</v>
      </c>
      <c r="X340">
        <f t="shared" si="139"/>
        <v>0</v>
      </c>
      <c r="Y340">
        <f t="shared" si="137"/>
        <v>0</v>
      </c>
      <c r="Z340" t="s">
        <v>177</v>
      </c>
      <c r="AA340" s="5" t="s">
        <v>107</v>
      </c>
      <c r="AB340" s="5" t="s">
        <v>107</v>
      </c>
      <c r="AC340" t="s">
        <v>107</v>
      </c>
      <c r="AD340" t="s">
        <v>95</v>
      </c>
      <c r="AE340" s="5" t="s">
        <v>95</v>
      </c>
      <c r="AF340" t="s">
        <v>173</v>
      </c>
      <c r="AG340" t="s">
        <v>174</v>
      </c>
      <c r="AH340">
        <f t="shared" ref="AH340:AH342" si="146">AI340</f>
        <v>8.7719300000000007E-3</v>
      </c>
      <c r="AI340">
        <f t="shared" ref="AI340:AI342" si="147">AJ340</f>
        <v>8.7719300000000007E-3</v>
      </c>
      <c r="AJ340">
        <f t="shared" si="138"/>
        <v>8.7719300000000007E-3</v>
      </c>
      <c r="AK340">
        <v>8.7719300000000007E-3</v>
      </c>
      <c r="AL340">
        <v>7.4602305999999993E-2</v>
      </c>
      <c r="AM340">
        <v>9.1954019999999997E-2</v>
      </c>
      <c r="AN340">
        <v>9.6544160000000004E-2</v>
      </c>
      <c r="AO340">
        <v>99.122806999999995</v>
      </c>
      <c r="AP340">
        <v>92.539769399999997</v>
      </c>
      <c r="AQ340">
        <v>90.804597999999999</v>
      </c>
      <c r="AR340">
        <v>90.345584000000002</v>
      </c>
      <c r="AS340" t="b">
        <v>1</v>
      </c>
      <c r="AT340" t="b">
        <v>0</v>
      </c>
      <c r="AU340" t="s">
        <v>77</v>
      </c>
      <c r="AV340" t="s">
        <v>77</v>
      </c>
      <c r="AW340" t="s">
        <v>79</v>
      </c>
      <c r="AX340" t="s">
        <v>80</v>
      </c>
      <c r="AY340" t="s">
        <v>579</v>
      </c>
      <c r="AZ340" t="s">
        <v>72</v>
      </c>
      <c r="BA340" t="s">
        <v>82</v>
      </c>
      <c r="BB340">
        <v>2.8</v>
      </c>
      <c r="BC340">
        <v>2.6475456000000001E-2</v>
      </c>
      <c r="BD340">
        <v>8.8330364056477401E-3</v>
      </c>
      <c r="BE340">
        <v>3.53084924056477E-2</v>
      </c>
      <c r="BF340">
        <f>IF(AK340&lt;BE340,1,0)</f>
        <v>1</v>
      </c>
      <c r="BG340">
        <f>IF(AK340&lt;BC340,1,0)</f>
        <v>1</v>
      </c>
      <c r="BH340">
        <f>VLOOKUP($B340,[1]Data_Peer_with_peerVars!$B$2:$Z$1050,20,FALSE)</f>
        <v>0</v>
      </c>
      <c r="BI340">
        <f>VLOOKUP($B340,[1]Data_Peer_with_peerVars!$B$2:$Z$1050,21,FALSE)</f>
        <v>0</v>
      </c>
      <c r="BJ340">
        <v>0</v>
      </c>
      <c r="BK340">
        <f>VLOOKUP($B340,[1]Data_Peer_with_peerVars!$B$2:$Z$1050,23,FALSE)</f>
        <v>35</v>
      </c>
      <c r="BL340">
        <f>VLOOKUP($B340,[1]Data_Peer_with_peerVars!$B$2:$Z$1050,24,FALSE)</f>
        <v>25</v>
      </c>
      <c r="BM340">
        <f>VLOOKUP($B340,[1]Data_Peer_with_peerVars!$B$2:$Z$1050,25,FALSE)</f>
        <v>0.71428571399999996</v>
      </c>
    </row>
    <row r="341" spans="1:65" x14ac:dyDescent="0.2">
      <c r="A341">
        <v>1</v>
      </c>
      <c r="B341" t="s">
        <v>593</v>
      </c>
      <c r="C341">
        <v>170</v>
      </c>
      <c r="D341" t="s">
        <v>68</v>
      </c>
      <c r="E341">
        <v>0</v>
      </c>
      <c r="F341">
        <v>253</v>
      </c>
      <c r="G341" t="s">
        <v>119</v>
      </c>
      <c r="H341" s="1">
        <v>6</v>
      </c>
      <c r="I341" t="s">
        <v>70</v>
      </c>
      <c r="J341" t="s">
        <v>71</v>
      </c>
      <c r="K341" t="s">
        <v>109</v>
      </c>
      <c r="L341">
        <v>1</v>
      </c>
      <c r="M341">
        <v>0</v>
      </c>
      <c r="N341">
        <v>0</v>
      </c>
      <c r="O341">
        <v>0</v>
      </c>
      <c r="P341">
        <v>0</v>
      </c>
      <c r="Q341">
        <v>4</v>
      </c>
      <c r="R341">
        <v>0</v>
      </c>
      <c r="S341">
        <v>0</v>
      </c>
      <c r="T341">
        <v>1</v>
      </c>
      <c r="U341">
        <v>1</v>
      </c>
      <c r="V341">
        <f t="shared" si="135"/>
        <v>0</v>
      </c>
      <c r="W341">
        <f t="shared" si="136"/>
        <v>0</v>
      </c>
      <c r="X341">
        <f t="shared" si="139"/>
        <v>0</v>
      </c>
      <c r="Y341">
        <f t="shared" si="137"/>
        <v>0</v>
      </c>
      <c r="Z341" t="s">
        <v>89</v>
      </c>
      <c r="AA341" s="5" t="s">
        <v>89</v>
      </c>
      <c r="AB341" s="5" t="s">
        <v>577</v>
      </c>
      <c r="AC341" t="s">
        <v>94</v>
      </c>
      <c r="AD341" t="s">
        <v>95</v>
      </c>
      <c r="AE341" s="5" t="s">
        <v>95</v>
      </c>
      <c r="AF341" t="s">
        <v>107</v>
      </c>
      <c r="AG341" t="s">
        <v>74</v>
      </c>
      <c r="AH341">
        <f t="shared" si="146"/>
        <v>1.474604E-2</v>
      </c>
      <c r="AI341">
        <f t="shared" si="147"/>
        <v>1.474604E-2</v>
      </c>
      <c r="AJ341">
        <f t="shared" si="138"/>
        <v>1.474604E-2</v>
      </c>
      <c r="AK341">
        <v>1.474604E-2</v>
      </c>
      <c r="AL341">
        <v>0.10770913</v>
      </c>
      <c r="AM341">
        <v>0.110958904</v>
      </c>
      <c r="AN341">
        <v>0.12691885</v>
      </c>
      <c r="AO341">
        <v>98.525396000000001</v>
      </c>
      <c r="AP341">
        <v>89.229087000000007</v>
      </c>
      <c r="AQ341">
        <v>88.904109599999998</v>
      </c>
      <c r="AR341">
        <v>87.308115000000001</v>
      </c>
      <c r="AS341" t="b">
        <v>0</v>
      </c>
      <c r="AT341" t="b">
        <v>0</v>
      </c>
      <c r="AU341" t="s">
        <v>92</v>
      </c>
      <c r="AV341" t="s">
        <v>92</v>
      </c>
      <c r="AW341" t="s">
        <v>79</v>
      </c>
      <c r="AX341" t="s">
        <v>80</v>
      </c>
      <c r="AY341" t="s">
        <v>579</v>
      </c>
      <c r="AZ341" t="s">
        <v>82</v>
      </c>
      <c r="BA341" t="s">
        <v>82</v>
      </c>
      <c r="BB341">
        <v>0.35</v>
      </c>
      <c r="BC341">
        <v>1.6447369E-2</v>
      </c>
      <c r="BD341">
        <v>4.2236161269162102E-4</v>
      </c>
      <c r="BE341">
        <v>1.6869730612691598E-2</v>
      </c>
      <c r="BF341">
        <f>IF(AK341&lt;BE341,1,0)</f>
        <v>1</v>
      </c>
      <c r="BG341">
        <f>IF(AK341&lt;BC341,1,0)</f>
        <v>1</v>
      </c>
      <c r="BH341">
        <f>VLOOKUP($B341,[1]Data_Peer_with_peerVars!$B$2:$Z$1050,20,FALSE)</f>
        <v>0</v>
      </c>
      <c r="BI341">
        <f>VLOOKUP($B341,[1]Data_Peer_with_peerVars!$B$2:$Z$1050,21,FALSE)</f>
        <v>0</v>
      </c>
      <c r="BJ341">
        <v>0</v>
      </c>
      <c r="BK341">
        <f>VLOOKUP($B341,[1]Data_Peer_with_peerVars!$B$2:$Z$1050,23,FALSE)</f>
        <v>35</v>
      </c>
      <c r="BL341">
        <f>VLOOKUP($B341,[1]Data_Peer_with_peerVars!$B$2:$Z$1050,24,FALSE)</f>
        <v>25</v>
      </c>
      <c r="BM341">
        <f>VLOOKUP($B341,[1]Data_Peer_with_peerVars!$B$2:$Z$1050,25,FALSE)</f>
        <v>0.71428571399999996</v>
      </c>
    </row>
    <row r="342" spans="1:65" x14ac:dyDescent="0.2">
      <c r="A342">
        <v>1</v>
      </c>
      <c r="B342" t="s">
        <v>594</v>
      </c>
      <c r="C342">
        <v>170</v>
      </c>
      <c r="D342" t="s">
        <v>68</v>
      </c>
      <c r="E342">
        <v>0</v>
      </c>
      <c r="F342">
        <v>253</v>
      </c>
      <c r="G342" t="s">
        <v>119</v>
      </c>
      <c r="H342" s="1">
        <v>6</v>
      </c>
      <c r="I342" t="s">
        <v>70</v>
      </c>
      <c r="J342" t="s">
        <v>71</v>
      </c>
      <c r="K342" t="s">
        <v>109</v>
      </c>
      <c r="L342">
        <v>1</v>
      </c>
      <c r="M342">
        <v>0</v>
      </c>
      <c r="N342">
        <v>0</v>
      </c>
      <c r="O342">
        <v>0</v>
      </c>
      <c r="P342">
        <v>0</v>
      </c>
      <c r="Q342">
        <v>4</v>
      </c>
      <c r="R342">
        <v>0</v>
      </c>
      <c r="S342">
        <v>0</v>
      </c>
      <c r="T342">
        <v>0</v>
      </c>
      <c r="U342">
        <v>0</v>
      </c>
      <c r="V342">
        <f t="shared" si="135"/>
        <v>0</v>
      </c>
      <c r="W342">
        <f t="shared" si="136"/>
        <v>0</v>
      </c>
      <c r="X342">
        <f t="shared" si="139"/>
        <v>0</v>
      </c>
      <c r="Y342">
        <f t="shared" si="137"/>
        <v>0</v>
      </c>
      <c r="Z342" t="s">
        <v>101</v>
      </c>
      <c r="AA342" s="5" t="s">
        <v>101</v>
      </c>
      <c r="AB342" s="5" t="s">
        <v>101</v>
      </c>
      <c r="AC342" t="s">
        <v>74</v>
      </c>
      <c r="AD342" t="s">
        <v>75</v>
      </c>
      <c r="AE342" s="5" t="s">
        <v>213</v>
      </c>
      <c r="AF342" t="s">
        <v>120</v>
      </c>
      <c r="AG342" t="s">
        <v>76</v>
      </c>
      <c r="AH342">
        <f t="shared" si="146"/>
        <v>1.9188597E-3</v>
      </c>
      <c r="AI342">
        <f t="shared" si="147"/>
        <v>1.9188597E-3</v>
      </c>
      <c r="AJ342">
        <f t="shared" si="138"/>
        <v>1.9188597E-3</v>
      </c>
      <c r="AK342">
        <v>1.9188597E-3</v>
      </c>
      <c r="AL342">
        <v>8.6575343999999999E-2</v>
      </c>
      <c r="AM342">
        <v>8.9715530000000002E-2</v>
      </c>
      <c r="AN342">
        <v>9.3698630000000005E-2</v>
      </c>
      <c r="AO342">
        <v>99.808114029999999</v>
      </c>
      <c r="AP342">
        <v>91.342465599999997</v>
      </c>
      <c r="AQ342">
        <v>91.028447</v>
      </c>
      <c r="AR342">
        <v>90.630137000000005</v>
      </c>
      <c r="AS342" t="b">
        <v>0</v>
      </c>
      <c r="AT342" t="b">
        <v>0</v>
      </c>
      <c r="AU342" t="s">
        <v>77</v>
      </c>
      <c r="AV342" t="s">
        <v>108</v>
      </c>
      <c r="AW342" t="s">
        <v>79</v>
      </c>
      <c r="AX342" t="s">
        <v>80</v>
      </c>
      <c r="AY342" t="s">
        <v>579</v>
      </c>
      <c r="AZ342" t="s">
        <v>109</v>
      </c>
      <c r="BA342">
        <v>4</v>
      </c>
      <c r="BB342">
        <v>0.35</v>
      </c>
      <c r="BC342">
        <v>2.4738868000000001E-3</v>
      </c>
      <c r="BD342">
        <v>1.4256942275279999E-4</v>
      </c>
      <c r="BE342">
        <v>2.6164562227527998E-3</v>
      </c>
      <c r="BF342">
        <f>IF(AK342&lt;BE342,1,0)</f>
        <v>1</v>
      </c>
      <c r="BG342">
        <f>IF(AK342&lt;BC342,1,0)</f>
        <v>1</v>
      </c>
      <c r="BH342">
        <f>VLOOKUP($B342,[1]Data_Peer_with_peerVars!$B$2:$Z$1050,20,FALSE)</f>
        <v>0</v>
      </c>
      <c r="BI342">
        <f>VLOOKUP($B342,[1]Data_Peer_with_peerVars!$B$2:$Z$1050,21,FALSE)</f>
        <v>0</v>
      </c>
      <c r="BJ342">
        <v>0</v>
      </c>
      <c r="BK342">
        <f>VLOOKUP($B342,[1]Data_Peer_with_peerVars!$B$2:$Z$1050,23,FALSE)</f>
        <v>35</v>
      </c>
      <c r="BL342">
        <f>VLOOKUP($B342,[1]Data_Peer_with_peerVars!$B$2:$Z$1050,24,FALSE)</f>
        <v>25</v>
      </c>
      <c r="BM342">
        <f>VLOOKUP($B342,[1]Data_Peer_with_peerVars!$B$2:$Z$1050,25,FALSE)</f>
        <v>0.71428571399999996</v>
      </c>
    </row>
    <row r="343" spans="1:65" x14ac:dyDescent="0.2">
      <c r="A343">
        <v>1</v>
      </c>
      <c r="B343" t="s">
        <v>595</v>
      </c>
      <c r="C343">
        <v>171</v>
      </c>
      <c r="D343" t="s">
        <v>68</v>
      </c>
      <c r="E343">
        <v>1</v>
      </c>
      <c r="F343">
        <v>226</v>
      </c>
      <c r="G343" t="s">
        <v>86</v>
      </c>
      <c r="H343" s="1">
        <v>6.5</v>
      </c>
      <c r="I343" t="s">
        <v>70</v>
      </c>
      <c r="J343" t="s">
        <v>71</v>
      </c>
      <c r="K343" t="s">
        <v>72</v>
      </c>
      <c r="L343">
        <v>1</v>
      </c>
      <c r="M343">
        <v>0</v>
      </c>
      <c r="N343">
        <v>1</v>
      </c>
      <c r="O343">
        <v>0</v>
      </c>
      <c r="P343">
        <v>0</v>
      </c>
      <c r="Q343">
        <v>6</v>
      </c>
      <c r="R343">
        <v>0</v>
      </c>
      <c r="S343">
        <v>0</v>
      </c>
      <c r="T343">
        <v>1</v>
      </c>
      <c r="U343">
        <v>1</v>
      </c>
      <c r="V343">
        <f t="shared" si="135"/>
        <v>1</v>
      </c>
      <c r="W343">
        <v>1</v>
      </c>
      <c r="X343">
        <v>1</v>
      </c>
      <c r="Y343">
        <v>1</v>
      </c>
      <c r="Z343" t="s">
        <v>73</v>
      </c>
      <c r="AA343" s="5" t="s">
        <v>73</v>
      </c>
      <c r="AB343" s="5" t="s">
        <v>73</v>
      </c>
      <c r="AC343" t="s">
        <v>73</v>
      </c>
      <c r="AD343" t="s">
        <v>94</v>
      </c>
      <c r="AE343" s="5" t="s">
        <v>106</v>
      </c>
      <c r="AF343" t="s">
        <v>107</v>
      </c>
      <c r="AG343" t="s">
        <v>95</v>
      </c>
      <c r="AH343">
        <f>AI343</f>
        <v>3.8251367000000001E-3</v>
      </c>
      <c r="AI343">
        <f>AJ343</f>
        <v>3.8251367000000001E-3</v>
      </c>
      <c r="AJ343">
        <f t="shared" si="138"/>
        <v>3.8251367000000001E-3</v>
      </c>
      <c r="AK343">
        <v>3.8251367000000001E-3</v>
      </c>
      <c r="AL343">
        <v>0.13143483</v>
      </c>
      <c r="AM343">
        <v>0.13598900999999999</v>
      </c>
      <c r="AN343">
        <v>0.13843200999999999</v>
      </c>
      <c r="AO343">
        <v>99.617486330000006</v>
      </c>
      <c r="AP343">
        <v>86.856516999999997</v>
      </c>
      <c r="AQ343">
        <v>86.401099000000002</v>
      </c>
      <c r="AR343">
        <v>86.156799000000007</v>
      </c>
      <c r="AS343" t="b">
        <v>1</v>
      </c>
      <c r="AT343" t="b">
        <v>0</v>
      </c>
      <c r="AU343" t="s">
        <v>77</v>
      </c>
      <c r="AV343" t="s">
        <v>108</v>
      </c>
      <c r="AW343" t="s">
        <v>79</v>
      </c>
      <c r="AX343" t="s">
        <v>80</v>
      </c>
      <c r="AY343" t="s">
        <v>80</v>
      </c>
      <c r="AZ343" t="s">
        <v>72</v>
      </c>
      <c r="BA343" t="s">
        <v>82</v>
      </c>
      <c r="BB343">
        <v>3.5</v>
      </c>
      <c r="BC343">
        <v>4.1163553999999996E-3</v>
      </c>
      <c r="BD343">
        <v>1.4279989108178799E-4</v>
      </c>
      <c r="BE343">
        <v>4.2591552910817903E-3</v>
      </c>
      <c r="BF343">
        <f>IF(AK343&lt;BE343,1,0)</f>
        <v>1</v>
      </c>
      <c r="BG343">
        <f>IF(AK343&lt;BC343,1,0)</f>
        <v>1</v>
      </c>
      <c r="BH343">
        <f>VLOOKUP($B343,[1]Data_Peer_with_peerVars!$B$2:$Z$1050,20,FALSE)</f>
        <v>10</v>
      </c>
      <c r="BI343">
        <f>VLOOKUP($B343,[1]Data_Peer_with_peerVars!$B$2:$Z$1050,21,FALSE)</f>
        <v>6</v>
      </c>
      <c r="BJ343">
        <f>VLOOKUP($B343,[1]Data_Peer_with_peerVars!$B$2:$Z$1050,22,FALSE)</f>
        <v>0.6</v>
      </c>
      <c r="BK343">
        <f>VLOOKUP($B343,[1]Data_Peer_with_peerVars!$B$2:$Z$1050,23,FALSE)</f>
        <v>17</v>
      </c>
      <c r="BL343">
        <f>VLOOKUP($B343,[1]Data_Peer_with_peerVars!$B$2:$Z$1050,24,FALSE)</f>
        <v>12</v>
      </c>
      <c r="BM343">
        <f>VLOOKUP($B343,[1]Data_Peer_with_peerVars!$B$2:$Z$1050,25,FALSE)</f>
        <v>0.70588235300000002</v>
      </c>
    </row>
    <row r="344" spans="1:65" x14ac:dyDescent="0.2">
      <c r="A344">
        <v>1</v>
      </c>
      <c r="B344" t="s">
        <v>596</v>
      </c>
      <c r="C344">
        <v>172</v>
      </c>
      <c r="D344" t="s">
        <v>68</v>
      </c>
      <c r="E344">
        <v>0</v>
      </c>
      <c r="F344">
        <v>207</v>
      </c>
      <c r="G344" t="s">
        <v>97</v>
      </c>
      <c r="H344" s="1">
        <v>6</v>
      </c>
      <c r="J344" t="s">
        <v>82</v>
      </c>
      <c r="L344">
        <v>1</v>
      </c>
      <c r="M344">
        <v>0</v>
      </c>
      <c r="N344">
        <v>1</v>
      </c>
      <c r="O344">
        <v>0</v>
      </c>
      <c r="P344">
        <v>0</v>
      </c>
      <c r="Q344">
        <v>4</v>
      </c>
      <c r="R344">
        <v>0</v>
      </c>
      <c r="S344">
        <v>0</v>
      </c>
      <c r="T344">
        <v>0</v>
      </c>
      <c r="U344">
        <v>0</v>
      </c>
      <c r="V344">
        <f t="shared" si="135"/>
        <v>0</v>
      </c>
      <c r="W344">
        <f t="shared" si="136"/>
        <v>0</v>
      </c>
      <c r="X344">
        <f t="shared" si="139"/>
        <v>0</v>
      </c>
      <c r="Y344">
        <f t="shared" si="137"/>
        <v>0</v>
      </c>
      <c r="Z344" t="s">
        <v>73</v>
      </c>
      <c r="AA344" s="5" t="s">
        <v>73</v>
      </c>
      <c r="AB344" s="5" t="s">
        <v>73</v>
      </c>
      <c r="AC344" t="s">
        <v>167</v>
      </c>
      <c r="AD344" t="s">
        <v>120</v>
      </c>
      <c r="AE344" s="5" t="s">
        <v>597</v>
      </c>
      <c r="AF344" t="s">
        <v>102</v>
      </c>
      <c r="AG344" t="s">
        <v>74</v>
      </c>
      <c r="AH344">
        <f t="shared" ref="AH344:AH354" si="148">AI344</f>
        <v>0.10336273</v>
      </c>
      <c r="AI344">
        <f t="shared" ref="AI344:AI348" si="149">AJ344</f>
        <v>0.10336273</v>
      </c>
      <c r="AJ344">
        <f t="shared" si="138"/>
        <v>0.10336273</v>
      </c>
      <c r="AK344">
        <v>0.10336273</v>
      </c>
      <c r="AL344">
        <v>0.10995052</v>
      </c>
      <c r="AM344">
        <v>0.11196487400000001</v>
      </c>
      <c r="AN344">
        <v>0.11224489999999999</v>
      </c>
      <c r="AO344">
        <v>89.663726999999994</v>
      </c>
      <c r="AP344">
        <v>89.004947999999999</v>
      </c>
      <c r="AQ344">
        <v>88.803512600000005</v>
      </c>
      <c r="AR344">
        <v>88.775509999999997</v>
      </c>
      <c r="AS344" t="b">
        <v>0</v>
      </c>
      <c r="AT344" t="b">
        <v>0</v>
      </c>
      <c r="AU344" t="s">
        <v>78</v>
      </c>
      <c r="AV344" t="s">
        <v>108</v>
      </c>
      <c r="AW344" t="s">
        <v>79</v>
      </c>
      <c r="AX344" t="s">
        <v>80</v>
      </c>
      <c r="AY344" t="s">
        <v>598</v>
      </c>
      <c r="AZ344" t="s">
        <v>82</v>
      </c>
      <c r="BA344" t="s">
        <v>82</v>
      </c>
      <c r="BB344">
        <v>0.7</v>
      </c>
      <c r="BC344">
        <v>3.4197465000000003E-2</v>
      </c>
      <c r="BD344">
        <v>2.3810031184433702E-3</v>
      </c>
      <c r="BE344">
        <v>3.6578468118443397E-2</v>
      </c>
      <c r="BF344">
        <f>IF(AK344&lt;BE344,1,0)</f>
        <v>0</v>
      </c>
      <c r="BG344">
        <f>IF(AK344&lt;BC344,1,0)</f>
        <v>0</v>
      </c>
      <c r="BH344">
        <f>VLOOKUP($B344,[1]Data_Peer_with_peerVars!$B$2:$Z$1050,20,FALSE)</f>
        <v>12</v>
      </c>
      <c r="BI344">
        <f>VLOOKUP($B344,[1]Data_Peer_with_peerVars!$B$2:$Z$1050,21,FALSE)</f>
        <v>9</v>
      </c>
      <c r="BJ344">
        <f>VLOOKUP($B344,[1]Data_Peer_with_peerVars!$B$2:$Z$1050,22,FALSE)</f>
        <v>0.75</v>
      </c>
      <c r="BK344">
        <f>VLOOKUP($B344,[1]Data_Peer_with_peerVars!$B$2:$Z$1050,23,FALSE)</f>
        <v>16</v>
      </c>
      <c r="BL344">
        <f>VLOOKUP($B344,[1]Data_Peer_with_peerVars!$B$2:$Z$1050,24,FALSE)</f>
        <v>13</v>
      </c>
      <c r="BM344">
        <f>VLOOKUP($B344,[1]Data_Peer_with_peerVars!$B$2:$Z$1050,25,FALSE)</f>
        <v>0.8125</v>
      </c>
    </row>
    <row r="345" spans="1:65" x14ac:dyDescent="0.2">
      <c r="A345">
        <v>1</v>
      </c>
      <c r="B345" t="s">
        <v>599</v>
      </c>
      <c r="C345">
        <v>172</v>
      </c>
      <c r="D345" t="s">
        <v>68</v>
      </c>
      <c r="E345">
        <v>0</v>
      </c>
      <c r="F345">
        <v>207</v>
      </c>
      <c r="G345" t="s">
        <v>97</v>
      </c>
      <c r="H345" s="1">
        <v>6</v>
      </c>
      <c r="J345" t="s">
        <v>82</v>
      </c>
      <c r="L345">
        <v>1</v>
      </c>
      <c r="M345">
        <v>0</v>
      </c>
      <c r="N345">
        <v>1</v>
      </c>
      <c r="O345">
        <v>0</v>
      </c>
      <c r="P345">
        <v>0</v>
      </c>
      <c r="Q345">
        <v>4</v>
      </c>
      <c r="R345">
        <v>0</v>
      </c>
      <c r="S345">
        <v>0</v>
      </c>
      <c r="T345">
        <v>1</v>
      </c>
      <c r="U345">
        <v>1</v>
      </c>
      <c r="V345">
        <f t="shared" si="135"/>
        <v>0</v>
      </c>
      <c r="W345">
        <f t="shared" si="136"/>
        <v>0</v>
      </c>
      <c r="X345">
        <f t="shared" si="139"/>
        <v>0</v>
      </c>
      <c r="Y345">
        <f t="shared" si="137"/>
        <v>0</v>
      </c>
      <c r="Z345" t="s">
        <v>98</v>
      </c>
      <c r="AA345" s="5" t="s">
        <v>99</v>
      </c>
      <c r="AB345" s="5" t="s">
        <v>600</v>
      </c>
      <c r="AC345" t="s">
        <v>73</v>
      </c>
      <c r="AD345" t="s">
        <v>94</v>
      </c>
      <c r="AE345" s="5" t="s">
        <v>106</v>
      </c>
      <c r="AF345" t="s">
        <v>107</v>
      </c>
      <c r="AG345" t="s">
        <v>95</v>
      </c>
      <c r="AH345">
        <f t="shared" si="148"/>
        <v>3.8272279999999998E-3</v>
      </c>
      <c r="AI345">
        <f t="shared" si="149"/>
        <v>3.8272279999999998E-3</v>
      </c>
      <c r="AJ345">
        <f t="shared" si="138"/>
        <v>3.8272279999999998E-3</v>
      </c>
      <c r="AK345">
        <v>3.8272279999999998E-3</v>
      </c>
      <c r="AL345">
        <v>0.13178081999999999</v>
      </c>
      <c r="AM345">
        <v>0.13688839999999999</v>
      </c>
      <c r="AN345">
        <v>0.13960505000000001</v>
      </c>
      <c r="AO345">
        <v>99.617277200000004</v>
      </c>
      <c r="AP345">
        <v>86.821917999999997</v>
      </c>
      <c r="AQ345">
        <v>86.311160000000001</v>
      </c>
      <c r="AR345">
        <v>86.039495000000002</v>
      </c>
      <c r="AS345" t="b">
        <v>0</v>
      </c>
      <c r="AT345" t="b">
        <v>0</v>
      </c>
      <c r="AU345" t="s">
        <v>77</v>
      </c>
      <c r="AV345" t="s">
        <v>108</v>
      </c>
      <c r="AW345" t="s">
        <v>79</v>
      </c>
      <c r="AX345" t="s">
        <v>80</v>
      </c>
      <c r="AY345" t="s">
        <v>598</v>
      </c>
      <c r="AZ345" t="s">
        <v>109</v>
      </c>
      <c r="BA345">
        <v>100</v>
      </c>
      <c r="BB345">
        <v>1.05</v>
      </c>
      <c r="BC345">
        <v>4.1163553999999996E-3</v>
      </c>
      <c r="BD345">
        <v>1.4279989108178799E-4</v>
      </c>
      <c r="BE345">
        <v>4.2591552910817903E-3</v>
      </c>
      <c r="BF345">
        <f>IF(AK345&lt;BE345,1,0)</f>
        <v>1</v>
      </c>
      <c r="BG345">
        <f>IF(AK345&lt;BC345,1,0)</f>
        <v>1</v>
      </c>
      <c r="BH345">
        <f>VLOOKUP($B345,[1]Data_Peer_with_peerVars!$B$2:$Z$1050,20,FALSE)</f>
        <v>12</v>
      </c>
      <c r="BI345">
        <f>VLOOKUP($B345,[1]Data_Peer_with_peerVars!$B$2:$Z$1050,21,FALSE)</f>
        <v>9</v>
      </c>
      <c r="BJ345">
        <f>VLOOKUP($B345,[1]Data_Peer_with_peerVars!$B$2:$Z$1050,22,FALSE)</f>
        <v>0.75</v>
      </c>
      <c r="BK345">
        <f>VLOOKUP($B345,[1]Data_Peer_with_peerVars!$B$2:$Z$1050,23,FALSE)</f>
        <v>16</v>
      </c>
      <c r="BL345">
        <f>VLOOKUP($B345,[1]Data_Peer_with_peerVars!$B$2:$Z$1050,24,FALSE)</f>
        <v>13</v>
      </c>
      <c r="BM345">
        <f>VLOOKUP($B345,[1]Data_Peer_with_peerVars!$B$2:$Z$1050,25,FALSE)</f>
        <v>0.8125</v>
      </c>
    </row>
    <row r="346" spans="1:65" x14ac:dyDescent="0.2">
      <c r="A346">
        <v>1</v>
      </c>
      <c r="B346" t="s">
        <v>601</v>
      </c>
      <c r="C346">
        <v>173</v>
      </c>
      <c r="D346" t="s">
        <v>68</v>
      </c>
      <c r="E346">
        <v>0</v>
      </c>
      <c r="F346">
        <v>225</v>
      </c>
      <c r="G346" t="s">
        <v>97</v>
      </c>
      <c r="H346" s="1">
        <v>7</v>
      </c>
      <c r="I346" t="s">
        <v>70</v>
      </c>
      <c r="J346" t="s">
        <v>436</v>
      </c>
      <c r="K346" t="s">
        <v>109</v>
      </c>
      <c r="L346">
        <v>2</v>
      </c>
      <c r="M346">
        <v>0</v>
      </c>
      <c r="N346">
        <v>1</v>
      </c>
      <c r="O346">
        <v>1</v>
      </c>
      <c r="P346">
        <v>0</v>
      </c>
      <c r="Q346">
        <v>5</v>
      </c>
      <c r="R346">
        <v>0</v>
      </c>
      <c r="S346">
        <v>0</v>
      </c>
      <c r="T346">
        <v>0</v>
      </c>
      <c r="U346">
        <v>0</v>
      </c>
      <c r="V346">
        <f t="shared" si="135"/>
        <v>1</v>
      </c>
      <c r="W346">
        <v>1</v>
      </c>
      <c r="X346">
        <v>1</v>
      </c>
      <c r="Y346">
        <v>1</v>
      </c>
      <c r="Z346" t="s">
        <v>73</v>
      </c>
      <c r="AA346" s="5" t="s">
        <v>73</v>
      </c>
      <c r="AB346" s="5" t="s">
        <v>73</v>
      </c>
      <c r="AC346" t="s">
        <v>73</v>
      </c>
      <c r="AD346" t="s">
        <v>94</v>
      </c>
      <c r="AE346" s="5" t="s">
        <v>94</v>
      </c>
      <c r="AF346" t="s">
        <v>75</v>
      </c>
      <c r="AG346" t="s">
        <v>95</v>
      </c>
      <c r="AH346">
        <f t="shared" si="148"/>
        <v>6.9012544999999995E-2</v>
      </c>
      <c r="AI346">
        <f t="shared" si="149"/>
        <v>6.9012544999999995E-2</v>
      </c>
      <c r="AJ346">
        <f t="shared" si="138"/>
        <v>6.9012544999999995E-2</v>
      </c>
      <c r="AK346">
        <v>6.9012544999999995E-2</v>
      </c>
      <c r="AL346">
        <v>0.11851447</v>
      </c>
      <c r="AM346">
        <v>0.13054188</v>
      </c>
      <c r="AN346">
        <v>0.14242755000000001</v>
      </c>
      <c r="AO346">
        <v>93.098745500000007</v>
      </c>
      <c r="AP346">
        <v>88.148553000000007</v>
      </c>
      <c r="AQ346">
        <v>86.945812000000004</v>
      </c>
      <c r="AR346">
        <v>85.757244999999998</v>
      </c>
      <c r="AS346" t="b">
        <v>1</v>
      </c>
      <c r="AT346" t="b">
        <v>0</v>
      </c>
      <c r="AU346" t="s">
        <v>77</v>
      </c>
      <c r="AV346" t="s">
        <v>78</v>
      </c>
      <c r="AW346" t="s">
        <v>79</v>
      </c>
      <c r="AX346" t="s">
        <v>80</v>
      </c>
      <c r="AY346" t="s">
        <v>602</v>
      </c>
      <c r="AZ346" t="s">
        <v>109</v>
      </c>
      <c r="BA346">
        <v>2</v>
      </c>
      <c r="BB346">
        <v>0.7</v>
      </c>
      <c r="BC346">
        <v>4.1163553999999996E-3</v>
      </c>
      <c r="BD346">
        <v>1.4279989108178799E-4</v>
      </c>
      <c r="BE346">
        <v>4.2591552910817903E-3</v>
      </c>
      <c r="BF346">
        <f>IF(AK346&lt;BE346,1,0)</f>
        <v>0</v>
      </c>
      <c r="BG346">
        <f>IF(AK346&lt;BC346,1,0)</f>
        <v>0</v>
      </c>
      <c r="BH346">
        <f>VLOOKUP($B346,[1]Data_Peer_with_peerVars!$B$2:$Z$1050,20,FALSE)</f>
        <v>0</v>
      </c>
      <c r="BI346">
        <f>VLOOKUP($B346,[1]Data_Peer_with_peerVars!$B$2:$Z$1050,21,FALSE)</f>
        <v>0</v>
      </c>
      <c r="BJ346">
        <v>0</v>
      </c>
      <c r="BK346">
        <f>VLOOKUP($B346,[1]Data_Peer_with_peerVars!$B$2:$Z$1050,23,FALSE)</f>
        <v>13</v>
      </c>
      <c r="BL346">
        <f>VLOOKUP($B346,[1]Data_Peer_with_peerVars!$B$2:$Z$1050,24,FALSE)</f>
        <v>10</v>
      </c>
      <c r="BM346">
        <f>VLOOKUP($B346,[1]Data_Peer_with_peerVars!$B$2:$Z$1050,25,FALSE)</f>
        <v>0.76923076899999998</v>
      </c>
    </row>
    <row r="347" spans="1:65" x14ac:dyDescent="0.2">
      <c r="A347">
        <v>1</v>
      </c>
      <c r="B347" t="s">
        <v>603</v>
      </c>
      <c r="C347">
        <v>174</v>
      </c>
      <c r="D347" t="s">
        <v>68</v>
      </c>
      <c r="E347">
        <v>0</v>
      </c>
      <c r="F347">
        <v>241</v>
      </c>
      <c r="G347" t="s">
        <v>97</v>
      </c>
      <c r="H347" s="1">
        <v>7</v>
      </c>
      <c r="I347" t="s">
        <v>87</v>
      </c>
      <c r="J347" t="s">
        <v>111</v>
      </c>
      <c r="K347" t="s">
        <v>109</v>
      </c>
      <c r="L347">
        <v>1</v>
      </c>
      <c r="M347">
        <v>0</v>
      </c>
      <c r="N347">
        <v>1</v>
      </c>
      <c r="O347">
        <v>0</v>
      </c>
      <c r="P347">
        <v>0</v>
      </c>
      <c r="Q347">
        <v>13</v>
      </c>
      <c r="R347">
        <v>0</v>
      </c>
      <c r="S347">
        <v>0</v>
      </c>
      <c r="T347">
        <v>0</v>
      </c>
      <c r="U347">
        <v>0</v>
      </c>
      <c r="V347">
        <f t="shared" si="135"/>
        <v>1</v>
      </c>
      <c r="W347">
        <v>1</v>
      </c>
      <c r="X347">
        <v>1</v>
      </c>
      <c r="Y347">
        <v>1</v>
      </c>
      <c r="Z347" t="s">
        <v>76</v>
      </c>
      <c r="AA347" s="5" t="s">
        <v>76</v>
      </c>
      <c r="AB347" s="5" t="s">
        <v>76</v>
      </c>
      <c r="AC347" t="s">
        <v>76</v>
      </c>
      <c r="AD347" t="s">
        <v>74</v>
      </c>
      <c r="AE347" s="5" t="s">
        <v>74</v>
      </c>
      <c r="AF347" t="s">
        <v>75</v>
      </c>
      <c r="AG347" t="s">
        <v>120</v>
      </c>
      <c r="AH347">
        <f t="shared" si="148"/>
        <v>7.1077089999999996E-2</v>
      </c>
      <c r="AI347">
        <f t="shared" si="149"/>
        <v>7.1077089999999996E-2</v>
      </c>
      <c r="AJ347">
        <f t="shared" si="138"/>
        <v>7.1077089999999996E-2</v>
      </c>
      <c r="AK347">
        <v>7.1077089999999996E-2</v>
      </c>
      <c r="AL347">
        <v>9.7092700000000004E-2</v>
      </c>
      <c r="AM347">
        <v>0.12075575</v>
      </c>
      <c r="AN347">
        <v>0.12329142</v>
      </c>
      <c r="AO347">
        <v>92.892291</v>
      </c>
      <c r="AP347">
        <v>90.290729999999996</v>
      </c>
      <c r="AQ347">
        <v>87.924424999999999</v>
      </c>
      <c r="AR347">
        <v>87.670857999999996</v>
      </c>
      <c r="AS347" t="b">
        <v>1</v>
      </c>
      <c r="AT347" t="b">
        <v>0</v>
      </c>
      <c r="AU347" t="s">
        <v>77</v>
      </c>
      <c r="AV347" t="s">
        <v>77</v>
      </c>
      <c r="AW347" t="s">
        <v>79</v>
      </c>
      <c r="AX347" t="s">
        <v>80</v>
      </c>
      <c r="AY347" t="s">
        <v>604</v>
      </c>
      <c r="AZ347" t="s">
        <v>109</v>
      </c>
      <c r="BA347">
        <v>100</v>
      </c>
      <c r="BB347">
        <v>0.02</v>
      </c>
      <c r="BC347">
        <v>7.7070764999999999E-2</v>
      </c>
      <c r="BD347">
        <v>1.90190515067399E-3</v>
      </c>
      <c r="BE347">
        <v>7.8972670150673996E-2</v>
      </c>
      <c r="BF347">
        <f>IF(AK347&lt;BE347,1,0)</f>
        <v>1</v>
      </c>
      <c r="BG347">
        <f>IF(AK347&lt;BC347,1,0)</f>
        <v>1</v>
      </c>
      <c r="BH347">
        <f>VLOOKUP($B347,[1]Data_Peer_with_peerVars!$B$2:$Z$1050,20,FALSE)</f>
        <v>2</v>
      </c>
      <c r="BI347">
        <f>VLOOKUP($B347,[1]Data_Peer_with_peerVars!$B$2:$Z$1050,21,FALSE)</f>
        <v>2</v>
      </c>
      <c r="BJ347">
        <f>VLOOKUP($B347,[1]Data_Peer_with_peerVars!$B$2:$Z$1050,22,FALSE)</f>
        <v>1</v>
      </c>
      <c r="BK347">
        <f>VLOOKUP($B347,[1]Data_Peer_with_peerVars!$B$2:$Z$1050,23,FALSE)</f>
        <v>10</v>
      </c>
      <c r="BL347">
        <f>VLOOKUP($B347,[1]Data_Peer_with_peerVars!$B$2:$Z$1050,24,FALSE)</f>
        <v>7</v>
      </c>
      <c r="BM347">
        <f>VLOOKUP($B347,[1]Data_Peer_with_peerVars!$B$2:$Z$1050,25,FALSE)</f>
        <v>0.7</v>
      </c>
    </row>
    <row r="348" spans="1:65" x14ac:dyDescent="0.2">
      <c r="A348">
        <v>1</v>
      </c>
      <c r="B348" t="s">
        <v>605</v>
      </c>
      <c r="C348">
        <v>174</v>
      </c>
      <c r="D348" t="s">
        <v>68</v>
      </c>
      <c r="E348">
        <v>0</v>
      </c>
      <c r="F348">
        <v>241</v>
      </c>
      <c r="G348" t="s">
        <v>97</v>
      </c>
      <c r="H348" s="1">
        <v>7</v>
      </c>
      <c r="I348" t="s">
        <v>87</v>
      </c>
      <c r="J348" t="s">
        <v>111</v>
      </c>
      <c r="K348" t="s">
        <v>109</v>
      </c>
      <c r="L348">
        <v>1</v>
      </c>
      <c r="M348">
        <v>0</v>
      </c>
      <c r="N348">
        <v>1</v>
      </c>
      <c r="O348">
        <v>0</v>
      </c>
      <c r="P348">
        <v>0</v>
      </c>
      <c r="Q348">
        <v>13</v>
      </c>
      <c r="R348">
        <v>0</v>
      </c>
      <c r="S348">
        <v>0</v>
      </c>
      <c r="T348">
        <v>1</v>
      </c>
      <c r="U348">
        <v>1</v>
      </c>
      <c r="V348">
        <f t="shared" si="135"/>
        <v>1</v>
      </c>
      <c r="W348">
        <v>1</v>
      </c>
      <c r="X348">
        <v>1</v>
      </c>
      <c r="Y348">
        <v>1</v>
      </c>
      <c r="Z348" t="s">
        <v>73</v>
      </c>
      <c r="AA348" s="5" t="s">
        <v>73</v>
      </c>
      <c r="AB348" s="5" t="s">
        <v>73</v>
      </c>
      <c r="AC348" t="s">
        <v>73</v>
      </c>
      <c r="AD348" t="s">
        <v>94</v>
      </c>
      <c r="AE348" s="5" t="s">
        <v>106</v>
      </c>
      <c r="AF348" t="s">
        <v>107</v>
      </c>
      <c r="AG348" t="s">
        <v>95</v>
      </c>
      <c r="AH348">
        <f t="shared" si="148"/>
        <v>4.0894219999999997E-3</v>
      </c>
      <c r="AI348">
        <f t="shared" si="149"/>
        <v>4.0894219999999997E-3</v>
      </c>
      <c r="AJ348">
        <f t="shared" si="138"/>
        <v>4.0894219999999997E-3</v>
      </c>
      <c r="AK348">
        <v>4.0894219999999997E-3</v>
      </c>
      <c r="AL348">
        <v>0.13196722</v>
      </c>
      <c r="AM348">
        <v>0.1370614</v>
      </c>
      <c r="AN348">
        <v>0.13922319</v>
      </c>
      <c r="AO348">
        <v>99.591057800000002</v>
      </c>
      <c r="AP348">
        <v>86.803278000000006</v>
      </c>
      <c r="AQ348">
        <v>86.293859999999995</v>
      </c>
      <c r="AR348">
        <v>86.077680999999998</v>
      </c>
      <c r="AS348" t="b">
        <v>1</v>
      </c>
      <c r="AT348" t="b">
        <v>0</v>
      </c>
      <c r="AU348" t="s">
        <v>77</v>
      </c>
      <c r="AV348" t="s">
        <v>108</v>
      </c>
      <c r="AW348" t="s">
        <v>79</v>
      </c>
      <c r="AX348" t="s">
        <v>80</v>
      </c>
      <c r="AY348" t="s">
        <v>604</v>
      </c>
      <c r="AZ348" t="s">
        <v>109</v>
      </c>
      <c r="BA348">
        <v>100</v>
      </c>
      <c r="BB348">
        <v>0.02</v>
      </c>
      <c r="BC348">
        <v>4.1163553999999996E-3</v>
      </c>
      <c r="BD348">
        <v>1.4279989108178799E-4</v>
      </c>
      <c r="BE348">
        <v>4.2591552910817903E-3</v>
      </c>
      <c r="BF348">
        <f>IF(AK348&lt;BE348,1,0)</f>
        <v>1</v>
      </c>
      <c r="BG348">
        <f>IF(AK348&lt;BC348,1,0)</f>
        <v>1</v>
      </c>
      <c r="BH348">
        <f>VLOOKUP($B348,[1]Data_Peer_with_peerVars!$B$2:$Z$1050,20,FALSE)</f>
        <v>2</v>
      </c>
      <c r="BI348">
        <f>VLOOKUP($B348,[1]Data_Peer_with_peerVars!$B$2:$Z$1050,21,FALSE)</f>
        <v>2</v>
      </c>
      <c r="BJ348">
        <f>VLOOKUP($B348,[1]Data_Peer_with_peerVars!$B$2:$Z$1050,22,FALSE)</f>
        <v>1</v>
      </c>
      <c r="BK348">
        <f>VLOOKUP($B348,[1]Data_Peer_with_peerVars!$B$2:$Z$1050,23,FALSE)</f>
        <v>10</v>
      </c>
      <c r="BL348">
        <f>VLOOKUP($B348,[1]Data_Peer_with_peerVars!$B$2:$Z$1050,24,FALSE)</f>
        <v>7</v>
      </c>
      <c r="BM348">
        <f>VLOOKUP($B348,[1]Data_Peer_with_peerVars!$B$2:$Z$1050,25,FALSE)</f>
        <v>0.7</v>
      </c>
    </row>
    <row r="349" spans="1:65" x14ac:dyDescent="0.2">
      <c r="A349">
        <v>1</v>
      </c>
      <c r="B349" t="s">
        <v>606</v>
      </c>
      <c r="C349">
        <v>175</v>
      </c>
      <c r="D349" t="s">
        <v>68</v>
      </c>
      <c r="E349">
        <v>1</v>
      </c>
      <c r="F349">
        <v>531</v>
      </c>
      <c r="G349" t="s">
        <v>69</v>
      </c>
      <c r="H349" s="1">
        <v>6</v>
      </c>
      <c r="I349" t="s">
        <v>70</v>
      </c>
      <c r="J349" t="s">
        <v>71</v>
      </c>
      <c r="K349" t="s">
        <v>72</v>
      </c>
      <c r="L349">
        <v>1</v>
      </c>
      <c r="M349">
        <v>0</v>
      </c>
      <c r="N349">
        <v>1</v>
      </c>
      <c r="O349">
        <v>1</v>
      </c>
      <c r="P349">
        <v>1</v>
      </c>
      <c r="Q349">
        <v>6</v>
      </c>
      <c r="R349">
        <v>0</v>
      </c>
      <c r="S349">
        <v>0</v>
      </c>
      <c r="T349">
        <v>1</v>
      </c>
      <c r="U349">
        <v>1</v>
      </c>
      <c r="V349">
        <f t="shared" si="135"/>
        <v>0</v>
      </c>
      <c r="W349">
        <f t="shared" si="136"/>
        <v>1</v>
      </c>
      <c r="X349">
        <v>1</v>
      </c>
      <c r="Y349">
        <v>1</v>
      </c>
      <c r="Z349" t="s">
        <v>76</v>
      </c>
      <c r="AA349" s="5" t="s">
        <v>76</v>
      </c>
      <c r="AB349" s="5" t="s">
        <v>76</v>
      </c>
      <c r="AC349" t="s">
        <v>74</v>
      </c>
      <c r="AD349" t="s">
        <v>76</v>
      </c>
      <c r="AE349" s="5" t="s">
        <v>241</v>
      </c>
      <c r="AF349" t="s">
        <v>196</v>
      </c>
      <c r="AG349" t="s">
        <v>173</v>
      </c>
      <c r="AH349">
        <f t="shared" si="148"/>
        <v>0.10792350000000001</v>
      </c>
      <c r="AI349">
        <f>AJ349</f>
        <v>0.10792350000000001</v>
      </c>
      <c r="AJ349">
        <f>AL349</f>
        <v>0.10792350000000001</v>
      </c>
      <c r="AK349">
        <v>0.10745614000000001</v>
      </c>
      <c r="AL349">
        <v>0.10792350000000001</v>
      </c>
      <c r="AM349">
        <v>0.12335525999999999</v>
      </c>
      <c r="AN349">
        <v>0.12445415</v>
      </c>
      <c r="AO349">
        <v>89.254385999999997</v>
      </c>
      <c r="AP349">
        <v>89.207650000000001</v>
      </c>
      <c r="AQ349">
        <v>87.664473999999998</v>
      </c>
      <c r="AR349">
        <v>87.554585000000003</v>
      </c>
      <c r="AS349" t="b">
        <v>0</v>
      </c>
      <c r="AT349" t="b">
        <v>0</v>
      </c>
      <c r="AU349" t="s">
        <v>108</v>
      </c>
      <c r="AV349" t="s">
        <v>108</v>
      </c>
      <c r="AW349" t="s">
        <v>79</v>
      </c>
      <c r="AX349" t="s">
        <v>80</v>
      </c>
      <c r="AY349" t="s">
        <v>607</v>
      </c>
      <c r="AZ349" t="s">
        <v>72</v>
      </c>
      <c r="BA349" t="s">
        <v>82</v>
      </c>
      <c r="BB349">
        <v>0.35</v>
      </c>
      <c r="BC349">
        <v>2.4738868000000001E-3</v>
      </c>
      <c r="BD349">
        <v>1.4256942275279999E-4</v>
      </c>
      <c r="BE349">
        <v>2.6164562227527998E-3</v>
      </c>
      <c r="BF349">
        <f>IF(AK349&lt;BE349,1,0)</f>
        <v>0</v>
      </c>
      <c r="BG349">
        <f>IF(AK349&lt;BC349,1,0)</f>
        <v>0</v>
      </c>
      <c r="BH349">
        <f>VLOOKUP($B349,[1]Data_Peer_with_peerVars!$B$2:$Z$1050,20,FALSE)</f>
        <v>2</v>
      </c>
      <c r="BI349">
        <f>VLOOKUP($B349,[1]Data_Peer_with_peerVars!$B$2:$Z$1050,21,FALSE)</f>
        <v>2</v>
      </c>
      <c r="BJ349">
        <f>VLOOKUP($B349,[1]Data_Peer_with_peerVars!$B$2:$Z$1050,22,FALSE)</f>
        <v>1</v>
      </c>
      <c r="BK349">
        <f>VLOOKUP($B349,[1]Data_Peer_with_peerVars!$B$2:$Z$1050,23,FALSE)</f>
        <v>10</v>
      </c>
      <c r="BL349">
        <f>VLOOKUP($B349,[1]Data_Peer_with_peerVars!$B$2:$Z$1050,24,FALSE)</f>
        <v>7</v>
      </c>
      <c r="BM349">
        <f>VLOOKUP($B349,[1]Data_Peer_with_peerVars!$B$2:$Z$1050,25,FALSE)</f>
        <v>0.7</v>
      </c>
    </row>
    <row r="350" spans="1:65" x14ac:dyDescent="0.2">
      <c r="A350">
        <v>1</v>
      </c>
      <c r="B350" t="s">
        <v>608</v>
      </c>
      <c r="C350">
        <v>175</v>
      </c>
      <c r="D350" t="s">
        <v>68</v>
      </c>
      <c r="E350">
        <v>1</v>
      </c>
      <c r="F350">
        <v>531</v>
      </c>
      <c r="G350" t="s">
        <v>69</v>
      </c>
      <c r="H350" s="1">
        <v>6</v>
      </c>
      <c r="I350" t="s">
        <v>70</v>
      </c>
      <c r="J350" t="s">
        <v>71</v>
      </c>
      <c r="K350" t="s">
        <v>72</v>
      </c>
      <c r="L350">
        <v>1</v>
      </c>
      <c r="M350">
        <v>0</v>
      </c>
      <c r="N350">
        <v>1</v>
      </c>
      <c r="O350">
        <v>1</v>
      </c>
      <c r="P350">
        <v>1</v>
      </c>
      <c r="Q350">
        <v>6</v>
      </c>
      <c r="R350">
        <v>0</v>
      </c>
      <c r="S350">
        <v>0</v>
      </c>
      <c r="T350">
        <v>1</v>
      </c>
      <c r="U350">
        <v>1</v>
      </c>
      <c r="V350">
        <f t="shared" si="135"/>
        <v>1</v>
      </c>
      <c r="W350">
        <v>1</v>
      </c>
      <c r="X350">
        <v>1</v>
      </c>
      <c r="Y350">
        <v>1</v>
      </c>
      <c r="Z350" t="s">
        <v>73</v>
      </c>
      <c r="AA350" s="5" t="s">
        <v>73</v>
      </c>
      <c r="AB350" s="5" t="s">
        <v>73</v>
      </c>
      <c r="AC350" t="s">
        <v>73</v>
      </c>
      <c r="AD350" t="s">
        <v>94</v>
      </c>
      <c r="AE350" s="5" t="s">
        <v>106</v>
      </c>
      <c r="AF350" t="s">
        <v>107</v>
      </c>
      <c r="AG350" t="s">
        <v>95</v>
      </c>
      <c r="AH350">
        <f t="shared" si="148"/>
        <v>3.8167940000000001E-3</v>
      </c>
      <c r="AI350">
        <f t="shared" ref="AI350:AI354" si="150">AJ350</f>
        <v>3.8167940000000001E-3</v>
      </c>
      <c r="AJ350">
        <f t="shared" si="138"/>
        <v>3.8167940000000001E-3</v>
      </c>
      <c r="AK350">
        <v>3.8167940000000001E-3</v>
      </c>
      <c r="AL350">
        <v>0.13169399000000001</v>
      </c>
      <c r="AM350">
        <v>0.13623904000000001</v>
      </c>
      <c r="AN350">
        <v>0.13867615</v>
      </c>
      <c r="AO350">
        <v>99.618320600000004</v>
      </c>
      <c r="AP350">
        <v>86.830601000000001</v>
      </c>
      <c r="AQ350">
        <v>86.376096000000004</v>
      </c>
      <c r="AR350">
        <v>86.132384999999999</v>
      </c>
      <c r="AS350" t="b">
        <v>1</v>
      </c>
      <c r="AT350" t="b">
        <v>0</v>
      </c>
      <c r="AU350" t="s">
        <v>77</v>
      </c>
      <c r="AV350" t="s">
        <v>108</v>
      </c>
      <c r="AW350" t="s">
        <v>79</v>
      </c>
      <c r="AX350" t="s">
        <v>80</v>
      </c>
      <c r="AY350" t="s">
        <v>607</v>
      </c>
      <c r="AZ350" t="s">
        <v>72</v>
      </c>
      <c r="BA350" t="s">
        <v>82</v>
      </c>
      <c r="BB350">
        <v>0.35</v>
      </c>
      <c r="BC350">
        <v>4.1163553999999996E-3</v>
      </c>
      <c r="BD350">
        <v>1.4279989108178799E-4</v>
      </c>
      <c r="BE350">
        <v>4.2591552910817903E-3</v>
      </c>
      <c r="BF350">
        <f>IF(AK350&lt;BE350,1,0)</f>
        <v>1</v>
      </c>
      <c r="BG350">
        <f>IF(AK350&lt;BC350,1,0)</f>
        <v>1</v>
      </c>
      <c r="BH350">
        <f>VLOOKUP($B350,[1]Data_Peer_with_peerVars!$B$2:$Z$1050,20,FALSE)</f>
        <v>2</v>
      </c>
      <c r="BI350">
        <f>VLOOKUP($B350,[1]Data_Peer_with_peerVars!$B$2:$Z$1050,21,FALSE)</f>
        <v>2</v>
      </c>
      <c r="BJ350">
        <f>VLOOKUP($B350,[1]Data_Peer_with_peerVars!$B$2:$Z$1050,22,FALSE)</f>
        <v>1</v>
      </c>
      <c r="BK350">
        <f>VLOOKUP($B350,[1]Data_Peer_with_peerVars!$B$2:$Z$1050,23,FALSE)</f>
        <v>10</v>
      </c>
      <c r="BL350">
        <f>VLOOKUP($B350,[1]Data_Peer_with_peerVars!$B$2:$Z$1050,24,FALSE)</f>
        <v>7</v>
      </c>
      <c r="BM350">
        <f>VLOOKUP($B350,[1]Data_Peer_with_peerVars!$B$2:$Z$1050,25,FALSE)</f>
        <v>0.7</v>
      </c>
    </row>
    <row r="351" spans="1:65" x14ac:dyDescent="0.2">
      <c r="A351">
        <v>1</v>
      </c>
      <c r="B351" t="s">
        <v>609</v>
      </c>
      <c r="C351">
        <v>176</v>
      </c>
      <c r="D351" t="s">
        <v>68</v>
      </c>
      <c r="E351">
        <v>1</v>
      </c>
      <c r="F351">
        <v>532</v>
      </c>
      <c r="G351" t="s">
        <v>86</v>
      </c>
      <c r="H351" s="1">
        <v>7</v>
      </c>
      <c r="I351" t="s">
        <v>87</v>
      </c>
      <c r="J351" t="s">
        <v>88</v>
      </c>
      <c r="K351" t="s">
        <v>109</v>
      </c>
      <c r="L351">
        <v>2</v>
      </c>
      <c r="M351">
        <v>0</v>
      </c>
      <c r="N351">
        <v>1</v>
      </c>
      <c r="O351">
        <v>0</v>
      </c>
      <c r="P351">
        <v>0</v>
      </c>
      <c r="Q351">
        <v>5</v>
      </c>
      <c r="R351">
        <v>0</v>
      </c>
      <c r="S351">
        <v>0</v>
      </c>
      <c r="T351">
        <v>1</v>
      </c>
      <c r="U351">
        <v>1</v>
      </c>
      <c r="V351">
        <f t="shared" si="135"/>
        <v>1</v>
      </c>
      <c r="W351">
        <v>1</v>
      </c>
      <c r="X351">
        <v>1</v>
      </c>
      <c r="Y351">
        <v>1</v>
      </c>
      <c r="Z351" t="s">
        <v>73</v>
      </c>
      <c r="AA351" s="5" t="s">
        <v>73</v>
      </c>
      <c r="AB351" s="5" t="s">
        <v>73</v>
      </c>
      <c r="AC351" t="s">
        <v>73</v>
      </c>
      <c r="AD351" t="s">
        <v>94</v>
      </c>
      <c r="AE351" s="5" t="s">
        <v>106</v>
      </c>
      <c r="AF351" t="s">
        <v>107</v>
      </c>
      <c r="AG351" t="s">
        <v>95</v>
      </c>
      <c r="AH351">
        <f t="shared" si="148"/>
        <v>4.0894219999999997E-3</v>
      </c>
      <c r="AI351">
        <f t="shared" si="150"/>
        <v>4.0894219999999997E-3</v>
      </c>
      <c r="AJ351">
        <f t="shared" si="138"/>
        <v>4.0894219999999997E-3</v>
      </c>
      <c r="AK351">
        <v>4.0894219999999997E-3</v>
      </c>
      <c r="AL351">
        <v>0.13196722</v>
      </c>
      <c r="AM351">
        <v>0.13623904000000001</v>
      </c>
      <c r="AN351">
        <v>0.13867615</v>
      </c>
      <c r="AO351">
        <v>99.591057800000002</v>
      </c>
      <c r="AP351">
        <v>86.803278000000006</v>
      </c>
      <c r="AQ351">
        <v>86.376096000000004</v>
      </c>
      <c r="AR351">
        <v>86.132384999999999</v>
      </c>
      <c r="AS351" t="b">
        <v>1</v>
      </c>
      <c r="AT351" t="b">
        <v>0</v>
      </c>
      <c r="AU351" t="s">
        <v>77</v>
      </c>
      <c r="AV351" t="s">
        <v>108</v>
      </c>
      <c r="AW351" t="s">
        <v>79</v>
      </c>
      <c r="AX351" t="s">
        <v>80</v>
      </c>
      <c r="AY351" t="s">
        <v>607</v>
      </c>
      <c r="AZ351" t="s">
        <v>109</v>
      </c>
      <c r="BA351">
        <v>10</v>
      </c>
      <c r="BB351">
        <v>0.1</v>
      </c>
      <c r="BC351">
        <v>4.1163553999999996E-3</v>
      </c>
      <c r="BD351">
        <v>1.4279989108178799E-4</v>
      </c>
      <c r="BE351">
        <v>4.2591552910817903E-3</v>
      </c>
      <c r="BF351">
        <f>IF(AK351&lt;BE351,1,0)</f>
        <v>1</v>
      </c>
      <c r="BG351">
        <f>IF(AK351&lt;BC351,1,0)</f>
        <v>1</v>
      </c>
      <c r="BH351">
        <f>VLOOKUP($B351,[1]Data_Peer_with_peerVars!$B$2:$Z$1050,20,FALSE)</f>
        <v>0</v>
      </c>
      <c r="BI351">
        <f>VLOOKUP($B351,[1]Data_Peer_with_peerVars!$B$2:$Z$1050,21,FALSE)</f>
        <v>0</v>
      </c>
      <c r="BJ351">
        <v>0</v>
      </c>
      <c r="BK351">
        <f>VLOOKUP($B351,[1]Data_Peer_with_peerVars!$B$2:$Z$1050,23,FALSE)</f>
        <v>16</v>
      </c>
      <c r="BL351">
        <f>VLOOKUP($B351,[1]Data_Peer_with_peerVars!$B$2:$Z$1050,24,FALSE)</f>
        <v>11</v>
      </c>
      <c r="BM351">
        <f>VLOOKUP($B351,[1]Data_Peer_with_peerVars!$B$2:$Z$1050,25,FALSE)</f>
        <v>0.6875</v>
      </c>
    </row>
    <row r="352" spans="1:65" x14ac:dyDescent="0.2">
      <c r="A352">
        <v>1</v>
      </c>
      <c r="B352" t="s">
        <v>610</v>
      </c>
      <c r="C352">
        <v>177</v>
      </c>
      <c r="D352" t="s">
        <v>68</v>
      </c>
      <c r="E352">
        <v>1</v>
      </c>
      <c r="F352">
        <v>197</v>
      </c>
      <c r="G352" t="s">
        <v>86</v>
      </c>
      <c r="H352" s="1">
        <v>7</v>
      </c>
      <c r="I352" t="s">
        <v>70</v>
      </c>
      <c r="J352" t="s">
        <v>71</v>
      </c>
      <c r="K352" t="s">
        <v>109</v>
      </c>
      <c r="L352">
        <v>1</v>
      </c>
      <c r="M352">
        <v>1</v>
      </c>
      <c r="N352">
        <v>1</v>
      </c>
      <c r="O352">
        <v>1</v>
      </c>
      <c r="P352">
        <v>0</v>
      </c>
      <c r="Q352">
        <v>9</v>
      </c>
      <c r="R352">
        <v>0</v>
      </c>
      <c r="S352">
        <v>0</v>
      </c>
      <c r="T352">
        <v>0</v>
      </c>
      <c r="U352">
        <v>0</v>
      </c>
      <c r="V352">
        <f t="shared" si="135"/>
        <v>1</v>
      </c>
      <c r="W352">
        <v>1</v>
      </c>
      <c r="X352">
        <v>1</v>
      </c>
      <c r="Y352">
        <v>1</v>
      </c>
      <c r="Z352" t="s">
        <v>73</v>
      </c>
      <c r="AA352" s="5" t="s">
        <v>73</v>
      </c>
      <c r="AB352" s="5" t="s">
        <v>73</v>
      </c>
      <c r="AC352" t="s">
        <v>73</v>
      </c>
      <c r="AD352" t="s">
        <v>75</v>
      </c>
      <c r="AE352" s="5" t="s">
        <v>75</v>
      </c>
      <c r="AF352" t="s">
        <v>94</v>
      </c>
      <c r="AG352" t="s">
        <v>120</v>
      </c>
      <c r="AH352">
        <f t="shared" si="148"/>
        <v>5.4525629999999999E-2</v>
      </c>
      <c r="AI352">
        <f t="shared" si="150"/>
        <v>5.4525629999999999E-2</v>
      </c>
      <c r="AJ352">
        <f t="shared" si="138"/>
        <v>5.4525629999999999E-2</v>
      </c>
      <c r="AK352">
        <v>5.4525629999999999E-2</v>
      </c>
      <c r="AL352">
        <v>0.111597374</v>
      </c>
      <c r="AM352">
        <v>0.13073143000000001</v>
      </c>
      <c r="AN352">
        <v>0.13735664</v>
      </c>
      <c r="AO352">
        <v>94.547437000000002</v>
      </c>
      <c r="AP352">
        <v>88.840262600000003</v>
      </c>
      <c r="AQ352">
        <v>86.926856999999998</v>
      </c>
      <c r="AR352">
        <v>86.264336</v>
      </c>
      <c r="AS352" t="b">
        <v>1</v>
      </c>
      <c r="AT352" t="b">
        <v>0</v>
      </c>
      <c r="AU352" t="s">
        <v>77</v>
      </c>
      <c r="AV352" t="s">
        <v>78</v>
      </c>
      <c r="AW352" t="s">
        <v>79</v>
      </c>
      <c r="AX352" t="s">
        <v>80</v>
      </c>
      <c r="AY352" t="s">
        <v>611</v>
      </c>
      <c r="AZ352" t="s">
        <v>109</v>
      </c>
      <c r="BA352">
        <v>1</v>
      </c>
      <c r="BB352">
        <v>1</v>
      </c>
      <c r="BC352">
        <v>4.1163553999999996E-3</v>
      </c>
      <c r="BD352">
        <v>1.4279989108178799E-4</v>
      </c>
      <c r="BE352">
        <v>4.2591552910817903E-3</v>
      </c>
      <c r="BF352">
        <f>IF(AK352&lt;BE352,1,0)</f>
        <v>0</v>
      </c>
      <c r="BG352">
        <f>IF(AK352&lt;BC352,1,0)</f>
        <v>0</v>
      </c>
      <c r="BH352">
        <f>VLOOKUP($B352,[1]Data_Peer_with_peerVars!$B$2:$Z$1050,20,FALSE)</f>
        <v>6</v>
      </c>
      <c r="BI352">
        <f>VLOOKUP($B352,[1]Data_Peer_with_peerVars!$B$2:$Z$1050,21,FALSE)</f>
        <v>4</v>
      </c>
      <c r="BJ352">
        <f>VLOOKUP($B352,[1]Data_Peer_with_peerVars!$B$2:$Z$1050,22,FALSE)</f>
        <v>0.66666666699999999</v>
      </c>
      <c r="BK352">
        <f>VLOOKUP($B352,[1]Data_Peer_with_peerVars!$B$2:$Z$1050,23,FALSE)</f>
        <v>41</v>
      </c>
      <c r="BL352">
        <f>VLOOKUP($B352,[1]Data_Peer_with_peerVars!$B$2:$Z$1050,24,FALSE)</f>
        <v>25</v>
      </c>
      <c r="BM352">
        <f>VLOOKUP($B352,[1]Data_Peer_with_peerVars!$B$2:$Z$1050,25,FALSE)</f>
        <v>0.60975609799999997</v>
      </c>
    </row>
    <row r="353" spans="1:65" x14ac:dyDescent="0.2">
      <c r="A353">
        <v>1</v>
      </c>
      <c r="B353" t="s">
        <v>612</v>
      </c>
      <c r="C353">
        <v>177</v>
      </c>
      <c r="D353" t="s">
        <v>68</v>
      </c>
      <c r="E353">
        <v>1</v>
      </c>
      <c r="F353">
        <v>197</v>
      </c>
      <c r="G353" t="s">
        <v>86</v>
      </c>
      <c r="H353" s="1">
        <v>7</v>
      </c>
      <c r="I353" t="s">
        <v>70</v>
      </c>
      <c r="J353" t="s">
        <v>71</v>
      </c>
      <c r="K353" t="s">
        <v>109</v>
      </c>
      <c r="L353">
        <v>1</v>
      </c>
      <c r="M353">
        <v>1</v>
      </c>
      <c r="N353">
        <v>1</v>
      </c>
      <c r="O353">
        <v>1</v>
      </c>
      <c r="P353">
        <v>0</v>
      </c>
      <c r="Q353">
        <v>9</v>
      </c>
      <c r="R353">
        <v>0</v>
      </c>
      <c r="S353">
        <v>0</v>
      </c>
      <c r="T353">
        <v>0</v>
      </c>
      <c r="U353">
        <v>0</v>
      </c>
      <c r="V353">
        <f t="shared" si="135"/>
        <v>1</v>
      </c>
      <c r="W353">
        <v>1</v>
      </c>
      <c r="X353">
        <v>1</v>
      </c>
      <c r="Y353">
        <v>1</v>
      </c>
      <c r="Z353" t="s">
        <v>76</v>
      </c>
      <c r="AA353" s="5" t="s">
        <v>76</v>
      </c>
      <c r="AB353" s="5" t="s">
        <v>76</v>
      </c>
      <c r="AC353" t="s">
        <v>76</v>
      </c>
      <c r="AD353" t="s">
        <v>74</v>
      </c>
      <c r="AE353" s="5" t="s">
        <v>74</v>
      </c>
      <c r="AF353" t="s">
        <v>120</v>
      </c>
      <c r="AG353" t="s">
        <v>75</v>
      </c>
      <c r="AH353">
        <f t="shared" si="148"/>
        <v>7.1077089999999996E-2</v>
      </c>
      <c r="AI353">
        <f t="shared" si="150"/>
        <v>7.1077089999999996E-2</v>
      </c>
      <c r="AJ353">
        <f t="shared" si="138"/>
        <v>7.1077089999999996E-2</v>
      </c>
      <c r="AK353">
        <v>7.1077089999999996E-2</v>
      </c>
      <c r="AL353">
        <v>7.6522216000000004E-2</v>
      </c>
      <c r="AM353">
        <v>0.110989615</v>
      </c>
      <c r="AN353">
        <v>0.11111111</v>
      </c>
      <c r="AO353">
        <v>92.892291</v>
      </c>
      <c r="AP353">
        <v>92.347778399999996</v>
      </c>
      <c r="AQ353">
        <v>88.901038499999999</v>
      </c>
      <c r="AR353">
        <v>88.888889000000006</v>
      </c>
      <c r="AS353" t="b">
        <v>1</v>
      </c>
      <c r="AT353" t="b">
        <v>0</v>
      </c>
      <c r="AU353" t="s">
        <v>77</v>
      </c>
      <c r="AV353" t="s">
        <v>77</v>
      </c>
      <c r="AW353" t="s">
        <v>79</v>
      </c>
      <c r="AX353" t="s">
        <v>80</v>
      </c>
      <c r="AY353" t="s">
        <v>611</v>
      </c>
      <c r="AZ353" t="s">
        <v>72</v>
      </c>
      <c r="BA353" t="s">
        <v>82</v>
      </c>
      <c r="BB353">
        <v>1</v>
      </c>
      <c r="BC353">
        <v>7.7070764999999999E-2</v>
      </c>
      <c r="BD353">
        <v>1.90190515067399E-3</v>
      </c>
      <c r="BE353">
        <v>7.8972670150673996E-2</v>
      </c>
      <c r="BF353">
        <f>IF(AK353&lt;BE353,1,0)</f>
        <v>1</v>
      </c>
      <c r="BG353">
        <f>IF(AK353&lt;BC353,1,0)</f>
        <v>1</v>
      </c>
      <c r="BH353">
        <f>VLOOKUP($B353,[1]Data_Peer_with_peerVars!$B$2:$Z$1050,20,FALSE)</f>
        <v>6</v>
      </c>
      <c r="BI353">
        <f>VLOOKUP($B353,[1]Data_Peer_with_peerVars!$B$2:$Z$1050,21,FALSE)</f>
        <v>4</v>
      </c>
      <c r="BJ353">
        <f>VLOOKUP($B353,[1]Data_Peer_with_peerVars!$B$2:$Z$1050,22,FALSE)</f>
        <v>0.66666666699999999</v>
      </c>
      <c r="BK353">
        <f>VLOOKUP($B353,[1]Data_Peer_with_peerVars!$B$2:$Z$1050,23,FALSE)</f>
        <v>41</v>
      </c>
      <c r="BL353">
        <f>VLOOKUP($B353,[1]Data_Peer_with_peerVars!$B$2:$Z$1050,24,FALSE)</f>
        <v>25</v>
      </c>
      <c r="BM353">
        <f>VLOOKUP($B353,[1]Data_Peer_with_peerVars!$B$2:$Z$1050,25,FALSE)</f>
        <v>0.60975609799999997</v>
      </c>
    </row>
    <row r="354" spans="1:65" x14ac:dyDescent="0.2">
      <c r="A354">
        <v>1</v>
      </c>
      <c r="B354" t="s">
        <v>613</v>
      </c>
      <c r="C354">
        <v>178</v>
      </c>
      <c r="D354" t="s">
        <v>68</v>
      </c>
      <c r="E354">
        <v>1</v>
      </c>
      <c r="F354">
        <v>201</v>
      </c>
      <c r="G354" t="s">
        <v>86</v>
      </c>
      <c r="H354" s="1">
        <v>7</v>
      </c>
      <c r="I354" t="s">
        <v>70</v>
      </c>
      <c r="J354" t="s">
        <v>71</v>
      </c>
      <c r="K354" t="s">
        <v>109</v>
      </c>
      <c r="L354">
        <v>1</v>
      </c>
      <c r="M354">
        <v>0</v>
      </c>
      <c r="N354">
        <v>1</v>
      </c>
      <c r="O354">
        <v>1</v>
      </c>
      <c r="P354">
        <v>0</v>
      </c>
      <c r="Q354">
        <v>2</v>
      </c>
      <c r="R354">
        <v>0</v>
      </c>
      <c r="S354">
        <v>0</v>
      </c>
      <c r="T354">
        <v>1</v>
      </c>
      <c r="U354">
        <v>1</v>
      </c>
      <c r="V354">
        <f t="shared" si="135"/>
        <v>1</v>
      </c>
      <c r="W354">
        <v>1</v>
      </c>
      <c r="X354">
        <v>1</v>
      </c>
      <c r="Y354">
        <v>1</v>
      </c>
      <c r="Z354" t="s">
        <v>73</v>
      </c>
      <c r="AA354" s="5" t="s">
        <v>73</v>
      </c>
      <c r="AB354" s="5" t="s">
        <v>73</v>
      </c>
      <c r="AC354" t="s">
        <v>73</v>
      </c>
      <c r="AD354" t="s">
        <v>94</v>
      </c>
      <c r="AE354" s="5" t="s">
        <v>106</v>
      </c>
      <c r="AF354" t="s">
        <v>107</v>
      </c>
      <c r="AG354" t="s">
        <v>95</v>
      </c>
      <c r="AH354">
        <f t="shared" si="148"/>
        <v>3.8167940000000001E-3</v>
      </c>
      <c r="AI354">
        <f t="shared" si="150"/>
        <v>3.8167940000000001E-3</v>
      </c>
      <c r="AJ354">
        <f t="shared" si="138"/>
        <v>3.8167940000000001E-3</v>
      </c>
      <c r="AK354">
        <v>3.8167940000000001E-3</v>
      </c>
      <c r="AL354">
        <v>0.13169399000000001</v>
      </c>
      <c r="AM354">
        <v>0.13623904000000001</v>
      </c>
      <c r="AN354">
        <v>0.13867615</v>
      </c>
      <c r="AO354">
        <v>99.618320600000004</v>
      </c>
      <c r="AP354">
        <v>86.830601000000001</v>
      </c>
      <c r="AQ354">
        <v>86.376096000000004</v>
      </c>
      <c r="AR354">
        <v>86.132384999999999</v>
      </c>
      <c r="AS354" t="b">
        <v>1</v>
      </c>
      <c r="AT354" t="b">
        <v>0</v>
      </c>
      <c r="AU354" t="s">
        <v>77</v>
      </c>
      <c r="AV354" t="s">
        <v>108</v>
      </c>
      <c r="AW354" t="s">
        <v>79</v>
      </c>
      <c r="AX354" t="s">
        <v>80</v>
      </c>
      <c r="AY354" t="s">
        <v>611</v>
      </c>
      <c r="AZ354" t="s">
        <v>109</v>
      </c>
      <c r="BA354">
        <v>100</v>
      </c>
      <c r="BB354">
        <v>0.7</v>
      </c>
      <c r="BC354">
        <v>4.1163553999999996E-3</v>
      </c>
      <c r="BD354">
        <v>1.4279989108178799E-4</v>
      </c>
      <c r="BE354">
        <v>4.2591552910817903E-3</v>
      </c>
      <c r="BF354">
        <f>IF(AK354&lt;BE354,1,0)</f>
        <v>1</v>
      </c>
      <c r="BG354">
        <f>IF(AK354&lt;BC354,1,0)</f>
        <v>1</v>
      </c>
      <c r="BH354">
        <f>VLOOKUP($B354,[1]Data_Peer_with_peerVars!$B$2:$Z$1050,20,FALSE)</f>
        <v>12</v>
      </c>
      <c r="BI354">
        <f>VLOOKUP($B354,[1]Data_Peer_with_peerVars!$B$2:$Z$1050,21,FALSE)</f>
        <v>8</v>
      </c>
      <c r="BJ354">
        <f>VLOOKUP($B354,[1]Data_Peer_with_peerVars!$B$2:$Z$1050,22,FALSE)</f>
        <v>0.66666666699999999</v>
      </c>
      <c r="BK354">
        <f>VLOOKUP($B354,[1]Data_Peer_with_peerVars!$B$2:$Z$1050,23,FALSE)</f>
        <v>43</v>
      </c>
      <c r="BL354">
        <f>VLOOKUP($B354,[1]Data_Peer_with_peerVars!$B$2:$Z$1050,24,FALSE)</f>
        <v>27</v>
      </c>
      <c r="BM354">
        <f>VLOOKUP($B354,[1]Data_Peer_with_peerVars!$B$2:$Z$1050,25,FALSE)</f>
        <v>0.62790697699999998</v>
      </c>
    </row>
    <row r="355" spans="1:65" x14ac:dyDescent="0.2">
      <c r="A355">
        <v>1</v>
      </c>
      <c r="B355" t="s">
        <v>614</v>
      </c>
      <c r="C355">
        <v>179</v>
      </c>
      <c r="D355" t="s">
        <v>68</v>
      </c>
      <c r="E355">
        <v>1</v>
      </c>
      <c r="F355">
        <v>219</v>
      </c>
      <c r="G355" t="s">
        <v>69</v>
      </c>
      <c r="H355" s="1">
        <v>5</v>
      </c>
      <c r="I355" t="s">
        <v>70</v>
      </c>
      <c r="J355" t="s">
        <v>71</v>
      </c>
      <c r="K355" t="s">
        <v>109</v>
      </c>
      <c r="L355">
        <v>2</v>
      </c>
      <c r="M355">
        <v>0</v>
      </c>
      <c r="N355">
        <v>1</v>
      </c>
      <c r="O355">
        <v>1</v>
      </c>
      <c r="P355">
        <v>1</v>
      </c>
      <c r="Q355">
        <v>6</v>
      </c>
      <c r="R355">
        <v>0</v>
      </c>
      <c r="S355">
        <v>0</v>
      </c>
      <c r="T355">
        <v>0</v>
      </c>
      <c r="U355">
        <v>0</v>
      </c>
      <c r="V355">
        <f t="shared" si="135"/>
        <v>0</v>
      </c>
      <c r="W355">
        <f t="shared" si="136"/>
        <v>0</v>
      </c>
      <c r="X355">
        <f t="shared" si="139"/>
        <v>0</v>
      </c>
      <c r="Y355">
        <f t="shared" si="137"/>
        <v>0</v>
      </c>
      <c r="Z355" t="s">
        <v>73</v>
      </c>
      <c r="AA355" s="5" t="s">
        <v>73</v>
      </c>
      <c r="AB355" s="5" t="s">
        <v>73</v>
      </c>
      <c r="AC355" t="s">
        <v>287</v>
      </c>
      <c r="AD355" t="s">
        <v>137</v>
      </c>
      <c r="AE355" s="5" t="s">
        <v>308</v>
      </c>
      <c r="AF355" t="s">
        <v>113</v>
      </c>
      <c r="AG355" t="s">
        <v>103</v>
      </c>
      <c r="AH355">
        <f>AI355</f>
        <v>0.10649918</v>
      </c>
      <c r="AI355">
        <f>AJ355</f>
        <v>0.10649918</v>
      </c>
      <c r="AJ355">
        <f t="shared" si="138"/>
        <v>0.10649918</v>
      </c>
      <c r="AK355">
        <v>0.10649918</v>
      </c>
      <c r="AL355">
        <v>0.11687602</v>
      </c>
      <c r="AM355">
        <v>0.12959912000000001</v>
      </c>
      <c r="AN355">
        <v>0.13436123999999999</v>
      </c>
      <c r="AO355">
        <v>89.350082</v>
      </c>
      <c r="AP355">
        <v>88.312398000000002</v>
      </c>
      <c r="AQ355">
        <v>87.040087999999997</v>
      </c>
      <c r="AR355">
        <v>86.563875999999993</v>
      </c>
      <c r="AS355" t="b">
        <v>0</v>
      </c>
      <c r="AT355" t="b">
        <v>0</v>
      </c>
      <c r="AU355" t="s">
        <v>78</v>
      </c>
      <c r="AV355" t="s">
        <v>108</v>
      </c>
      <c r="AW355" t="s">
        <v>79</v>
      </c>
      <c r="AX355" t="s">
        <v>80</v>
      </c>
      <c r="AY355" t="s">
        <v>611</v>
      </c>
      <c r="AZ355" t="s">
        <v>109</v>
      </c>
      <c r="BA355">
        <v>100</v>
      </c>
      <c r="BB355" t="s">
        <v>82</v>
      </c>
      <c r="BC355">
        <v>5.5106750000000003E-2</v>
      </c>
      <c r="BD355">
        <v>2.4361461616194298E-3</v>
      </c>
      <c r="BE355">
        <v>5.7542896161619402E-2</v>
      </c>
      <c r="BF355">
        <f>IF(AK355&lt;BE355,1,0)</f>
        <v>0</v>
      </c>
      <c r="BG355">
        <f>IF(AK355&lt;BC355,1,0)</f>
        <v>0</v>
      </c>
    </row>
    <row r="356" spans="1:65" x14ac:dyDescent="0.2">
      <c r="A356">
        <v>1</v>
      </c>
      <c r="B356" t="s">
        <v>615</v>
      </c>
      <c r="C356">
        <v>180</v>
      </c>
      <c r="D356" t="s">
        <v>68</v>
      </c>
      <c r="E356">
        <v>1</v>
      </c>
      <c r="F356">
        <v>233</v>
      </c>
      <c r="G356" t="s">
        <v>69</v>
      </c>
      <c r="H356" s="1">
        <v>7</v>
      </c>
      <c r="I356" t="s">
        <v>70</v>
      </c>
      <c r="J356" t="s">
        <v>71</v>
      </c>
      <c r="K356" t="s">
        <v>109</v>
      </c>
      <c r="L356">
        <v>1</v>
      </c>
      <c r="M356">
        <v>0</v>
      </c>
      <c r="N356">
        <v>1</v>
      </c>
      <c r="O356">
        <v>1</v>
      </c>
      <c r="P356">
        <v>0</v>
      </c>
      <c r="Q356">
        <v>6</v>
      </c>
      <c r="R356">
        <v>0</v>
      </c>
      <c r="S356">
        <v>0</v>
      </c>
      <c r="T356">
        <v>0</v>
      </c>
      <c r="U356">
        <v>0</v>
      </c>
      <c r="V356">
        <f t="shared" si="135"/>
        <v>1</v>
      </c>
      <c r="W356">
        <v>1</v>
      </c>
      <c r="X356">
        <v>1</v>
      </c>
      <c r="Y356">
        <v>1</v>
      </c>
      <c r="Z356" t="s">
        <v>73</v>
      </c>
      <c r="AA356" s="5" t="s">
        <v>73</v>
      </c>
      <c r="AB356" s="5" t="s">
        <v>73</v>
      </c>
      <c r="AC356" t="s">
        <v>73</v>
      </c>
      <c r="AD356" t="s">
        <v>94</v>
      </c>
      <c r="AE356" s="5" t="s">
        <v>94</v>
      </c>
      <c r="AF356" t="s">
        <v>75</v>
      </c>
      <c r="AG356" t="s">
        <v>95</v>
      </c>
      <c r="AH356">
        <f t="shared" ref="AH356:AH357" si="151">AI356</f>
        <v>6.2021859999999998E-2</v>
      </c>
      <c r="AI356">
        <f t="shared" ref="AI356:AI357" si="152">AJ356</f>
        <v>6.2021859999999998E-2</v>
      </c>
      <c r="AJ356">
        <f t="shared" si="138"/>
        <v>6.2021859999999998E-2</v>
      </c>
      <c r="AK356">
        <v>6.2021859999999998E-2</v>
      </c>
      <c r="AL356">
        <v>0.12007659</v>
      </c>
      <c r="AM356">
        <v>0.13020833000000001</v>
      </c>
      <c r="AN356">
        <v>0.13964951</v>
      </c>
      <c r="AO356">
        <v>93.797814000000002</v>
      </c>
      <c r="AP356">
        <v>87.992340999999996</v>
      </c>
      <c r="AQ356">
        <v>86.979167000000004</v>
      </c>
      <c r="AR356">
        <v>86.035049000000001</v>
      </c>
      <c r="AS356" t="b">
        <v>1</v>
      </c>
      <c r="AT356" t="b">
        <v>0</v>
      </c>
      <c r="AU356" t="s">
        <v>77</v>
      </c>
      <c r="AV356" t="s">
        <v>78</v>
      </c>
      <c r="AW356" t="s">
        <v>79</v>
      </c>
      <c r="AX356" t="s">
        <v>80</v>
      </c>
      <c r="AY356" t="s">
        <v>611</v>
      </c>
      <c r="AZ356" t="s">
        <v>109</v>
      </c>
      <c r="BA356">
        <v>12</v>
      </c>
      <c r="BB356">
        <v>1.4</v>
      </c>
      <c r="BC356">
        <v>4.1163553999999996E-3</v>
      </c>
      <c r="BD356">
        <v>1.4279989108178799E-4</v>
      </c>
      <c r="BE356">
        <v>4.2591552910817903E-3</v>
      </c>
      <c r="BF356">
        <f>IF(AK356&lt;BE356,1,0)</f>
        <v>0</v>
      </c>
      <c r="BG356">
        <f>IF(AK356&lt;BC356,1,0)</f>
        <v>0</v>
      </c>
      <c r="BH356">
        <f>VLOOKUP($B356,[1]Data_Peer_with_peerVars!$B$2:$Z$1050,20,FALSE)</f>
        <v>12</v>
      </c>
      <c r="BI356">
        <f>VLOOKUP($B356,[1]Data_Peer_with_peerVars!$B$2:$Z$1050,21,FALSE)</f>
        <v>8</v>
      </c>
      <c r="BJ356">
        <f>VLOOKUP($B356,[1]Data_Peer_with_peerVars!$B$2:$Z$1050,22,FALSE)</f>
        <v>0.66666666699999999</v>
      </c>
      <c r="BK356">
        <f>VLOOKUP($B356,[1]Data_Peer_with_peerVars!$B$2:$Z$1050,23,FALSE)</f>
        <v>43</v>
      </c>
      <c r="BL356">
        <f>VLOOKUP($B356,[1]Data_Peer_with_peerVars!$B$2:$Z$1050,24,FALSE)</f>
        <v>27</v>
      </c>
      <c r="BM356">
        <f>VLOOKUP($B356,[1]Data_Peer_with_peerVars!$B$2:$Z$1050,25,FALSE)</f>
        <v>0.62790697699999998</v>
      </c>
    </row>
    <row r="357" spans="1:65" x14ac:dyDescent="0.2">
      <c r="A357">
        <v>1</v>
      </c>
      <c r="B357" t="s">
        <v>616</v>
      </c>
      <c r="C357">
        <v>181</v>
      </c>
      <c r="D357" t="s">
        <v>68</v>
      </c>
      <c r="E357">
        <v>0</v>
      </c>
      <c r="F357">
        <v>235</v>
      </c>
      <c r="G357" t="s">
        <v>97</v>
      </c>
      <c r="H357" s="1">
        <v>7</v>
      </c>
      <c r="I357" t="s">
        <v>87</v>
      </c>
      <c r="J357" t="s">
        <v>88</v>
      </c>
      <c r="K357" t="s">
        <v>72</v>
      </c>
      <c r="L357">
        <v>1</v>
      </c>
      <c r="M357">
        <v>0</v>
      </c>
      <c r="N357">
        <v>0</v>
      </c>
      <c r="O357">
        <v>0</v>
      </c>
      <c r="P357">
        <v>1</v>
      </c>
      <c r="Q357">
        <v>6</v>
      </c>
      <c r="R357">
        <v>0</v>
      </c>
      <c r="S357">
        <v>0</v>
      </c>
      <c r="T357">
        <v>0</v>
      </c>
      <c r="U357">
        <v>0</v>
      </c>
      <c r="V357">
        <v>1</v>
      </c>
      <c r="W357">
        <v>1</v>
      </c>
      <c r="X357">
        <v>1</v>
      </c>
      <c r="Y357">
        <v>1</v>
      </c>
      <c r="Z357" t="s">
        <v>98</v>
      </c>
      <c r="AA357" s="5" t="s">
        <v>99</v>
      </c>
      <c r="AB357" s="5" t="s">
        <v>600</v>
      </c>
      <c r="AC357" t="s">
        <v>99</v>
      </c>
      <c r="AD357" t="s">
        <v>101</v>
      </c>
      <c r="AE357" s="5" t="s">
        <v>101</v>
      </c>
      <c r="AF357" t="s">
        <v>103</v>
      </c>
      <c r="AG357" t="s">
        <v>102</v>
      </c>
      <c r="AH357">
        <f t="shared" si="151"/>
        <v>7.0601209999999998E-2</v>
      </c>
      <c r="AI357">
        <f t="shared" si="152"/>
        <v>7.0601209999999998E-2</v>
      </c>
      <c r="AJ357">
        <f t="shared" si="138"/>
        <v>7.0601209999999998E-2</v>
      </c>
      <c r="AK357">
        <v>7.0601209999999998E-2</v>
      </c>
      <c r="AL357">
        <v>8.4568920000000006E-2</v>
      </c>
      <c r="AM357">
        <v>0.114577584</v>
      </c>
      <c r="AN357">
        <v>0.12117068</v>
      </c>
      <c r="AO357">
        <v>92.939879000000005</v>
      </c>
      <c r="AP357">
        <v>91.543108000000004</v>
      </c>
      <c r="AQ357">
        <v>88.542241599999997</v>
      </c>
      <c r="AR357">
        <v>87.882931999999997</v>
      </c>
      <c r="AS357" t="b">
        <v>1</v>
      </c>
      <c r="AT357" t="b">
        <v>0</v>
      </c>
      <c r="AU357" t="s">
        <v>77</v>
      </c>
      <c r="AV357" t="s">
        <v>77</v>
      </c>
      <c r="AW357" t="s">
        <v>79</v>
      </c>
      <c r="AX357" t="s">
        <v>80</v>
      </c>
      <c r="AY357" t="s">
        <v>611</v>
      </c>
      <c r="AZ357" t="s">
        <v>72</v>
      </c>
      <c r="BA357" t="s">
        <v>82</v>
      </c>
      <c r="BB357">
        <v>0.28000000000000003</v>
      </c>
      <c r="BC357">
        <v>2.4711695999999998E-2</v>
      </c>
      <c r="BD357">
        <v>1.72884756304863E-3</v>
      </c>
      <c r="BE357">
        <v>2.6440543563048601E-2</v>
      </c>
      <c r="BF357">
        <f>IF(AK357&lt;BE357,1,0)</f>
        <v>0</v>
      </c>
      <c r="BG357">
        <f>IF(AK357&lt;BC357,1,0)</f>
        <v>0</v>
      </c>
      <c r="BH357">
        <f>VLOOKUP($B357,[1]Data_Peer_with_peerVars!$B$2:$Z$1050,20,FALSE)</f>
        <v>6</v>
      </c>
      <c r="BI357">
        <f>VLOOKUP($B357,[1]Data_Peer_with_peerVars!$B$2:$Z$1050,21,FALSE)</f>
        <v>4</v>
      </c>
      <c r="BJ357">
        <f>VLOOKUP($B357,[1]Data_Peer_with_peerVars!$B$2:$Z$1050,22,FALSE)</f>
        <v>0.66666666699999999</v>
      </c>
      <c r="BK357">
        <f>VLOOKUP($B357,[1]Data_Peer_with_peerVars!$B$2:$Z$1050,23,FALSE)</f>
        <v>40</v>
      </c>
      <c r="BL357">
        <f>VLOOKUP($B357,[1]Data_Peer_with_peerVars!$B$2:$Z$1050,24,FALSE)</f>
        <v>25</v>
      </c>
      <c r="BM357">
        <f>VLOOKUP($B357,[1]Data_Peer_with_peerVars!$B$2:$Z$1050,25,FALSE)</f>
        <v>0.625</v>
      </c>
    </row>
    <row r="358" spans="1:65" x14ac:dyDescent="0.2">
      <c r="A358">
        <v>1</v>
      </c>
      <c r="B358" t="s">
        <v>617</v>
      </c>
      <c r="C358">
        <v>181</v>
      </c>
      <c r="D358" t="s">
        <v>68</v>
      </c>
      <c r="E358">
        <v>0</v>
      </c>
      <c r="F358">
        <v>235</v>
      </c>
      <c r="G358" t="s">
        <v>97</v>
      </c>
      <c r="H358" s="1">
        <v>7</v>
      </c>
      <c r="I358" t="s">
        <v>87</v>
      </c>
      <c r="J358" t="s">
        <v>88</v>
      </c>
      <c r="K358" t="s">
        <v>72</v>
      </c>
      <c r="L358">
        <v>1</v>
      </c>
      <c r="M358">
        <v>0</v>
      </c>
      <c r="N358">
        <v>0</v>
      </c>
      <c r="O358">
        <v>0</v>
      </c>
      <c r="P358">
        <v>1</v>
      </c>
      <c r="Q358">
        <v>6</v>
      </c>
      <c r="R358">
        <v>0</v>
      </c>
      <c r="S358">
        <v>0</v>
      </c>
      <c r="T358">
        <v>1</v>
      </c>
      <c r="U358">
        <v>1</v>
      </c>
      <c r="V358">
        <f t="shared" si="135"/>
        <v>0</v>
      </c>
      <c r="W358">
        <f t="shared" si="136"/>
        <v>0</v>
      </c>
      <c r="X358">
        <f t="shared" si="139"/>
        <v>0</v>
      </c>
      <c r="Y358">
        <f t="shared" si="137"/>
        <v>0</v>
      </c>
      <c r="Z358" t="s">
        <v>76</v>
      </c>
      <c r="AA358" s="5" t="s">
        <v>76</v>
      </c>
      <c r="AB358" s="5" t="s">
        <v>76</v>
      </c>
      <c r="AC358" t="s">
        <v>74</v>
      </c>
      <c r="AD358" t="s">
        <v>94</v>
      </c>
      <c r="AE358" s="5" t="s">
        <v>94</v>
      </c>
      <c r="AF358" t="s">
        <v>107</v>
      </c>
      <c r="AG358" t="s">
        <v>95</v>
      </c>
      <c r="AH358">
        <f>AI358</f>
        <v>0.11479452</v>
      </c>
      <c r="AI358">
        <f>AJ358</f>
        <v>0.11479452</v>
      </c>
      <c r="AJ358">
        <f t="shared" si="138"/>
        <v>0.11479452</v>
      </c>
      <c r="AK358">
        <v>0.11479452</v>
      </c>
      <c r="AL358">
        <v>0.11790393</v>
      </c>
      <c r="AM358">
        <v>0.12185103999999999</v>
      </c>
      <c r="AN358">
        <v>0.13360654999999999</v>
      </c>
      <c r="AO358">
        <v>88.520548000000005</v>
      </c>
      <c r="AP358">
        <v>88.209607000000005</v>
      </c>
      <c r="AQ358">
        <v>87.814896000000005</v>
      </c>
      <c r="AR358">
        <v>86.639345000000006</v>
      </c>
      <c r="AS358" t="b">
        <v>0</v>
      </c>
      <c r="AT358" t="b">
        <v>0</v>
      </c>
      <c r="AU358" t="s">
        <v>78</v>
      </c>
      <c r="AV358" t="s">
        <v>78</v>
      </c>
      <c r="AW358" t="s">
        <v>79</v>
      </c>
      <c r="AX358" t="s">
        <v>80</v>
      </c>
      <c r="AY358" t="s">
        <v>611</v>
      </c>
      <c r="AZ358" t="s">
        <v>72</v>
      </c>
      <c r="BA358" t="s">
        <v>82</v>
      </c>
      <c r="BB358">
        <v>0.7</v>
      </c>
      <c r="BC358">
        <v>2.4738868000000001E-3</v>
      </c>
      <c r="BD358">
        <v>1.4256942275279999E-4</v>
      </c>
      <c r="BE358">
        <v>2.6164562227527998E-3</v>
      </c>
      <c r="BF358">
        <f>IF(AK358&lt;BE358,1,0)</f>
        <v>0</v>
      </c>
      <c r="BG358">
        <f>IF(AK358&lt;BC358,1,0)</f>
        <v>0</v>
      </c>
      <c r="BH358">
        <f>VLOOKUP($B358,[1]Data_Peer_with_peerVars!$B$2:$Z$1050,20,FALSE)</f>
        <v>6</v>
      </c>
      <c r="BI358">
        <f>VLOOKUP($B358,[1]Data_Peer_with_peerVars!$B$2:$Z$1050,21,FALSE)</f>
        <v>4</v>
      </c>
      <c r="BJ358">
        <f>VLOOKUP($B358,[1]Data_Peer_with_peerVars!$B$2:$Z$1050,22,FALSE)</f>
        <v>0.66666666699999999</v>
      </c>
      <c r="BK358">
        <f>VLOOKUP($B358,[1]Data_Peer_with_peerVars!$B$2:$Z$1050,23,FALSE)</f>
        <v>40</v>
      </c>
      <c r="BL358">
        <f>VLOOKUP($B358,[1]Data_Peer_with_peerVars!$B$2:$Z$1050,24,FALSE)</f>
        <v>25</v>
      </c>
      <c r="BM358">
        <f>VLOOKUP($B358,[1]Data_Peer_with_peerVars!$B$2:$Z$1050,25,FALSE)</f>
        <v>0.625</v>
      </c>
    </row>
    <row r="359" spans="1:65" x14ac:dyDescent="0.2">
      <c r="A359">
        <v>1</v>
      </c>
      <c r="B359" t="s">
        <v>618</v>
      </c>
      <c r="C359">
        <v>181</v>
      </c>
      <c r="D359" t="s">
        <v>68</v>
      </c>
      <c r="E359">
        <v>0</v>
      </c>
      <c r="F359">
        <v>235</v>
      </c>
      <c r="G359" t="s">
        <v>97</v>
      </c>
      <c r="H359" s="1">
        <v>7</v>
      </c>
      <c r="I359" t="s">
        <v>87</v>
      </c>
      <c r="J359" t="s">
        <v>88</v>
      </c>
      <c r="K359" t="s">
        <v>72</v>
      </c>
      <c r="L359">
        <v>1</v>
      </c>
      <c r="M359">
        <v>0</v>
      </c>
      <c r="N359">
        <v>0</v>
      </c>
      <c r="O359">
        <v>0</v>
      </c>
      <c r="P359">
        <v>1</v>
      </c>
      <c r="Q359">
        <v>6</v>
      </c>
      <c r="R359">
        <v>0</v>
      </c>
      <c r="S359">
        <v>0</v>
      </c>
      <c r="T359">
        <v>0</v>
      </c>
      <c r="U359">
        <v>0</v>
      </c>
      <c r="V359">
        <f t="shared" si="135"/>
        <v>1</v>
      </c>
      <c r="W359">
        <v>1</v>
      </c>
      <c r="X359">
        <v>1</v>
      </c>
      <c r="Y359">
        <v>1</v>
      </c>
      <c r="Z359" t="s">
        <v>73</v>
      </c>
      <c r="AA359" s="5" t="s">
        <v>73</v>
      </c>
      <c r="AB359" s="5" t="s">
        <v>73</v>
      </c>
      <c r="AC359" t="s">
        <v>73</v>
      </c>
      <c r="AD359" t="s">
        <v>137</v>
      </c>
      <c r="AE359" s="5" t="s">
        <v>137</v>
      </c>
      <c r="AF359" t="s">
        <v>113</v>
      </c>
      <c r="AG359" t="s">
        <v>75</v>
      </c>
      <c r="AH359">
        <f t="shared" ref="AH359:AH360" si="153">AI359</f>
        <v>9.8146126E-2</v>
      </c>
      <c r="AI359">
        <f t="shared" ref="AI359:AI360" si="154">AJ359</f>
        <v>9.8146126E-2</v>
      </c>
      <c r="AJ359">
        <f t="shared" si="138"/>
        <v>9.8146126E-2</v>
      </c>
      <c r="AK359">
        <v>9.8146126E-2</v>
      </c>
      <c r="AL359">
        <v>0.13810043</v>
      </c>
      <c r="AM359">
        <v>0.14607358000000001</v>
      </c>
      <c r="AN359">
        <v>0.14852297</v>
      </c>
      <c r="AO359">
        <v>90.185387399999996</v>
      </c>
      <c r="AP359">
        <v>86.189957000000007</v>
      </c>
      <c r="AQ359">
        <v>85.392641999999995</v>
      </c>
      <c r="AR359">
        <v>85.147703000000007</v>
      </c>
      <c r="AS359" t="b">
        <v>1</v>
      </c>
      <c r="AT359" t="b">
        <v>0</v>
      </c>
      <c r="AU359" t="s">
        <v>77</v>
      </c>
      <c r="AV359" t="s">
        <v>78</v>
      </c>
      <c r="AW359" t="s">
        <v>79</v>
      </c>
      <c r="AX359" t="s">
        <v>80</v>
      </c>
      <c r="AY359" t="s">
        <v>611</v>
      </c>
      <c r="AZ359" t="s">
        <v>72</v>
      </c>
      <c r="BA359" t="s">
        <v>82</v>
      </c>
      <c r="BB359">
        <v>0.7</v>
      </c>
      <c r="BC359">
        <v>4.1163553999999996E-3</v>
      </c>
      <c r="BD359">
        <v>1.4279989108178799E-4</v>
      </c>
      <c r="BE359">
        <v>4.2591552910817903E-3</v>
      </c>
      <c r="BF359">
        <f>IF(AK359&lt;BE359,1,0)</f>
        <v>0</v>
      </c>
      <c r="BG359">
        <f>IF(AK359&lt;BC359,1,0)</f>
        <v>0</v>
      </c>
      <c r="BH359">
        <f>VLOOKUP($B359,[1]Data_Peer_with_peerVars!$B$2:$Z$1050,20,FALSE)</f>
        <v>6</v>
      </c>
      <c r="BI359">
        <f>VLOOKUP($B359,[1]Data_Peer_with_peerVars!$B$2:$Z$1050,21,FALSE)</f>
        <v>4</v>
      </c>
      <c r="BJ359">
        <f>VLOOKUP($B359,[1]Data_Peer_with_peerVars!$B$2:$Z$1050,22,FALSE)</f>
        <v>0.66666666699999999</v>
      </c>
      <c r="BK359">
        <f>VLOOKUP($B359,[1]Data_Peer_with_peerVars!$B$2:$Z$1050,23,FALSE)</f>
        <v>40</v>
      </c>
      <c r="BL359">
        <f>VLOOKUP($B359,[1]Data_Peer_with_peerVars!$B$2:$Z$1050,24,FALSE)</f>
        <v>25</v>
      </c>
      <c r="BM359">
        <f>VLOOKUP($B359,[1]Data_Peer_with_peerVars!$B$2:$Z$1050,25,FALSE)</f>
        <v>0.625</v>
      </c>
    </row>
    <row r="360" spans="1:65" x14ac:dyDescent="0.2">
      <c r="A360">
        <v>1</v>
      </c>
      <c r="B360" t="s">
        <v>619</v>
      </c>
      <c r="C360">
        <v>182</v>
      </c>
      <c r="D360" t="s">
        <v>68</v>
      </c>
      <c r="E360">
        <v>1</v>
      </c>
      <c r="F360">
        <v>237</v>
      </c>
      <c r="G360" t="s">
        <v>69</v>
      </c>
      <c r="H360" s="1">
        <v>7</v>
      </c>
      <c r="I360" t="s">
        <v>87</v>
      </c>
      <c r="J360" t="s">
        <v>150</v>
      </c>
      <c r="K360" t="s">
        <v>109</v>
      </c>
      <c r="L360">
        <v>1</v>
      </c>
      <c r="M360">
        <v>0</v>
      </c>
      <c r="N360">
        <v>1</v>
      </c>
      <c r="O360">
        <v>0</v>
      </c>
      <c r="P360">
        <v>0</v>
      </c>
      <c r="Q360">
        <v>6</v>
      </c>
      <c r="R360">
        <v>0</v>
      </c>
      <c r="S360">
        <v>0</v>
      </c>
      <c r="T360">
        <v>0</v>
      </c>
      <c r="U360">
        <v>0</v>
      </c>
      <c r="V360">
        <v>1</v>
      </c>
      <c r="W360">
        <v>1</v>
      </c>
      <c r="X360">
        <v>1</v>
      </c>
      <c r="Y360">
        <v>1</v>
      </c>
      <c r="Z360" t="s">
        <v>98</v>
      </c>
      <c r="AA360" s="5" t="s">
        <v>99</v>
      </c>
      <c r="AB360" s="5" t="s">
        <v>390</v>
      </c>
      <c r="AC360" t="s">
        <v>99</v>
      </c>
      <c r="AD360" t="s">
        <v>101</v>
      </c>
      <c r="AE360" s="5" t="s">
        <v>101</v>
      </c>
      <c r="AF360" t="s">
        <v>102</v>
      </c>
      <c r="AG360" t="s">
        <v>103</v>
      </c>
      <c r="AH360">
        <f t="shared" si="153"/>
        <v>2.0672546999999999E-2</v>
      </c>
      <c r="AI360">
        <f t="shared" si="154"/>
        <v>2.0672546999999999E-2</v>
      </c>
      <c r="AJ360">
        <f t="shared" si="138"/>
        <v>2.0672546999999999E-2</v>
      </c>
      <c r="AK360">
        <v>2.0672546999999999E-2</v>
      </c>
      <c r="AL360">
        <v>7.4766349999999995E-2</v>
      </c>
      <c r="AM360">
        <v>9.2076500000000006E-2</v>
      </c>
      <c r="AN360">
        <v>0.11285872</v>
      </c>
      <c r="AO360">
        <v>97.932745299999993</v>
      </c>
      <c r="AP360">
        <v>92.523364999999998</v>
      </c>
      <c r="AQ360">
        <v>90.792349999999999</v>
      </c>
      <c r="AR360">
        <v>88.714128000000002</v>
      </c>
      <c r="AS360" t="b">
        <v>1</v>
      </c>
      <c r="AT360" t="b">
        <v>0</v>
      </c>
      <c r="AU360" t="s">
        <v>77</v>
      </c>
      <c r="AV360" t="s">
        <v>77</v>
      </c>
      <c r="AW360" t="s">
        <v>79</v>
      </c>
      <c r="AX360" t="s">
        <v>80</v>
      </c>
      <c r="AY360" t="s">
        <v>611</v>
      </c>
      <c r="AZ360" t="s">
        <v>109</v>
      </c>
      <c r="BA360">
        <v>1</v>
      </c>
      <c r="BB360">
        <v>0.35</v>
      </c>
      <c r="BC360">
        <v>2.4711695999999998E-2</v>
      </c>
      <c r="BD360">
        <v>1.72884756304863E-3</v>
      </c>
      <c r="BE360">
        <v>2.6440543563048601E-2</v>
      </c>
      <c r="BF360">
        <f>IF(AK360&lt;BE360,1,0)</f>
        <v>1</v>
      </c>
      <c r="BG360">
        <f>IF(AK360&lt;BC360,1,0)</f>
        <v>1</v>
      </c>
      <c r="BH360">
        <f>VLOOKUP($B360,[1]Data_Peer_with_peerVars!$B$2:$Z$1050,20,FALSE)</f>
        <v>2</v>
      </c>
      <c r="BI360">
        <f>VLOOKUP($B360,[1]Data_Peer_with_peerVars!$B$2:$Z$1050,21,FALSE)</f>
        <v>1</v>
      </c>
      <c r="BJ360">
        <f>VLOOKUP($B360,[1]Data_Peer_with_peerVars!$B$2:$Z$1050,22,FALSE)</f>
        <v>0.5</v>
      </c>
      <c r="BK360">
        <f>VLOOKUP($B360,[1]Data_Peer_with_peerVars!$B$2:$Z$1050,23,FALSE)</f>
        <v>40</v>
      </c>
      <c r="BL360">
        <f>VLOOKUP($B360,[1]Data_Peer_with_peerVars!$B$2:$Z$1050,24,FALSE)</f>
        <v>27</v>
      </c>
      <c r="BM360">
        <f>VLOOKUP($B360,[1]Data_Peer_with_peerVars!$B$2:$Z$1050,25,FALSE)</f>
        <v>0.67500000000000004</v>
      </c>
    </row>
    <row r="361" spans="1:65" x14ac:dyDescent="0.2">
      <c r="A361">
        <v>1</v>
      </c>
      <c r="B361" t="s">
        <v>620</v>
      </c>
      <c r="C361">
        <v>182</v>
      </c>
      <c r="D361" t="s">
        <v>68</v>
      </c>
      <c r="E361">
        <v>1</v>
      </c>
      <c r="F361">
        <v>237</v>
      </c>
      <c r="G361" t="s">
        <v>69</v>
      </c>
      <c r="H361" s="1">
        <v>7</v>
      </c>
      <c r="I361" t="s">
        <v>87</v>
      </c>
      <c r="J361" t="s">
        <v>150</v>
      </c>
      <c r="K361" t="s">
        <v>109</v>
      </c>
      <c r="L361">
        <v>1</v>
      </c>
      <c r="M361">
        <v>0</v>
      </c>
      <c r="N361">
        <v>1</v>
      </c>
      <c r="O361">
        <v>0</v>
      </c>
      <c r="P361">
        <v>0</v>
      </c>
      <c r="Q361">
        <v>6</v>
      </c>
      <c r="R361">
        <v>0</v>
      </c>
      <c r="S361">
        <v>0</v>
      </c>
      <c r="T361">
        <v>0</v>
      </c>
      <c r="U361">
        <v>0</v>
      </c>
      <c r="V361">
        <f t="shared" si="135"/>
        <v>0</v>
      </c>
      <c r="W361">
        <f t="shared" si="136"/>
        <v>0</v>
      </c>
      <c r="X361">
        <f t="shared" si="139"/>
        <v>0</v>
      </c>
      <c r="Y361">
        <f t="shared" si="137"/>
        <v>0</v>
      </c>
      <c r="Z361" t="s">
        <v>98</v>
      </c>
      <c r="AA361" s="5" t="s">
        <v>99</v>
      </c>
      <c r="AB361" s="5" t="s">
        <v>600</v>
      </c>
      <c r="AC361" t="s">
        <v>91</v>
      </c>
      <c r="AD361" t="s">
        <v>287</v>
      </c>
      <c r="AE361" s="5" t="s">
        <v>287</v>
      </c>
      <c r="AF361" t="s">
        <v>137</v>
      </c>
      <c r="AG361" t="s">
        <v>84</v>
      </c>
      <c r="AH361">
        <f>AI361</f>
        <v>3.280481E-3</v>
      </c>
      <c r="AI361">
        <f>AJ361</f>
        <v>3.280481E-3</v>
      </c>
      <c r="AJ361">
        <f t="shared" si="138"/>
        <v>3.280481E-3</v>
      </c>
      <c r="AK361">
        <v>3.280481E-3</v>
      </c>
      <c r="AL361">
        <v>0.1204918</v>
      </c>
      <c r="AM361">
        <v>0.12889132</v>
      </c>
      <c r="AN361">
        <v>0.13379120999999999</v>
      </c>
      <c r="AO361">
        <v>99.671951899999996</v>
      </c>
      <c r="AP361">
        <v>87.950819999999993</v>
      </c>
      <c r="AQ361">
        <v>87.110867999999996</v>
      </c>
      <c r="AR361">
        <v>86.620879000000002</v>
      </c>
      <c r="AS361" t="b">
        <v>0</v>
      </c>
      <c r="AT361" t="b">
        <v>0</v>
      </c>
      <c r="AU361" t="s">
        <v>77</v>
      </c>
      <c r="AV361" t="s">
        <v>78</v>
      </c>
      <c r="AW361" t="s">
        <v>79</v>
      </c>
      <c r="AX361" t="s">
        <v>80</v>
      </c>
      <c r="AY361" t="s">
        <v>611</v>
      </c>
      <c r="AZ361" t="s">
        <v>109</v>
      </c>
      <c r="BA361">
        <v>10</v>
      </c>
      <c r="BB361">
        <v>0.28000000000000003</v>
      </c>
      <c r="BC361">
        <v>9.0659339999999995E-3</v>
      </c>
      <c r="BD361">
        <v>2.76583658862385E-3</v>
      </c>
      <c r="BE361">
        <v>1.1831770588623799E-2</v>
      </c>
      <c r="BF361">
        <f>IF(AK361&lt;BE361,1,0)</f>
        <v>1</v>
      </c>
      <c r="BG361">
        <f>IF(AK361&lt;BC361,1,0)</f>
        <v>1</v>
      </c>
      <c r="BH361">
        <f>VLOOKUP($B361,[1]Data_Peer_with_peerVars!$B$2:$Z$1050,20,FALSE)</f>
        <v>2</v>
      </c>
      <c r="BI361">
        <f>VLOOKUP($B361,[1]Data_Peer_with_peerVars!$B$2:$Z$1050,21,FALSE)</f>
        <v>1</v>
      </c>
      <c r="BJ361">
        <f>VLOOKUP($B361,[1]Data_Peer_with_peerVars!$B$2:$Z$1050,22,FALSE)</f>
        <v>0.5</v>
      </c>
      <c r="BK361">
        <f>VLOOKUP($B361,[1]Data_Peer_with_peerVars!$B$2:$Z$1050,23,FALSE)</f>
        <v>40</v>
      </c>
      <c r="BL361">
        <f>VLOOKUP($B361,[1]Data_Peer_with_peerVars!$B$2:$Z$1050,24,FALSE)</f>
        <v>27</v>
      </c>
      <c r="BM361">
        <f>VLOOKUP($B361,[1]Data_Peer_with_peerVars!$B$2:$Z$1050,25,FALSE)</f>
        <v>0.67500000000000004</v>
      </c>
    </row>
    <row r="362" spans="1:65" x14ac:dyDescent="0.2">
      <c r="A362">
        <v>1</v>
      </c>
      <c r="B362" t="s">
        <v>621</v>
      </c>
      <c r="C362">
        <v>183</v>
      </c>
      <c r="D362" t="s">
        <v>68</v>
      </c>
      <c r="E362">
        <v>1</v>
      </c>
      <c r="F362">
        <v>254</v>
      </c>
      <c r="G362" t="s">
        <v>86</v>
      </c>
      <c r="H362" s="1">
        <v>7</v>
      </c>
      <c r="I362" t="s">
        <v>70</v>
      </c>
      <c r="J362" t="s">
        <v>71</v>
      </c>
      <c r="K362" t="s">
        <v>109</v>
      </c>
      <c r="L362">
        <v>1</v>
      </c>
      <c r="M362">
        <v>1</v>
      </c>
      <c r="N362">
        <v>1</v>
      </c>
      <c r="O362">
        <v>0</v>
      </c>
      <c r="P362">
        <v>0</v>
      </c>
      <c r="Q362">
        <v>6</v>
      </c>
      <c r="R362">
        <v>0</v>
      </c>
      <c r="S362">
        <v>0</v>
      </c>
      <c r="T362">
        <v>0</v>
      </c>
      <c r="U362">
        <v>0</v>
      </c>
      <c r="V362">
        <f t="shared" si="135"/>
        <v>1</v>
      </c>
      <c r="W362">
        <v>1</v>
      </c>
      <c r="X362">
        <v>1</v>
      </c>
      <c r="Y362">
        <v>1</v>
      </c>
      <c r="Z362" t="s">
        <v>76</v>
      </c>
      <c r="AA362" s="5" t="s">
        <v>76</v>
      </c>
      <c r="AB362" s="5" t="s">
        <v>501</v>
      </c>
      <c r="AC362" t="s">
        <v>76</v>
      </c>
      <c r="AD362" t="s">
        <v>74</v>
      </c>
      <c r="AE362" s="5" t="s">
        <v>74</v>
      </c>
      <c r="AF362" t="s">
        <v>75</v>
      </c>
      <c r="AG362" t="s">
        <v>120</v>
      </c>
      <c r="AH362">
        <f t="shared" ref="AH362:AH366" si="155">AI362</f>
        <v>7.3457129999999995E-2</v>
      </c>
      <c r="AI362">
        <f t="shared" ref="AI362:AI366" si="156">AJ362</f>
        <v>7.3457129999999995E-2</v>
      </c>
      <c r="AJ362">
        <f t="shared" si="138"/>
        <v>7.3457129999999995E-2</v>
      </c>
      <c r="AK362">
        <v>7.3457129999999995E-2</v>
      </c>
      <c r="AL362">
        <v>9.1506846000000003E-2</v>
      </c>
      <c r="AM362">
        <v>0.11980306</v>
      </c>
      <c r="AN362">
        <v>0.12015292</v>
      </c>
      <c r="AO362">
        <v>92.654286999999997</v>
      </c>
      <c r="AP362">
        <v>90.849315399999995</v>
      </c>
      <c r="AQ362">
        <v>88.019694000000001</v>
      </c>
      <c r="AR362">
        <v>87.984707999999998</v>
      </c>
      <c r="AS362" t="b">
        <v>1</v>
      </c>
      <c r="AT362" t="b">
        <v>0</v>
      </c>
      <c r="AU362" t="s">
        <v>77</v>
      </c>
      <c r="AV362" t="s">
        <v>77</v>
      </c>
      <c r="AW362" t="s">
        <v>79</v>
      </c>
      <c r="AX362" t="s">
        <v>80</v>
      </c>
      <c r="AY362" t="s">
        <v>611</v>
      </c>
      <c r="AZ362" t="s">
        <v>109</v>
      </c>
      <c r="BA362">
        <v>4</v>
      </c>
      <c r="BB362">
        <v>0.7</v>
      </c>
      <c r="BC362">
        <v>7.7070764999999999E-2</v>
      </c>
      <c r="BD362">
        <v>1.90190515067399E-3</v>
      </c>
      <c r="BE362">
        <v>7.8972670150673996E-2</v>
      </c>
      <c r="BF362">
        <f>IF(AK362&lt;BE362,1,0)</f>
        <v>1</v>
      </c>
      <c r="BG362">
        <f>IF(AK362&lt;BC362,1,0)</f>
        <v>1</v>
      </c>
      <c r="BH362">
        <f>VLOOKUP($B362,[1]Data_Peer_with_peerVars!$B$2:$Z$1050,20,FALSE)</f>
        <v>1</v>
      </c>
      <c r="BI362">
        <f>VLOOKUP($B362,[1]Data_Peer_with_peerVars!$B$2:$Z$1050,21,FALSE)</f>
        <v>1</v>
      </c>
      <c r="BJ362">
        <f>VLOOKUP($B362,[1]Data_Peer_with_peerVars!$B$2:$Z$1050,22,FALSE)</f>
        <v>1</v>
      </c>
      <c r="BK362">
        <f>VLOOKUP($B362,[1]Data_Peer_with_peerVars!$B$2:$Z$1050,23,FALSE)</f>
        <v>26</v>
      </c>
      <c r="BL362">
        <f>VLOOKUP($B362,[1]Data_Peer_with_peerVars!$B$2:$Z$1050,24,FALSE)</f>
        <v>16</v>
      </c>
      <c r="BM362">
        <f>VLOOKUP($B362,[1]Data_Peer_with_peerVars!$B$2:$Z$1050,25,FALSE)</f>
        <v>0.61538461499999997</v>
      </c>
    </row>
    <row r="363" spans="1:65" x14ac:dyDescent="0.2">
      <c r="A363">
        <v>1</v>
      </c>
      <c r="B363" t="s">
        <v>622</v>
      </c>
      <c r="C363">
        <v>183</v>
      </c>
      <c r="D363" t="s">
        <v>68</v>
      </c>
      <c r="E363">
        <v>1</v>
      </c>
      <c r="F363">
        <v>254</v>
      </c>
      <c r="G363" t="s">
        <v>86</v>
      </c>
      <c r="H363" s="1">
        <v>7</v>
      </c>
      <c r="I363" t="s">
        <v>70</v>
      </c>
      <c r="J363" t="s">
        <v>71</v>
      </c>
      <c r="K363" t="s">
        <v>109</v>
      </c>
      <c r="L363">
        <v>1</v>
      </c>
      <c r="M363">
        <v>1</v>
      </c>
      <c r="N363">
        <v>1</v>
      </c>
      <c r="O363">
        <v>0</v>
      </c>
      <c r="P363">
        <v>0</v>
      </c>
      <c r="Q363">
        <v>6</v>
      </c>
      <c r="R363">
        <v>0</v>
      </c>
      <c r="S363">
        <v>0</v>
      </c>
      <c r="T363">
        <v>0</v>
      </c>
      <c r="U363">
        <v>0</v>
      </c>
      <c r="V363">
        <v>1</v>
      </c>
      <c r="W363">
        <v>1</v>
      </c>
      <c r="X363">
        <v>1</v>
      </c>
      <c r="Y363">
        <v>1</v>
      </c>
      <c r="Z363" t="s">
        <v>98</v>
      </c>
      <c r="AA363" s="5" t="s">
        <v>99</v>
      </c>
      <c r="AB363" s="5" t="s">
        <v>600</v>
      </c>
      <c r="AC363" t="s">
        <v>99</v>
      </c>
      <c r="AD363" t="s">
        <v>101</v>
      </c>
      <c r="AE363" s="5" t="s">
        <v>101</v>
      </c>
      <c r="AF363" t="s">
        <v>103</v>
      </c>
      <c r="AG363" t="s">
        <v>102</v>
      </c>
      <c r="AH363">
        <f t="shared" si="155"/>
        <v>4.2794038E-2</v>
      </c>
      <c r="AI363">
        <f t="shared" si="156"/>
        <v>4.2794038E-2</v>
      </c>
      <c r="AJ363">
        <f t="shared" si="138"/>
        <v>4.2794038E-2</v>
      </c>
      <c r="AK363">
        <v>4.2794038E-2</v>
      </c>
      <c r="AL363">
        <v>4.7802200000000003E-2</v>
      </c>
      <c r="AM363">
        <v>9.4198900000000002E-2</v>
      </c>
      <c r="AN363">
        <v>0.10366520999999999</v>
      </c>
      <c r="AO363">
        <v>95.720596200000003</v>
      </c>
      <c r="AP363">
        <v>95.21978</v>
      </c>
      <c r="AQ363">
        <v>90.580110000000005</v>
      </c>
      <c r="AR363">
        <v>89.633478999999994</v>
      </c>
      <c r="AS363" t="b">
        <v>1</v>
      </c>
      <c r="AT363" t="b">
        <v>0</v>
      </c>
      <c r="AU363" t="s">
        <v>77</v>
      </c>
      <c r="AV363" t="s">
        <v>77</v>
      </c>
      <c r="AW363" t="s">
        <v>79</v>
      </c>
      <c r="AX363" t="s">
        <v>80</v>
      </c>
      <c r="AY363" t="s">
        <v>611</v>
      </c>
      <c r="AZ363" t="s">
        <v>109</v>
      </c>
      <c r="BA363">
        <v>6</v>
      </c>
      <c r="BB363">
        <v>0.35</v>
      </c>
      <c r="BC363">
        <v>2.4711695999999998E-2</v>
      </c>
      <c r="BD363">
        <v>1.72884756304863E-3</v>
      </c>
      <c r="BE363">
        <v>2.6440543563048601E-2</v>
      </c>
      <c r="BF363">
        <f>IF(AK363&lt;BE363,1,0)</f>
        <v>0</v>
      </c>
      <c r="BG363">
        <f>IF(AK363&lt;BC363,1,0)</f>
        <v>0</v>
      </c>
      <c r="BH363">
        <f>VLOOKUP($B363,[1]Data_Peer_with_peerVars!$B$2:$Z$1050,20,FALSE)</f>
        <v>1</v>
      </c>
      <c r="BI363">
        <f>VLOOKUP($B363,[1]Data_Peer_with_peerVars!$B$2:$Z$1050,21,FALSE)</f>
        <v>1</v>
      </c>
      <c r="BJ363">
        <f>VLOOKUP($B363,[1]Data_Peer_with_peerVars!$B$2:$Z$1050,22,FALSE)</f>
        <v>1</v>
      </c>
      <c r="BK363">
        <f>VLOOKUP($B363,[1]Data_Peer_with_peerVars!$B$2:$Z$1050,23,FALSE)</f>
        <v>26</v>
      </c>
      <c r="BL363">
        <f>VLOOKUP($B363,[1]Data_Peer_with_peerVars!$B$2:$Z$1050,24,FALSE)</f>
        <v>16</v>
      </c>
      <c r="BM363">
        <f>VLOOKUP($B363,[1]Data_Peer_with_peerVars!$B$2:$Z$1050,25,FALSE)</f>
        <v>0.61538461499999997</v>
      </c>
    </row>
    <row r="364" spans="1:65" x14ac:dyDescent="0.2">
      <c r="A364">
        <v>1</v>
      </c>
      <c r="B364" t="s">
        <v>623</v>
      </c>
      <c r="C364">
        <v>184</v>
      </c>
      <c r="D364" t="s">
        <v>68</v>
      </c>
      <c r="E364">
        <v>0</v>
      </c>
      <c r="F364">
        <v>215</v>
      </c>
      <c r="G364" t="s">
        <v>97</v>
      </c>
      <c r="H364" s="1">
        <v>7</v>
      </c>
      <c r="I364" t="s">
        <v>87</v>
      </c>
      <c r="J364" t="s">
        <v>88</v>
      </c>
      <c r="K364" t="s">
        <v>72</v>
      </c>
      <c r="L364">
        <v>1</v>
      </c>
      <c r="M364">
        <v>0</v>
      </c>
      <c r="N364">
        <v>0</v>
      </c>
      <c r="O364">
        <v>0</v>
      </c>
      <c r="P364">
        <v>0</v>
      </c>
      <c r="Q364">
        <v>6</v>
      </c>
      <c r="R364">
        <v>0</v>
      </c>
      <c r="S364">
        <v>0</v>
      </c>
      <c r="T364">
        <v>0</v>
      </c>
      <c r="U364">
        <v>0</v>
      </c>
      <c r="V364">
        <f t="shared" si="135"/>
        <v>1</v>
      </c>
      <c r="W364">
        <v>1</v>
      </c>
      <c r="X364">
        <v>1</v>
      </c>
      <c r="Y364">
        <v>1</v>
      </c>
      <c r="Z364" t="s">
        <v>73</v>
      </c>
      <c r="AA364" s="5" t="s">
        <v>73</v>
      </c>
      <c r="AB364" s="5" t="s">
        <v>73</v>
      </c>
      <c r="AC364" t="s">
        <v>73</v>
      </c>
      <c r="AD364" t="s">
        <v>94</v>
      </c>
      <c r="AE364" s="5" t="s">
        <v>94</v>
      </c>
      <c r="AF364" t="s">
        <v>75</v>
      </c>
      <c r="AG364" t="s">
        <v>95</v>
      </c>
      <c r="AH364">
        <f t="shared" si="155"/>
        <v>6.9520175000000003E-2</v>
      </c>
      <c r="AI364">
        <f t="shared" si="156"/>
        <v>6.9520175000000003E-2</v>
      </c>
      <c r="AJ364">
        <f t="shared" si="138"/>
        <v>6.9520175000000003E-2</v>
      </c>
      <c r="AK364">
        <v>6.9520175000000003E-2</v>
      </c>
      <c r="AL364">
        <v>0.11790393</v>
      </c>
      <c r="AM364">
        <v>0.12910284</v>
      </c>
      <c r="AN364">
        <v>0.14180328</v>
      </c>
      <c r="AO364">
        <v>93.047982500000003</v>
      </c>
      <c r="AP364">
        <v>88.209607000000005</v>
      </c>
      <c r="AQ364">
        <v>87.089715999999996</v>
      </c>
      <c r="AR364">
        <v>85.819671999999997</v>
      </c>
      <c r="AS364" t="b">
        <v>1</v>
      </c>
      <c r="AT364" t="b">
        <v>0</v>
      </c>
      <c r="AU364" t="s">
        <v>77</v>
      </c>
      <c r="AV364" t="s">
        <v>78</v>
      </c>
      <c r="AW364" t="s">
        <v>79</v>
      </c>
      <c r="AX364" t="s">
        <v>80</v>
      </c>
      <c r="AY364" t="s">
        <v>611</v>
      </c>
      <c r="AZ364" t="s">
        <v>72</v>
      </c>
      <c r="BA364" t="s">
        <v>82</v>
      </c>
      <c r="BB364">
        <v>0.7</v>
      </c>
      <c r="BC364">
        <v>4.1163553999999996E-3</v>
      </c>
      <c r="BD364">
        <v>1.4279989108178799E-4</v>
      </c>
      <c r="BE364">
        <v>4.2591552910817903E-3</v>
      </c>
      <c r="BF364">
        <f>IF(AK364&lt;BE364,1,0)</f>
        <v>0</v>
      </c>
      <c r="BG364">
        <f>IF(AK364&lt;BC364,1,0)</f>
        <v>0</v>
      </c>
      <c r="BH364">
        <f>VLOOKUP($B364,[1]Data_Peer_with_peerVars!$B$2:$Z$1050,20,FALSE)</f>
        <v>2</v>
      </c>
      <c r="BI364">
        <f>VLOOKUP($B364,[1]Data_Peer_with_peerVars!$B$2:$Z$1050,21,FALSE)</f>
        <v>2</v>
      </c>
      <c r="BJ364">
        <f>VLOOKUP($B364,[1]Data_Peer_with_peerVars!$B$2:$Z$1050,22,FALSE)</f>
        <v>1</v>
      </c>
      <c r="BK364">
        <f>VLOOKUP($B364,[1]Data_Peer_with_peerVars!$B$2:$Z$1050,23,FALSE)</f>
        <v>29</v>
      </c>
      <c r="BL364">
        <f>VLOOKUP($B364,[1]Data_Peer_with_peerVars!$B$2:$Z$1050,24,FALSE)</f>
        <v>18</v>
      </c>
      <c r="BM364">
        <f>VLOOKUP($B364,[1]Data_Peer_with_peerVars!$B$2:$Z$1050,25,FALSE)</f>
        <v>0.62068965499999995</v>
      </c>
    </row>
    <row r="365" spans="1:65" x14ac:dyDescent="0.2">
      <c r="A365">
        <v>1</v>
      </c>
      <c r="B365" t="s">
        <v>624</v>
      </c>
      <c r="C365">
        <v>185</v>
      </c>
      <c r="D365" t="s">
        <v>68</v>
      </c>
      <c r="E365">
        <v>0</v>
      </c>
      <c r="F365">
        <v>220</v>
      </c>
      <c r="G365" t="s">
        <v>97</v>
      </c>
      <c r="H365" s="1">
        <v>7</v>
      </c>
      <c r="I365" t="s">
        <v>87</v>
      </c>
      <c r="J365" t="s">
        <v>111</v>
      </c>
      <c r="K365" t="s">
        <v>109</v>
      </c>
      <c r="L365">
        <v>1</v>
      </c>
      <c r="M365">
        <v>0</v>
      </c>
      <c r="N365">
        <v>0</v>
      </c>
      <c r="O365">
        <v>1</v>
      </c>
      <c r="P365">
        <v>0</v>
      </c>
      <c r="Q365">
        <v>6</v>
      </c>
      <c r="R365">
        <v>0</v>
      </c>
      <c r="S365">
        <v>0</v>
      </c>
      <c r="T365">
        <v>0</v>
      </c>
      <c r="U365">
        <v>0</v>
      </c>
      <c r="V365">
        <f t="shared" si="135"/>
        <v>1</v>
      </c>
      <c r="W365">
        <v>1</v>
      </c>
      <c r="X365">
        <v>1</v>
      </c>
      <c r="Y365">
        <v>1</v>
      </c>
      <c r="Z365" t="s">
        <v>76</v>
      </c>
      <c r="AA365" s="5" t="s">
        <v>76</v>
      </c>
      <c r="AB365" s="5" t="s">
        <v>76</v>
      </c>
      <c r="AC365" t="s">
        <v>76</v>
      </c>
      <c r="AD365" t="s">
        <v>74</v>
      </c>
      <c r="AE365" s="5" t="s">
        <v>74</v>
      </c>
      <c r="AF365" t="s">
        <v>75</v>
      </c>
      <c r="AG365" t="s">
        <v>120</v>
      </c>
      <c r="AH365">
        <f t="shared" si="155"/>
        <v>7.1584700000000001E-2</v>
      </c>
      <c r="AI365">
        <f t="shared" si="156"/>
        <v>7.1584700000000001E-2</v>
      </c>
      <c r="AJ365">
        <f t="shared" si="138"/>
        <v>7.1584700000000001E-2</v>
      </c>
      <c r="AK365">
        <v>7.1584700000000001E-2</v>
      </c>
      <c r="AL365">
        <v>0.100603074</v>
      </c>
      <c r="AM365">
        <v>0.12315271</v>
      </c>
      <c r="AN365">
        <v>0.12431694</v>
      </c>
      <c r="AO365">
        <v>92.841530000000006</v>
      </c>
      <c r="AP365">
        <v>89.939692600000001</v>
      </c>
      <c r="AQ365">
        <v>87.684729000000004</v>
      </c>
      <c r="AR365">
        <v>87.568306000000007</v>
      </c>
      <c r="AS365" t="b">
        <v>1</v>
      </c>
      <c r="AT365" t="b">
        <v>0</v>
      </c>
      <c r="AU365" t="s">
        <v>77</v>
      </c>
      <c r="AV365" t="s">
        <v>78</v>
      </c>
      <c r="AW365" t="s">
        <v>79</v>
      </c>
      <c r="AX365" t="s">
        <v>80</v>
      </c>
      <c r="AY365" t="s">
        <v>607</v>
      </c>
      <c r="AZ365" t="s">
        <v>109</v>
      </c>
      <c r="BA365">
        <v>100</v>
      </c>
      <c r="BB365">
        <v>0.5</v>
      </c>
      <c r="BC365">
        <v>7.7070764999999999E-2</v>
      </c>
      <c r="BD365">
        <v>1.90190515067399E-3</v>
      </c>
      <c r="BE365">
        <v>7.8972670150673996E-2</v>
      </c>
      <c r="BF365">
        <f>IF(AK365&lt;BE365,1,0)</f>
        <v>1</v>
      </c>
      <c r="BG365">
        <f>IF(AK365&lt;BC365,1,0)</f>
        <v>1</v>
      </c>
      <c r="BH365">
        <f>VLOOKUP($B365,[1]Data_Peer_with_peerVars!$B$2:$Z$1050,20,FALSE)</f>
        <v>9</v>
      </c>
      <c r="BI365">
        <f>VLOOKUP($B365,[1]Data_Peer_with_peerVars!$B$2:$Z$1050,21,FALSE)</f>
        <v>5</v>
      </c>
      <c r="BJ365">
        <f>VLOOKUP($B365,[1]Data_Peer_with_peerVars!$B$2:$Z$1050,22,FALSE)</f>
        <v>0.55555555599999995</v>
      </c>
      <c r="BK365">
        <f>VLOOKUP($B365,[1]Data_Peer_with_peerVars!$B$2:$Z$1050,23,FALSE)</f>
        <v>18</v>
      </c>
      <c r="BL365">
        <f>VLOOKUP($B365,[1]Data_Peer_with_peerVars!$B$2:$Z$1050,24,FALSE)</f>
        <v>11</v>
      </c>
      <c r="BM365">
        <f>VLOOKUP($B365,[1]Data_Peer_with_peerVars!$B$2:$Z$1050,25,FALSE)</f>
        <v>0.61111111100000004</v>
      </c>
    </row>
    <row r="366" spans="1:65" x14ac:dyDescent="0.2">
      <c r="A366">
        <v>1</v>
      </c>
      <c r="B366" t="s">
        <v>625</v>
      </c>
      <c r="C366">
        <v>185</v>
      </c>
      <c r="D366" t="s">
        <v>68</v>
      </c>
      <c r="E366">
        <v>0</v>
      </c>
      <c r="F366">
        <v>220</v>
      </c>
      <c r="G366" t="s">
        <v>97</v>
      </c>
      <c r="H366" s="1">
        <v>7</v>
      </c>
      <c r="I366" t="s">
        <v>87</v>
      </c>
      <c r="J366" t="s">
        <v>111</v>
      </c>
      <c r="K366" t="s">
        <v>109</v>
      </c>
      <c r="L366">
        <v>1</v>
      </c>
      <c r="M366">
        <v>0</v>
      </c>
      <c r="N366">
        <v>0</v>
      </c>
      <c r="O366">
        <v>1</v>
      </c>
      <c r="P366">
        <v>0</v>
      </c>
      <c r="Q366">
        <v>6</v>
      </c>
      <c r="R366">
        <v>0</v>
      </c>
      <c r="S366">
        <v>0</v>
      </c>
      <c r="T366">
        <v>1</v>
      </c>
      <c r="U366">
        <v>1</v>
      </c>
      <c r="V366">
        <f t="shared" si="135"/>
        <v>1</v>
      </c>
      <c r="W366">
        <v>1</v>
      </c>
      <c r="X366">
        <v>1</v>
      </c>
      <c r="Y366">
        <v>1</v>
      </c>
      <c r="Z366" t="s">
        <v>73</v>
      </c>
      <c r="AA366" s="5" t="s">
        <v>73</v>
      </c>
      <c r="AB366" s="5" t="s">
        <v>73</v>
      </c>
      <c r="AC366" t="s">
        <v>73</v>
      </c>
      <c r="AD366" t="s">
        <v>94</v>
      </c>
      <c r="AE366" s="5" t="s">
        <v>106</v>
      </c>
      <c r="AF366" t="s">
        <v>107</v>
      </c>
      <c r="AG366" t="s">
        <v>95</v>
      </c>
      <c r="AH366">
        <f t="shared" si="155"/>
        <v>4.0916529999999998E-3</v>
      </c>
      <c r="AI366">
        <f t="shared" si="156"/>
        <v>4.0916529999999998E-3</v>
      </c>
      <c r="AJ366">
        <f t="shared" si="138"/>
        <v>4.0916529999999998E-3</v>
      </c>
      <c r="AK366">
        <v>4.0916529999999998E-3</v>
      </c>
      <c r="AL366">
        <v>0.13203936999999999</v>
      </c>
      <c r="AM366">
        <v>0.13651315999999999</v>
      </c>
      <c r="AN366">
        <v>0.13902571999999999</v>
      </c>
      <c r="AO366">
        <v>99.590834700000002</v>
      </c>
      <c r="AP366">
        <v>86.796063000000004</v>
      </c>
      <c r="AQ366">
        <v>86.348684000000006</v>
      </c>
      <c r="AR366">
        <v>86.097427999999994</v>
      </c>
      <c r="AS366" t="b">
        <v>1</v>
      </c>
      <c r="AT366" t="b">
        <v>0</v>
      </c>
      <c r="AU366" t="s">
        <v>77</v>
      </c>
      <c r="AV366" t="s">
        <v>108</v>
      </c>
      <c r="AW366" t="s">
        <v>79</v>
      </c>
      <c r="AX366" t="s">
        <v>80</v>
      </c>
      <c r="AY366" t="s">
        <v>607</v>
      </c>
      <c r="AZ366" t="s">
        <v>109</v>
      </c>
      <c r="BA366">
        <v>100</v>
      </c>
      <c r="BB366">
        <v>1</v>
      </c>
      <c r="BC366">
        <v>4.1163553999999996E-3</v>
      </c>
      <c r="BD366">
        <v>1.4279989108178799E-4</v>
      </c>
      <c r="BE366">
        <v>4.2591552910817903E-3</v>
      </c>
      <c r="BF366">
        <f>IF(AK366&lt;BE366,1,0)</f>
        <v>1</v>
      </c>
      <c r="BG366">
        <f>IF(AK366&lt;BC366,1,0)</f>
        <v>1</v>
      </c>
      <c r="BH366">
        <f>VLOOKUP($B366,[1]Data_Peer_with_peerVars!$B$2:$Z$1050,20,FALSE)</f>
        <v>9</v>
      </c>
      <c r="BI366">
        <f>VLOOKUP($B366,[1]Data_Peer_with_peerVars!$B$2:$Z$1050,21,FALSE)</f>
        <v>5</v>
      </c>
      <c r="BJ366">
        <f>VLOOKUP($B366,[1]Data_Peer_with_peerVars!$B$2:$Z$1050,22,FALSE)</f>
        <v>0.55555555599999995</v>
      </c>
      <c r="BK366">
        <f>VLOOKUP($B366,[1]Data_Peer_with_peerVars!$B$2:$Z$1050,23,FALSE)</f>
        <v>18</v>
      </c>
      <c r="BL366">
        <f>VLOOKUP($B366,[1]Data_Peer_with_peerVars!$B$2:$Z$1050,24,FALSE)</f>
        <v>11</v>
      </c>
      <c r="BM366">
        <f>VLOOKUP($B366,[1]Data_Peer_with_peerVars!$B$2:$Z$1050,25,FALSE)</f>
        <v>0.61111111100000004</v>
      </c>
    </row>
    <row r="367" spans="1:65" x14ac:dyDescent="0.2">
      <c r="A367">
        <v>1</v>
      </c>
      <c r="B367" t="s">
        <v>626</v>
      </c>
      <c r="C367">
        <v>186</v>
      </c>
      <c r="D367" t="s">
        <v>68</v>
      </c>
      <c r="E367">
        <v>0</v>
      </c>
      <c r="F367">
        <v>538</v>
      </c>
      <c r="G367" t="s">
        <v>97</v>
      </c>
      <c r="H367" s="1">
        <v>7</v>
      </c>
      <c r="I367" t="s">
        <v>87</v>
      </c>
      <c r="J367" t="s">
        <v>88</v>
      </c>
      <c r="K367" t="s">
        <v>72</v>
      </c>
      <c r="L367">
        <v>1</v>
      </c>
      <c r="M367">
        <v>0</v>
      </c>
      <c r="N367">
        <v>1</v>
      </c>
      <c r="O367">
        <v>0</v>
      </c>
      <c r="P367">
        <v>1</v>
      </c>
      <c r="Q367">
        <v>6</v>
      </c>
      <c r="R367">
        <v>0</v>
      </c>
      <c r="S367">
        <v>0</v>
      </c>
      <c r="T367">
        <v>0</v>
      </c>
      <c r="U367">
        <v>0</v>
      </c>
      <c r="V367">
        <f t="shared" si="135"/>
        <v>0</v>
      </c>
      <c r="W367">
        <f t="shared" si="136"/>
        <v>0</v>
      </c>
      <c r="X367">
        <f t="shared" si="139"/>
        <v>0</v>
      </c>
      <c r="Y367">
        <f t="shared" si="137"/>
        <v>0</v>
      </c>
      <c r="Z367" t="s">
        <v>98</v>
      </c>
      <c r="AA367" s="5" t="s">
        <v>537</v>
      </c>
      <c r="AB367" s="5" t="s">
        <v>574</v>
      </c>
      <c r="AC367" t="s">
        <v>103</v>
      </c>
      <c r="AD367" t="s">
        <v>99</v>
      </c>
      <c r="AE367" s="5" t="s">
        <v>99</v>
      </c>
      <c r="AF367" t="s">
        <v>101</v>
      </c>
      <c r="AG367" t="s">
        <v>137</v>
      </c>
      <c r="AH367">
        <f t="shared" ref="AH367:AI371" si="157">AI367</f>
        <v>0.10798898</v>
      </c>
      <c r="AI367">
        <f t="shared" si="157"/>
        <v>0.10798898</v>
      </c>
      <c r="AJ367">
        <f t="shared" si="138"/>
        <v>0.10798898</v>
      </c>
      <c r="AK367">
        <v>0.10798898</v>
      </c>
      <c r="AL367">
        <v>0.11009934</v>
      </c>
      <c r="AM367">
        <v>0.11339923</v>
      </c>
      <c r="AN367">
        <v>0.11721311500000001</v>
      </c>
      <c r="AO367">
        <v>89.201102000000006</v>
      </c>
      <c r="AP367">
        <v>88.990065999999999</v>
      </c>
      <c r="AQ367">
        <v>88.660077000000001</v>
      </c>
      <c r="AR367">
        <v>88.278688500000001</v>
      </c>
      <c r="AS367" t="b">
        <v>0</v>
      </c>
      <c r="AT367" t="b">
        <v>0</v>
      </c>
      <c r="AU367" t="s">
        <v>92</v>
      </c>
      <c r="AV367" t="s">
        <v>92</v>
      </c>
      <c r="AW367" t="s">
        <v>79</v>
      </c>
      <c r="AX367" t="s">
        <v>80</v>
      </c>
      <c r="AY367" t="s">
        <v>611</v>
      </c>
      <c r="AZ367" t="s">
        <v>72</v>
      </c>
      <c r="BA367" t="s">
        <v>82</v>
      </c>
      <c r="BB367">
        <v>0.35</v>
      </c>
      <c r="BC367">
        <v>1.8406593999999998E-2</v>
      </c>
      <c r="BD367">
        <v>3.30705390234067E-4</v>
      </c>
      <c r="BE367">
        <v>1.8737299390234101E-2</v>
      </c>
      <c r="BF367">
        <f>IF(AK367&lt;BE367,1,0)</f>
        <v>0</v>
      </c>
      <c r="BG367">
        <f>IF(AK367&lt;BC367,1,0)</f>
        <v>0</v>
      </c>
      <c r="BH367">
        <f>VLOOKUP($B367,[1]Data_Peer_with_peerVars!$B$2:$Z$1050,20,FALSE)</f>
        <v>7</v>
      </c>
      <c r="BI367">
        <f>VLOOKUP($B367,[1]Data_Peer_with_peerVars!$B$2:$Z$1050,21,FALSE)</f>
        <v>5</v>
      </c>
      <c r="BJ367">
        <f>VLOOKUP($B367,[1]Data_Peer_with_peerVars!$B$2:$Z$1050,22,FALSE)</f>
        <v>0.71428571399999996</v>
      </c>
      <c r="BK367">
        <f>VLOOKUP($B367,[1]Data_Peer_with_peerVars!$B$2:$Z$1050,23,FALSE)</f>
        <v>41</v>
      </c>
      <c r="BL367">
        <f>VLOOKUP($B367,[1]Data_Peer_with_peerVars!$B$2:$Z$1050,24,FALSE)</f>
        <v>26</v>
      </c>
      <c r="BM367">
        <f>VLOOKUP($B367,[1]Data_Peer_with_peerVars!$B$2:$Z$1050,25,FALSE)</f>
        <v>0.634146341</v>
      </c>
    </row>
    <row r="368" spans="1:65" x14ac:dyDescent="0.2">
      <c r="A368">
        <v>1</v>
      </c>
      <c r="B368" t="s">
        <v>627</v>
      </c>
      <c r="C368">
        <v>186</v>
      </c>
      <c r="D368" t="s">
        <v>68</v>
      </c>
      <c r="E368">
        <v>0</v>
      </c>
      <c r="F368">
        <v>538</v>
      </c>
      <c r="G368" t="s">
        <v>97</v>
      </c>
      <c r="H368" s="1">
        <v>7</v>
      </c>
      <c r="I368" t="s">
        <v>87</v>
      </c>
      <c r="J368" t="s">
        <v>88</v>
      </c>
      <c r="K368" t="s">
        <v>72</v>
      </c>
      <c r="L368">
        <v>1</v>
      </c>
      <c r="M368">
        <v>0</v>
      </c>
      <c r="N368">
        <v>1</v>
      </c>
      <c r="O368">
        <v>0</v>
      </c>
      <c r="P368">
        <v>1</v>
      </c>
      <c r="Q368">
        <v>6</v>
      </c>
      <c r="R368">
        <v>0</v>
      </c>
      <c r="S368">
        <v>0</v>
      </c>
      <c r="T368">
        <v>1</v>
      </c>
      <c r="U368">
        <v>1</v>
      </c>
      <c r="V368">
        <f t="shared" si="135"/>
        <v>1</v>
      </c>
      <c r="W368">
        <v>1</v>
      </c>
      <c r="X368">
        <v>1</v>
      </c>
      <c r="Y368">
        <v>1</v>
      </c>
      <c r="Z368" t="s">
        <v>73</v>
      </c>
      <c r="AA368" s="5" t="s">
        <v>73</v>
      </c>
      <c r="AB368" s="5" t="s">
        <v>73</v>
      </c>
      <c r="AC368" t="s">
        <v>73</v>
      </c>
      <c r="AD368" t="s">
        <v>94</v>
      </c>
      <c r="AE368" s="5" t="s">
        <v>106</v>
      </c>
      <c r="AF368" t="s">
        <v>107</v>
      </c>
      <c r="AG368" t="s">
        <v>95</v>
      </c>
      <c r="AH368">
        <f t="shared" si="157"/>
        <v>3.8188760000000001E-3</v>
      </c>
      <c r="AI368">
        <f t="shared" si="157"/>
        <v>3.8188760000000001E-3</v>
      </c>
      <c r="AJ368">
        <f t="shared" si="138"/>
        <v>3.8188760000000001E-3</v>
      </c>
      <c r="AK368">
        <v>3.8188760000000001E-3</v>
      </c>
      <c r="AL368">
        <v>0.13176599</v>
      </c>
      <c r="AM368">
        <v>0.13631377</v>
      </c>
      <c r="AN368">
        <v>0.13875206000000001</v>
      </c>
      <c r="AO368">
        <v>99.618112400000001</v>
      </c>
      <c r="AP368">
        <v>86.823401000000004</v>
      </c>
      <c r="AQ368">
        <v>86.368622999999999</v>
      </c>
      <c r="AR368">
        <v>86.124793999999994</v>
      </c>
      <c r="AS368" t="b">
        <v>1</v>
      </c>
      <c r="AT368" t="b">
        <v>0</v>
      </c>
      <c r="AU368" t="s">
        <v>77</v>
      </c>
      <c r="AV368" t="s">
        <v>108</v>
      </c>
      <c r="AW368" t="s">
        <v>79</v>
      </c>
      <c r="AX368" t="s">
        <v>80</v>
      </c>
      <c r="AY368" t="s">
        <v>611</v>
      </c>
      <c r="AZ368" t="s">
        <v>109</v>
      </c>
      <c r="BA368">
        <v>100</v>
      </c>
      <c r="BB368">
        <v>0.7</v>
      </c>
      <c r="BC368">
        <v>4.1163553999999996E-3</v>
      </c>
      <c r="BD368">
        <v>1.4279989108178799E-4</v>
      </c>
      <c r="BE368">
        <v>4.2591552910817903E-3</v>
      </c>
      <c r="BF368">
        <f>IF(AK368&lt;BE368,1,0)</f>
        <v>1</v>
      </c>
      <c r="BG368">
        <f>IF(AK368&lt;BC368,1,0)</f>
        <v>1</v>
      </c>
      <c r="BH368">
        <f>VLOOKUP($B368,[1]Data_Peer_with_peerVars!$B$2:$Z$1050,20,FALSE)</f>
        <v>7</v>
      </c>
      <c r="BI368">
        <f>VLOOKUP($B368,[1]Data_Peer_with_peerVars!$B$2:$Z$1050,21,FALSE)</f>
        <v>5</v>
      </c>
      <c r="BJ368">
        <f>VLOOKUP($B368,[1]Data_Peer_with_peerVars!$B$2:$Z$1050,22,FALSE)</f>
        <v>0.71428571399999996</v>
      </c>
      <c r="BK368">
        <f>VLOOKUP($B368,[1]Data_Peer_with_peerVars!$B$2:$Z$1050,23,FALSE)</f>
        <v>41</v>
      </c>
      <c r="BL368">
        <f>VLOOKUP($B368,[1]Data_Peer_with_peerVars!$B$2:$Z$1050,24,FALSE)</f>
        <v>26</v>
      </c>
      <c r="BM368">
        <f>VLOOKUP($B368,[1]Data_Peer_with_peerVars!$B$2:$Z$1050,25,FALSE)</f>
        <v>0.634146341</v>
      </c>
    </row>
    <row r="369" spans="1:65" x14ac:dyDescent="0.2">
      <c r="A369">
        <v>1</v>
      </c>
      <c r="B369" t="s">
        <v>628</v>
      </c>
      <c r="C369">
        <v>187</v>
      </c>
      <c r="D369" t="s">
        <v>68</v>
      </c>
      <c r="E369">
        <v>1</v>
      </c>
      <c r="F369">
        <v>198</v>
      </c>
      <c r="G369" t="s">
        <v>86</v>
      </c>
      <c r="H369" s="1">
        <v>0</v>
      </c>
      <c r="I369" t="s">
        <v>87</v>
      </c>
      <c r="J369" t="s">
        <v>88</v>
      </c>
      <c r="K369" t="s">
        <v>109</v>
      </c>
      <c r="L369">
        <v>1</v>
      </c>
      <c r="M369">
        <v>0</v>
      </c>
      <c r="N369">
        <v>0</v>
      </c>
      <c r="O369">
        <v>1</v>
      </c>
      <c r="P369">
        <v>0</v>
      </c>
      <c r="Q369">
        <v>6</v>
      </c>
      <c r="R369">
        <v>1</v>
      </c>
      <c r="S369">
        <v>1</v>
      </c>
      <c r="T369">
        <v>1</v>
      </c>
      <c r="U369">
        <v>1</v>
      </c>
      <c r="V369">
        <f t="shared" si="135"/>
        <v>0</v>
      </c>
      <c r="W369">
        <f t="shared" si="136"/>
        <v>0</v>
      </c>
      <c r="X369">
        <f t="shared" si="139"/>
        <v>0</v>
      </c>
      <c r="Y369">
        <f t="shared" si="137"/>
        <v>0</v>
      </c>
      <c r="Z369" t="s">
        <v>89</v>
      </c>
      <c r="AA369" s="5" t="s">
        <v>89</v>
      </c>
      <c r="AB369" s="5" t="s">
        <v>90</v>
      </c>
      <c r="AC369" t="s">
        <v>174</v>
      </c>
      <c r="AD369" t="s">
        <v>173</v>
      </c>
      <c r="AE369" s="5" t="s">
        <v>506</v>
      </c>
      <c r="AF369" t="s">
        <v>198</v>
      </c>
      <c r="AG369" t="s">
        <v>196</v>
      </c>
      <c r="AH369">
        <f t="shared" si="157"/>
        <v>2.7656078000000001E-2</v>
      </c>
      <c r="AI369">
        <f t="shared" si="157"/>
        <v>2.7656078000000001E-2</v>
      </c>
      <c r="AJ369">
        <f t="shared" si="138"/>
        <v>2.7656078000000001E-2</v>
      </c>
      <c r="AK369">
        <v>2.7656078000000001E-2</v>
      </c>
      <c r="AL369">
        <v>3.4426230000000002E-2</v>
      </c>
      <c r="AM369">
        <v>3.9285715999999998E-2</v>
      </c>
      <c r="AN369">
        <v>4.1460737999999997E-2</v>
      </c>
      <c r="AO369">
        <v>97.234392200000002</v>
      </c>
      <c r="AP369">
        <v>96.557377000000002</v>
      </c>
      <c r="AQ369">
        <v>96.071428400000002</v>
      </c>
      <c r="AR369">
        <v>95.853926200000004</v>
      </c>
      <c r="AS369" t="b">
        <v>0</v>
      </c>
      <c r="AT369" t="b">
        <v>0</v>
      </c>
      <c r="AU369" t="s">
        <v>92</v>
      </c>
      <c r="AV369" t="s">
        <v>92</v>
      </c>
      <c r="AW369" t="s">
        <v>79</v>
      </c>
      <c r="AX369" t="s">
        <v>80</v>
      </c>
      <c r="AY369" t="s">
        <v>587</v>
      </c>
      <c r="AZ369" t="s">
        <v>109</v>
      </c>
      <c r="BA369">
        <v>2</v>
      </c>
      <c r="BB369">
        <v>0.7</v>
      </c>
      <c r="BC369">
        <v>6.6481995999999998E-3</v>
      </c>
      <c r="BD369">
        <v>2.8322716361753601E-4</v>
      </c>
      <c r="BE369">
        <v>6.9314267636175399E-3</v>
      </c>
      <c r="BF369">
        <f>IF(AK369&lt;BE369,1,0)</f>
        <v>0</v>
      </c>
      <c r="BG369">
        <f>IF(AK369&lt;BC369,1,0)</f>
        <v>0</v>
      </c>
      <c r="BH369">
        <f>VLOOKUP($B369,[1]Data_Peer_with_peerVars!$B$2:$Z$1050,20,FALSE)</f>
        <v>11</v>
      </c>
      <c r="BI369">
        <f>VLOOKUP($B369,[1]Data_Peer_with_peerVars!$B$2:$Z$1050,21,FALSE)</f>
        <v>9</v>
      </c>
      <c r="BJ369">
        <f>VLOOKUP($B369,[1]Data_Peer_with_peerVars!$B$2:$Z$1050,22,FALSE)</f>
        <v>0.81818181800000001</v>
      </c>
      <c r="BK369">
        <f>VLOOKUP($B369,[1]Data_Peer_with_peerVars!$B$2:$Z$1050,23,FALSE)</f>
        <v>29</v>
      </c>
      <c r="BL369">
        <f>VLOOKUP($B369,[1]Data_Peer_with_peerVars!$B$2:$Z$1050,24,FALSE)</f>
        <v>22</v>
      </c>
      <c r="BM369">
        <f>VLOOKUP($B369,[1]Data_Peer_with_peerVars!$B$2:$Z$1050,25,FALSE)</f>
        <v>0.75862068999999999</v>
      </c>
    </row>
    <row r="370" spans="1:65" x14ac:dyDescent="0.2">
      <c r="A370">
        <v>1</v>
      </c>
      <c r="B370" t="s">
        <v>629</v>
      </c>
      <c r="C370">
        <v>187</v>
      </c>
      <c r="D370" t="s">
        <v>68</v>
      </c>
      <c r="E370">
        <v>1</v>
      </c>
      <c r="F370">
        <v>198</v>
      </c>
      <c r="G370" t="s">
        <v>86</v>
      </c>
      <c r="H370" s="1">
        <v>0</v>
      </c>
      <c r="I370" t="s">
        <v>87</v>
      </c>
      <c r="J370" t="s">
        <v>88</v>
      </c>
      <c r="K370" t="s">
        <v>109</v>
      </c>
      <c r="L370">
        <v>1</v>
      </c>
      <c r="M370">
        <v>0</v>
      </c>
      <c r="N370">
        <v>0</v>
      </c>
      <c r="O370">
        <v>1</v>
      </c>
      <c r="P370">
        <v>0</v>
      </c>
      <c r="Q370">
        <v>6</v>
      </c>
      <c r="R370">
        <v>0</v>
      </c>
      <c r="S370">
        <v>0</v>
      </c>
      <c r="T370">
        <v>1</v>
      </c>
      <c r="U370">
        <v>1</v>
      </c>
      <c r="V370">
        <f t="shared" si="135"/>
        <v>1</v>
      </c>
      <c r="W370">
        <v>1</v>
      </c>
      <c r="X370">
        <v>1</v>
      </c>
      <c r="Y370">
        <v>1</v>
      </c>
      <c r="Z370" t="s">
        <v>73</v>
      </c>
      <c r="AA370" s="5" t="s">
        <v>73</v>
      </c>
      <c r="AB370" s="5" t="s">
        <v>73</v>
      </c>
      <c r="AC370" t="s">
        <v>73</v>
      </c>
      <c r="AD370" t="s">
        <v>94</v>
      </c>
      <c r="AE370" s="5" t="s">
        <v>106</v>
      </c>
      <c r="AF370" t="s">
        <v>107</v>
      </c>
      <c r="AG370" t="s">
        <v>95</v>
      </c>
      <c r="AH370">
        <f t="shared" si="157"/>
        <v>3.8167940000000001E-3</v>
      </c>
      <c r="AI370">
        <f t="shared" si="157"/>
        <v>3.8167940000000001E-3</v>
      </c>
      <c r="AJ370">
        <f t="shared" si="138"/>
        <v>3.8167940000000001E-3</v>
      </c>
      <c r="AK370">
        <v>3.8167940000000001E-3</v>
      </c>
      <c r="AL370">
        <v>0.13169399000000001</v>
      </c>
      <c r="AM370">
        <v>0.13623904000000001</v>
      </c>
      <c r="AN370">
        <v>0.13867615</v>
      </c>
      <c r="AO370">
        <v>99.618320600000004</v>
      </c>
      <c r="AP370">
        <v>86.830601000000001</v>
      </c>
      <c r="AQ370">
        <v>86.376096000000004</v>
      </c>
      <c r="AR370">
        <v>86.132384999999999</v>
      </c>
      <c r="AS370" t="b">
        <v>1</v>
      </c>
      <c r="AT370" t="b">
        <v>0</v>
      </c>
      <c r="AU370" t="s">
        <v>77</v>
      </c>
      <c r="AV370" t="s">
        <v>108</v>
      </c>
      <c r="AW370" t="s">
        <v>79</v>
      </c>
      <c r="AX370" t="s">
        <v>80</v>
      </c>
      <c r="AY370" t="s">
        <v>587</v>
      </c>
      <c r="AZ370" t="s">
        <v>109</v>
      </c>
      <c r="BA370">
        <v>100</v>
      </c>
      <c r="BB370">
        <v>0.28000000000000003</v>
      </c>
      <c r="BC370">
        <v>4.1163553999999996E-3</v>
      </c>
      <c r="BD370">
        <v>1.4279989108178799E-4</v>
      </c>
      <c r="BE370">
        <v>4.2591552910817903E-3</v>
      </c>
      <c r="BF370">
        <f>IF(AK370&lt;BE370,1,0)</f>
        <v>1</v>
      </c>
      <c r="BG370">
        <f>IF(AK370&lt;BC370,1,0)</f>
        <v>1</v>
      </c>
      <c r="BH370">
        <f>VLOOKUP($B370,[1]Data_Peer_with_peerVars!$B$2:$Z$1050,20,FALSE)</f>
        <v>11</v>
      </c>
      <c r="BI370">
        <f>VLOOKUP($B370,[1]Data_Peer_with_peerVars!$B$2:$Z$1050,21,FALSE)</f>
        <v>9</v>
      </c>
      <c r="BJ370">
        <f>VLOOKUP($B370,[1]Data_Peer_with_peerVars!$B$2:$Z$1050,22,FALSE)</f>
        <v>0.81818181800000001</v>
      </c>
      <c r="BK370">
        <f>VLOOKUP($B370,[1]Data_Peer_with_peerVars!$B$2:$Z$1050,23,FALSE)</f>
        <v>29</v>
      </c>
      <c r="BL370">
        <f>VLOOKUP($B370,[1]Data_Peer_with_peerVars!$B$2:$Z$1050,24,FALSE)</f>
        <v>22</v>
      </c>
      <c r="BM370">
        <f>VLOOKUP($B370,[1]Data_Peer_with_peerVars!$B$2:$Z$1050,25,FALSE)</f>
        <v>0.75862068999999999</v>
      </c>
    </row>
    <row r="371" spans="1:65" x14ac:dyDescent="0.2">
      <c r="A371">
        <v>1</v>
      </c>
      <c r="B371" t="s">
        <v>630</v>
      </c>
      <c r="C371">
        <v>188</v>
      </c>
      <c r="D371" t="s">
        <v>68</v>
      </c>
      <c r="E371">
        <v>1</v>
      </c>
      <c r="F371">
        <v>200</v>
      </c>
      <c r="G371" t="s">
        <v>86</v>
      </c>
      <c r="H371" s="1">
        <v>7</v>
      </c>
      <c r="I371" t="s">
        <v>87</v>
      </c>
      <c r="J371" t="s">
        <v>111</v>
      </c>
      <c r="K371" t="s">
        <v>109</v>
      </c>
      <c r="L371">
        <v>1</v>
      </c>
      <c r="M371">
        <v>0</v>
      </c>
      <c r="N371">
        <v>1</v>
      </c>
      <c r="O371">
        <v>0</v>
      </c>
      <c r="P371">
        <v>0</v>
      </c>
      <c r="Q371">
        <v>3</v>
      </c>
      <c r="R371">
        <v>0</v>
      </c>
      <c r="S371">
        <v>0</v>
      </c>
      <c r="T371">
        <v>0</v>
      </c>
      <c r="U371">
        <v>0</v>
      </c>
      <c r="V371">
        <f t="shared" si="135"/>
        <v>0</v>
      </c>
      <c r="W371">
        <f t="shared" si="136"/>
        <v>0</v>
      </c>
      <c r="X371">
        <f t="shared" si="139"/>
        <v>0</v>
      </c>
      <c r="Y371">
        <f t="shared" si="137"/>
        <v>0</v>
      </c>
      <c r="Z371" t="s">
        <v>73</v>
      </c>
      <c r="AA371" s="5" t="s">
        <v>73</v>
      </c>
      <c r="AB371" s="5" t="s">
        <v>73</v>
      </c>
      <c r="AC371" t="s">
        <v>94</v>
      </c>
      <c r="AD371" t="s">
        <v>75</v>
      </c>
      <c r="AE371" s="5" t="s">
        <v>75</v>
      </c>
      <c r="AF371" t="s">
        <v>120</v>
      </c>
      <c r="AG371" t="s">
        <v>74</v>
      </c>
      <c r="AH371">
        <f t="shared" si="157"/>
        <v>0.10442865</v>
      </c>
      <c r="AI371">
        <f t="shared" si="157"/>
        <v>0.10442865</v>
      </c>
      <c r="AJ371">
        <f t="shared" si="138"/>
        <v>0.10442865</v>
      </c>
      <c r="AK371">
        <v>0.10442865</v>
      </c>
      <c r="AL371">
        <v>0.11677632</v>
      </c>
      <c r="AM371">
        <v>0.13054188</v>
      </c>
      <c r="AN371">
        <v>0.13309550000000001</v>
      </c>
      <c r="AO371">
        <v>89.557135000000002</v>
      </c>
      <c r="AP371">
        <v>88.322367999999997</v>
      </c>
      <c r="AQ371">
        <v>86.945812000000004</v>
      </c>
      <c r="AR371">
        <v>86.690449999999998</v>
      </c>
      <c r="AS371" t="b">
        <v>0</v>
      </c>
      <c r="AT371" t="b">
        <v>0</v>
      </c>
      <c r="AU371" t="s">
        <v>78</v>
      </c>
      <c r="AV371" t="s">
        <v>78</v>
      </c>
      <c r="AW371" t="s">
        <v>79</v>
      </c>
      <c r="AX371" t="s">
        <v>80</v>
      </c>
      <c r="AY371" t="s">
        <v>587</v>
      </c>
      <c r="AZ371" t="s">
        <v>109</v>
      </c>
      <c r="BA371">
        <v>1</v>
      </c>
      <c r="BB371">
        <v>0.7</v>
      </c>
      <c r="BC371">
        <v>1.6447369E-2</v>
      </c>
      <c r="BD371">
        <v>4.2236161269162102E-4</v>
      </c>
      <c r="BE371">
        <v>1.6869730612691598E-2</v>
      </c>
      <c r="BF371">
        <f>IF(AK371&lt;BE371,1,0)</f>
        <v>0</v>
      </c>
      <c r="BG371">
        <f>IF(AK371&lt;BC371,1,0)</f>
        <v>0</v>
      </c>
      <c r="BH371">
        <f>VLOOKUP($B371,[1]Data_Peer_with_peerVars!$B$2:$Z$1050,20,FALSE)</f>
        <v>7</v>
      </c>
      <c r="BI371">
        <f>VLOOKUP($B371,[1]Data_Peer_with_peerVars!$B$2:$Z$1050,21,FALSE)</f>
        <v>6</v>
      </c>
      <c r="BJ371">
        <f>VLOOKUP($B371,[1]Data_Peer_with_peerVars!$B$2:$Z$1050,22,FALSE)</f>
        <v>0.85714285700000004</v>
      </c>
      <c r="BK371">
        <f>VLOOKUP($B371,[1]Data_Peer_with_peerVars!$B$2:$Z$1050,23,FALSE)</f>
        <v>27</v>
      </c>
      <c r="BL371">
        <f>VLOOKUP($B371,[1]Data_Peer_with_peerVars!$B$2:$Z$1050,24,FALSE)</f>
        <v>20</v>
      </c>
      <c r="BM371">
        <f>VLOOKUP($B371,[1]Data_Peer_with_peerVars!$B$2:$Z$1050,25,FALSE)</f>
        <v>0.74074074099999998</v>
      </c>
    </row>
    <row r="372" spans="1:65" x14ac:dyDescent="0.2">
      <c r="A372">
        <v>1</v>
      </c>
      <c r="B372" t="s">
        <v>631</v>
      </c>
      <c r="C372">
        <v>188</v>
      </c>
      <c r="D372" t="s">
        <v>68</v>
      </c>
      <c r="E372">
        <v>1</v>
      </c>
      <c r="F372">
        <v>200</v>
      </c>
      <c r="G372" t="s">
        <v>86</v>
      </c>
      <c r="H372" s="1">
        <v>7</v>
      </c>
      <c r="I372" t="s">
        <v>87</v>
      </c>
      <c r="J372" t="s">
        <v>111</v>
      </c>
      <c r="K372" t="s">
        <v>109</v>
      </c>
      <c r="L372">
        <v>1</v>
      </c>
      <c r="M372">
        <v>0</v>
      </c>
      <c r="N372">
        <v>1</v>
      </c>
      <c r="O372">
        <v>0</v>
      </c>
      <c r="P372">
        <v>0</v>
      </c>
      <c r="Q372">
        <v>3</v>
      </c>
      <c r="R372">
        <v>0</v>
      </c>
      <c r="S372">
        <v>0</v>
      </c>
      <c r="T372">
        <v>0</v>
      </c>
      <c r="U372">
        <v>0</v>
      </c>
      <c r="V372">
        <f t="shared" si="135"/>
        <v>1</v>
      </c>
      <c r="W372">
        <v>1</v>
      </c>
      <c r="X372">
        <v>1</v>
      </c>
      <c r="Y372">
        <v>1</v>
      </c>
      <c r="Z372" t="s">
        <v>76</v>
      </c>
      <c r="AA372" s="5" t="s">
        <v>76</v>
      </c>
      <c r="AB372" s="5" t="s">
        <v>76</v>
      </c>
      <c r="AC372" t="s">
        <v>76</v>
      </c>
      <c r="AD372" t="s">
        <v>74</v>
      </c>
      <c r="AE372" s="5" t="s">
        <v>74</v>
      </c>
      <c r="AF372" t="s">
        <v>120</v>
      </c>
      <c r="AG372" t="s">
        <v>75</v>
      </c>
      <c r="AH372">
        <f t="shared" ref="AH372:AH378" si="158">AI372</f>
        <v>7.5765860000000004E-2</v>
      </c>
      <c r="AI372">
        <f>AJ372</f>
        <v>7.5765860000000004E-2</v>
      </c>
      <c r="AJ372">
        <f t="shared" si="138"/>
        <v>7.5765860000000004E-2</v>
      </c>
      <c r="AK372">
        <v>7.5765860000000004E-2</v>
      </c>
      <c r="AL372">
        <v>9.8518110000000006E-2</v>
      </c>
      <c r="AM372">
        <v>0.12335886</v>
      </c>
      <c r="AN372">
        <v>0.123835616</v>
      </c>
      <c r="AO372">
        <v>92.423413999999994</v>
      </c>
      <c r="AP372">
        <v>90.148189000000002</v>
      </c>
      <c r="AQ372">
        <v>87.664113999999998</v>
      </c>
      <c r="AR372">
        <v>87.616438400000007</v>
      </c>
      <c r="AS372" t="b">
        <v>1</v>
      </c>
      <c r="AT372" t="b">
        <v>0</v>
      </c>
      <c r="AU372" t="s">
        <v>77</v>
      </c>
      <c r="AV372" t="s">
        <v>77</v>
      </c>
      <c r="AW372" t="s">
        <v>79</v>
      </c>
      <c r="AX372" t="s">
        <v>80</v>
      </c>
      <c r="AY372" t="s">
        <v>587</v>
      </c>
      <c r="AZ372" t="s">
        <v>109</v>
      </c>
      <c r="BA372">
        <v>2</v>
      </c>
      <c r="BB372">
        <v>2</v>
      </c>
      <c r="BC372">
        <v>7.7070764999999999E-2</v>
      </c>
      <c r="BD372">
        <v>1.90190515067399E-3</v>
      </c>
      <c r="BE372">
        <v>7.8972670150673996E-2</v>
      </c>
      <c r="BF372">
        <f>IF(AK372&lt;BE372,1,0)</f>
        <v>1</v>
      </c>
      <c r="BG372">
        <f>IF(AK372&lt;BC372,1,0)</f>
        <v>1</v>
      </c>
      <c r="BH372">
        <f>VLOOKUP($B372,[1]Data_Peer_with_peerVars!$B$2:$Z$1050,20,FALSE)</f>
        <v>7</v>
      </c>
      <c r="BI372">
        <f>VLOOKUP($B372,[1]Data_Peer_with_peerVars!$B$2:$Z$1050,21,FALSE)</f>
        <v>6</v>
      </c>
      <c r="BJ372">
        <f>VLOOKUP($B372,[1]Data_Peer_with_peerVars!$B$2:$Z$1050,22,FALSE)</f>
        <v>0.85714285700000004</v>
      </c>
      <c r="BK372">
        <f>VLOOKUP($B372,[1]Data_Peer_with_peerVars!$B$2:$Z$1050,23,FALSE)</f>
        <v>27</v>
      </c>
      <c r="BL372">
        <f>VLOOKUP($B372,[1]Data_Peer_with_peerVars!$B$2:$Z$1050,24,FALSE)</f>
        <v>20</v>
      </c>
      <c r="BM372">
        <f>VLOOKUP($B372,[1]Data_Peer_with_peerVars!$B$2:$Z$1050,25,FALSE)</f>
        <v>0.74074074099999998</v>
      </c>
    </row>
    <row r="373" spans="1:65" x14ac:dyDescent="0.2">
      <c r="A373">
        <v>1</v>
      </c>
      <c r="B373" t="s">
        <v>632</v>
      </c>
      <c r="C373">
        <v>189</v>
      </c>
      <c r="D373" t="s">
        <v>68</v>
      </c>
      <c r="E373">
        <v>0</v>
      </c>
      <c r="F373">
        <v>227</v>
      </c>
      <c r="G373" t="s">
        <v>97</v>
      </c>
      <c r="H373" s="1">
        <v>7</v>
      </c>
      <c r="I373" t="s">
        <v>87</v>
      </c>
      <c r="J373" t="s">
        <v>111</v>
      </c>
      <c r="K373" t="s">
        <v>109</v>
      </c>
      <c r="L373">
        <v>1</v>
      </c>
      <c r="M373">
        <v>0</v>
      </c>
      <c r="N373">
        <v>0</v>
      </c>
      <c r="O373">
        <v>1</v>
      </c>
      <c r="P373">
        <v>0</v>
      </c>
      <c r="Q373">
        <v>6</v>
      </c>
      <c r="R373">
        <v>0</v>
      </c>
      <c r="S373">
        <v>0</v>
      </c>
      <c r="T373">
        <v>0</v>
      </c>
      <c r="U373">
        <v>0</v>
      </c>
      <c r="V373">
        <f t="shared" si="135"/>
        <v>0</v>
      </c>
      <c r="W373">
        <f t="shared" si="136"/>
        <v>1</v>
      </c>
      <c r="X373">
        <v>1</v>
      </c>
      <c r="Y373">
        <v>1</v>
      </c>
      <c r="Z373" t="s">
        <v>76</v>
      </c>
      <c r="AA373" s="5" t="s">
        <v>76</v>
      </c>
      <c r="AB373" s="5" t="s">
        <v>76</v>
      </c>
      <c r="AC373" t="s">
        <v>74</v>
      </c>
      <c r="AD373" t="s">
        <v>76</v>
      </c>
      <c r="AE373" s="5" t="s">
        <v>76</v>
      </c>
      <c r="AF373" t="s">
        <v>75</v>
      </c>
      <c r="AG373" t="s">
        <v>120</v>
      </c>
      <c r="AH373">
        <f t="shared" si="158"/>
        <v>8.3606555999999999E-2</v>
      </c>
      <c r="AI373">
        <f>AJ373</f>
        <v>8.3606555999999999E-2</v>
      </c>
      <c r="AJ373">
        <f>AL373</f>
        <v>8.3606555999999999E-2</v>
      </c>
      <c r="AK373">
        <v>4.9342107000000003E-2</v>
      </c>
      <c r="AL373">
        <v>8.3606555999999999E-2</v>
      </c>
      <c r="AM373">
        <v>0.10153255999999999</v>
      </c>
      <c r="AN373">
        <v>0.10519125</v>
      </c>
      <c r="AO373">
        <v>95.065789300000006</v>
      </c>
      <c r="AP373">
        <v>91.639344399999999</v>
      </c>
      <c r="AQ373">
        <v>89.846744000000001</v>
      </c>
      <c r="AR373">
        <v>89.480874999999997</v>
      </c>
      <c r="AS373" t="b">
        <v>0</v>
      </c>
      <c r="AT373" t="b">
        <v>1</v>
      </c>
      <c r="AU373" t="s">
        <v>77</v>
      </c>
      <c r="AV373" t="s">
        <v>77</v>
      </c>
      <c r="AW373" t="s">
        <v>79</v>
      </c>
      <c r="AX373" t="s">
        <v>80</v>
      </c>
      <c r="AY373" t="s">
        <v>587</v>
      </c>
      <c r="AZ373" t="s">
        <v>109</v>
      </c>
      <c r="BA373">
        <v>100</v>
      </c>
      <c r="BB373">
        <v>1</v>
      </c>
      <c r="BC373">
        <v>2.4738868000000001E-3</v>
      </c>
      <c r="BD373">
        <v>1.4256942275279999E-4</v>
      </c>
      <c r="BE373">
        <v>2.6164562227527998E-3</v>
      </c>
      <c r="BF373">
        <f>IF(AK373&lt;BE373,1,0)</f>
        <v>0</v>
      </c>
      <c r="BG373">
        <f>IF(AK373&lt;BC373,1,0)</f>
        <v>0</v>
      </c>
      <c r="BH373">
        <f>VLOOKUP($B373,[1]Data_Peer_with_peerVars!$B$2:$Z$1050,20,FALSE)</f>
        <v>11</v>
      </c>
      <c r="BI373">
        <f>VLOOKUP($B373,[1]Data_Peer_with_peerVars!$B$2:$Z$1050,21,FALSE)</f>
        <v>8</v>
      </c>
      <c r="BJ373">
        <f>VLOOKUP($B373,[1]Data_Peer_with_peerVars!$B$2:$Z$1050,22,FALSE)</f>
        <v>0.72727272700000001</v>
      </c>
      <c r="BK373">
        <f>VLOOKUP($B373,[1]Data_Peer_with_peerVars!$B$2:$Z$1050,23,FALSE)</f>
        <v>31</v>
      </c>
      <c r="BL373">
        <f>VLOOKUP($B373,[1]Data_Peer_with_peerVars!$B$2:$Z$1050,24,FALSE)</f>
        <v>23</v>
      </c>
      <c r="BM373">
        <f>VLOOKUP($B373,[1]Data_Peer_with_peerVars!$B$2:$Z$1050,25,FALSE)</f>
        <v>0.74193548399999998</v>
      </c>
    </row>
    <row r="374" spans="1:65" x14ac:dyDescent="0.2">
      <c r="A374">
        <v>1</v>
      </c>
      <c r="B374" t="s">
        <v>633</v>
      </c>
      <c r="C374">
        <v>189</v>
      </c>
      <c r="D374" t="s">
        <v>68</v>
      </c>
      <c r="E374">
        <v>0</v>
      </c>
      <c r="F374">
        <v>227</v>
      </c>
      <c r="G374" t="s">
        <v>97</v>
      </c>
      <c r="H374" s="1">
        <v>7</v>
      </c>
      <c r="I374" t="s">
        <v>87</v>
      </c>
      <c r="J374" t="s">
        <v>111</v>
      </c>
      <c r="K374" t="s">
        <v>109</v>
      </c>
      <c r="L374">
        <v>1</v>
      </c>
      <c r="M374">
        <v>0</v>
      </c>
      <c r="N374">
        <v>0</v>
      </c>
      <c r="O374">
        <v>1</v>
      </c>
      <c r="P374">
        <v>0</v>
      </c>
      <c r="Q374">
        <v>6</v>
      </c>
      <c r="R374">
        <v>0</v>
      </c>
      <c r="S374">
        <v>0</v>
      </c>
      <c r="T374">
        <v>1</v>
      </c>
      <c r="U374">
        <v>1</v>
      </c>
      <c r="V374">
        <f t="shared" si="135"/>
        <v>1</v>
      </c>
      <c r="W374">
        <v>1</v>
      </c>
      <c r="X374">
        <v>1</v>
      </c>
      <c r="Y374">
        <v>1</v>
      </c>
      <c r="Z374" t="s">
        <v>73</v>
      </c>
      <c r="AA374" s="5" t="s">
        <v>73</v>
      </c>
      <c r="AB374" s="5" t="s">
        <v>73</v>
      </c>
      <c r="AC374" t="s">
        <v>73</v>
      </c>
      <c r="AD374" t="s">
        <v>94</v>
      </c>
      <c r="AE374" s="5" t="s">
        <v>106</v>
      </c>
      <c r="AF374" t="s">
        <v>107</v>
      </c>
      <c r="AG374" t="s">
        <v>95</v>
      </c>
      <c r="AH374">
        <f t="shared" si="158"/>
        <v>3.8167940000000001E-3</v>
      </c>
      <c r="AI374">
        <f t="shared" ref="AI374:AI375" si="159">AJ374</f>
        <v>3.8167940000000001E-3</v>
      </c>
      <c r="AJ374">
        <f t="shared" si="138"/>
        <v>3.8167940000000001E-3</v>
      </c>
      <c r="AK374">
        <v>3.8167940000000001E-3</v>
      </c>
      <c r="AL374">
        <v>0.13196722</v>
      </c>
      <c r="AM374">
        <v>0.13623904000000001</v>
      </c>
      <c r="AN374">
        <v>0.13894967999999999</v>
      </c>
      <c r="AO374">
        <v>99.618320600000004</v>
      </c>
      <c r="AP374">
        <v>86.803278000000006</v>
      </c>
      <c r="AQ374">
        <v>86.376096000000004</v>
      </c>
      <c r="AR374">
        <v>86.105031999999994</v>
      </c>
      <c r="AS374" t="b">
        <v>1</v>
      </c>
      <c r="AT374" t="b">
        <v>0</v>
      </c>
      <c r="AU374" t="s">
        <v>77</v>
      </c>
      <c r="AV374" t="s">
        <v>108</v>
      </c>
      <c r="AW374" t="s">
        <v>79</v>
      </c>
      <c r="AX374" t="s">
        <v>80</v>
      </c>
      <c r="AY374" t="s">
        <v>587</v>
      </c>
      <c r="AZ374" t="s">
        <v>72</v>
      </c>
      <c r="BA374" t="s">
        <v>82</v>
      </c>
      <c r="BB374">
        <v>1</v>
      </c>
      <c r="BC374">
        <v>4.1163553999999996E-3</v>
      </c>
      <c r="BD374">
        <v>1.4279989108178799E-4</v>
      </c>
      <c r="BE374">
        <v>4.2591552910817903E-3</v>
      </c>
      <c r="BF374">
        <f>IF(AK374&lt;BE374,1,0)</f>
        <v>1</v>
      </c>
      <c r="BG374">
        <f>IF(AK374&lt;BC374,1,0)</f>
        <v>1</v>
      </c>
      <c r="BH374">
        <f>VLOOKUP($B374,[1]Data_Peer_with_peerVars!$B$2:$Z$1050,20,FALSE)</f>
        <v>11</v>
      </c>
      <c r="BI374">
        <f>VLOOKUP($B374,[1]Data_Peer_with_peerVars!$B$2:$Z$1050,21,FALSE)</f>
        <v>8</v>
      </c>
      <c r="BJ374">
        <f>VLOOKUP($B374,[1]Data_Peer_with_peerVars!$B$2:$Z$1050,22,FALSE)</f>
        <v>0.72727272700000001</v>
      </c>
      <c r="BK374">
        <f>VLOOKUP($B374,[1]Data_Peer_with_peerVars!$B$2:$Z$1050,23,FALSE)</f>
        <v>31</v>
      </c>
      <c r="BL374">
        <f>VLOOKUP($B374,[1]Data_Peer_with_peerVars!$B$2:$Z$1050,24,FALSE)</f>
        <v>23</v>
      </c>
      <c r="BM374">
        <f>VLOOKUP($B374,[1]Data_Peer_with_peerVars!$B$2:$Z$1050,25,FALSE)</f>
        <v>0.74193548399999998</v>
      </c>
    </row>
    <row r="375" spans="1:65" x14ac:dyDescent="0.2">
      <c r="A375">
        <v>1</v>
      </c>
      <c r="B375" t="s">
        <v>634</v>
      </c>
      <c r="C375">
        <v>190</v>
      </c>
      <c r="D375" t="s">
        <v>68</v>
      </c>
      <c r="E375">
        <v>0</v>
      </c>
      <c r="F375">
        <v>234</v>
      </c>
      <c r="G375" t="s">
        <v>97</v>
      </c>
      <c r="H375" s="1">
        <v>7</v>
      </c>
      <c r="I375" t="s">
        <v>70</v>
      </c>
      <c r="J375" t="s">
        <v>71</v>
      </c>
      <c r="K375" t="s">
        <v>109</v>
      </c>
      <c r="L375">
        <v>1</v>
      </c>
      <c r="M375">
        <v>0</v>
      </c>
      <c r="N375">
        <v>1</v>
      </c>
      <c r="O375">
        <v>1</v>
      </c>
      <c r="P375">
        <v>0</v>
      </c>
      <c r="Q375">
        <v>6</v>
      </c>
      <c r="R375">
        <v>0</v>
      </c>
      <c r="S375">
        <v>0</v>
      </c>
      <c r="T375">
        <v>0</v>
      </c>
      <c r="U375">
        <v>0</v>
      </c>
      <c r="V375">
        <f t="shared" si="135"/>
        <v>1</v>
      </c>
      <c r="W375">
        <v>1</v>
      </c>
      <c r="X375">
        <v>1</v>
      </c>
      <c r="Y375">
        <v>1</v>
      </c>
      <c r="Z375" t="s">
        <v>73</v>
      </c>
      <c r="AA375" s="5" t="s">
        <v>73</v>
      </c>
      <c r="AB375" s="5" t="s">
        <v>73</v>
      </c>
      <c r="AC375" t="s">
        <v>73</v>
      </c>
      <c r="AD375" t="s">
        <v>94</v>
      </c>
      <c r="AE375" s="5" t="s">
        <v>94</v>
      </c>
      <c r="AF375" t="s">
        <v>75</v>
      </c>
      <c r="AG375" t="s">
        <v>95</v>
      </c>
      <c r="AH375">
        <f t="shared" si="158"/>
        <v>8.4560830000000003E-2</v>
      </c>
      <c r="AI375">
        <f t="shared" si="159"/>
        <v>8.4560830000000003E-2</v>
      </c>
      <c r="AJ375">
        <f t="shared" si="138"/>
        <v>8.4560830000000003E-2</v>
      </c>
      <c r="AK375">
        <v>8.4560830000000003E-2</v>
      </c>
      <c r="AL375">
        <v>0.12479519</v>
      </c>
      <c r="AM375">
        <v>0.13519429999999999</v>
      </c>
      <c r="AN375">
        <v>0.14242755000000001</v>
      </c>
      <c r="AO375">
        <v>91.543916999999993</v>
      </c>
      <c r="AP375">
        <v>87.520481000000004</v>
      </c>
      <c r="AQ375">
        <v>86.48057</v>
      </c>
      <c r="AR375">
        <v>85.757244999999998</v>
      </c>
      <c r="AS375" t="b">
        <v>1</v>
      </c>
      <c r="AT375" t="b">
        <v>0</v>
      </c>
      <c r="AU375" t="s">
        <v>77</v>
      </c>
      <c r="AV375" t="s">
        <v>78</v>
      </c>
      <c r="AW375" t="s">
        <v>79</v>
      </c>
      <c r="AX375" t="s">
        <v>80</v>
      </c>
      <c r="AY375" t="s">
        <v>587</v>
      </c>
      <c r="AZ375" t="s">
        <v>109</v>
      </c>
      <c r="BA375">
        <v>6</v>
      </c>
      <c r="BB375">
        <v>1</v>
      </c>
      <c r="BC375">
        <v>4.1163553999999996E-3</v>
      </c>
      <c r="BD375">
        <v>1.4279989108178799E-4</v>
      </c>
      <c r="BE375">
        <v>4.2591552910817903E-3</v>
      </c>
      <c r="BF375">
        <f>IF(AK375&lt;BE375,1,0)</f>
        <v>0</v>
      </c>
      <c r="BG375">
        <f>IF(AK375&lt;BC375,1,0)</f>
        <v>0</v>
      </c>
      <c r="BH375">
        <f>VLOOKUP($B375,[1]Data_Peer_with_peerVars!$B$2:$Z$1050,20,FALSE)</f>
        <v>11</v>
      </c>
      <c r="BI375">
        <f>VLOOKUP($B375,[1]Data_Peer_with_peerVars!$B$2:$Z$1050,21,FALSE)</f>
        <v>8</v>
      </c>
      <c r="BJ375">
        <f>VLOOKUP($B375,[1]Data_Peer_with_peerVars!$B$2:$Z$1050,22,FALSE)</f>
        <v>0.72727272700000001</v>
      </c>
      <c r="BK375">
        <f>VLOOKUP($B375,[1]Data_Peer_with_peerVars!$B$2:$Z$1050,23,FALSE)</f>
        <v>31</v>
      </c>
      <c r="BL375">
        <f>VLOOKUP($B375,[1]Data_Peer_with_peerVars!$B$2:$Z$1050,24,FALSE)</f>
        <v>23</v>
      </c>
      <c r="BM375">
        <f>VLOOKUP($B375,[1]Data_Peer_with_peerVars!$B$2:$Z$1050,25,FALSE)</f>
        <v>0.74193548399999998</v>
      </c>
    </row>
    <row r="376" spans="1:65" x14ac:dyDescent="0.2">
      <c r="A376">
        <v>1</v>
      </c>
      <c r="B376" t="s">
        <v>635</v>
      </c>
      <c r="C376">
        <v>190</v>
      </c>
      <c r="D376" t="s">
        <v>68</v>
      </c>
      <c r="E376">
        <v>0</v>
      </c>
      <c r="F376">
        <v>234</v>
      </c>
      <c r="G376" t="s">
        <v>97</v>
      </c>
      <c r="H376" s="1">
        <v>7</v>
      </c>
      <c r="I376" t="s">
        <v>70</v>
      </c>
      <c r="J376" t="s">
        <v>71</v>
      </c>
      <c r="K376" t="s">
        <v>109</v>
      </c>
      <c r="L376">
        <v>1</v>
      </c>
      <c r="M376">
        <v>0</v>
      </c>
      <c r="N376">
        <v>1</v>
      </c>
      <c r="O376">
        <v>1</v>
      </c>
      <c r="P376">
        <v>0</v>
      </c>
      <c r="Q376">
        <v>6</v>
      </c>
      <c r="R376">
        <v>0</v>
      </c>
      <c r="S376">
        <v>0</v>
      </c>
      <c r="T376">
        <v>0</v>
      </c>
      <c r="U376">
        <v>0</v>
      </c>
      <c r="V376">
        <f t="shared" si="135"/>
        <v>0</v>
      </c>
      <c r="W376">
        <f t="shared" si="136"/>
        <v>1</v>
      </c>
      <c r="X376">
        <v>1</v>
      </c>
      <c r="Y376">
        <v>1</v>
      </c>
      <c r="Z376" t="s">
        <v>76</v>
      </c>
      <c r="AA376" s="5" t="s">
        <v>76</v>
      </c>
      <c r="AB376" s="5" t="s">
        <v>76</v>
      </c>
      <c r="AC376" t="s">
        <v>74</v>
      </c>
      <c r="AD376" t="s">
        <v>76</v>
      </c>
      <c r="AE376" s="5" t="s">
        <v>76</v>
      </c>
      <c r="AF376" t="s">
        <v>75</v>
      </c>
      <c r="AG376" t="s">
        <v>84</v>
      </c>
      <c r="AH376">
        <f t="shared" si="158"/>
        <v>7.0568930000000002E-2</v>
      </c>
      <c r="AI376">
        <f t="shared" ref="AI376:AI377" si="160">AJ376</f>
        <v>7.0568930000000002E-2</v>
      </c>
      <c r="AJ376">
        <f t="shared" ref="AJ376:AJ377" si="161">AL376</f>
        <v>7.0568930000000002E-2</v>
      </c>
      <c r="AK376">
        <v>6.7782654999999997E-2</v>
      </c>
      <c r="AL376">
        <v>7.0568930000000002E-2</v>
      </c>
      <c r="AM376">
        <v>0.103504926</v>
      </c>
      <c r="AN376">
        <v>0.10879121</v>
      </c>
      <c r="AO376">
        <v>93.221734499999997</v>
      </c>
      <c r="AP376">
        <v>92.943106999999998</v>
      </c>
      <c r="AQ376">
        <v>89.649507400000005</v>
      </c>
      <c r="AR376">
        <v>89.120879000000002</v>
      </c>
      <c r="AS376" t="b">
        <v>0</v>
      </c>
      <c r="AT376" t="b">
        <v>1</v>
      </c>
      <c r="AU376" t="s">
        <v>77</v>
      </c>
      <c r="AV376" t="s">
        <v>77</v>
      </c>
      <c r="AW376" t="s">
        <v>79</v>
      </c>
      <c r="AX376" t="s">
        <v>80</v>
      </c>
      <c r="AY376" t="s">
        <v>587</v>
      </c>
      <c r="AZ376" t="s">
        <v>109</v>
      </c>
      <c r="BA376">
        <v>20</v>
      </c>
      <c r="BB376">
        <v>1</v>
      </c>
      <c r="BC376">
        <v>2.4738868000000001E-3</v>
      </c>
      <c r="BD376">
        <v>1.4256942275279999E-4</v>
      </c>
      <c r="BE376">
        <v>2.6164562227527998E-3</v>
      </c>
      <c r="BF376">
        <f>IF(AK376&lt;BE376,1,0)</f>
        <v>0</v>
      </c>
      <c r="BG376">
        <f>IF(AK376&lt;BC376,1,0)</f>
        <v>0</v>
      </c>
      <c r="BH376">
        <f>VLOOKUP($B376,[1]Data_Peer_with_peerVars!$B$2:$Z$1050,20,FALSE)</f>
        <v>11</v>
      </c>
      <c r="BI376">
        <f>VLOOKUP($B376,[1]Data_Peer_with_peerVars!$B$2:$Z$1050,21,FALSE)</f>
        <v>8</v>
      </c>
      <c r="BJ376">
        <f>VLOOKUP($B376,[1]Data_Peer_with_peerVars!$B$2:$Z$1050,22,FALSE)</f>
        <v>0.72727272700000001</v>
      </c>
      <c r="BK376">
        <f>VLOOKUP($B376,[1]Data_Peer_with_peerVars!$B$2:$Z$1050,23,FALSE)</f>
        <v>31</v>
      </c>
      <c r="BL376">
        <f>VLOOKUP($B376,[1]Data_Peer_with_peerVars!$B$2:$Z$1050,24,FALSE)</f>
        <v>23</v>
      </c>
      <c r="BM376">
        <f>VLOOKUP($B376,[1]Data_Peer_with_peerVars!$B$2:$Z$1050,25,FALSE)</f>
        <v>0.74193548399999998</v>
      </c>
    </row>
    <row r="377" spans="1:65" x14ac:dyDescent="0.2">
      <c r="A377">
        <v>1</v>
      </c>
      <c r="B377" t="s">
        <v>636</v>
      </c>
      <c r="C377">
        <v>191</v>
      </c>
      <c r="D377" t="s">
        <v>68</v>
      </c>
      <c r="E377">
        <v>0</v>
      </c>
      <c r="F377">
        <v>204</v>
      </c>
      <c r="G377" t="s">
        <v>97</v>
      </c>
      <c r="H377" s="1">
        <v>6.5</v>
      </c>
      <c r="I377" t="s">
        <v>87</v>
      </c>
      <c r="J377" t="s">
        <v>111</v>
      </c>
      <c r="K377" t="s">
        <v>109</v>
      </c>
      <c r="L377">
        <v>1</v>
      </c>
      <c r="M377">
        <v>0</v>
      </c>
      <c r="N377">
        <v>0</v>
      </c>
      <c r="O377">
        <v>0</v>
      </c>
      <c r="P377">
        <v>0</v>
      </c>
      <c r="Q377">
        <v>3</v>
      </c>
      <c r="R377">
        <v>0</v>
      </c>
      <c r="S377">
        <v>0</v>
      </c>
      <c r="T377">
        <v>0</v>
      </c>
      <c r="U377">
        <v>0</v>
      </c>
      <c r="V377">
        <f t="shared" si="135"/>
        <v>0</v>
      </c>
      <c r="W377">
        <f t="shared" si="136"/>
        <v>1</v>
      </c>
      <c r="X377">
        <v>1</v>
      </c>
      <c r="Y377">
        <v>1</v>
      </c>
      <c r="Z377" t="s">
        <v>76</v>
      </c>
      <c r="AA377" s="5" t="s">
        <v>76</v>
      </c>
      <c r="AB377" s="5" t="s">
        <v>76</v>
      </c>
      <c r="AC377" t="s">
        <v>74</v>
      </c>
      <c r="AD377" t="s">
        <v>76</v>
      </c>
      <c r="AE377" s="5" t="s">
        <v>637</v>
      </c>
      <c r="AF377" t="s">
        <v>75</v>
      </c>
      <c r="AG377" t="s">
        <v>120</v>
      </c>
      <c r="AH377">
        <f t="shared" si="158"/>
        <v>8.7431690000000006E-2</v>
      </c>
      <c r="AI377">
        <f t="shared" si="160"/>
        <v>8.7431690000000006E-2</v>
      </c>
      <c r="AJ377">
        <f t="shared" si="161"/>
        <v>8.7431690000000006E-2</v>
      </c>
      <c r="AK377">
        <v>3.0410957999999998E-2</v>
      </c>
      <c r="AL377">
        <v>8.7431690000000006E-2</v>
      </c>
      <c r="AM377">
        <v>9.1680349999999994E-2</v>
      </c>
      <c r="AN377">
        <v>0.1</v>
      </c>
      <c r="AO377">
        <v>96.958904200000006</v>
      </c>
      <c r="AP377">
        <v>91.256831000000005</v>
      </c>
      <c r="AQ377">
        <v>90.831964999999997</v>
      </c>
      <c r="AR377">
        <v>90</v>
      </c>
      <c r="AS377" t="b">
        <v>0</v>
      </c>
      <c r="AT377" t="b">
        <v>0</v>
      </c>
      <c r="AU377" t="s">
        <v>77</v>
      </c>
      <c r="AV377" t="s">
        <v>108</v>
      </c>
      <c r="AW377" t="s">
        <v>79</v>
      </c>
      <c r="AX377" t="s">
        <v>80</v>
      </c>
      <c r="AY377" t="s">
        <v>587</v>
      </c>
      <c r="AZ377" t="s">
        <v>109</v>
      </c>
      <c r="BA377">
        <v>100</v>
      </c>
      <c r="BB377">
        <v>1.4</v>
      </c>
      <c r="BC377">
        <v>2.4738868000000001E-3</v>
      </c>
      <c r="BD377">
        <v>1.4256942275279999E-4</v>
      </c>
      <c r="BE377">
        <v>2.6164562227527998E-3</v>
      </c>
      <c r="BF377">
        <f>IF(AK377&lt;BE377,1,0)</f>
        <v>0</v>
      </c>
      <c r="BG377">
        <f>IF(AK377&lt;BC377,1,0)</f>
        <v>0</v>
      </c>
      <c r="BH377">
        <f>VLOOKUP($B377,[1]Data_Peer_with_peerVars!$B$2:$Z$1050,20,FALSE)</f>
        <v>9</v>
      </c>
      <c r="BI377">
        <f>VLOOKUP($B377,[1]Data_Peer_with_peerVars!$B$2:$Z$1050,21,FALSE)</f>
        <v>7</v>
      </c>
      <c r="BJ377">
        <f>VLOOKUP($B377,[1]Data_Peer_with_peerVars!$B$2:$Z$1050,22,FALSE)</f>
        <v>0.77777777800000003</v>
      </c>
      <c r="BK377">
        <f>VLOOKUP($B377,[1]Data_Peer_with_peerVars!$B$2:$Z$1050,23,FALSE)</f>
        <v>32</v>
      </c>
      <c r="BL377">
        <f>VLOOKUP($B377,[1]Data_Peer_with_peerVars!$B$2:$Z$1050,24,FALSE)</f>
        <v>22</v>
      </c>
      <c r="BM377">
        <f>VLOOKUP($B377,[1]Data_Peer_with_peerVars!$B$2:$Z$1050,25,FALSE)</f>
        <v>0.6875</v>
      </c>
    </row>
    <row r="378" spans="1:65" x14ac:dyDescent="0.2">
      <c r="A378">
        <v>1</v>
      </c>
      <c r="B378" t="s">
        <v>638</v>
      </c>
      <c r="C378">
        <v>191</v>
      </c>
      <c r="D378" t="s">
        <v>68</v>
      </c>
      <c r="E378">
        <v>0</v>
      </c>
      <c r="F378">
        <v>204</v>
      </c>
      <c r="G378" t="s">
        <v>97</v>
      </c>
      <c r="H378" s="1">
        <v>6.5</v>
      </c>
      <c r="I378" t="s">
        <v>87</v>
      </c>
      <c r="J378" t="s">
        <v>111</v>
      </c>
      <c r="K378" t="s">
        <v>109</v>
      </c>
      <c r="L378">
        <v>1</v>
      </c>
      <c r="M378">
        <v>0</v>
      </c>
      <c r="N378">
        <v>0</v>
      </c>
      <c r="O378">
        <v>0</v>
      </c>
      <c r="P378">
        <v>0</v>
      </c>
      <c r="Q378">
        <v>3</v>
      </c>
      <c r="R378">
        <v>0</v>
      </c>
      <c r="S378">
        <v>0</v>
      </c>
      <c r="T378">
        <v>0</v>
      </c>
      <c r="U378">
        <v>0</v>
      </c>
      <c r="V378">
        <f t="shared" si="135"/>
        <v>1</v>
      </c>
      <c r="W378">
        <v>1</v>
      </c>
      <c r="X378">
        <v>1</v>
      </c>
      <c r="Y378">
        <v>1</v>
      </c>
      <c r="Z378" t="s">
        <v>74</v>
      </c>
      <c r="AA378" s="5" t="s">
        <v>74</v>
      </c>
      <c r="AB378" s="5" t="s">
        <v>74</v>
      </c>
      <c r="AC378" t="s">
        <v>74</v>
      </c>
      <c r="AD378" t="s">
        <v>75</v>
      </c>
      <c r="AE378" s="5" t="s">
        <v>75</v>
      </c>
      <c r="AF378" t="s">
        <v>120</v>
      </c>
      <c r="AG378" t="s">
        <v>76</v>
      </c>
      <c r="AH378">
        <f t="shared" si="158"/>
        <v>1.9178082000000001E-3</v>
      </c>
      <c r="AI378">
        <f>AJ378</f>
        <v>1.9178082000000001E-3</v>
      </c>
      <c r="AJ378">
        <f t="shared" si="138"/>
        <v>1.9178082000000001E-3</v>
      </c>
      <c r="AK378">
        <v>1.9178082000000001E-3</v>
      </c>
      <c r="AL378">
        <v>8.6527930000000003E-2</v>
      </c>
      <c r="AM378">
        <v>8.9939854999999999E-2</v>
      </c>
      <c r="AN378">
        <v>9.3647315999999994E-2</v>
      </c>
      <c r="AO378">
        <v>99.808219179999995</v>
      </c>
      <c r="AP378">
        <v>91.347206999999997</v>
      </c>
      <c r="AQ378">
        <v>91.006014500000006</v>
      </c>
      <c r="AR378">
        <v>90.635268400000001</v>
      </c>
      <c r="AS378" t="b">
        <v>1</v>
      </c>
      <c r="AT378" t="b">
        <v>0</v>
      </c>
      <c r="AU378" t="s">
        <v>77</v>
      </c>
      <c r="AV378" t="s">
        <v>77</v>
      </c>
      <c r="AW378" t="s">
        <v>79</v>
      </c>
      <c r="AX378" t="s">
        <v>80</v>
      </c>
      <c r="AY378" t="s">
        <v>587</v>
      </c>
      <c r="AZ378" t="s">
        <v>109</v>
      </c>
      <c r="BA378">
        <v>100</v>
      </c>
      <c r="BB378">
        <v>1.5</v>
      </c>
      <c r="BC378">
        <v>2.4738868000000001E-3</v>
      </c>
      <c r="BD378">
        <v>1.4256942275279999E-4</v>
      </c>
      <c r="BE378">
        <v>2.6164562227527998E-3</v>
      </c>
      <c r="BF378">
        <f>IF(AK378&lt;BE378,1,0)</f>
        <v>1</v>
      </c>
      <c r="BG378">
        <f>IF(AK378&lt;BC378,1,0)</f>
        <v>1</v>
      </c>
      <c r="BH378">
        <f>VLOOKUP($B378,[1]Data_Peer_with_peerVars!$B$2:$Z$1050,20,FALSE)</f>
        <v>9</v>
      </c>
      <c r="BI378">
        <f>VLOOKUP($B378,[1]Data_Peer_with_peerVars!$B$2:$Z$1050,21,FALSE)</f>
        <v>7</v>
      </c>
      <c r="BJ378">
        <f>VLOOKUP($B378,[1]Data_Peer_with_peerVars!$B$2:$Z$1050,22,FALSE)</f>
        <v>0.77777777800000003</v>
      </c>
      <c r="BK378">
        <f>VLOOKUP($B378,[1]Data_Peer_with_peerVars!$B$2:$Z$1050,23,FALSE)</f>
        <v>32</v>
      </c>
      <c r="BL378">
        <f>VLOOKUP($B378,[1]Data_Peer_with_peerVars!$B$2:$Z$1050,24,FALSE)</f>
        <v>22</v>
      </c>
      <c r="BM378">
        <f>VLOOKUP($B378,[1]Data_Peer_with_peerVars!$B$2:$Z$1050,25,FALSE)</f>
        <v>0.6875</v>
      </c>
    </row>
    <row r="379" spans="1:65" x14ac:dyDescent="0.2">
      <c r="A379">
        <v>1</v>
      </c>
      <c r="B379" t="s">
        <v>639</v>
      </c>
      <c r="C379">
        <v>192</v>
      </c>
      <c r="D379" t="s">
        <v>68</v>
      </c>
      <c r="E379">
        <v>1</v>
      </c>
      <c r="F379">
        <v>239</v>
      </c>
      <c r="G379" t="s">
        <v>86</v>
      </c>
      <c r="H379" s="1">
        <v>7</v>
      </c>
      <c r="I379" t="s">
        <v>87</v>
      </c>
      <c r="J379" t="s">
        <v>88</v>
      </c>
      <c r="K379" t="s">
        <v>109</v>
      </c>
      <c r="L379">
        <v>1</v>
      </c>
      <c r="M379">
        <v>0</v>
      </c>
      <c r="N379">
        <v>1</v>
      </c>
      <c r="O379">
        <v>0</v>
      </c>
      <c r="P379">
        <v>1</v>
      </c>
      <c r="Q379">
        <v>4</v>
      </c>
      <c r="R379">
        <v>0</v>
      </c>
      <c r="S379">
        <v>0</v>
      </c>
      <c r="T379">
        <v>0</v>
      </c>
      <c r="U379">
        <v>0</v>
      </c>
      <c r="V379">
        <f t="shared" si="135"/>
        <v>0</v>
      </c>
      <c r="W379">
        <f t="shared" si="136"/>
        <v>0</v>
      </c>
      <c r="X379">
        <f t="shared" si="139"/>
        <v>0</v>
      </c>
      <c r="Y379">
        <f t="shared" si="137"/>
        <v>0</v>
      </c>
      <c r="Z379" t="s">
        <v>76</v>
      </c>
      <c r="AA379" s="5" t="s">
        <v>76</v>
      </c>
      <c r="AB379" s="5" t="s">
        <v>76</v>
      </c>
      <c r="AC379" t="s">
        <v>94</v>
      </c>
      <c r="AD379" t="s">
        <v>74</v>
      </c>
      <c r="AE379" s="5" t="s">
        <v>74</v>
      </c>
      <c r="AF379" t="s">
        <v>120</v>
      </c>
      <c r="AG379" t="s">
        <v>102</v>
      </c>
      <c r="AH379">
        <f>AI379</f>
        <v>8.1877729999999996E-2</v>
      </c>
      <c r="AI379">
        <f>AJ379</f>
        <v>8.1877729999999996E-2</v>
      </c>
      <c r="AJ379">
        <f t="shared" si="138"/>
        <v>8.1877729999999996E-2</v>
      </c>
      <c r="AK379">
        <v>8.1877729999999996E-2</v>
      </c>
      <c r="AL379">
        <v>0.10410959</v>
      </c>
      <c r="AM379">
        <v>0.13196722</v>
      </c>
      <c r="AN379">
        <v>0.13229679</v>
      </c>
      <c r="AO379">
        <v>91.812226999999993</v>
      </c>
      <c r="AP379">
        <v>89.589040999999995</v>
      </c>
      <c r="AQ379">
        <v>86.803278000000006</v>
      </c>
      <c r="AR379">
        <v>86.770320999999996</v>
      </c>
      <c r="AS379" t="b">
        <v>0</v>
      </c>
      <c r="AT379" t="b">
        <v>0</v>
      </c>
      <c r="AU379" t="s">
        <v>77</v>
      </c>
      <c r="AV379" t="s">
        <v>78</v>
      </c>
      <c r="AW379" t="s">
        <v>79</v>
      </c>
      <c r="AX379" t="s">
        <v>80</v>
      </c>
      <c r="AY379" t="s">
        <v>587</v>
      </c>
      <c r="AZ379" t="s">
        <v>109</v>
      </c>
      <c r="BA379">
        <v>2</v>
      </c>
      <c r="BB379">
        <v>1.05</v>
      </c>
      <c r="BC379">
        <v>1.6447369E-2</v>
      </c>
      <c r="BD379">
        <v>4.2236161269162102E-4</v>
      </c>
      <c r="BE379">
        <v>1.6869730612691598E-2</v>
      </c>
      <c r="BF379">
        <f>IF(AK379&lt;BE379,1,0)</f>
        <v>0</v>
      </c>
      <c r="BG379">
        <f>IF(AK379&lt;BC379,1,0)</f>
        <v>0</v>
      </c>
      <c r="BH379">
        <f>VLOOKUP($B379,[1]Data_Peer_with_peerVars!$B$2:$Z$1050,20,FALSE)</f>
        <v>9</v>
      </c>
      <c r="BI379">
        <f>VLOOKUP($B379,[1]Data_Peer_with_peerVars!$B$2:$Z$1050,21,FALSE)</f>
        <v>8</v>
      </c>
      <c r="BJ379">
        <f>VLOOKUP($B379,[1]Data_Peer_with_peerVars!$B$2:$Z$1050,22,FALSE)</f>
        <v>0.88888888899999996</v>
      </c>
      <c r="BK379">
        <f>VLOOKUP($B379,[1]Data_Peer_with_peerVars!$B$2:$Z$1050,23,FALSE)</f>
        <v>33</v>
      </c>
      <c r="BL379">
        <f>VLOOKUP($B379,[1]Data_Peer_with_peerVars!$B$2:$Z$1050,24,FALSE)</f>
        <v>25</v>
      </c>
      <c r="BM379">
        <f>VLOOKUP($B379,[1]Data_Peer_with_peerVars!$B$2:$Z$1050,25,FALSE)</f>
        <v>0.75757575799999999</v>
      </c>
    </row>
    <row r="380" spans="1:65" x14ac:dyDescent="0.2">
      <c r="A380">
        <v>1</v>
      </c>
      <c r="B380" t="s">
        <v>640</v>
      </c>
      <c r="C380">
        <v>192</v>
      </c>
      <c r="D380" t="s">
        <v>68</v>
      </c>
      <c r="E380">
        <v>1</v>
      </c>
      <c r="F380">
        <v>239</v>
      </c>
      <c r="G380" t="s">
        <v>86</v>
      </c>
      <c r="H380" s="1">
        <v>7</v>
      </c>
      <c r="I380" t="s">
        <v>87</v>
      </c>
      <c r="J380" t="s">
        <v>88</v>
      </c>
      <c r="K380" t="s">
        <v>109</v>
      </c>
      <c r="L380">
        <v>1</v>
      </c>
      <c r="M380">
        <v>0</v>
      </c>
      <c r="N380">
        <v>1</v>
      </c>
      <c r="O380">
        <v>0</v>
      </c>
      <c r="P380">
        <v>1</v>
      </c>
      <c r="Q380">
        <v>4</v>
      </c>
      <c r="R380">
        <v>0</v>
      </c>
      <c r="S380">
        <v>0</v>
      </c>
      <c r="T380">
        <v>1</v>
      </c>
      <c r="U380">
        <v>1</v>
      </c>
      <c r="V380">
        <f t="shared" si="135"/>
        <v>1</v>
      </c>
      <c r="W380">
        <v>1</v>
      </c>
      <c r="X380">
        <v>1</v>
      </c>
      <c r="Y380">
        <v>1</v>
      </c>
      <c r="Z380" t="s">
        <v>73</v>
      </c>
      <c r="AA380" s="5" t="s">
        <v>73</v>
      </c>
      <c r="AB380" s="5" t="s">
        <v>73</v>
      </c>
      <c r="AC380" t="s">
        <v>73</v>
      </c>
      <c r="AD380" t="s">
        <v>94</v>
      </c>
      <c r="AE380" s="5" t="s">
        <v>106</v>
      </c>
      <c r="AF380" t="s">
        <v>107</v>
      </c>
      <c r="AG380" t="s">
        <v>95</v>
      </c>
      <c r="AH380">
        <f>AI380</f>
        <v>3.8230475000000002E-3</v>
      </c>
      <c r="AI380">
        <f>AJ380</f>
        <v>3.8230475000000002E-3</v>
      </c>
      <c r="AJ380">
        <f t="shared" si="138"/>
        <v>3.8230475000000002E-3</v>
      </c>
      <c r="AK380">
        <v>3.8230475000000002E-3</v>
      </c>
      <c r="AL380">
        <v>0.13163656000000001</v>
      </c>
      <c r="AM380">
        <v>0.13646348</v>
      </c>
      <c r="AN380">
        <v>0.13917808000000001</v>
      </c>
      <c r="AO380">
        <v>99.617695249999997</v>
      </c>
      <c r="AP380">
        <v>86.836343999999997</v>
      </c>
      <c r="AQ380">
        <v>86.353651999999997</v>
      </c>
      <c r="AR380">
        <v>86.082192000000006</v>
      </c>
      <c r="AS380" t="b">
        <v>1</v>
      </c>
      <c r="AT380" t="b">
        <v>0</v>
      </c>
      <c r="AU380" t="s">
        <v>77</v>
      </c>
      <c r="AV380" t="s">
        <v>108</v>
      </c>
      <c r="AW380" t="s">
        <v>79</v>
      </c>
      <c r="AX380" t="s">
        <v>80</v>
      </c>
      <c r="AY380" t="s">
        <v>587</v>
      </c>
      <c r="AZ380" t="s">
        <v>109</v>
      </c>
      <c r="BA380">
        <v>4</v>
      </c>
      <c r="BB380">
        <v>1.75</v>
      </c>
      <c r="BC380">
        <v>4.1163553999999996E-3</v>
      </c>
      <c r="BD380">
        <v>1.4279989108178799E-4</v>
      </c>
      <c r="BE380">
        <v>4.2591552910817903E-3</v>
      </c>
      <c r="BF380">
        <f>IF(AK380&lt;BE380,1,0)</f>
        <v>1</v>
      </c>
      <c r="BG380">
        <f>IF(AK380&lt;BC380,1,0)</f>
        <v>1</v>
      </c>
      <c r="BH380">
        <f>VLOOKUP($B380,[1]Data_Peer_with_peerVars!$B$2:$Z$1050,20,FALSE)</f>
        <v>9</v>
      </c>
      <c r="BI380">
        <f>VLOOKUP($B380,[1]Data_Peer_with_peerVars!$B$2:$Z$1050,21,FALSE)</f>
        <v>8</v>
      </c>
      <c r="BJ380">
        <f>VLOOKUP($B380,[1]Data_Peer_with_peerVars!$B$2:$Z$1050,22,FALSE)</f>
        <v>0.88888888899999996</v>
      </c>
      <c r="BK380">
        <f>VLOOKUP($B380,[1]Data_Peer_with_peerVars!$B$2:$Z$1050,23,FALSE)</f>
        <v>33</v>
      </c>
      <c r="BL380">
        <f>VLOOKUP($B380,[1]Data_Peer_with_peerVars!$B$2:$Z$1050,24,FALSE)</f>
        <v>25</v>
      </c>
      <c r="BM380">
        <f>VLOOKUP($B380,[1]Data_Peer_with_peerVars!$B$2:$Z$1050,25,FALSE)</f>
        <v>0.75757575799999999</v>
      </c>
    </row>
    <row r="381" spans="1:65" x14ac:dyDescent="0.2">
      <c r="A381">
        <v>1</v>
      </c>
      <c r="B381" t="s">
        <v>641</v>
      </c>
      <c r="C381">
        <v>193</v>
      </c>
      <c r="D381" t="s">
        <v>68</v>
      </c>
      <c r="E381">
        <v>0</v>
      </c>
      <c r="F381">
        <v>218</v>
      </c>
      <c r="G381" t="s">
        <v>119</v>
      </c>
      <c r="H381" s="1">
        <v>7</v>
      </c>
      <c r="M381">
        <v>1</v>
      </c>
      <c r="N381">
        <v>0</v>
      </c>
      <c r="R381">
        <v>0</v>
      </c>
      <c r="S381">
        <v>0</v>
      </c>
      <c r="T381">
        <v>0</v>
      </c>
      <c r="U381">
        <v>0</v>
      </c>
      <c r="V381">
        <f t="shared" si="135"/>
        <v>0</v>
      </c>
      <c r="W381">
        <f t="shared" si="136"/>
        <v>0</v>
      </c>
      <c r="X381">
        <f t="shared" si="139"/>
        <v>0</v>
      </c>
      <c r="Y381">
        <f t="shared" si="137"/>
        <v>0</v>
      </c>
      <c r="Z381" t="s">
        <v>76</v>
      </c>
      <c r="AA381" s="5" t="s">
        <v>76</v>
      </c>
      <c r="AB381" s="5" t="s">
        <v>76</v>
      </c>
      <c r="AC381" t="s">
        <v>94</v>
      </c>
      <c r="AD381" t="s">
        <v>74</v>
      </c>
      <c r="AE381" s="5" t="s">
        <v>74</v>
      </c>
      <c r="AF381" t="s">
        <v>167</v>
      </c>
      <c r="AG381" t="s">
        <v>95</v>
      </c>
      <c r="AH381">
        <f t="shared" ref="AH381:AH385" si="162">AI381</f>
        <v>8.4653190000000003E-2</v>
      </c>
      <c r="AI381">
        <f t="shared" ref="AI381:AI385" si="163">AJ381</f>
        <v>8.4653190000000003E-2</v>
      </c>
      <c r="AJ381">
        <f t="shared" si="138"/>
        <v>8.4653190000000003E-2</v>
      </c>
      <c r="AK381">
        <v>8.4653190000000003E-2</v>
      </c>
      <c r="AL381">
        <v>0.12609649000000001</v>
      </c>
      <c r="AM381">
        <v>0.13878223000000001</v>
      </c>
      <c r="AN381">
        <v>0.14141138</v>
      </c>
      <c r="AO381">
        <v>91.534681000000006</v>
      </c>
      <c r="AP381">
        <v>87.390350999999995</v>
      </c>
      <c r="AQ381">
        <v>86.121776999999994</v>
      </c>
      <c r="AR381">
        <v>85.858862000000002</v>
      </c>
      <c r="AS381" t="b">
        <v>0</v>
      </c>
      <c r="AT381" t="b">
        <v>0</v>
      </c>
      <c r="AU381" t="s">
        <v>77</v>
      </c>
      <c r="AV381" t="s">
        <v>78</v>
      </c>
      <c r="AW381" t="s">
        <v>79</v>
      </c>
      <c r="AX381" t="s">
        <v>80</v>
      </c>
      <c r="AY381" t="s">
        <v>604</v>
      </c>
      <c r="AZ381" t="s">
        <v>109</v>
      </c>
      <c r="BA381" t="s">
        <v>82</v>
      </c>
      <c r="BB381">
        <v>1</v>
      </c>
      <c r="BC381">
        <v>1.6447369E-2</v>
      </c>
      <c r="BD381">
        <v>4.2236161269162102E-4</v>
      </c>
      <c r="BE381">
        <v>1.6869730612691598E-2</v>
      </c>
      <c r="BF381">
        <f>IF(AK381&lt;BE381,1,0)</f>
        <v>0</v>
      </c>
      <c r="BG381">
        <f>IF(AK381&lt;BC381,1,0)</f>
        <v>0</v>
      </c>
    </row>
    <row r="382" spans="1:65" x14ac:dyDescent="0.2">
      <c r="A382">
        <v>1</v>
      </c>
      <c r="B382" t="s">
        <v>642</v>
      </c>
      <c r="C382">
        <v>193</v>
      </c>
      <c r="D382" t="s">
        <v>68</v>
      </c>
      <c r="E382">
        <v>0</v>
      </c>
      <c r="F382">
        <v>218</v>
      </c>
      <c r="G382" t="s">
        <v>119</v>
      </c>
      <c r="H382" s="1">
        <v>7</v>
      </c>
      <c r="M382">
        <v>1</v>
      </c>
      <c r="N382">
        <v>0</v>
      </c>
      <c r="R382">
        <v>0</v>
      </c>
      <c r="S382">
        <v>0</v>
      </c>
      <c r="T382">
        <v>1</v>
      </c>
      <c r="U382">
        <v>1</v>
      </c>
      <c r="V382">
        <f t="shared" si="135"/>
        <v>0</v>
      </c>
      <c r="W382">
        <f t="shared" si="136"/>
        <v>0</v>
      </c>
      <c r="X382">
        <f t="shared" si="139"/>
        <v>0</v>
      </c>
      <c r="Y382">
        <f t="shared" si="137"/>
        <v>0</v>
      </c>
      <c r="Z382" t="s">
        <v>89</v>
      </c>
      <c r="AA382" s="5" t="s">
        <v>82</v>
      </c>
      <c r="AB382" s="5" t="s">
        <v>82</v>
      </c>
      <c r="AC382" t="s">
        <v>94</v>
      </c>
      <c r="AD382" t="s">
        <v>95</v>
      </c>
      <c r="AE382" s="5" t="s">
        <v>95</v>
      </c>
      <c r="AF382" t="s">
        <v>107</v>
      </c>
      <c r="AG382" t="s">
        <v>73</v>
      </c>
      <c r="AH382">
        <f t="shared" si="162"/>
        <v>1.5019115E-2</v>
      </c>
      <c r="AI382">
        <f t="shared" si="163"/>
        <v>1.5019115E-2</v>
      </c>
      <c r="AJ382">
        <f t="shared" si="138"/>
        <v>1.5019115E-2</v>
      </c>
      <c r="AK382">
        <v>1.5019115E-2</v>
      </c>
      <c r="AL382">
        <v>0.10858862</v>
      </c>
      <c r="AM382">
        <v>0.1118421</v>
      </c>
      <c r="AN382">
        <v>0.12800217999999999</v>
      </c>
      <c r="AO382">
        <v>98.498088499999994</v>
      </c>
      <c r="AP382">
        <v>89.141137999999998</v>
      </c>
      <c r="AQ382">
        <v>88.815790000000007</v>
      </c>
      <c r="AR382">
        <v>87.199781999999999</v>
      </c>
      <c r="AS382" t="b">
        <v>0</v>
      </c>
      <c r="AT382" t="b">
        <v>0</v>
      </c>
      <c r="AU382" t="s">
        <v>108</v>
      </c>
      <c r="AV382" t="s">
        <v>108</v>
      </c>
      <c r="AW382" t="s">
        <v>79</v>
      </c>
      <c r="AX382" t="s">
        <v>80</v>
      </c>
      <c r="AY382" t="s">
        <v>604</v>
      </c>
      <c r="AZ382" t="s">
        <v>82</v>
      </c>
      <c r="BA382" t="s">
        <v>82</v>
      </c>
      <c r="BB382" t="s">
        <v>82</v>
      </c>
      <c r="BC382">
        <v>1.6447369E-2</v>
      </c>
      <c r="BD382">
        <v>4.2236161269162102E-4</v>
      </c>
      <c r="BE382">
        <v>1.6869730612691598E-2</v>
      </c>
      <c r="BF382">
        <f>IF(AK382&lt;BE382,1,0)</f>
        <v>1</v>
      </c>
      <c r="BG382">
        <f>IF(AK382&lt;BC382,1,0)</f>
        <v>1</v>
      </c>
    </row>
    <row r="383" spans="1:65" x14ac:dyDescent="0.2">
      <c r="A383">
        <v>1</v>
      </c>
      <c r="B383" t="s">
        <v>643</v>
      </c>
      <c r="C383">
        <v>194</v>
      </c>
      <c r="D383" t="s">
        <v>68</v>
      </c>
      <c r="E383">
        <v>1</v>
      </c>
      <c r="F383">
        <v>199</v>
      </c>
      <c r="G383" t="s">
        <v>69</v>
      </c>
      <c r="H383" s="1">
        <v>7</v>
      </c>
      <c r="I383" t="s">
        <v>87</v>
      </c>
      <c r="J383" t="s">
        <v>111</v>
      </c>
      <c r="K383" t="s">
        <v>109</v>
      </c>
      <c r="L383">
        <v>1</v>
      </c>
      <c r="M383">
        <v>0</v>
      </c>
      <c r="N383">
        <v>1</v>
      </c>
      <c r="O383">
        <v>1</v>
      </c>
      <c r="P383">
        <v>0</v>
      </c>
      <c r="Q383">
        <v>3</v>
      </c>
      <c r="R383">
        <v>0</v>
      </c>
      <c r="S383">
        <v>0</v>
      </c>
      <c r="T383">
        <v>0</v>
      </c>
      <c r="U383">
        <v>0</v>
      </c>
      <c r="V383">
        <f t="shared" si="135"/>
        <v>1</v>
      </c>
      <c r="W383">
        <v>1</v>
      </c>
      <c r="X383">
        <v>1</v>
      </c>
      <c r="Y383">
        <v>1</v>
      </c>
      <c r="Z383" t="s">
        <v>73</v>
      </c>
      <c r="AA383" s="5" t="s">
        <v>73</v>
      </c>
      <c r="AB383" s="5" t="s">
        <v>73</v>
      </c>
      <c r="AC383" t="s">
        <v>73</v>
      </c>
      <c r="AD383" t="s">
        <v>94</v>
      </c>
      <c r="AE383" s="5" t="s">
        <v>94</v>
      </c>
      <c r="AF383" t="s">
        <v>75</v>
      </c>
      <c r="AG383" t="s">
        <v>95</v>
      </c>
      <c r="AH383">
        <f t="shared" si="162"/>
        <v>5.2889856999999998E-2</v>
      </c>
      <c r="AI383">
        <f t="shared" si="163"/>
        <v>5.2889856999999998E-2</v>
      </c>
      <c r="AJ383">
        <f t="shared" si="138"/>
        <v>5.2889856999999998E-2</v>
      </c>
      <c r="AK383">
        <v>5.2889856999999998E-2</v>
      </c>
      <c r="AL383">
        <v>0.12363537400000001</v>
      </c>
      <c r="AM383">
        <v>0.13238512</v>
      </c>
      <c r="AN383">
        <v>0.14016392999999999</v>
      </c>
      <c r="AO383">
        <v>94.711014300000002</v>
      </c>
      <c r="AP383">
        <v>87.636462600000002</v>
      </c>
      <c r="AQ383">
        <v>86.761488</v>
      </c>
      <c r="AR383">
        <v>85.983607000000006</v>
      </c>
      <c r="AS383" t="b">
        <v>1</v>
      </c>
      <c r="AT383" t="b">
        <v>0</v>
      </c>
      <c r="AU383" t="s">
        <v>77</v>
      </c>
      <c r="AV383" t="s">
        <v>78</v>
      </c>
      <c r="AW383" t="s">
        <v>79</v>
      </c>
      <c r="AX383" t="s">
        <v>80</v>
      </c>
      <c r="AY383" t="s">
        <v>80</v>
      </c>
      <c r="AZ383" t="s">
        <v>109</v>
      </c>
      <c r="BA383">
        <v>2</v>
      </c>
      <c r="BB383">
        <v>2.1</v>
      </c>
      <c r="BC383">
        <v>4.1163553999999996E-3</v>
      </c>
      <c r="BD383">
        <v>1.4279989108178799E-4</v>
      </c>
      <c r="BE383">
        <v>4.2591552910817903E-3</v>
      </c>
      <c r="BF383">
        <f>IF(AK383&lt;BE383,1,0)</f>
        <v>0</v>
      </c>
      <c r="BG383">
        <f>IF(AK383&lt;BC383,1,0)</f>
        <v>0</v>
      </c>
      <c r="BH383">
        <f>VLOOKUP($B383,[1]Data_Peer_with_peerVars!$B$2:$Z$1050,20,FALSE)</f>
        <v>10</v>
      </c>
      <c r="BI383">
        <f>VLOOKUP($B383,[1]Data_Peer_with_peerVars!$B$2:$Z$1050,21,FALSE)</f>
        <v>6</v>
      </c>
      <c r="BJ383">
        <f>VLOOKUP($B383,[1]Data_Peer_with_peerVars!$B$2:$Z$1050,22,FALSE)</f>
        <v>0.6</v>
      </c>
      <c r="BK383">
        <f>VLOOKUP($B383,[1]Data_Peer_with_peerVars!$B$2:$Z$1050,23,FALSE)</f>
        <v>17</v>
      </c>
      <c r="BL383">
        <f>VLOOKUP($B383,[1]Data_Peer_with_peerVars!$B$2:$Z$1050,24,FALSE)</f>
        <v>12</v>
      </c>
      <c r="BM383">
        <f>VLOOKUP($B383,[1]Data_Peer_with_peerVars!$B$2:$Z$1050,25,FALSE)</f>
        <v>0.70588235300000002</v>
      </c>
    </row>
    <row r="384" spans="1:65" x14ac:dyDescent="0.2">
      <c r="A384">
        <v>1</v>
      </c>
      <c r="B384" t="s">
        <v>644</v>
      </c>
      <c r="C384">
        <v>195</v>
      </c>
      <c r="D384" t="s">
        <v>68</v>
      </c>
      <c r="E384">
        <v>1</v>
      </c>
      <c r="F384">
        <v>247</v>
      </c>
      <c r="G384" t="s">
        <v>69</v>
      </c>
      <c r="H384" s="1">
        <v>7</v>
      </c>
      <c r="I384" t="s">
        <v>87</v>
      </c>
      <c r="J384" t="s">
        <v>88</v>
      </c>
      <c r="K384" t="s">
        <v>109</v>
      </c>
      <c r="L384">
        <v>1</v>
      </c>
      <c r="M384">
        <v>0</v>
      </c>
      <c r="N384">
        <v>1</v>
      </c>
      <c r="O384">
        <v>1</v>
      </c>
      <c r="P384">
        <v>0</v>
      </c>
      <c r="Q384">
        <v>6</v>
      </c>
      <c r="R384">
        <v>0</v>
      </c>
      <c r="S384">
        <v>0</v>
      </c>
      <c r="T384">
        <v>0</v>
      </c>
      <c r="U384">
        <v>0</v>
      </c>
      <c r="V384">
        <f t="shared" si="135"/>
        <v>1</v>
      </c>
      <c r="W384">
        <v>1</v>
      </c>
      <c r="X384">
        <v>1</v>
      </c>
      <c r="Y384">
        <v>1</v>
      </c>
      <c r="Z384" t="s">
        <v>73</v>
      </c>
      <c r="AA384" s="5" t="s">
        <v>73</v>
      </c>
      <c r="AB384" s="5" t="s">
        <v>73</v>
      </c>
      <c r="AC384" t="s">
        <v>73</v>
      </c>
      <c r="AD384" t="s">
        <v>94</v>
      </c>
      <c r="AE384" s="5" t="s">
        <v>94</v>
      </c>
      <c r="AF384" t="s">
        <v>75</v>
      </c>
      <c r="AG384" t="s">
        <v>95</v>
      </c>
      <c r="AH384">
        <f t="shared" si="162"/>
        <v>5.8342419999999999E-2</v>
      </c>
      <c r="AI384">
        <f t="shared" si="163"/>
        <v>5.8342419999999999E-2</v>
      </c>
      <c r="AJ384">
        <f t="shared" si="138"/>
        <v>5.8342419999999999E-2</v>
      </c>
      <c r="AK384">
        <v>5.8342419999999999E-2</v>
      </c>
      <c r="AL384">
        <v>0.11981441</v>
      </c>
      <c r="AM384">
        <v>0.13074398000000001</v>
      </c>
      <c r="AN384">
        <v>0.13934426</v>
      </c>
      <c r="AO384">
        <v>94.165757999999997</v>
      </c>
      <c r="AP384">
        <v>88.018558999999996</v>
      </c>
      <c r="AQ384">
        <v>86.925601999999998</v>
      </c>
      <c r="AR384">
        <v>86.065573999999998</v>
      </c>
      <c r="AS384" t="b">
        <v>1</v>
      </c>
      <c r="AT384" t="b">
        <v>0</v>
      </c>
      <c r="AU384" t="s">
        <v>77</v>
      </c>
      <c r="AV384" t="s">
        <v>78</v>
      </c>
      <c r="AW384" t="s">
        <v>79</v>
      </c>
      <c r="AX384" t="s">
        <v>80</v>
      </c>
      <c r="AY384" t="s">
        <v>80</v>
      </c>
      <c r="AZ384" t="s">
        <v>109</v>
      </c>
      <c r="BA384">
        <v>8</v>
      </c>
      <c r="BB384">
        <v>0.7</v>
      </c>
      <c r="BC384">
        <v>4.1163553999999996E-3</v>
      </c>
      <c r="BD384">
        <v>1.4279989108178799E-4</v>
      </c>
      <c r="BE384">
        <v>4.2591552910817903E-3</v>
      </c>
      <c r="BF384">
        <f>IF(AK384&lt;BE384,1,0)</f>
        <v>0</v>
      </c>
      <c r="BG384">
        <f>IF(AK384&lt;BC384,1,0)</f>
        <v>0</v>
      </c>
      <c r="BH384">
        <f>VLOOKUP($B384,[1]Data_Peer_with_peerVars!$B$2:$Z$1050,20,FALSE)</f>
        <v>10</v>
      </c>
      <c r="BI384">
        <f>VLOOKUP($B384,[1]Data_Peer_with_peerVars!$B$2:$Z$1050,21,FALSE)</f>
        <v>6</v>
      </c>
      <c r="BJ384">
        <f>VLOOKUP($B384,[1]Data_Peer_with_peerVars!$B$2:$Z$1050,22,FALSE)</f>
        <v>0.6</v>
      </c>
      <c r="BK384">
        <f>VLOOKUP($B384,[1]Data_Peer_with_peerVars!$B$2:$Z$1050,23,FALSE)</f>
        <v>17</v>
      </c>
      <c r="BL384">
        <f>VLOOKUP($B384,[1]Data_Peer_with_peerVars!$B$2:$Z$1050,24,FALSE)</f>
        <v>12</v>
      </c>
      <c r="BM384">
        <f>VLOOKUP($B384,[1]Data_Peer_with_peerVars!$B$2:$Z$1050,25,FALSE)</f>
        <v>0.70588235300000002</v>
      </c>
    </row>
    <row r="385" spans="1:65" x14ac:dyDescent="0.2">
      <c r="A385">
        <v>1</v>
      </c>
      <c r="B385" t="s">
        <v>645</v>
      </c>
      <c r="C385">
        <v>197</v>
      </c>
      <c r="D385" t="s">
        <v>68</v>
      </c>
      <c r="E385">
        <v>1</v>
      </c>
      <c r="F385">
        <v>530</v>
      </c>
      <c r="G385" t="s">
        <v>86</v>
      </c>
      <c r="H385" s="1">
        <v>7</v>
      </c>
      <c r="I385" t="s">
        <v>70</v>
      </c>
      <c r="J385" t="s">
        <v>301</v>
      </c>
      <c r="K385" t="s">
        <v>72</v>
      </c>
      <c r="L385">
        <v>1</v>
      </c>
      <c r="M385">
        <v>0</v>
      </c>
      <c r="N385">
        <v>1</v>
      </c>
      <c r="O385">
        <v>0</v>
      </c>
      <c r="P385">
        <v>0</v>
      </c>
      <c r="Q385">
        <v>16</v>
      </c>
      <c r="R385">
        <v>0</v>
      </c>
      <c r="S385">
        <v>0</v>
      </c>
      <c r="T385">
        <v>0</v>
      </c>
      <c r="U385">
        <v>0</v>
      </c>
      <c r="V385">
        <f t="shared" si="135"/>
        <v>1</v>
      </c>
      <c r="W385">
        <v>1</v>
      </c>
      <c r="X385">
        <v>1</v>
      </c>
      <c r="Y385">
        <v>1</v>
      </c>
      <c r="Z385" t="s">
        <v>76</v>
      </c>
      <c r="AA385" s="5" t="s">
        <v>76</v>
      </c>
      <c r="AB385" s="5" t="s">
        <v>76</v>
      </c>
      <c r="AC385" t="s">
        <v>76</v>
      </c>
      <c r="AD385" t="s">
        <v>74</v>
      </c>
      <c r="AE385" s="5" t="s">
        <v>74</v>
      </c>
      <c r="AF385" t="s">
        <v>75</v>
      </c>
      <c r="AG385" t="s">
        <v>84</v>
      </c>
      <c r="AH385">
        <f t="shared" si="162"/>
        <v>7.9781420000000006E-2</v>
      </c>
      <c r="AI385">
        <f t="shared" si="163"/>
        <v>7.9781420000000006E-2</v>
      </c>
      <c r="AJ385">
        <f t="shared" si="138"/>
        <v>7.9781420000000006E-2</v>
      </c>
      <c r="AK385">
        <v>7.9781420000000006E-2</v>
      </c>
      <c r="AL385">
        <v>8.3607459999999995E-2</v>
      </c>
      <c r="AM385">
        <v>0.11433260000000001</v>
      </c>
      <c r="AN385">
        <v>0.11909989</v>
      </c>
      <c r="AO385">
        <v>92.021857999999995</v>
      </c>
      <c r="AP385">
        <v>91.639253999999994</v>
      </c>
      <c r="AQ385">
        <v>88.566739999999996</v>
      </c>
      <c r="AR385">
        <v>88.090011000000004</v>
      </c>
      <c r="AS385" t="b">
        <v>1</v>
      </c>
      <c r="AT385" t="b">
        <v>0</v>
      </c>
      <c r="AU385" t="s">
        <v>77</v>
      </c>
      <c r="AV385" t="s">
        <v>77</v>
      </c>
      <c r="AW385" t="s">
        <v>79</v>
      </c>
      <c r="AX385" t="s">
        <v>80</v>
      </c>
      <c r="AY385" t="s">
        <v>607</v>
      </c>
      <c r="AZ385" t="s">
        <v>72</v>
      </c>
      <c r="BA385" t="s">
        <v>82</v>
      </c>
      <c r="BB385">
        <v>1</v>
      </c>
      <c r="BC385">
        <v>7.7070764999999999E-2</v>
      </c>
      <c r="BD385">
        <v>1.90190515067399E-3</v>
      </c>
      <c r="BE385">
        <v>7.8972670150673996E-2</v>
      </c>
      <c r="BF385">
        <f>IF(AK385&lt;BE385,1,0)</f>
        <v>0</v>
      </c>
      <c r="BG385">
        <f>IF(AK385&lt;BC385,1,0)</f>
        <v>0</v>
      </c>
      <c r="BH385">
        <f>VLOOKUP($B385,[1]Data_Peer_with_peerVars!$B$2:$Z$1050,20,FALSE)</f>
        <v>0</v>
      </c>
      <c r="BI385">
        <f>VLOOKUP($B385,[1]Data_Peer_with_peerVars!$B$2:$Z$1050,21,FALSE)</f>
        <v>0</v>
      </c>
      <c r="BJ385">
        <v>0</v>
      </c>
      <c r="BK385">
        <f>VLOOKUP($B385,[1]Data_Peer_with_peerVars!$B$2:$Z$1050,23,FALSE)</f>
        <v>25</v>
      </c>
      <c r="BL385">
        <f>VLOOKUP($B385,[1]Data_Peer_with_peerVars!$B$2:$Z$1050,24,FALSE)</f>
        <v>20</v>
      </c>
      <c r="BM385">
        <f>VLOOKUP($B385,[1]Data_Peer_with_peerVars!$B$2:$Z$1050,25,FALSE)</f>
        <v>0.8</v>
      </c>
    </row>
    <row r="386" spans="1:65" x14ac:dyDescent="0.2">
      <c r="A386">
        <v>1</v>
      </c>
      <c r="B386" t="s">
        <v>646</v>
      </c>
      <c r="C386">
        <v>198</v>
      </c>
      <c r="D386" t="s">
        <v>68</v>
      </c>
      <c r="E386">
        <v>1</v>
      </c>
      <c r="F386">
        <v>230</v>
      </c>
      <c r="G386" t="s">
        <v>86</v>
      </c>
      <c r="H386" s="1">
        <v>7</v>
      </c>
      <c r="M386">
        <v>1</v>
      </c>
      <c r="N386">
        <v>1</v>
      </c>
      <c r="R386">
        <v>0</v>
      </c>
      <c r="S386">
        <v>0</v>
      </c>
      <c r="T386">
        <v>0</v>
      </c>
      <c r="U386">
        <v>0</v>
      </c>
      <c r="V386">
        <f t="shared" si="135"/>
        <v>0</v>
      </c>
      <c r="W386">
        <f t="shared" si="136"/>
        <v>0</v>
      </c>
      <c r="X386">
        <f t="shared" si="139"/>
        <v>0</v>
      </c>
      <c r="Y386">
        <f t="shared" si="137"/>
        <v>0</v>
      </c>
      <c r="Z386" t="s">
        <v>73</v>
      </c>
      <c r="AA386" s="5" t="s">
        <v>73</v>
      </c>
      <c r="AB386" s="5" t="s">
        <v>73</v>
      </c>
      <c r="AC386" t="s">
        <v>94</v>
      </c>
      <c r="AD386" t="s">
        <v>75</v>
      </c>
      <c r="AE386" s="5" t="s">
        <v>75</v>
      </c>
      <c r="AF386" t="s">
        <v>120</v>
      </c>
      <c r="AG386" t="s">
        <v>74</v>
      </c>
      <c r="AH386">
        <f t="shared" ref="AH386:AH387" si="164">AI386</f>
        <v>0.10415528</v>
      </c>
      <c r="AI386">
        <f t="shared" ref="AI386:AI387" si="165">AJ386</f>
        <v>0.10415528</v>
      </c>
      <c r="AJ386">
        <f t="shared" si="138"/>
        <v>0.10415528</v>
      </c>
      <c r="AK386">
        <v>0.10415528</v>
      </c>
      <c r="AL386">
        <v>0.116502196</v>
      </c>
      <c r="AM386">
        <v>0.1302682</v>
      </c>
      <c r="AN386">
        <v>0.13282108000000001</v>
      </c>
      <c r="AO386">
        <v>89.584472000000005</v>
      </c>
      <c r="AP386">
        <v>88.3497804</v>
      </c>
      <c r="AQ386">
        <v>86.973179999999999</v>
      </c>
      <c r="AR386">
        <v>86.717892000000006</v>
      </c>
      <c r="AS386" t="b">
        <v>0</v>
      </c>
      <c r="AT386" t="b">
        <v>0</v>
      </c>
      <c r="AU386" t="s">
        <v>78</v>
      </c>
      <c r="AV386" t="s">
        <v>78</v>
      </c>
      <c r="AW386" t="s">
        <v>79</v>
      </c>
      <c r="AX386" t="s">
        <v>80</v>
      </c>
      <c r="AY386" t="s">
        <v>647</v>
      </c>
      <c r="AZ386" t="s">
        <v>72</v>
      </c>
      <c r="BA386" t="s">
        <v>82</v>
      </c>
      <c r="BB386">
        <v>1.5</v>
      </c>
      <c r="BC386">
        <v>1.6447369E-2</v>
      </c>
      <c r="BD386">
        <v>4.2236161269162102E-4</v>
      </c>
      <c r="BE386">
        <v>1.6869730612691598E-2</v>
      </c>
      <c r="BF386">
        <f>IF(AK386&lt;BE386,1,0)</f>
        <v>0</v>
      </c>
      <c r="BG386">
        <f>IF(AK386&lt;BC386,1,0)</f>
        <v>0</v>
      </c>
    </row>
    <row r="387" spans="1:65" x14ac:dyDescent="0.2">
      <c r="A387">
        <v>1</v>
      </c>
      <c r="B387" t="s">
        <v>648</v>
      </c>
      <c r="C387">
        <v>198</v>
      </c>
      <c r="D387" t="s">
        <v>68</v>
      </c>
      <c r="E387">
        <v>1</v>
      </c>
      <c r="F387">
        <v>230</v>
      </c>
      <c r="G387" t="s">
        <v>86</v>
      </c>
      <c r="H387" s="1">
        <v>7</v>
      </c>
      <c r="M387">
        <v>1</v>
      </c>
      <c r="N387">
        <v>1</v>
      </c>
      <c r="R387">
        <v>0</v>
      </c>
      <c r="S387">
        <v>0</v>
      </c>
      <c r="T387">
        <v>0</v>
      </c>
      <c r="U387">
        <v>0</v>
      </c>
      <c r="V387">
        <f t="shared" ref="V387:V450" si="166">IF(Z387=AC387,1,0)</f>
        <v>0</v>
      </c>
      <c r="W387">
        <f t="shared" ref="W387:W450" si="167">IF(Z387=AD387,1,0)</f>
        <v>0</v>
      </c>
      <c r="X387">
        <f t="shared" si="139"/>
        <v>0</v>
      </c>
      <c r="Y387">
        <f t="shared" ref="Y387:Y448" si="168">IF(Z387=AG387,1,0)</f>
        <v>0</v>
      </c>
      <c r="Z387" t="s">
        <v>89</v>
      </c>
      <c r="AA387" s="5" t="s">
        <v>82</v>
      </c>
      <c r="AB387" s="5" t="s">
        <v>82</v>
      </c>
      <c r="AC387" t="s">
        <v>76</v>
      </c>
      <c r="AD387" t="s">
        <v>74</v>
      </c>
      <c r="AE387" s="5" t="s">
        <v>74</v>
      </c>
      <c r="AF387" t="s">
        <v>75</v>
      </c>
      <c r="AG387" t="s">
        <v>120</v>
      </c>
      <c r="AH387">
        <f t="shared" si="164"/>
        <v>7.6187879999999999E-2</v>
      </c>
      <c r="AI387">
        <f t="shared" si="165"/>
        <v>7.6187879999999999E-2</v>
      </c>
      <c r="AJ387">
        <f t="shared" ref="AJ387:AJ449" si="169">AK387</f>
        <v>7.6187879999999999E-2</v>
      </c>
      <c r="AK387">
        <v>7.6187879999999999E-2</v>
      </c>
      <c r="AL387">
        <v>9.9726029999999993E-2</v>
      </c>
      <c r="AM387">
        <v>0.12527352999999999</v>
      </c>
      <c r="AN387">
        <v>0.12561442</v>
      </c>
      <c r="AO387">
        <v>92.381212000000005</v>
      </c>
      <c r="AP387">
        <v>90.027396999999993</v>
      </c>
      <c r="AQ387">
        <v>87.472646999999995</v>
      </c>
      <c r="AR387">
        <v>87.438558</v>
      </c>
      <c r="AS387" t="b">
        <v>0</v>
      </c>
      <c r="AT387" t="b">
        <v>0</v>
      </c>
      <c r="AU387" t="s">
        <v>108</v>
      </c>
      <c r="AV387" t="s">
        <v>108</v>
      </c>
      <c r="AW387" t="s">
        <v>79</v>
      </c>
      <c r="AX387" t="s">
        <v>80</v>
      </c>
      <c r="AY387" t="s">
        <v>647</v>
      </c>
      <c r="AZ387" t="s">
        <v>82</v>
      </c>
      <c r="BA387" t="s">
        <v>82</v>
      </c>
      <c r="BB387" t="s">
        <v>82</v>
      </c>
      <c r="BC387">
        <v>7.7070764999999999E-2</v>
      </c>
      <c r="BD387">
        <v>1.90190515067399E-3</v>
      </c>
      <c r="BE387">
        <v>7.8972670150673996E-2</v>
      </c>
      <c r="BF387">
        <f>IF(AK387&lt;BE387,1,0)</f>
        <v>1</v>
      </c>
      <c r="BG387">
        <f>IF(AK387&lt;BC387,1,0)</f>
        <v>1</v>
      </c>
    </row>
    <row r="388" spans="1:65" x14ac:dyDescent="0.2">
      <c r="A388">
        <v>1</v>
      </c>
      <c r="B388" t="s">
        <v>649</v>
      </c>
      <c r="C388">
        <v>199</v>
      </c>
      <c r="D388" t="s">
        <v>68</v>
      </c>
      <c r="E388">
        <v>0</v>
      </c>
      <c r="F388">
        <v>236</v>
      </c>
      <c r="G388" t="s">
        <v>97</v>
      </c>
      <c r="H388" s="1">
        <v>7</v>
      </c>
      <c r="M388">
        <v>1</v>
      </c>
      <c r="N388">
        <v>0</v>
      </c>
      <c r="R388">
        <v>0</v>
      </c>
      <c r="S388">
        <v>0</v>
      </c>
      <c r="T388">
        <v>1</v>
      </c>
      <c r="U388">
        <v>1</v>
      </c>
      <c r="V388">
        <f t="shared" si="166"/>
        <v>1</v>
      </c>
      <c r="W388">
        <v>1</v>
      </c>
      <c r="X388">
        <v>1</v>
      </c>
      <c r="Y388">
        <v>1</v>
      </c>
      <c r="Z388" t="s">
        <v>94</v>
      </c>
      <c r="AA388" s="5" t="s">
        <v>94</v>
      </c>
      <c r="AB388" s="5" t="s">
        <v>94</v>
      </c>
      <c r="AC388" t="s">
        <v>94</v>
      </c>
      <c r="AD388" t="s">
        <v>95</v>
      </c>
      <c r="AE388" s="5" t="s">
        <v>95</v>
      </c>
      <c r="AF388" t="s">
        <v>107</v>
      </c>
      <c r="AG388" t="s">
        <v>173</v>
      </c>
      <c r="AH388">
        <f>AI388</f>
        <v>8.2423579999999996E-2</v>
      </c>
      <c r="AI388">
        <f>AJ388</f>
        <v>8.2423579999999996E-2</v>
      </c>
      <c r="AJ388">
        <f t="shared" si="169"/>
        <v>8.2423579999999996E-2</v>
      </c>
      <c r="AK388">
        <v>8.2423579999999996E-2</v>
      </c>
      <c r="AL388">
        <v>0.101912566</v>
      </c>
      <c r="AM388">
        <v>0.11610076599999999</v>
      </c>
      <c r="AN388">
        <v>0.122204036</v>
      </c>
      <c r="AO388">
        <v>91.757642000000004</v>
      </c>
      <c r="AP388">
        <v>89.808743399999997</v>
      </c>
      <c r="AQ388">
        <v>88.389923400000001</v>
      </c>
      <c r="AR388">
        <v>87.779596400000003</v>
      </c>
      <c r="AS388" t="b">
        <v>1</v>
      </c>
      <c r="AT388" t="b">
        <v>0</v>
      </c>
      <c r="AU388" t="s">
        <v>77</v>
      </c>
      <c r="AV388" t="s">
        <v>78</v>
      </c>
      <c r="AW388" t="s">
        <v>79</v>
      </c>
      <c r="AX388" t="s">
        <v>80</v>
      </c>
      <c r="AY388" t="s">
        <v>647</v>
      </c>
      <c r="AZ388" t="s">
        <v>109</v>
      </c>
      <c r="BA388" t="s">
        <v>82</v>
      </c>
      <c r="BB388">
        <v>0.35</v>
      </c>
      <c r="BC388">
        <v>1.6447369E-2</v>
      </c>
      <c r="BD388">
        <v>4.2236161269162102E-4</v>
      </c>
      <c r="BE388">
        <v>1.6869730612691598E-2</v>
      </c>
      <c r="BF388">
        <f>IF(AK388&lt;BE388,1,0)</f>
        <v>0</v>
      </c>
      <c r="BG388">
        <f>IF(AK388&lt;BC388,1,0)</f>
        <v>0</v>
      </c>
    </row>
    <row r="389" spans="1:65" x14ac:dyDescent="0.2">
      <c r="A389">
        <v>1</v>
      </c>
      <c r="B389" t="s">
        <v>650</v>
      </c>
      <c r="C389">
        <v>199</v>
      </c>
      <c r="D389" t="s">
        <v>68</v>
      </c>
      <c r="E389">
        <v>0</v>
      </c>
      <c r="F389">
        <v>236</v>
      </c>
      <c r="G389" t="s">
        <v>97</v>
      </c>
      <c r="H389" s="1">
        <v>7</v>
      </c>
      <c r="M389">
        <v>1</v>
      </c>
      <c r="N389">
        <v>0</v>
      </c>
      <c r="R389">
        <v>0</v>
      </c>
      <c r="S389">
        <v>0</v>
      </c>
      <c r="T389">
        <v>0</v>
      </c>
      <c r="U389">
        <v>0</v>
      </c>
      <c r="V389">
        <f t="shared" si="166"/>
        <v>0</v>
      </c>
      <c r="W389">
        <f t="shared" si="167"/>
        <v>0</v>
      </c>
      <c r="X389">
        <f t="shared" ref="X389:X448" si="170">IF(Z389=AF389,1,0)</f>
        <v>0</v>
      </c>
      <c r="Y389">
        <f t="shared" si="168"/>
        <v>0</v>
      </c>
      <c r="Z389" t="s">
        <v>89</v>
      </c>
      <c r="AA389" s="5" t="s">
        <v>82</v>
      </c>
      <c r="AB389" s="5" t="s">
        <v>82</v>
      </c>
      <c r="AC389" t="s">
        <v>74</v>
      </c>
      <c r="AD389" t="s">
        <v>76</v>
      </c>
      <c r="AE389" s="5" t="s">
        <v>76</v>
      </c>
      <c r="AF389" t="s">
        <v>75</v>
      </c>
      <c r="AG389" t="s">
        <v>120</v>
      </c>
      <c r="AH389">
        <f>AI389</f>
        <v>4.1095890000000003E-2</v>
      </c>
      <c r="AI389">
        <f>AJ389</f>
        <v>4.1095890000000003E-2</v>
      </c>
      <c r="AJ389">
        <f t="shared" si="169"/>
        <v>4.1095890000000003E-2</v>
      </c>
      <c r="AK389">
        <v>4.1095890000000003E-2</v>
      </c>
      <c r="AL389">
        <v>8.6837789999999998E-2</v>
      </c>
      <c r="AM389">
        <v>9.7100649999999997E-2</v>
      </c>
      <c r="AN389">
        <v>0.10294921</v>
      </c>
      <c r="AO389">
        <v>95.890411</v>
      </c>
      <c r="AP389">
        <v>91.316220999999999</v>
      </c>
      <c r="AQ389">
        <v>90.289935</v>
      </c>
      <c r="AR389">
        <v>89.705078999999998</v>
      </c>
      <c r="AS389" t="b">
        <v>0</v>
      </c>
      <c r="AT389" t="b">
        <v>0</v>
      </c>
      <c r="AU389" t="s">
        <v>108</v>
      </c>
      <c r="AV389" t="s">
        <v>108</v>
      </c>
      <c r="AW389" t="s">
        <v>79</v>
      </c>
      <c r="AX389" t="s">
        <v>80</v>
      </c>
      <c r="AY389" t="s">
        <v>647</v>
      </c>
      <c r="AZ389" t="s">
        <v>82</v>
      </c>
      <c r="BA389" t="s">
        <v>82</v>
      </c>
      <c r="BB389" t="s">
        <v>82</v>
      </c>
      <c r="BC389">
        <v>2.4738868000000001E-3</v>
      </c>
      <c r="BD389">
        <v>1.4256942275279999E-4</v>
      </c>
      <c r="BE389">
        <v>2.6164562227527998E-3</v>
      </c>
      <c r="BF389">
        <f>IF(AK389&lt;BE389,1,0)</f>
        <v>0</v>
      </c>
      <c r="BG389">
        <f>IF(AK389&lt;BC389,1,0)</f>
        <v>0</v>
      </c>
    </row>
    <row r="390" spans="1:65" x14ac:dyDescent="0.2">
      <c r="A390">
        <v>1</v>
      </c>
      <c r="B390" t="s">
        <v>651</v>
      </c>
      <c r="C390">
        <v>200</v>
      </c>
      <c r="D390" t="s">
        <v>68</v>
      </c>
      <c r="E390">
        <v>0</v>
      </c>
      <c r="F390">
        <v>238</v>
      </c>
      <c r="G390" t="s">
        <v>97</v>
      </c>
      <c r="H390" s="1">
        <v>6</v>
      </c>
      <c r="I390" t="s">
        <v>87</v>
      </c>
      <c r="J390" t="s">
        <v>111</v>
      </c>
      <c r="K390" t="s">
        <v>109</v>
      </c>
      <c r="L390">
        <v>1</v>
      </c>
      <c r="M390">
        <v>0</v>
      </c>
      <c r="N390">
        <v>0</v>
      </c>
      <c r="O390">
        <v>0</v>
      </c>
      <c r="P390">
        <v>0</v>
      </c>
      <c r="Q390">
        <v>6</v>
      </c>
      <c r="R390">
        <v>0</v>
      </c>
      <c r="S390">
        <v>0</v>
      </c>
      <c r="T390">
        <v>0</v>
      </c>
      <c r="U390">
        <v>0</v>
      </c>
      <c r="V390">
        <f t="shared" si="166"/>
        <v>1</v>
      </c>
      <c r="W390">
        <v>1</v>
      </c>
      <c r="X390">
        <v>1</v>
      </c>
      <c r="Y390">
        <v>1</v>
      </c>
      <c r="Z390" t="s">
        <v>73</v>
      </c>
      <c r="AA390" s="5" t="s">
        <v>73</v>
      </c>
      <c r="AB390" s="5" t="s">
        <v>73</v>
      </c>
      <c r="AC390" t="s">
        <v>73</v>
      </c>
      <c r="AD390" t="s">
        <v>94</v>
      </c>
      <c r="AE390" s="5" t="s">
        <v>94</v>
      </c>
      <c r="AF390" t="s">
        <v>75</v>
      </c>
      <c r="AG390" t="s">
        <v>95</v>
      </c>
      <c r="AH390">
        <f t="shared" ref="AH390:AH391" si="171">AI390</f>
        <v>4.7437294999999997E-2</v>
      </c>
      <c r="AI390">
        <f t="shared" ref="AI390:AI391" si="172">AJ390</f>
        <v>4.7437294999999997E-2</v>
      </c>
      <c r="AJ390">
        <f t="shared" si="169"/>
        <v>4.7437294999999997E-2</v>
      </c>
      <c r="AK390">
        <v>4.7437294999999997E-2</v>
      </c>
      <c r="AL390">
        <v>0.1182414</v>
      </c>
      <c r="AM390">
        <v>0.13245757999999999</v>
      </c>
      <c r="AN390">
        <v>0.1429743</v>
      </c>
      <c r="AO390">
        <v>95.256270499999999</v>
      </c>
      <c r="AP390">
        <v>88.17586</v>
      </c>
      <c r="AQ390">
        <v>86.754242000000005</v>
      </c>
      <c r="AR390">
        <v>85.702569999999994</v>
      </c>
      <c r="AS390" t="b">
        <v>1</v>
      </c>
      <c r="AT390" t="b">
        <v>0</v>
      </c>
      <c r="AU390" t="s">
        <v>77</v>
      </c>
      <c r="AV390" t="s">
        <v>78</v>
      </c>
      <c r="AW390" t="s">
        <v>79</v>
      </c>
      <c r="AX390" t="s">
        <v>80</v>
      </c>
      <c r="AY390" t="s">
        <v>647</v>
      </c>
      <c r="AZ390" t="s">
        <v>109</v>
      </c>
      <c r="BA390">
        <v>2</v>
      </c>
      <c r="BB390">
        <v>0.35</v>
      </c>
      <c r="BC390">
        <v>4.1163553999999996E-3</v>
      </c>
      <c r="BD390">
        <v>1.4279989108178799E-4</v>
      </c>
      <c r="BE390">
        <v>4.2591552910817903E-3</v>
      </c>
      <c r="BF390">
        <f>IF(AK390&lt;BE390,1,0)</f>
        <v>0</v>
      </c>
      <c r="BG390">
        <f>IF(AK390&lt;BC390,1,0)</f>
        <v>0</v>
      </c>
      <c r="BH390">
        <f>VLOOKUP($B390,[1]Data_Peer_with_peerVars!$B$2:$Z$1050,20,FALSE)</f>
        <v>0</v>
      </c>
      <c r="BI390">
        <f>VLOOKUP($B390,[1]Data_Peer_with_peerVars!$B$2:$Z$1050,21,FALSE)</f>
        <v>0</v>
      </c>
      <c r="BJ390">
        <v>0</v>
      </c>
      <c r="BK390">
        <f>VLOOKUP($B390,[1]Data_Peer_with_peerVars!$B$2:$Z$1050,23,FALSE)</f>
        <v>13</v>
      </c>
      <c r="BL390">
        <f>VLOOKUP($B390,[1]Data_Peer_with_peerVars!$B$2:$Z$1050,24,FALSE)</f>
        <v>10</v>
      </c>
      <c r="BM390">
        <f>VLOOKUP($B390,[1]Data_Peer_with_peerVars!$B$2:$Z$1050,25,FALSE)</f>
        <v>0.76923076899999998</v>
      </c>
    </row>
    <row r="391" spans="1:65" x14ac:dyDescent="0.2">
      <c r="A391">
        <v>1</v>
      </c>
      <c r="B391" t="s">
        <v>652</v>
      </c>
      <c r="C391">
        <v>201</v>
      </c>
      <c r="D391" t="s">
        <v>68</v>
      </c>
      <c r="E391">
        <v>0</v>
      </c>
      <c r="F391">
        <v>203</v>
      </c>
      <c r="G391" t="s">
        <v>97</v>
      </c>
      <c r="H391" s="1">
        <v>7</v>
      </c>
      <c r="I391" t="s">
        <v>70</v>
      </c>
      <c r="J391" t="s">
        <v>71</v>
      </c>
      <c r="K391" t="s">
        <v>72</v>
      </c>
      <c r="L391">
        <v>1</v>
      </c>
      <c r="M391">
        <v>0</v>
      </c>
      <c r="N391">
        <v>1</v>
      </c>
      <c r="O391">
        <v>1</v>
      </c>
      <c r="P391">
        <v>0</v>
      </c>
      <c r="Q391">
        <v>6</v>
      </c>
      <c r="R391">
        <v>0</v>
      </c>
      <c r="S391">
        <v>0</v>
      </c>
      <c r="T391">
        <v>0</v>
      </c>
      <c r="U391">
        <v>0</v>
      </c>
      <c r="V391">
        <f t="shared" si="166"/>
        <v>1</v>
      </c>
      <c r="W391">
        <v>1</v>
      </c>
      <c r="X391">
        <v>1</v>
      </c>
      <c r="Y391">
        <v>1</v>
      </c>
      <c r="Z391" t="s">
        <v>76</v>
      </c>
      <c r="AA391" s="5" t="s">
        <v>76</v>
      </c>
      <c r="AB391" s="5" t="s">
        <v>76</v>
      </c>
      <c r="AC391" t="s">
        <v>76</v>
      </c>
      <c r="AD391" t="s">
        <v>74</v>
      </c>
      <c r="AE391" s="5" t="s">
        <v>74</v>
      </c>
      <c r="AF391" t="s">
        <v>120</v>
      </c>
      <c r="AG391" t="s">
        <v>75</v>
      </c>
      <c r="AH391">
        <f t="shared" si="171"/>
        <v>8.1103220000000004E-2</v>
      </c>
      <c r="AI391">
        <f t="shared" si="172"/>
        <v>8.1103220000000004E-2</v>
      </c>
      <c r="AJ391">
        <f t="shared" si="169"/>
        <v>8.1103220000000004E-2</v>
      </c>
      <c r="AK391">
        <v>8.1103220000000004E-2</v>
      </c>
      <c r="AL391">
        <v>8.7945209999999996E-2</v>
      </c>
      <c r="AM391">
        <v>0.11960677</v>
      </c>
      <c r="AN391">
        <v>0.12062363</v>
      </c>
      <c r="AO391">
        <v>91.889678000000004</v>
      </c>
      <c r="AP391">
        <v>91.205478999999997</v>
      </c>
      <c r="AQ391">
        <v>88.039322999999996</v>
      </c>
      <c r="AR391">
        <v>87.937636999999995</v>
      </c>
      <c r="AS391" t="b">
        <v>1</v>
      </c>
      <c r="AT391" t="b">
        <v>0</v>
      </c>
      <c r="AU391" t="s">
        <v>77</v>
      </c>
      <c r="AV391" t="s">
        <v>77</v>
      </c>
      <c r="AW391" t="s">
        <v>79</v>
      </c>
      <c r="AX391" t="s">
        <v>80</v>
      </c>
      <c r="AY391" t="s">
        <v>653</v>
      </c>
      <c r="AZ391" t="s">
        <v>72</v>
      </c>
      <c r="BA391" t="s">
        <v>82</v>
      </c>
      <c r="BB391">
        <v>1</v>
      </c>
      <c r="BC391">
        <v>7.7070764999999999E-2</v>
      </c>
      <c r="BD391">
        <v>1.90190515067399E-3</v>
      </c>
      <c r="BE391">
        <v>7.8972670150673996E-2</v>
      </c>
      <c r="BF391">
        <f>IF(AK391&lt;BE391,1,0)</f>
        <v>0</v>
      </c>
      <c r="BG391">
        <f>IF(AK391&lt;BC391,1,0)</f>
        <v>0</v>
      </c>
      <c r="BH391">
        <f>VLOOKUP($B391,[1]Data_Peer_with_peerVars!$B$2:$Z$1050,20,FALSE)</f>
        <v>0</v>
      </c>
      <c r="BI391">
        <f>VLOOKUP($B391,[1]Data_Peer_with_peerVars!$B$2:$Z$1050,21,FALSE)</f>
        <v>0</v>
      </c>
      <c r="BJ391">
        <v>0</v>
      </c>
      <c r="BK391">
        <f>VLOOKUP($B391,[1]Data_Peer_with_peerVars!$B$2:$Z$1050,23,FALSE)</f>
        <v>7</v>
      </c>
      <c r="BL391">
        <f>VLOOKUP($B391,[1]Data_Peer_with_peerVars!$B$2:$Z$1050,24,FALSE)</f>
        <v>7</v>
      </c>
      <c r="BM391">
        <f>VLOOKUP($B391,[1]Data_Peer_with_peerVars!$B$2:$Z$1050,25,FALSE)</f>
        <v>1</v>
      </c>
    </row>
    <row r="392" spans="1:65" x14ac:dyDescent="0.2">
      <c r="A392">
        <v>1</v>
      </c>
      <c r="B392" t="s">
        <v>654</v>
      </c>
      <c r="C392">
        <v>202</v>
      </c>
      <c r="D392" t="s">
        <v>68</v>
      </c>
      <c r="E392">
        <v>1</v>
      </c>
      <c r="F392">
        <v>216</v>
      </c>
      <c r="G392" t="s">
        <v>69</v>
      </c>
      <c r="H392" s="1">
        <v>7</v>
      </c>
      <c r="I392" t="s">
        <v>87</v>
      </c>
      <c r="J392" t="s">
        <v>88</v>
      </c>
      <c r="K392" t="s">
        <v>72</v>
      </c>
      <c r="L392">
        <v>1</v>
      </c>
      <c r="M392">
        <v>0</v>
      </c>
      <c r="N392">
        <v>1</v>
      </c>
      <c r="O392">
        <v>1</v>
      </c>
      <c r="P392">
        <v>0</v>
      </c>
      <c r="Q392">
        <v>6</v>
      </c>
      <c r="R392">
        <v>0</v>
      </c>
      <c r="S392">
        <v>0</v>
      </c>
      <c r="T392">
        <v>0</v>
      </c>
      <c r="U392">
        <v>0</v>
      </c>
      <c r="V392">
        <f t="shared" si="166"/>
        <v>0</v>
      </c>
      <c r="W392">
        <f t="shared" si="167"/>
        <v>0</v>
      </c>
      <c r="X392">
        <f t="shared" si="170"/>
        <v>0</v>
      </c>
      <c r="Y392">
        <f t="shared" si="168"/>
        <v>0</v>
      </c>
      <c r="Z392" t="s">
        <v>89</v>
      </c>
      <c r="AA392" s="5" t="s">
        <v>89</v>
      </c>
      <c r="AB392" s="5" t="s">
        <v>577</v>
      </c>
      <c r="AC392" t="s">
        <v>101</v>
      </c>
      <c r="AD392" t="s">
        <v>74</v>
      </c>
      <c r="AE392" s="5" t="s">
        <v>74</v>
      </c>
      <c r="AF392" t="s">
        <v>99</v>
      </c>
      <c r="AG392" t="s">
        <v>102</v>
      </c>
      <c r="AH392">
        <f>AI392</f>
        <v>0.119989015</v>
      </c>
      <c r="AI392">
        <f>AJ392</f>
        <v>0.119989015</v>
      </c>
      <c r="AJ392">
        <f t="shared" si="169"/>
        <v>0.119989015</v>
      </c>
      <c r="AK392">
        <v>0.119989015</v>
      </c>
      <c r="AL392">
        <v>0.120746434</v>
      </c>
      <c r="AM392">
        <v>0.123484015</v>
      </c>
      <c r="AN392">
        <v>0.12916440000000001</v>
      </c>
      <c r="AO392">
        <v>88.001098499999998</v>
      </c>
      <c r="AP392">
        <v>87.925356600000001</v>
      </c>
      <c r="AQ392">
        <v>87.651598500000006</v>
      </c>
      <c r="AR392">
        <v>87.083560000000006</v>
      </c>
      <c r="AS392" t="b">
        <v>0</v>
      </c>
      <c r="AT392" t="b">
        <v>0</v>
      </c>
      <c r="AU392" t="s">
        <v>92</v>
      </c>
      <c r="AV392" t="s">
        <v>92</v>
      </c>
      <c r="AW392" t="s">
        <v>79</v>
      </c>
      <c r="AX392" t="s">
        <v>80</v>
      </c>
      <c r="AY392" t="s">
        <v>655</v>
      </c>
      <c r="AZ392" t="s">
        <v>72</v>
      </c>
      <c r="BA392" t="s">
        <v>82</v>
      </c>
      <c r="BB392">
        <v>0.35</v>
      </c>
      <c r="BC392">
        <v>1.4096186E-2</v>
      </c>
      <c r="BD392">
        <v>1.55088650053763E-3</v>
      </c>
      <c r="BE392">
        <v>1.5647072500537599E-2</v>
      </c>
      <c r="BF392">
        <f>IF(AK392&lt;BE392,1,0)</f>
        <v>0</v>
      </c>
      <c r="BG392">
        <f>IF(AK392&lt;BC392,1,0)</f>
        <v>0</v>
      </c>
      <c r="BH392">
        <f>VLOOKUP($B392,[1]Data_Peer_with_peerVars!$B$2:$Z$1050,20,FALSE)</f>
        <v>3</v>
      </c>
      <c r="BI392">
        <f>VLOOKUP($B392,[1]Data_Peer_with_peerVars!$B$2:$Z$1050,21,FALSE)</f>
        <v>1</v>
      </c>
      <c r="BJ392">
        <f>VLOOKUP($B392,[1]Data_Peer_with_peerVars!$B$2:$Z$1050,22,FALSE)</f>
        <v>0.33333333300000001</v>
      </c>
      <c r="BK392">
        <f>VLOOKUP($B392,[1]Data_Peer_with_peerVars!$B$2:$Z$1050,23,FALSE)</f>
        <v>36</v>
      </c>
      <c r="BL392">
        <f>VLOOKUP($B392,[1]Data_Peer_with_peerVars!$B$2:$Z$1050,24,FALSE)</f>
        <v>22</v>
      </c>
      <c r="BM392">
        <f>VLOOKUP($B392,[1]Data_Peer_with_peerVars!$B$2:$Z$1050,25,FALSE)</f>
        <v>0.61111111100000004</v>
      </c>
    </row>
    <row r="393" spans="1:65" x14ac:dyDescent="0.2">
      <c r="A393">
        <v>1</v>
      </c>
      <c r="B393" t="s">
        <v>656</v>
      </c>
      <c r="C393">
        <v>204</v>
      </c>
      <c r="D393" t="s">
        <v>68</v>
      </c>
      <c r="E393">
        <v>1</v>
      </c>
      <c r="F393">
        <v>223</v>
      </c>
      <c r="G393" t="s">
        <v>69</v>
      </c>
      <c r="H393" s="1">
        <v>7</v>
      </c>
      <c r="I393" t="s">
        <v>87</v>
      </c>
      <c r="J393" t="s">
        <v>88</v>
      </c>
      <c r="K393" t="s">
        <v>72</v>
      </c>
      <c r="L393">
        <v>1</v>
      </c>
      <c r="M393">
        <v>0</v>
      </c>
      <c r="N393">
        <v>0</v>
      </c>
      <c r="O393">
        <v>0</v>
      </c>
      <c r="P393">
        <v>0</v>
      </c>
      <c r="Q393">
        <v>6</v>
      </c>
      <c r="R393">
        <v>0</v>
      </c>
      <c r="S393">
        <v>0</v>
      </c>
      <c r="T393">
        <v>1</v>
      </c>
      <c r="U393">
        <v>1</v>
      </c>
      <c r="V393">
        <f t="shared" si="166"/>
        <v>1</v>
      </c>
      <c r="W393">
        <v>1</v>
      </c>
      <c r="X393">
        <v>1</v>
      </c>
      <c r="Y393">
        <v>1</v>
      </c>
      <c r="Z393" t="s">
        <v>73</v>
      </c>
      <c r="AA393" s="5" t="s">
        <v>73</v>
      </c>
      <c r="AB393" s="5" t="s">
        <v>73</v>
      </c>
      <c r="AC393" t="s">
        <v>73</v>
      </c>
      <c r="AD393" t="s">
        <v>94</v>
      </c>
      <c r="AE393" s="5" t="s">
        <v>106</v>
      </c>
      <c r="AF393" t="s">
        <v>107</v>
      </c>
      <c r="AG393" t="s">
        <v>95</v>
      </c>
      <c r="AH393">
        <f>AI393</f>
        <v>3.8230475000000002E-3</v>
      </c>
      <c r="AI393">
        <f>AJ393</f>
        <v>3.8230475000000002E-3</v>
      </c>
      <c r="AJ393">
        <f t="shared" si="169"/>
        <v>3.8230475000000002E-3</v>
      </c>
      <c r="AK393">
        <v>3.8230475000000002E-3</v>
      </c>
      <c r="AL393">
        <v>0.13136289000000001</v>
      </c>
      <c r="AM393">
        <v>0.13618891</v>
      </c>
      <c r="AN393">
        <v>0.13890411</v>
      </c>
      <c r="AO393">
        <v>99.617695249999997</v>
      </c>
      <c r="AP393">
        <v>86.863710999999995</v>
      </c>
      <c r="AQ393">
        <v>86.381108999999995</v>
      </c>
      <c r="AR393">
        <v>86.109589</v>
      </c>
      <c r="AS393" t="b">
        <v>1</v>
      </c>
      <c r="AT393" t="b">
        <v>0</v>
      </c>
      <c r="AU393" t="s">
        <v>77</v>
      </c>
      <c r="AV393" t="s">
        <v>108</v>
      </c>
      <c r="AW393" t="s">
        <v>79</v>
      </c>
      <c r="AX393" t="s">
        <v>80</v>
      </c>
      <c r="AY393" t="s">
        <v>655</v>
      </c>
      <c r="AZ393" t="s">
        <v>72</v>
      </c>
      <c r="BA393" t="s">
        <v>82</v>
      </c>
      <c r="BB393">
        <v>0.35</v>
      </c>
      <c r="BC393">
        <v>4.1163553999999996E-3</v>
      </c>
      <c r="BD393">
        <v>1.4279989108178799E-4</v>
      </c>
      <c r="BE393">
        <v>4.2591552910817903E-3</v>
      </c>
      <c r="BF393">
        <f>IF(AK393&lt;BE393,1,0)</f>
        <v>1</v>
      </c>
      <c r="BG393">
        <f>IF(AK393&lt;BC393,1,0)</f>
        <v>1</v>
      </c>
      <c r="BH393">
        <f>VLOOKUP($B393,[1]Data_Peer_with_peerVars!$B$2:$Z$1050,20,FALSE)</f>
        <v>3</v>
      </c>
      <c r="BI393">
        <f>VLOOKUP($B393,[1]Data_Peer_with_peerVars!$B$2:$Z$1050,21,FALSE)</f>
        <v>0</v>
      </c>
      <c r="BJ393">
        <f>VLOOKUP($B393,[1]Data_Peer_with_peerVars!$B$2:$Z$1050,22,FALSE)</f>
        <v>0</v>
      </c>
      <c r="BK393">
        <f>VLOOKUP($B393,[1]Data_Peer_with_peerVars!$B$2:$Z$1050,23,FALSE)</f>
        <v>40</v>
      </c>
      <c r="BL393">
        <f>VLOOKUP($B393,[1]Data_Peer_with_peerVars!$B$2:$Z$1050,24,FALSE)</f>
        <v>23</v>
      </c>
      <c r="BM393">
        <f>VLOOKUP($B393,[1]Data_Peer_with_peerVars!$B$2:$Z$1050,25,FALSE)</f>
        <v>0.57499999999999996</v>
      </c>
    </row>
    <row r="394" spans="1:65" x14ac:dyDescent="0.2">
      <c r="A394">
        <v>1</v>
      </c>
      <c r="B394" t="s">
        <v>657</v>
      </c>
      <c r="C394">
        <v>205</v>
      </c>
      <c r="D394" t="s">
        <v>68</v>
      </c>
      <c r="E394">
        <v>1</v>
      </c>
      <c r="F394">
        <v>242</v>
      </c>
      <c r="G394" t="s">
        <v>86</v>
      </c>
      <c r="H394" s="1">
        <v>6</v>
      </c>
      <c r="I394" t="s">
        <v>87</v>
      </c>
      <c r="J394" t="s">
        <v>88</v>
      </c>
      <c r="K394" t="s">
        <v>72</v>
      </c>
      <c r="L394">
        <v>1</v>
      </c>
      <c r="M394">
        <v>0</v>
      </c>
      <c r="N394">
        <v>0</v>
      </c>
      <c r="O394">
        <v>0</v>
      </c>
      <c r="P394">
        <v>0</v>
      </c>
      <c r="Q394">
        <v>0</v>
      </c>
      <c r="R394">
        <v>0</v>
      </c>
      <c r="S394">
        <v>0</v>
      </c>
      <c r="T394">
        <v>0</v>
      </c>
      <c r="U394">
        <v>0</v>
      </c>
      <c r="V394">
        <f t="shared" si="166"/>
        <v>0</v>
      </c>
      <c r="W394">
        <f t="shared" si="167"/>
        <v>0</v>
      </c>
      <c r="X394">
        <f t="shared" si="170"/>
        <v>0</v>
      </c>
      <c r="Y394">
        <f t="shared" si="168"/>
        <v>0</v>
      </c>
      <c r="Z394" t="s">
        <v>98</v>
      </c>
      <c r="AA394" s="5" t="s">
        <v>141</v>
      </c>
      <c r="AB394" s="5" t="s">
        <v>141</v>
      </c>
      <c r="AC394" t="s">
        <v>74</v>
      </c>
      <c r="AD394" t="s">
        <v>76</v>
      </c>
      <c r="AE394" s="5" t="s">
        <v>241</v>
      </c>
      <c r="AF394" t="s">
        <v>120</v>
      </c>
      <c r="AG394" t="s">
        <v>75</v>
      </c>
      <c r="AH394">
        <f t="shared" ref="AH394:AH395" si="173">AI394</f>
        <v>7.5342469999999995E-2</v>
      </c>
      <c r="AI394">
        <f t="shared" ref="AI394:AI395" si="174">AJ394</f>
        <v>7.5342469999999995E-2</v>
      </c>
      <c r="AJ394">
        <f t="shared" si="169"/>
        <v>7.5342469999999995E-2</v>
      </c>
      <c r="AK394">
        <v>7.5342469999999995E-2</v>
      </c>
      <c r="AL394">
        <v>7.5368649999999995E-2</v>
      </c>
      <c r="AM394">
        <v>0.11551065000000001</v>
      </c>
      <c r="AN394">
        <v>0.115700215</v>
      </c>
      <c r="AO394">
        <v>92.465753000000007</v>
      </c>
      <c r="AP394">
        <v>92.463134999999994</v>
      </c>
      <c r="AQ394">
        <v>88.448935000000006</v>
      </c>
      <c r="AR394">
        <v>88.429978500000004</v>
      </c>
      <c r="AS394" t="b">
        <v>0</v>
      </c>
      <c r="AT394" t="b">
        <v>0</v>
      </c>
      <c r="AU394" t="s">
        <v>108</v>
      </c>
      <c r="AV394" t="s">
        <v>108</v>
      </c>
      <c r="AW394" t="s">
        <v>79</v>
      </c>
      <c r="AX394" t="s">
        <v>80</v>
      </c>
      <c r="AY394" t="s">
        <v>655</v>
      </c>
      <c r="AZ394" t="s">
        <v>72</v>
      </c>
      <c r="BA394" t="s">
        <v>82</v>
      </c>
      <c r="BB394">
        <v>0.35</v>
      </c>
      <c r="BC394">
        <v>2.4738868000000001E-3</v>
      </c>
      <c r="BD394">
        <v>1.4256942275279999E-4</v>
      </c>
      <c r="BE394">
        <v>2.6164562227527998E-3</v>
      </c>
      <c r="BF394">
        <f>IF(AK394&lt;BE394,1,0)</f>
        <v>0</v>
      </c>
      <c r="BG394">
        <f>IF(AK394&lt;BC394,1,0)</f>
        <v>0</v>
      </c>
      <c r="BH394">
        <f>VLOOKUP($B394,[1]Data_Peer_with_peerVars!$B$2:$Z$1050,20,FALSE)</f>
        <v>3</v>
      </c>
      <c r="BI394">
        <f>VLOOKUP($B394,[1]Data_Peer_with_peerVars!$B$2:$Z$1050,21,FALSE)</f>
        <v>1</v>
      </c>
      <c r="BJ394">
        <f>VLOOKUP($B394,[1]Data_Peer_with_peerVars!$B$2:$Z$1050,22,FALSE)</f>
        <v>0.33333333300000001</v>
      </c>
      <c r="BK394">
        <f>VLOOKUP($B394,[1]Data_Peer_with_peerVars!$B$2:$Z$1050,23,FALSE)</f>
        <v>40</v>
      </c>
      <c r="BL394">
        <f>VLOOKUP($B394,[1]Data_Peer_with_peerVars!$B$2:$Z$1050,24,FALSE)</f>
        <v>24</v>
      </c>
      <c r="BM394">
        <f>VLOOKUP($B394,[1]Data_Peer_with_peerVars!$B$2:$Z$1050,25,FALSE)</f>
        <v>0.6</v>
      </c>
    </row>
    <row r="395" spans="1:65" x14ac:dyDescent="0.2">
      <c r="A395">
        <v>1</v>
      </c>
      <c r="B395" t="s">
        <v>658</v>
      </c>
      <c r="C395">
        <v>206</v>
      </c>
      <c r="D395" t="s">
        <v>68</v>
      </c>
      <c r="E395">
        <v>1</v>
      </c>
      <c r="F395">
        <v>244</v>
      </c>
      <c r="G395" t="s">
        <v>69</v>
      </c>
      <c r="H395" s="1">
        <v>7</v>
      </c>
      <c r="I395" t="s">
        <v>87</v>
      </c>
      <c r="J395" t="s">
        <v>88</v>
      </c>
      <c r="K395" t="s">
        <v>72</v>
      </c>
      <c r="L395">
        <v>2</v>
      </c>
      <c r="M395">
        <v>0</v>
      </c>
      <c r="N395">
        <v>1</v>
      </c>
      <c r="O395">
        <v>0</v>
      </c>
      <c r="P395">
        <v>0</v>
      </c>
      <c r="Q395">
        <v>6</v>
      </c>
      <c r="R395">
        <v>0</v>
      </c>
      <c r="S395">
        <v>0</v>
      </c>
      <c r="T395">
        <v>1</v>
      </c>
      <c r="U395">
        <v>1</v>
      </c>
      <c r="V395">
        <f t="shared" si="166"/>
        <v>0</v>
      </c>
      <c r="W395">
        <f t="shared" si="167"/>
        <v>0</v>
      </c>
      <c r="X395">
        <f t="shared" si="170"/>
        <v>0</v>
      </c>
      <c r="Y395">
        <f t="shared" si="168"/>
        <v>0</v>
      </c>
      <c r="Z395" t="s">
        <v>98</v>
      </c>
      <c r="AA395" s="5" t="s">
        <v>99</v>
      </c>
      <c r="AB395" s="5" t="s">
        <v>659</v>
      </c>
      <c r="AC395" t="s">
        <v>73</v>
      </c>
      <c r="AD395" t="s">
        <v>94</v>
      </c>
      <c r="AE395" s="5" t="s">
        <v>106</v>
      </c>
      <c r="AF395" t="s">
        <v>107</v>
      </c>
      <c r="AG395" t="s">
        <v>95</v>
      </c>
      <c r="AH395">
        <f t="shared" si="173"/>
        <v>4.0894219999999997E-3</v>
      </c>
      <c r="AI395">
        <f t="shared" si="174"/>
        <v>4.0894219999999997E-3</v>
      </c>
      <c r="AJ395">
        <f t="shared" si="169"/>
        <v>4.0894219999999997E-3</v>
      </c>
      <c r="AK395">
        <v>4.0894219999999997E-3</v>
      </c>
      <c r="AL395">
        <v>0.13196722</v>
      </c>
      <c r="AM395">
        <v>0.13596491999999999</v>
      </c>
      <c r="AN395">
        <v>0.13840263</v>
      </c>
      <c r="AO395">
        <v>99.591057800000002</v>
      </c>
      <c r="AP395">
        <v>86.803278000000006</v>
      </c>
      <c r="AQ395">
        <v>86.403508000000002</v>
      </c>
      <c r="AR395">
        <v>86.159737000000007</v>
      </c>
      <c r="AS395" t="b">
        <v>0</v>
      </c>
      <c r="AT395" t="b">
        <v>0</v>
      </c>
      <c r="AU395" t="s">
        <v>77</v>
      </c>
      <c r="AV395" t="s">
        <v>108</v>
      </c>
      <c r="AW395" t="s">
        <v>79</v>
      </c>
      <c r="AX395" t="s">
        <v>80</v>
      </c>
      <c r="AY395" t="s">
        <v>655</v>
      </c>
      <c r="AZ395" t="s">
        <v>72</v>
      </c>
      <c r="BA395" t="s">
        <v>82</v>
      </c>
      <c r="BB395">
        <v>0.7</v>
      </c>
      <c r="BC395">
        <v>4.1163553999999996E-3</v>
      </c>
      <c r="BD395">
        <v>1.4279989108178799E-4</v>
      </c>
      <c r="BE395">
        <v>4.2591552910817903E-3</v>
      </c>
      <c r="BF395">
        <f>IF(AK395&lt;BE395,1,0)</f>
        <v>1</v>
      </c>
      <c r="BG395">
        <f>IF(AK395&lt;BC395,1,0)</f>
        <v>1</v>
      </c>
      <c r="BH395">
        <f>VLOOKUP($B395,[1]Data_Peer_with_peerVars!$B$2:$Z$1050,20,FALSE)</f>
        <v>11</v>
      </c>
      <c r="BI395">
        <f>VLOOKUP($B395,[1]Data_Peer_with_peerVars!$B$2:$Z$1050,21,FALSE)</f>
        <v>8</v>
      </c>
      <c r="BJ395">
        <f>VLOOKUP($B395,[1]Data_Peer_with_peerVars!$B$2:$Z$1050,22,FALSE)</f>
        <v>0.72727272700000001</v>
      </c>
      <c r="BK395">
        <f>VLOOKUP($B395,[1]Data_Peer_with_peerVars!$B$2:$Z$1050,23,FALSE)</f>
        <v>41</v>
      </c>
      <c r="BL395">
        <f>VLOOKUP($B395,[1]Data_Peer_with_peerVars!$B$2:$Z$1050,24,FALSE)</f>
        <v>26</v>
      </c>
      <c r="BM395">
        <f>VLOOKUP($B395,[1]Data_Peer_with_peerVars!$B$2:$Z$1050,25,FALSE)</f>
        <v>0.634146341</v>
      </c>
    </row>
    <row r="396" spans="1:65" x14ac:dyDescent="0.2">
      <c r="A396">
        <v>1</v>
      </c>
      <c r="B396" t="s">
        <v>660</v>
      </c>
      <c r="C396">
        <v>206</v>
      </c>
      <c r="D396" t="s">
        <v>68</v>
      </c>
      <c r="E396">
        <v>1</v>
      </c>
      <c r="F396">
        <v>244</v>
      </c>
      <c r="G396" t="s">
        <v>69</v>
      </c>
      <c r="H396" s="1">
        <v>7</v>
      </c>
      <c r="I396" t="s">
        <v>87</v>
      </c>
      <c r="J396" t="s">
        <v>88</v>
      </c>
      <c r="K396" t="s">
        <v>72</v>
      </c>
      <c r="L396">
        <v>2</v>
      </c>
      <c r="M396">
        <v>0</v>
      </c>
      <c r="N396">
        <v>1</v>
      </c>
      <c r="O396">
        <v>0</v>
      </c>
      <c r="P396">
        <v>0</v>
      </c>
      <c r="Q396">
        <v>6</v>
      </c>
      <c r="R396">
        <v>0</v>
      </c>
      <c r="S396">
        <v>0</v>
      </c>
      <c r="T396">
        <v>1</v>
      </c>
      <c r="U396">
        <v>1</v>
      </c>
      <c r="V396">
        <f t="shared" si="166"/>
        <v>1</v>
      </c>
      <c r="W396">
        <v>1</v>
      </c>
      <c r="X396">
        <v>1</v>
      </c>
      <c r="Y396">
        <v>1</v>
      </c>
      <c r="Z396" t="s">
        <v>73</v>
      </c>
      <c r="AA396" s="5" t="s">
        <v>73</v>
      </c>
      <c r="AB396" s="5" t="s">
        <v>73</v>
      </c>
      <c r="AC396" t="s">
        <v>73</v>
      </c>
      <c r="AD396" t="s">
        <v>94</v>
      </c>
      <c r="AE396" s="5" t="s">
        <v>106</v>
      </c>
      <c r="AF396" t="s">
        <v>107</v>
      </c>
      <c r="AG396" t="s">
        <v>95</v>
      </c>
      <c r="AH396">
        <f t="shared" ref="AH396:AI398" si="175">AI396</f>
        <v>3.8167940000000001E-3</v>
      </c>
      <c r="AI396">
        <f t="shared" si="175"/>
        <v>3.8167940000000001E-3</v>
      </c>
      <c r="AJ396">
        <f t="shared" si="169"/>
        <v>3.8167940000000001E-3</v>
      </c>
      <c r="AK396">
        <v>3.8167940000000001E-3</v>
      </c>
      <c r="AL396">
        <v>0.13169399000000001</v>
      </c>
      <c r="AM396">
        <v>0.13623904000000001</v>
      </c>
      <c r="AN396">
        <v>0.13867615</v>
      </c>
      <c r="AO396">
        <v>99.618320600000004</v>
      </c>
      <c r="AP396">
        <v>86.830601000000001</v>
      </c>
      <c r="AQ396">
        <v>86.376096000000004</v>
      </c>
      <c r="AR396">
        <v>86.132384999999999</v>
      </c>
      <c r="AS396" t="b">
        <v>1</v>
      </c>
      <c r="AT396" t="b">
        <v>0</v>
      </c>
      <c r="AU396" t="s">
        <v>77</v>
      </c>
      <c r="AV396" t="s">
        <v>108</v>
      </c>
      <c r="AW396" t="s">
        <v>79</v>
      </c>
      <c r="AX396" t="s">
        <v>80</v>
      </c>
      <c r="AY396" t="s">
        <v>655</v>
      </c>
      <c r="AZ396" t="s">
        <v>109</v>
      </c>
      <c r="BA396">
        <v>2</v>
      </c>
      <c r="BB396">
        <v>0.7</v>
      </c>
      <c r="BC396">
        <v>4.1163553999999996E-3</v>
      </c>
      <c r="BD396">
        <v>1.4279989108178799E-4</v>
      </c>
      <c r="BE396">
        <v>4.2591552910817903E-3</v>
      </c>
      <c r="BF396">
        <f>IF(AK396&lt;BE396,1,0)</f>
        <v>1</v>
      </c>
      <c r="BG396">
        <f>IF(AK396&lt;BC396,1,0)</f>
        <v>1</v>
      </c>
      <c r="BH396">
        <f>VLOOKUP($B396,[1]Data_Peer_with_peerVars!$B$2:$Z$1050,20,FALSE)</f>
        <v>11</v>
      </c>
      <c r="BI396">
        <f>VLOOKUP($B396,[1]Data_Peer_with_peerVars!$B$2:$Z$1050,21,FALSE)</f>
        <v>8</v>
      </c>
      <c r="BJ396">
        <f>VLOOKUP($B396,[1]Data_Peer_with_peerVars!$B$2:$Z$1050,22,FALSE)</f>
        <v>0.72727272700000001</v>
      </c>
      <c r="BK396">
        <f>VLOOKUP($B396,[1]Data_Peer_with_peerVars!$B$2:$Z$1050,23,FALSE)</f>
        <v>41</v>
      </c>
      <c r="BL396">
        <f>VLOOKUP($B396,[1]Data_Peer_with_peerVars!$B$2:$Z$1050,24,FALSE)</f>
        <v>26</v>
      </c>
      <c r="BM396">
        <f>VLOOKUP($B396,[1]Data_Peer_with_peerVars!$B$2:$Z$1050,25,FALSE)</f>
        <v>0.634146341</v>
      </c>
    </row>
    <row r="397" spans="1:65" x14ac:dyDescent="0.2">
      <c r="A397">
        <v>1</v>
      </c>
      <c r="B397" t="s">
        <v>661</v>
      </c>
      <c r="C397">
        <v>207</v>
      </c>
      <c r="D397" t="s">
        <v>68</v>
      </c>
      <c r="E397">
        <v>0</v>
      </c>
      <c r="F397">
        <v>539</v>
      </c>
      <c r="G397" t="s">
        <v>97</v>
      </c>
      <c r="H397" s="1">
        <v>7</v>
      </c>
      <c r="I397" t="s">
        <v>87</v>
      </c>
      <c r="J397" t="s">
        <v>88</v>
      </c>
      <c r="K397" t="s">
        <v>72</v>
      </c>
      <c r="L397">
        <v>1</v>
      </c>
      <c r="M397">
        <v>0</v>
      </c>
      <c r="N397">
        <v>1</v>
      </c>
      <c r="O397">
        <v>0</v>
      </c>
      <c r="P397">
        <v>0</v>
      </c>
      <c r="Q397">
        <v>9</v>
      </c>
      <c r="R397">
        <v>1</v>
      </c>
      <c r="S397">
        <v>1</v>
      </c>
      <c r="T397">
        <v>1</v>
      </c>
      <c r="U397">
        <v>1</v>
      </c>
      <c r="V397">
        <f t="shared" si="166"/>
        <v>0</v>
      </c>
      <c r="W397">
        <f t="shared" si="167"/>
        <v>0</v>
      </c>
      <c r="X397">
        <f t="shared" si="170"/>
        <v>0</v>
      </c>
      <c r="Y397">
        <f t="shared" si="168"/>
        <v>0</v>
      </c>
      <c r="Z397" t="s">
        <v>177</v>
      </c>
      <c r="AA397" s="5" t="s">
        <v>107</v>
      </c>
      <c r="AB397" s="5" t="s">
        <v>107</v>
      </c>
      <c r="AC397" t="s">
        <v>196</v>
      </c>
      <c r="AD397" t="s">
        <v>173</v>
      </c>
      <c r="AE397" s="5" t="s">
        <v>662</v>
      </c>
      <c r="AF397" t="s">
        <v>95</v>
      </c>
      <c r="AG397" t="s">
        <v>198</v>
      </c>
      <c r="AH397">
        <f t="shared" si="175"/>
        <v>9.808219E-2</v>
      </c>
      <c r="AI397">
        <f t="shared" si="175"/>
        <v>9.808219E-2</v>
      </c>
      <c r="AJ397">
        <f t="shared" si="169"/>
        <v>9.808219E-2</v>
      </c>
      <c r="AK397">
        <v>9.808219E-2</v>
      </c>
      <c r="AL397">
        <v>0.10447354</v>
      </c>
      <c r="AM397">
        <v>0.10519125</v>
      </c>
      <c r="AN397">
        <v>0.10526315999999999</v>
      </c>
      <c r="AO397">
        <v>90.191781000000006</v>
      </c>
      <c r="AP397">
        <v>89.552645999999996</v>
      </c>
      <c r="AQ397">
        <v>89.480874999999997</v>
      </c>
      <c r="AR397">
        <v>89.473684000000006</v>
      </c>
      <c r="AS397" t="b">
        <v>0</v>
      </c>
      <c r="AT397" t="b">
        <v>0</v>
      </c>
      <c r="AU397" t="s">
        <v>77</v>
      </c>
      <c r="AV397" t="s">
        <v>108</v>
      </c>
      <c r="AW397" t="s">
        <v>79</v>
      </c>
      <c r="AX397" t="s">
        <v>80</v>
      </c>
      <c r="AY397" t="s">
        <v>655</v>
      </c>
      <c r="AZ397" t="s">
        <v>72</v>
      </c>
      <c r="BA397" t="s">
        <v>82</v>
      </c>
      <c r="BB397">
        <v>0.7</v>
      </c>
      <c r="BC397">
        <v>2.6736494E-2</v>
      </c>
      <c r="BD397">
        <v>2.13125818054995E-3</v>
      </c>
      <c r="BE397">
        <v>2.8867752180549901E-2</v>
      </c>
      <c r="BF397">
        <f>IF(AK397&lt;BE397,1,0)</f>
        <v>0</v>
      </c>
      <c r="BG397">
        <f>IF(AK397&lt;BC397,1,0)</f>
        <v>0</v>
      </c>
      <c r="BH397">
        <f>VLOOKUP($B397,[1]Data_Peer_with_peerVars!$B$2:$Z$1050,20,FALSE)</f>
        <v>3</v>
      </c>
      <c r="BI397">
        <f>VLOOKUP($B397,[1]Data_Peer_with_peerVars!$B$2:$Z$1050,21,FALSE)</f>
        <v>1</v>
      </c>
      <c r="BJ397">
        <f>VLOOKUP($B397,[1]Data_Peer_with_peerVars!$B$2:$Z$1050,22,FALSE)</f>
        <v>0.33333333300000001</v>
      </c>
      <c r="BK397">
        <f>VLOOKUP($B397,[1]Data_Peer_with_peerVars!$B$2:$Z$1050,23,FALSE)</f>
        <v>36</v>
      </c>
      <c r="BL397">
        <f>VLOOKUP($B397,[1]Data_Peer_with_peerVars!$B$2:$Z$1050,24,FALSE)</f>
        <v>22</v>
      </c>
      <c r="BM397">
        <f>VLOOKUP($B397,[1]Data_Peer_with_peerVars!$B$2:$Z$1050,25,FALSE)</f>
        <v>0.61111111100000004</v>
      </c>
    </row>
    <row r="398" spans="1:65" x14ac:dyDescent="0.2">
      <c r="A398">
        <v>1</v>
      </c>
      <c r="B398" t="s">
        <v>663</v>
      </c>
      <c r="C398">
        <v>208</v>
      </c>
      <c r="D398" t="s">
        <v>155</v>
      </c>
      <c r="E398">
        <v>0</v>
      </c>
      <c r="F398" s="14" t="s">
        <v>82</v>
      </c>
      <c r="G398" s="14" t="s">
        <v>82</v>
      </c>
      <c r="H398" s="1">
        <v>7</v>
      </c>
      <c r="I398" t="s">
        <v>87</v>
      </c>
      <c r="J398" t="s">
        <v>150</v>
      </c>
      <c r="K398" t="s">
        <v>72</v>
      </c>
      <c r="L398">
        <v>1</v>
      </c>
      <c r="M398">
        <v>1</v>
      </c>
      <c r="N398">
        <v>0</v>
      </c>
      <c r="O398">
        <v>0</v>
      </c>
      <c r="P398">
        <v>0</v>
      </c>
      <c r="Q398">
        <v>5</v>
      </c>
      <c r="R398">
        <v>0</v>
      </c>
      <c r="S398">
        <v>0</v>
      </c>
      <c r="T398">
        <v>0</v>
      </c>
      <c r="U398">
        <v>0</v>
      </c>
      <c r="V398">
        <f t="shared" si="166"/>
        <v>1</v>
      </c>
      <c r="W398">
        <v>1</v>
      </c>
      <c r="X398">
        <v>1</v>
      </c>
      <c r="Y398">
        <v>1</v>
      </c>
      <c r="Z398" t="s">
        <v>76</v>
      </c>
      <c r="AA398" s="5" t="s">
        <v>76</v>
      </c>
      <c r="AB398" s="5" t="s">
        <v>76</v>
      </c>
      <c r="AC398" t="s">
        <v>76</v>
      </c>
      <c r="AD398" t="s">
        <v>74</v>
      </c>
      <c r="AE398" s="5" t="s">
        <v>241</v>
      </c>
      <c r="AF398" t="s">
        <v>75</v>
      </c>
      <c r="AG398" t="s">
        <v>120</v>
      </c>
      <c r="AH398">
        <f t="shared" si="175"/>
        <v>7.2404369999999996E-2</v>
      </c>
      <c r="AI398">
        <f t="shared" si="175"/>
        <v>7.2404369999999996E-2</v>
      </c>
      <c r="AJ398">
        <f t="shared" si="169"/>
        <v>7.2404369999999996E-2</v>
      </c>
      <c r="AK398">
        <v>7.2404369999999996E-2</v>
      </c>
      <c r="AL398">
        <v>7.4835524E-2</v>
      </c>
      <c r="AM398">
        <v>0.11247948000000001</v>
      </c>
      <c r="AN398">
        <v>0.11693989</v>
      </c>
      <c r="AO398">
        <v>92.759563</v>
      </c>
      <c r="AP398">
        <v>92.516447600000006</v>
      </c>
      <c r="AQ398">
        <v>88.752052000000006</v>
      </c>
      <c r="AR398">
        <v>88.306010999999998</v>
      </c>
      <c r="AS398" t="b">
        <v>0</v>
      </c>
      <c r="AT398" t="b">
        <v>0</v>
      </c>
      <c r="AU398" t="s">
        <v>108</v>
      </c>
      <c r="AV398" t="s">
        <v>108</v>
      </c>
      <c r="AW398" t="s">
        <v>79</v>
      </c>
      <c r="AX398" t="s">
        <v>80</v>
      </c>
      <c r="AY398" t="s">
        <v>587</v>
      </c>
      <c r="AZ398" t="s">
        <v>72</v>
      </c>
      <c r="BA398" t="s">
        <v>82</v>
      </c>
      <c r="BB398">
        <v>2.8</v>
      </c>
      <c r="BC398">
        <v>7.7070764999999999E-2</v>
      </c>
      <c r="BD398">
        <v>1.90190515067399E-3</v>
      </c>
      <c r="BE398">
        <v>7.8972670150673996E-2</v>
      </c>
      <c r="BF398">
        <f>IF(AK398&lt;BE398,1,0)</f>
        <v>1</v>
      </c>
      <c r="BG398">
        <f>IF(AK398&lt;BC398,1,0)</f>
        <v>1</v>
      </c>
      <c r="BH398">
        <f>VLOOKUP($B398,[1]Data_Peer_with_peerVars!$B$2:$Z$1050,20,FALSE)</f>
        <v>0</v>
      </c>
      <c r="BI398">
        <f>VLOOKUP($B398,[1]Data_Peer_with_peerVars!$B$2:$Z$1050,21,FALSE)</f>
        <v>0</v>
      </c>
      <c r="BJ398">
        <v>0</v>
      </c>
      <c r="BK398">
        <f>VLOOKUP($B398,[1]Data_Peer_with_peerVars!$B$2:$Z$1050,23,FALSE)</f>
        <v>19</v>
      </c>
      <c r="BL398">
        <f>VLOOKUP($B398,[1]Data_Peer_with_peerVars!$B$2:$Z$1050,24,FALSE)</f>
        <v>14</v>
      </c>
      <c r="BM398">
        <f>VLOOKUP($B398,[1]Data_Peer_with_peerVars!$B$2:$Z$1050,25,FALSE)</f>
        <v>0.73684210500000002</v>
      </c>
    </row>
    <row r="399" spans="1:65" x14ac:dyDescent="0.2">
      <c r="A399">
        <v>1</v>
      </c>
      <c r="B399" t="s">
        <v>664</v>
      </c>
      <c r="C399">
        <v>208</v>
      </c>
      <c r="D399" t="s">
        <v>155</v>
      </c>
      <c r="E399">
        <v>0</v>
      </c>
      <c r="F399" s="14" t="s">
        <v>82</v>
      </c>
      <c r="G399" s="14" t="s">
        <v>82</v>
      </c>
      <c r="H399" s="1">
        <v>7</v>
      </c>
      <c r="I399" t="s">
        <v>87</v>
      </c>
      <c r="J399" t="s">
        <v>150</v>
      </c>
      <c r="K399" t="s">
        <v>72</v>
      </c>
      <c r="L399">
        <v>1</v>
      </c>
      <c r="M399">
        <v>1</v>
      </c>
      <c r="N399">
        <v>0</v>
      </c>
      <c r="O399">
        <v>0</v>
      </c>
      <c r="P399">
        <v>0</v>
      </c>
      <c r="Q399">
        <v>5</v>
      </c>
      <c r="R399">
        <v>0</v>
      </c>
      <c r="S399">
        <v>0</v>
      </c>
      <c r="T399">
        <v>0</v>
      </c>
      <c r="U399">
        <v>0</v>
      </c>
      <c r="V399">
        <f t="shared" si="166"/>
        <v>0</v>
      </c>
      <c r="W399">
        <f t="shared" si="167"/>
        <v>0</v>
      </c>
      <c r="X399">
        <f t="shared" si="170"/>
        <v>0</v>
      </c>
      <c r="Y399">
        <f t="shared" si="168"/>
        <v>0</v>
      </c>
      <c r="Z399" t="s">
        <v>73</v>
      </c>
      <c r="AA399" s="5" t="s">
        <v>73</v>
      </c>
      <c r="AB399" s="5" t="s">
        <v>73</v>
      </c>
      <c r="AC399" t="s">
        <v>94</v>
      </c>
      <c r="AD399" t="s">
        <v>75</v>
      </c>
      <c r="AE399" s="5" t="s">
        <v>75</v>
      </c>
      <c r="AF399" t="s">
        <v>120</v>
      </c>
      <c r="AG399" t="s">
        <v>74</v>
      </c>
      <c r="AH399">
        <f>AI399</f>
        <v>0.10464480499999999</v>
      </c>
      <c r="AI399">
        <f t="shared" ref="AI399:AI400" si="176">AJ399</f>
        <v>0.10464480499999999</v>
      </c>
      <c r="AJ399">
        <f t="shared" si="169"/>
        <v>0.10464480499999999</v>
      </c>
      <c r="AK399">
        <v>0.10464480499999999</v>
      </c>
      <c r="AL399">
        <v>0.11726027999999999</v>
      </c>
      <c r="AM399">
        <v>0.13101750000000001</v>
      </c>
      <c r="AN399">
        <v>0.13357104</v>
      </c>
      <c r="AO399">
        <v>89.535519500000007</v>
      </c>
      <c r="AP399">
        <v>88.273972000000001</v>
      </c>
      <c r="AQ399">
        <v>86.898250000000004</v>
      </c>
      <c r="AR399">
        <v>86.642895999999993</v>
      </c>
      <c r="AS399" t="b">
        <v>0</v>
      </c>
      <c r="AT399" t="b">
        <v>0</v>
      </c>
      <c r="AU399" t="s">
        <v>78</v>
      </c>
      <c r="AV399" t="s">
        <v>78</v>
      </c>
      <c r="AW399" t="s">
        <v>79</v>
      </c>
      <c r="AX399" t="s">
        <v>80</v>
      </c>
      <c r="AY399" t="s">
        <v>587</v>
      </c>
      <c r="AZ399" t="s">
        <v>72</v>
      </c>
      <c r="BA399" t="s">
        <v>82</v>
      </c>
      <c r="BB399">
        <v>0.7</v>
      </c>
      <c r="BC399">
        <v>1.6447369E-2</v>
      </c>
      <c r="BD399">
        <v>4.2236161269162102E-4</v>
      </c>
      <c r="BE399">
        <v>1.6869730612691598E-2</v>
      </c>
      <c r="BF399">
        <f>IF(AK399&lt;BE399,1,0)</f>
        <v>0</v>
      </c>
      <c r="BG399">
        <f>IF(AK399&lt;BC399,1,0)</f>
        <v>0</v>
      </c>
      <c r="BH399">
        <f>VLOOKUP($B399,[1]Data_Peer_with_peerVars!$B$2:$Z$1050,20,FALSE)</f>
        <v>0</v>
      </c>
      <c r="BI399">
        <f>VLOOKUP($B399,[1]Data_Peer_with_peerVars!$B$2:$Z$1050,21,FALSE)</f>
        <v>0</v>
      </c>
      <c r="BJ399">
        <v>0</v>
      </c>
      <c r="BK399">
        <f>VLOOKUP($B399,[1]Data_Peer_with_peerVars!$B$2:$Z$1050,23,FALSE)</f>
        <v>19</v>
      </c>
      <c r="BL399">
        <f>VLOOKUP($B399,[1]Data_Peer_with_peerVars!$B$2:$Z$1050,24,FALSE)</f>
        <v>14</v>
      </c>
      <c r="BM399">
        <f>VLOOKUP($B399,[1]Data_Peer_with_peerVars!$B$2:$Z$1050,25,FALSE)</f>
        <v>0.73684210500000002</v>
      </c>
    </row>
    <row r="400" spans="1:65" x14ac:dyDescent="0.2">
      <c r="A400">
        <v>1</v>
      </c>
      <c r="B400" t="s">
        <v>665</v>
      </c>
      <c r="C400">
        <v>209</v>
      </c>
      <c r="D400" t="s">
        <v>155</v>
      </c>
      <c r="E400">
        <v>0</v>
      </c>
      <c r="F400" s="14" t="s">
        <v>82</v>
      </c>
      <c r="G400" s="14" t="s">
        <v>82</v>
      </c>
      <c r="H400" s="1">
        <v>5</v>
      </c>
      <c r="I400" t="s">
        <v>87</v>
      </c>
      <c r="J400" t="s">
        <v>150</v>
      </c>
      <c r="K400" t="s">
        <v>72</v>
      </c>
      <c r="L400">
        <v>1</v>
      </c>
      <c r="M400">
        <v>1</v>
      </c>
      <c r="N400">
        <v>0</v>
      </c>
      <c r="O400">
        <v>0</v>
      </c>
      <c r="P400">
        <v>0</v>
      </c>
      <c r="Q400">
        <v>6</v>
      </c>
      <c r="R400">
        <v>0</v>
      </c>
      <c r="S400">
        <v>0</v>
      </c>
      <c r="T400">
        <v>0</v>
      </c>
      <c r="U400">
        <v>0</v>
      </c>
      <c r="V400">
        <f t="shared" si="166"/>
        <v>0</v>
      </c>
      <c r="W400">
        <f t="shared" si="167"/>
        <v>1</v>
      </c>
      <c r="X400">
        <v>1</v>
      </c>
      <c r="Y400">
        <v>1</v>
      </c>
      <c r="Z400" t="s">
        <v>76</v>
      </c>
      <c r="AA400" s="5" t="s">
        <v>76</v>
      </c>
      <c r="AB400" s="5" t="s">
        <v>76</v>
      </c>
      <c r="AC400" t="s">
        <v>74</v>
      </c>
      <c r="AD400" t="s">
        <v>76</v>
      </c>
      <c r="AE400" s="5" t="s">
        <v>76</v>
      </c>
      <c r="AF400" t="s">
        <v>120</v>
      </c>
      <c r="AG400" t="s">
        <v>75</v>
      </c>
      <c r="AH400">
        <f t="shared" ref="AH400:AH405" si="177">AI400</f>
        <v>8.2468600000000003E-2</v>
      </c>
      <c r="AI400">
        <f t="shared" si="176"/>
        <v>8.2468600000000003E-2</v>
      </c>
      <c r="AJ400">
        <f>AL400</f>
        <v>8.2468600000000003E-2</v>
      </c>
      <c r="AK400">
        <v>7.3698630000000001E-2</v>
      </c>
      <c r="AL400">
        <v>8.2468600000000003E-2</v>
      </c>
      <c r="AM400">
        <v>0.11523758000000001</v>
      </c>
      <c r="AN400">
        <v>0.11679431</v>
      </c>
      <c r="AO400">
        <v>92.630137000000005</v>
      </c>
      <c r="AP400">
        <v>91.753140000000002</v>
      </c>
      <c r="AQ400">
        <v>88.476241999999999</v>
      </c>
      <c r="AR400">
        <v>88.320569000000006</v>
      </c>
      <c r="AS400" t="b">
        <v>0</v>
      </c>
      <c r="AT400" t="b">
        <v>1</v>
      </c>
      <c r="AU400" t="s">
        <v>77</v>
      </c>
      <c r="AV400" t="s">
        <v>77</v>
      </c>
      <c r="AW400" t="s">
        <v>79</v>
      </c>
      <c r="AX400" t="s">
        <v>80</v>
      </c>
      <c r="AY400" t="s">
        <v>647</v>
      </c>
      <c r="AZ400" t="s">
        <v>72</v>
      </c>
      <c r="BA400" t="s">
        <v>82</v>
      </c>
      <c r="BB400">
        <v>4</v>
      </c>
      <c r="BC400">
        <v>2.4738868000000001E-3</v>
      </c>
      <c r="BD400">
        <v>1.4256942275279999E-4</v>
      </c>
      <c r="BE400">
        <v>2.6164562227527998E-3</v>
      </c>
      <c r="BF400">
        <f>IF(AK400&lt;BE400,1,0)</f>
        <v>0</v>
      </c>
      <c r="BG400">
        <f>IF(AK400&lt;BC400,1,0)</f>
        <v>0</v>
      </c>
    </row>
    <row r="401" spans="1:65" x14ac:dyDescent="0.2">
      <c r="A401">
        <v>1</v>
      </c>
      <c r="B401" t="s">
        <v>666</v>
      </c>
      <c r="C401">
        <v>209</v>
      </c>
      <c r="D401" t="s">
        <v>155</v>
      </c>
      <c r="E401">
        <v>0</v>
      </c>
      <c r="F401" s="14" t="s">
        <v>82</v>
      </c>
      <c r="G401" s="14" t="s">
        <v>82</v>
      </c>
      <c r="H401" s="1">
        <v>5</v>
      </c>
      <c r="I401" t="s">
        <v>87</v>
      </c>
      <c r="J401" t="s">
        <v>150</v>
      </c>
      <c r="K401" t="s">
        <v>72</v>
      </c>
      <c r="L401">
        <v>1</v>
      </c>
      <c r="M401">
        <v>1</v>
      </c>
      <c r="N401">
        <v>0</v>
      </c>
      <c r="O401">
        <v>0</v>
      </c>
      <c r="P401">
        <v>0</v>
      </c>
      <c r="Q401">
        <v>6</v>
      </c>
      <c r="R401">
        <v>0</v>
      </c>
      <c r="S401">
        <v>0</v>
      </c>
      <c r="T401">
        <v>0</v>
      </c>
      <c r="U401">
        <v>0</v>
      </c>
      <c r="V401">
        <v>1</v>
      </c>
      <c r="W401">
        <v>1</v>
      </c>
      <c r="X401">
        <v>1</v>
      </c>
      <c r="Y401">
        <v>1</v>
      </c>
      <c r="Z401" t="s">
        <v>98</v>
      </c>
      <c r="AA401" s="5" t="s">
        <v>284</v>
      </c>
      <c r="AB401" s="5" t="s">
        <v>284</v>
      </c>
      <c r="AC401" t="s">
        <v>99</v>
      </c>
      <c r="AD401" t="s">
        <v>101</v>
      </c>
      <c r="AE401" s="5" t="s">
        <v>101</v>
      </c>
      <c r="AF401" t="s">
        <v>103</v>
      </c>
      <c r="AG401" t="s">
        <v>102</v>
      </c>
      <c r="AH401">
        <f t="shared" si="177"/>
        <v>4.2265190000000001E-2</v>
      </c>
      <c r="AI401">
        <f>AJ401</f>
        <v>4.2265190000000001E-2</v>
      </c>
      <c r="AJ401">
        <f t="shared" si="169"/>
        <v>4.2265190000000001E-2</v>
      </c>
      <c r="AK401">
        <v>4.2265190000000001E-2</v>
      </c>
      <c r="AL401">
        <v>4.8378230000000001E-2</v>
      </c>
      <c r="AM401">
        <v>9.2868989999999998E-2</v>
      </c>
      <c r="AN401">
        <v>0.10344828</v>
      </c>
      <c r="AO401">
        <v>95.773481000000004</v>
      </c>
      <c r="AP401">
        <v>95.162177</v>
      </c>
      <c r="AQ401">
        <v>90.713100999999995</v>
      </c>
      <c r="AR401">
        <v>89.655171999999993</v>
      </c>
      <c r="AS401" t="b">
        <v>0</v>
      </c>
      <c r="AT401" t="b">
        <v>0</v>
      </c>
      <c r="AU401" t="s">
        <v>77</v>
      </c>
      <c r="AV401" t="s">
        <v>77</v>
      </c>
      <c r="AW401" t="s">
        <v>79</v>
      </c>
      <c r="AX401" t="s">
        <v>80</v>
      </c>
      <c r="AY401" t="s">
        <v>647</v>
      </c>
      <c r="AZ401" t="s">
        <v>109</v>
      </c>
      <c r="BA401">
        <v>8</v>
      </c>
      <c r="BB401" t="s">
        <v>82</v>
      </c>
      <c r="BC401">
        <v>2.4711695999999998E-2</v>
      </c>
      <c r="BD401">
        <v>1.72884756304863E-3</v>
      </c>
      <c r="BE401">
        <v>2.6440543563048601E-2</v>
      </c>
      <c r="BF401">
        <f>IF(AK401&lt;BE401,1,0)</f>
        <v>0</v>
      </c>
      <c r="BG401">
        <f>IF(AK401&lt;BC401,1,0)</f>
        <v>0</v>
      </c>
    </row>
    <row r="402" spans="1:65" x14ac:dyDescent="0.2">
      <c r="A402">
        <v>1</v>
      </c>
      <c r="B402" t="s">
        <v>667</v>
      </c>
      <c r="C402">
        <v>210</v>
      </c>
      <c r="D402" t="s">
        <v>155</v>
      </c>
      <c r="E402">
        <v>0</v>
      </c>
      <c r="F402" s="14" t="s">
        <v>82</v>
      </c>
      <c r="G402" s="14" t="s">
        <v>82</v>
      </c>
      <c r="H402" s="1">
        <v>7</v>
      </c>
      <c r="M402">
        <v>1</v>
      </c>
      <c r="N402">
        <v>0</v>
      </c>
      <c r="R402">
        <v>0</v>
      </c>
      <c r="S402">
        <v>0</v>
      </c>
      <c r="T402">
        <v>0</v>
      </c>
      <c r="U402">
        <v>0</v>
      </c>
      <c r="V402">
        <f t="shared" si="166"/>
        <v>0</v>
      </c>
      <c r="W402">
        <f t="shared" si="167"/>
        <v>1</v>
      </c>
      <c r="X402">
        <v>1</v>
      </c>
      <c r="Y402">
        <v>1</v>
      </c>
      <c r="Z402" t="s">
        <v>76</v>
      </c>
      <c r="AA402" s="5" t="s">
        <v>76</v>
      </c>
      <c r="AB402" s="5" t="s">
        <v>76</v>
      </c>
      <c r="AC402" t="s">
        <v>74</v>
      </c>
      <c r="AD402" t="s">
        <v>76</v>
      </c>
      <c r="AE402" s="5" t="s">
        <v>76</v>
      </c>
      <c r="AF402" t="s">
        <v>84</v>
      </c>
      <c r="AG402" t="s">
        <v>75</v>
      </c>
      <c r="AH402">
        <f t="shared" si="177"/>
        <v>8.1967209999999999E-2</v>
      </c>
      <c r="AI402">
        <f>AJ402</f>
        <v>8.1967209999999999E-2</v>
      </c>
      <c r="AJ402">
        <f>AL402</f>
        <v>8.1967209999999999E-2</v>
      </c>
      <c r="AK402">
        <v>5.3728070000000003E-2</v>
      </c>
      <c r="AL402">
        <v>8.1967209999999999E-2</v>
      </c>
      <c r="AM402">
        <v>0.10098792600000001</v>
      </c>
      <c r="AN402">
        <v>0.10393872999999999</v>
      </c>
      <c r="AO402">
        <v>94.627193000000005</v>
      </c>
      <c r="AP402">
        <v>91.803279000000003</v>
      </c>
      <c r="AQ402">
        <v>89.901207400000004</v>
      </c>
      <c r="AR402">
        <v>89.606127000000001</v>
      </c>
      <c r="AS402" t="b">
        <v>0</v>
      </c>
      <c r="AT402" t="b">
        <v>1</v>
      </c>
      <c r="AU402" t="s">
        <v>77</v>
      </c>
      <c r="AV402" t="s">
        <v>77</v>
      </c>
      <c r="AW402" t="s">
        <v>79</v>
      </c>
      <c r="AX402" t="s">
        <v>80</v>
      </c>
      <c r="AY402" t="s">
        <v>607</v>
      </c>
      <c r="AZ402" t="s">
        <v>109</v>
      </c>
      <c r="BA402">
        <v>2</v>
      </c>
      <c r="BB402">
        <v>0.7</v>
      </c>
      <c r="BC402">
        <v>2.4738868000000001E-3</v>
      </c>
      <c r="BD402">
        <v>1.4256942275279999E-4</v>
      </c>
      <c r="BE402">
        <v>2.6164562227527998E-3</v>
      </c>
      <c r="BF402">
        <f>IF(AK402&lt;BE402,1,0)</f>
        <v>0</v>
      </c>
      <c r="BG402">
        <f>IF(AK402&lt;BC402,1,0)</f>
        <v>0</v>
      </c>
    </row>
    <row r="403" spans="1:65" x14ac:dyDescent="0.2">
      <c r="A403">
        <v>1</v>
      </c>
      <c r="B403" t="s">
        <v>668</v>
      </c>
      <c r="C403">
        <v>210</v>
      </c>
      <c r="D403" t="s">
        <v>155</v>
      </c>
      <c r="E403">
        <v>0</v>
      </c>
      <c r="F403" s="14" t="s">
        <v>82</v>
      </c>
      <c r="G403" s="14" t="s">
        <v>82</v>
      </c>
      <c r="H403" s="1">
        <v>7</v>
      </c>
      <c r="M403">
        <v>1</v>
      </c>
      <c r="N403">
        <v>0</v>
      </c>
      <c r="R403">
        <v>0</v>
      </c>
      <c r="S403">
        <v>0</v>
      </c>
      <c r="T403">
        <v>1</v>
      </c>
      <c r="U403">
        <v>1</v>
      </c>
      <c r="V403">
        <f t="shared" si="166"/>
        <v>1</v>
      </c>
      <c r="W403">
        <v>1</v>
      </c>
      <c r="X403">
        <v>1</v>
      </c>
      <c r="Y403">
        <v>1</v>
      </c>
      <c r="Z403" t="s">
        <v>94</v>
      </c>
      <c r="AA403" s="5" t="s">
        <v>94</v>
      </c>
      <c r="AB403" s="5" t="s">
        <v>94</v>
      </c>
      <c r="AC403" t="s">
        <v>94</v>
      </c>
      <c r="AD403" t="s">
        <v>95</v>
      </c>
      <c r="AE403" s="5" t="s">
        <v>95</v>
      </c>
      <c r="AF403" t="s">
        <v>107</v>
      </c>
      <c r="AG403" t="s">
        <v>74</v>
      </c>
      <c r="AH403">
        <f t="shared" si="177"/>
        <v>1.6657564999999999E-2</v>
      </c>
      <c r="AI403">
        <f t="shared" ref="AI403:AI405" si="178">AJ403</f>
        <v>1.6657564999999999E-2</v>
      </c>
      <c r="AJ403">
        <f t="shared" si="169"/>
        <v>1.6657564999999999E-2</v>
      </c>
      <c r="AK403">
        <v>1.6657564999999999E-2</v>
      </c>
      <c r="AL403">
        <v>0.10892172999999999</v>
      </c>
      <c r="AM403">
        <v>0.11129385999999999</v>
      </c>
      <c r="AN403">
        <v>0.12616566000000001</v>
      </c>
      <c r="AO403">
        <v>98.334243499999999</v>
      </c>
      <c r="AP403">
        <v>89.107827</v>
      </c>
      <c r="AQ403">
        <v>88.870614000000003</v>
      </c>
      <c r="AR403">
        <v>87.383433999999994</v>
      </c>
      <c r="AS403" t="b">
        <v>1</v>
      </c>
      <c r="AT403" t="b">
        <v>0</v>
      </c>
      <c r="AU403" t="s">
        <v>77</v>
      </c>
      <c r="AV403" t="s">
        <v>78</v>
      </c>
      <c r="AW403" t="s">
        <v>79</v>
      </c>
      <c r="AX403" t="s">
        <v>80</v>
      </c>
      <c r="AY403" t="s">
        <v>607</v>
      </c>
      <c r="AZ403" t="s">
        <v>72</v>
      </c>
      <c r="BA403" t="s">
        <v>82</v>
      </c>
      <c r="BB403">
        <v>0.35</v>
      </c>
      <c r="BC403">
        <v>1.6447369E-2</v>
      </c>
      <c r="BD403">
        <v>4.2236161269162102E-4</v>
      </c>
      <c r="BE403">
        <v>1.6869730612691598E-2</v>
      </c>
      <c r="BF403">
        <f>IF(AK403&lt;BE403,1,0)</f>
        <v>1</v>
      </c>
      <c r="BG403">
        <f>IF(AK403&lt;BC403,1,0)</f>
        <v>0</v>
      </c>
    </row>
    <row r="404" spans="1:65" x14ac:dyDescent="0.2">
      <c r="A404">
        <v>1</v>
      </c>
      <c r="B404" t="s">
        <v>669</v>
      </c>
      <c r="C404">
        <v>210</v>
      </c>
      <c r="D404" t="s">
        <v>155</v>
      </c>
      <c r="E404">
        <v>0</v>
      </c>
      <c r="F404" s="14" t="s">
        <v>82</v>
      </c>
      <c r="G404" s="14" t="s">
        <v>82</v>
      </c>
      <c r="H404" s="1">
        <v>7</v>
      </c>
      <c r="M404">
        <v>1</v>
      </c>
      <c r="N404">
        <v>0</v>
      </c>
      <c r="R404">
        <v>0</v>
      </c>
      <c r="S404">
        <v>0</v>
      </c>
      <c r="T404">
        <v>1</v>
      </c>
      <c r="U404">
        <v>1</v>
      </c>
      <c r="V404">
        <f t="shared" si="166"/>
        <v>1</v>
      </c>
      <c r="W404">
        <v>1</v>
      </c>
      <c r="X404">
        <v>1</v>
      </c>
      <c r="Y404">
        <v>1</v>
      </c>
      <c r="Z404" t="s">
        <v>73</v>
      </c>
      <c r="AA404" s="5" t="s">
        <v>73</v>
      </c>
      <c r="AB404" s="5" t="s">
        <v>670</v>
      </c>
      <c r="AC404" t="s">
        <v>73</v>
      </c>
      <c r="AD404" t="s">
        <v>94</v>
      </c>
      <c r="AE404" s="5" t="s">
        <v>106</v>
      </c>
      <c r="AF404" t="s">
        <v>107</v>
      </c>
      <c r="AG404" t="s">
        <v>95</v>
      </c>
      <c r="AH404">
        <f t="shared" si="177"/>
        <v>3.8230475000000002E-3</v>
      </c>
      <c r="AI404">
        <f t="shared" si="178"/>
        <v>3.8230475000000002E-3</v>
      </c>
      <c r="AJ404">
        <f t="shared" si="169"/>
        <v>3.8230475000000002E-3</v>
      </c>
      <c r="AK404">
        <v>3.8230475000000002E-3</v>
      </c>
      <c r="AL404">
        <v>0.13136289000000001</v>
      </c>
      <c r="AM404">
        <v>0.13646348</v>
      </c>
      <c r="AN404">
        <v>0.13890411</v>
      </c>
      <c r="AO404">
        <v>99.617695249999997</v>
      </c>
      <c r="AP404">
        <v>86.863710999999995</v>
      </c>
      <c r="AQ404">
        <v>86.353651999999997</v>
      </c>
      <c r="AR404">
        <v>86.109589</v>
      </c>
      <c r="AS404" t="b">
        <v>1</v>
      </c>
      <c r="AT404" t="b">
        <v>0</v>
      </c>
      <c r="AU404" t="s">
        <v>77</v>
      </c>
      <c r="AV404" t="s">
        <v>108</v>
      </c>
      <c r="AW404" t="s">
        <v>79</v>
      </c>
      <c r="AX404" t="s">
        <v>80</v>
      </c>
      <c r="AY404" t="s">
        <v>607</v>
      </c>
      <c r="AZ404" t="s">
        <v>72</v>
      </c>
      <c r="BA404" t="s">
        <v>82</v>
      </c>
      <c r="BB404">
        <v>1.5</v>
      </c>
      <c r="BC404">
        <v>4.1163553999999996E-3</v>
      </c>
      <c r="BD404">
        <v>1.4279989108178799E-4</v>
      </c>
      <c r="BE404">
        <v>4.2591552910817903E-3</v>
      </c>
      <c r="BF404">
        <f>IF(AK404&lt;BE404,1,0)</f>
        <v>1</v>
      </c>
      <c r="BG404">
        <f>IF(AK404&lt;BC404,1,0)</f>
        <v>1</v>
      </c>
    </row>
    <row r="405" spans="1:65" x14ac:dyDescent="0.2">
      <c r="A405">
        <v>1</v>
      </c>
      <c r="B405" t="s">
        <v>671</v>
      </c>
      <c r="C405">
        <v>211</v>
      </c>
      <c r="D405" t="s">
        <v>155</v>
      </c>
      <c r="E405">
        <v>0</v>
      </c>
      <c r="F405" s="14" t="s">
        <v>82</v>
      </c>
      <c r="G405" s="14" t="s">
        <v>82</v>
      </c>
      <c r="H405" s="1">
        <v>7</v>
      </c>
      <c r="I405" t="s">
        <v>70</v>
      </c>
      <c r="J405" t="s">
        <v>436</v>
      </c>
      <c r="K405" t="s">
        <v>109</v>
      </c>
      <c r="L405">
        <v>1</v>
      </c>
      <c r="M405">
        <v>1</v>
      </c>
      <c r="N405">
        <v>0</v>
      </c>
      <c r="O405">
        <v>1</v>
      </c>
      <c r="P405">
        <v>1</v>
      </c>
      <c r="Q405">
        <v>4</v>
      </c>
      <c r="R405">
        <v>0</v>
      </c>
      <c r="S405">
        <v>0</v>
      </c>
      <c r="T405">
        <v>1</v>
      </c>
      <c r="U405">
        <v>1</v>
      </c>
      <c r="V405">
        <f t="shared" si="166"/>
        <v>1</v>
      </c>
      <c r="W405">
        <v>1</v>
      </c>
      <c r="X405">
        <v>1</v>
      </c>
      <c r="Y405">
        <v>1</v>
      </c>
      <c r="Z405" t="s">
        <v>73</v>
      </c>
      <c r="AA405" s="5" t="s">
        <v>73</v>
      </c>
      <c r="AB405" s="5" t="s">
        <v>73</v>
      </c>
      <c r="AC405" t="s">
        <v>73</v>
      </c>
      <c r="AD405" t="s">
        <v>94</v>
      </c>
      <c r="AE405" s="5" t="s">
        <v>106</v>
      </c>
      <c r="AF405" t="s">
        <v>107</v>
      </c>
      <c r="AG405" t="s">
        <v>95</v>
      </c>
      <c r="AH405">
        <f t="shared" si="177"/>
        <v>3.8272279999999998E-3</v>
      </c>
      <c r="AI405">
        <f t="shared" si="178"/>
        <v>3.8272279999999998E-3</v>
      </c>
      <c r="AJ405">
        <f t="shared" si="169"/>
        <v>3.8272279999999998E-3</v>
      </c>
      <c r="AK405">
        <v>3.8272279999999998E-3</v>
      </c>
      <c r="AL405">
        <v>0.13150685000000001</v>
      </c>
      <c r="AM405">
        <v>0.13661351999999999</v>
      </c>
      <c r="AN405">
        <v>0.1390565</v>
      </c>
      <c r="AO405">
        <v>99.617277200000004</v>
      </c>
      <c r="AP405">
        <v>86.849315000000004</v>
      </c>
      <c r="AQ405">
        <v>86.338648000000006</v>
      </c>
      <c r="AR405">
        <v>86.094350000000006</v>
      </c>
      <c r="AS405" t="b">
        <v>1</v>
      </c>
      <c r="AT405" t="b">
        <v>0</v>
      </c>
      <c r="AU405" t="s">
        <v>77</v>
      </c>
      <c r="AV405" t="s">
        <v>108</v>
      </c>
      <c r="AW405" t="s">
        <v>79</v>
      </c>
      <c r="AX405" t="s">
        <v>80</v>
      </c>
      <c r="AY405" t="s">
        <v>604</v>
      </c>
      <c r="AZ405" t="s">
        <v>109</v>
      </c>
      <c r="BA405">
        <v>2</v>
      </c>
      <c r="BB405">
        <v>0.7</v>
      </c>
      <c r="BC405">
        <v>4.1163553999999996E-3</v>
      </c>
      <c r="BD405">
        <v>1.4279989108178799E-4</v>
      </c>
      <c r="BE405">
        <v>4.2591552910817903E-3</v>
      </c>
      <c r="BF405">
        <f>IF(AK405&lt;BE405,1,0)</f>
        <v>1</v>
      </c>
      <c r="BG405">
        <f>IF(AK405&lt;BC405,1,0)</f>
        <v>1</v>
      </c>
      <c r="BH405">
        <f>VLOOKUP($B405,[1]Data_Peer_with_peerVars!$B$2:$Z$1050,20,FALSE)</f>
        <v>4</v>
      </c>
      <c r="BI405">
        <f>VLOOKUP($B405,[1]Data_Peer_with_peerVars!$B$2:$Z$1050,21,FALSE)</f>
        <v>0</v>
      </c>
      <c r="BJ405">
        <f>VLOOKUP($B405,[1]Data_Peer_with_peerVars!$B$2:$Z$1050,22,FALSE)</f>
        <v>0</v>
      </c>
      <c r="BK405">
        <f>VLOOKUP($B405,[1]Data_Peer_with_peerVars!$B$2:$Z$1050,23,FALSE)</f>
        <v>15</v>
      </c>
      <c r="BL405">
        <f>VLOOKUP($B405,[1]Data_Peer_with_peerVars!$B$2:$Z$1050,24,FALSE)</f>
        <v>11</v>
      </c>
      <c r="BM405">
        <f>VLOOKUP($B405,[1]Data_Peer_with_peerVars!$B$2:$Z$1050,25,FALSE)</f>
        <v>0.73333333300000003</v>
      </c>
    </row>
    <row r="406" spans="1:65" x14ac:dyDescent="0.2">
      <c r="A406">
        <v>1</v>
      </c>
      <c r="B406" t="s">
        <v>672</v>
      </c>
      <c r="C406">
        <v>211</v>
      </c>
      <c r="D406" t="s">
        <v>155</v>
      </c>
      <c r="E406">
        <v>0</v>
      </c>
      <c r="F406" s="14" t="s">
        <v>82</v>
      </c>
      <c r="G406" s="14" t="s">
        <v>82</v>
      </c>
      <c r="H406" s="1">
        <v>7</v>
      </c>
      <c r="I406" t="s">
        <v>70</v>
      </c>
      <c r="J406" t="s">
        <v>436</v>
      </c>
      <c r="K406" t="s">
        <v>109</v>
      </c>
      <c r="L406">
        <v>1</v>
      </c>
      <c r="M406">
        <v>1</v>
      </c>
      <c r="N406">
        <v>0</v>
      </c>
      <c r="O406">
        <v>1</v>
      </c>
      <c r="P406">
        <v>1</v>
      </c>
      <c r="Q406">
        <v>4</v>
      </c>
      <c r="R406">
        <v>0</v>
      </c>
      <c r="S406">
        <v>0</v>
      </c>
      <c r="T406">
        <v>1</v>
      </c>
      <c r="U406">
        <v>1</v>
      </c>
      <c r="V406">
        <f t="shared" si="166"/>
        <v>0</v>
      </c>
      <c r="W406">
        <f t="shared" si="167"/>
        <v>0</v>
      </c>
      <c r="X406">
        <f t="shared" si="170"/>
        <v>0</v>
      </c>
      <c r="Y406">
        <f t="shared" si="168"/>
        <v>0</v>
      </c>
      <c r="Z406" t="s">
        <v>98</v>
      </c>
      <c r="AA406" s="5" t="s">
        <v>99</v>
      </c>
      <c r="AB406" s="5" t="s">
        <v>390</v>
      </c>
      <c r="AC406" t="s">
        <v>94</v>
      </c>
      <c r="AD406" t="s">
        <v>95</v>
      </c>
      <c r="AE406" s="5" t="s">
        <v>95</v>
      </c>
      <c r="AF406" t="s">
        <v>107</v>
      </c>
      <c r="AG406" t="s">
        <v>73</v>
      </c>
      <c r="AH406">
        <f>AI406</f>
        <v>1.474604E-2</v>
      </c>
      <c r="AI406">
        <f>AJ406</f>
        <v>1.474604E-2</v>
      </c>
      <c r="AJ406">
        <f t="shared" si="169"/>
        <v>1.474604E-2</v>
      </c>
      <c r="AK406">
        <v>1.474604E-2</v>
      </c>
      <c r="AL406">
        <v>0.111597374</v>
      </c>
      <c r="AM406">
        <v>0.11567982</v>
      </c>
      <c r="AN406">
        <v>0.12991266000000001</v>
      </c>
      <c r="AO406">
        <v>98.525396000000001</v>
      </c>
      <c r="AP406">
        <v>88.840262600000003</v>
      </c>
      <c r="AQ406">
        <v>88.432017999999999</v>
      </c>
      <c r="AR406">
        <v>87.008734000000004</v>
      </c>
      <c r="AS406" t="b">
        <v>0</v>
      </c>
      <c r="AT406" t="b">
        <v>0</v>
      </c>
      <c r="AU406" t="s">
        <v>77</v>
      </c>
      <c r="AV406" t="s">
        <v>78</v>
      </c>
      <c r="AW406" t="s">
        <v>79</v>
      </c>
      <c r="AX406" t="s">
        <v>80</v>
      </c>
      <c r="AY406" t="s">
        <v>604</v>
      </c>
      <c r="AZ406" t="s">
        <v>109</v>
      </c>
      <c r="BA406">
        <v>3</v>
      </c>
      <c r="BB406">
        <v>1</v>
      </c>
      <c r="BC406">
        <v>1.6447369E-2</v>
      </c>
      <c r="BD406">
        <v>4.2236161269162102E-4</v>
      </c>
      <c r="BE406">
        <v>1.6869730612691598E-2</v>
      </c>
      <c r="BF406">
        <f>IF(AK406&lt;BE406,1,0)</f>
        <v>1</v>
      </c>
      <c r="BG406">
        <f>IF(AK406&lt;BC406,1,0)</f>
        <v>1</v>
      </c>
      <c r="BH406">
        <f>VLOOKUP($B406,[1]Data_Peer_with_peerVars!$B$2:$Z$1050,20,FALSE)</f>
        <v>4</v>
      </c>
      <c r="BI406">
        <f>VLOOKUP($B406,[1]Data_Peer_with_peerVars!$B$2:$Z$1050,21,FALSE)</f>
        <v>0</v>
      </c>
      <c r="BJ406">
        <f>VLOOKUP($B406,[1]Data_Peer_with_peerVars!$B$2:$Z$1050,22,FALSE)</f>
        <v>0</v>
      </c>
      <c r="BK406">
        <f>VLOOKUP($B406,[1]Data_Peer_with_peerVars!$B$2:$Z$1050,23,FALSE)</f>
        <v>15</v>
      </c>
      <c r="BL406">
        <f>VLOOKUP($B406,[1]Data_Peer_with_peerVars!$B$2:$Z$1050,24,FALSE)</f>
        <v>11</v>
      </c>
      <c r="BM406">
        <f>VLOOKUP($B406,[1]Data_Peer_with_peerVars!$B$2:$Z$1050,25,FALSE)</f>
        <v>0.73333333300000003</v>
      </c>
    </row>
    <row r="407" spans="1:65" x14ac:dyDescent="0.2">
      <c r="A407">
        <v>1</v>
      </c>
      <c r="B407" t="s">
        <v>673</v>
      </c>
      <c r="C407">
        <v>211</v>
      </c>
      <c r="D407" t="s">
        <v>155</v>
      </c>
      <c r="E407">
        <v>0</v>
      </c>
      <c r="F407" s="14" t="s">
        <v>82</v>
      </c>
      <c r="G407" s="14" t="s">
        <v>82</v>
      </c>
      <c r="H407" s="1">
        <v>7</v>
      </c>
      <c r="I407" t="s">
        <v>70</v>
      </c>
      <c r="J407" t="s">
        <v>436</v>
      </c>
      <c r="K407" t="s">
        <v>109</v>
      </c>
      <c r="L407">
        <v>1</v>
      </c>
      <c r="M407">
        <v>1</v>
      </c>
      <c r="N407">
        <v>0</v>
      </c>
      <c r="O407">
        <v>1</v>
      </c>
      <c r="P407">
        <v>1</v>
      </c>
      <c r="Q407">
        <v>4</v>
      </c>
      <c r="R407">
        <v>0</v>
      </c>
      <c r="S407">
        <v>0</v>
      </c>
      <c r="T407">
        <v>1</v>
      </c>
      <c r="U407">
        <v>1</v>
      </c>
      <c r="V407">
        <f t="shared" si="166"/>
        <v>1</v>
      </c>
      <c r="W407">
        <v>1</v>
      </c>
      <c r="X407">
        <v>1</v>
      </c>
      <c r="Y407">
        <v>1</v>
      </c>
      <c r="Z407" t="s">
        <v>94</v>
      </c>
      <c r="AA407" s="5" t="s">
        <v>94</v>
      </c>
      <c r="AB407" s="5" t="s">
        <v>94</v>
      </c>
      <c r="AC407" t="s">
        <v>94</v>
      </c>
      <c r="AD407" t="s">
        <v>95</v>
      </c>
      <c r="AE407" s="5" t="s">
        <v>95</v>
      </c>
      <c r="AF407" t="s">
        <v>107</v>
      </c>
      <c r="AG407" t="s">
        <v>102</v>
      </c>
      <c r="AH407">
        <f>AI407</f>
        <v>3.0857454999999999E-2</v>
      </c>
      <c r="AI407">
        <f>AJ407</f>
        <v>3.0857454999999999E-2</v>
      </c>
      <c r="AJ407">
        <f t="shared" si="169"/>
        <v>3.0857454999999999E-2</v>
      </c>
      <c r="AK407">
        <v>3.0857454999999999E-2</v>
      </c>
      <c r="AL407">
        <v>0.11433260000000001</v>
      </c>
      <c r="AM407">
        <v>0.11677632</v>
      </c>
      <c r="AN407">
        <v>0.13373362999999999</v>
      </c>
      <c r="AO407">
        <v>96.914254499999998</v>
      </c>
      <c r="AP407">
        <v>88.566739999999996</v>
      </c>
      <c r="AQ407">
        <v>88.322367999999997</v>
      </c>
      <c r="AR407">
        <v>86.626637000000002</v>
      </c>
      <c r="AS407" t="b">
        <v>1</v>
      </c>
      <c r="AT407" t="b">
        <v>0</v>
      </c>
      <c r="AU407" t="s">
        <v>77</v>
      </c>
      <c r="AV407" t="s">
        <v>78</v>
      </c>
      <c r="AW407" t="s">
        <v>79</v>
      </c>
      <c r="AX407" t="s">
        <v>80</v>
      </c>
      <c r="AY407" t="s">
        <v>604</v>
      </c>
      <c r="AZ407" t="s">
        <v>82</v>
      </c>
      <c r="BA407" t="s">
        <v>82</v>
      </c>
      <c r="BB407">
        <v>0.7</v>
      </c>
      <c r="BC407">
        <v>1.6447369E-2</v>
      </c>
      <c r="BD407">
        <v>4.2236161269162102E-4</v>
      </c>
      <c r="BE407">
        <v>1.6869730612691598E-2</v>
      </c>
      <c r="BF407">
        <f>IF(AK407&lt;BE407,1,0)</f>
        <v>0</v>
      </c>
      <c r="BG407">
        <f>IF(AK407&lt;BC407,1,0)</f>
        <v>0</v>
      </c>
      <c r="BH407">
        <f>VLOOKUP($B407,[1]Data_Peer_with_peerVars!$B$2:$Z$1050,20,FALSE)</f>
        <v>4</v>
      </c>
      <c r="BI407">
        <f>VLOOKUP($B407,[1]Data_Peer_with_peerVars!$B$2:$Z$1050,21,FALSE)</f>
        <v>0</v>
      </c>
      <c r="BJ407">
        <f>VLOOKUP($B407,[1]Data_Peer_with_peerVars!$B$2:$Z$1050,22,FALSE)</f>
        <v>0</v>
      </c>
      <c r="BK407">
        <f>VLOOKUP($B407,[1]Data_Peer_with_peerVars!$B$2:$Z$1050,23,FALSE)</f>
        <v>15</v>
      </c>
      <c r="BL407">
        <f>VLOOKUP($B407,[1]Data_Peer_with_peerVars!$B$2:$Z$1050,24,FALSE)</f>
        <v>11</v>
      </c>
      <c r="BM407">
        <f>VLOOKUP($B407,[1]Data_Peer_with_peerVars!$B$2:$Z$1050,25,FALSE)</f>
        <v>0.73333333300000003</v>
      </c>
    </row>
    <row r="408" spans="1:65" x14ac:dyDescent="0.2">
      <c r="A408">
        <v>1</v>
      </c>
      <c r="B408" t="s">
        <v>674</v>
      </c>
      <c r="C408">
        <v>212</v>
      </c>
      <c r="D408" t="s">
        <v>68</v>
      </c>
      <c r="E408">
        <v>1</v>
      </c>
      <c r="F408">
        <v>286</v>
      </c>
      <c r="G408" t="s">
        <v>69</v>
      </c>
      <c r="H408" s="1">
        <v>7</v>
      </c>
      <c r="I408" t="s">
        <v>87</v>
      </c>
      <c r="J408" t="s">
        <v>124</v>
      </c>
      <c r="K408" t="s">
        <v>109</v>
      </c>
      <c r="L408">
        <v>1</v>
      </c>
      <c r="M408">
        <v>0</v>
      </c>
      <c r="N408">
        <v>1</v>
      </c>
      <c r="O408">
        <v>0</v>
      </c>
      <c r="P408">
        <v>0</v>
      </c>
      <c r="Q408">
        <v>6</v>
      </c>
      <c r="R408">
        <v>0</v>
      </c>
      <c r="S408">
        <v>0</v>
      </c>
      <c r="T408">
        <v>1</v>
      </c>
      <c r="U408">
        <v>1</v>
      </c>
      <c r="V408">
        <f t="shared" si="166"/>
        <v>0</v>
      </c>
      <c r="W408">
        <f t="shared" si="167"/>
        <v>0</v>
      </c>
      <c r="X408">
        <f t="shared" si="170"/>
        <v>0</v>
      </c>
      <c r="Y408">
        <f t="shared" si="168"/>
        <v>0</v>
      </c>
      <c r="Z408" t="s">
        <v>76</v>
      </c>
      <c r="AA408" s="5" t="s">
        <v>76</v>
      </c>
      <c r="AB408" s="5" t="s">
        <v>501</v>
      </c>
      <c r="AC408" t="s">
        <v>94</v>
      </c>
      <c r="AD408" t="s">
        <v>95</v>
      </c>
      <c r="AE408" s="5" t="s">
        <v>95</v>
      </c>
      <c r="AF408" t="s">
        <v>107</v>
      </c>
      <c r="AG408" t="s">
        <v>74</v>
      </c>
      <c r="AH408">
        <f t="shared" ref="AH408:AH412" si="179">AI408</f>
        <v>1.5010917E-2</v>
      </c>
      <c r="AI408">
        <f t="shared" ref="AI408:AI412" si="180">AJ408</f>
        <v>1.5010917E-2</v>
      </c>
      <c r="AJ408">
        <f t="shared" si="169"/>
        <v>1.5010917E-2</v>
      </c>
      <c r="AK408">
        <v>1.5010917E-2</v>
      </c>
      <c r="AL408">
        <v>0.11344997599999999</v>
      </c>
      <c r="AM408">
        <v>0.11671233</v>
      </c>
      <c r="AN408">
        <v>0.13095889999999999</v>
      </c>
      <c r="AO408">
        <v>98.498908299999997</v>
      </c>
      <c r="AP408">
        <v>88.655002400000001</v>
      </c>
      <c r="AQ408">
        <v>88.328766999999999</v>
      </c>
      <c r="AR408">
        <v>86.904110000000003</v>
      </c>
      <c r="AS408" t="b">
        <v>0</v>
      </c>
      <c r="AT408" t="b">
        <v>0</v>
      </c>
      <c r="AU408" t="s">
        <v>77</v>
      </c>
      <c r="AV408" t="s">
        <v>78</v>
      </c>
      <c r="AW408" t="s">
        <v>79</v>
      </c>
      <c r="AX408" t="s">
        <v>129</v>
      </c>
      <c r="AY408" t="s">
        <v>675</v>
      </c>
      <c r="AZ408" t="s">
        <v>109</v>
      </c>
      <c r="BA408">
        <v>10</v>
      </c>
      <c r="BB408">
        <v>1</v>
      </c>
      <c r="BC408">
        <v>1.6447369E-2</v>
      </c>
      <c r="BD408">
        <v>4.2236161269162102E-4</v>
      </c>
      <c r="BE408">
        <v>1.6869730612691598E-2</v>
      </c>
      <c r="BF408">
        <f>IF(AK408&lt;BE408,1,0)</f>
        <v>1</v>
      </c>
      <c r="BG408">
        <f>IF(AK408&lt;BC408,1,0)</f>
        <v>1</v>
      </c>
      <c r="BH408">
        <f>VLOOKUP($B408,[1]Data_Peer_with_peerVars!$B$2:$Z$1050,20,FALSE)</f>
        <v>3</v>
      </c>
      <c r="BI408">
        <f>VLOOKUP($B408,[1]Data_Peer_with_peerVars!$B$2:$Z$1050,21,FALSE)</f>
        <v>3</v>
      </c>
      <c r="BJ408">
        <f>VLOOKUP($B408,[1]Data_Peer_with_peerVars!$B$2:$Z$1050,22,FALSE)</f>
        <v>1</v>
      </c>
      <c r="BK408">
        <f>VLOOKUP($B408,[1]Data_Peer_with_peerVars!$B$2:$Z$1050,23,FALSE)</f>
        <v>30</v>
      </c>
      <c r="BL408">
        <f>VLOOKUP($B408,[1]Data_Peer_with_peerVars!$B$2:$Z$1050,24,FALSE)</f>
        <v>21</v>
      </c>
      <c r="BM408">
        <f>VLOOKUP($B408,[1]Data_Peer_with_peerVars!$B$2:$Z$1050,25,FALSE)</f>
        <v>0.7</v>
      </c>
    </row>
    <row r="409" spans="1:65" x14ac:dyDescent="0.2">
      <c r="A409">
        <v>1</v>
      </c>
      <c r="B409" t="s">
        <v>676</v>
      </c>
      <c r="C409">
        <v>212</v>
      </c>
      <c r="D409" t="s">
        <v>68</v>
      </c>
      <c r="E409">
        <v>1</v>
      </c>
      <c r="F409">
        <v>286</v>
      </c>
      <c r="G409" t="s">
        <v>69</v>
      </c>
      <c r="H409" s="1">
        <v>7</v>
      </c>
      <c r="I409" t="s">
        <v>87</v>
      </c>
      <c r="J409" t="s">
        <v>124</v>
      </c>
      <c r="K409" t="s">
        <v>109</v>
      </c>
      <c r="L409">
        <v>1</v>
      </c>
      <c r="M409">
        <v>0</v>
      </c>
      <c r="N409">
        <v>1</v>
      </c>
      <c r="O409">
        <v>0</v>
      </c>
      <c r="P409">
        <v>0</v>
      </c>
      <c r="Q409">
        <v>6</v>
      </c>
      <c r="R409">
        <v>0</v>
      </c>
      <c r="S409">
        <v>0</v>
      </c>
      <c r="T409">
        <v>1</v>
      </c>
      <c r="U409">
        <v>1</v>
      </c>
      <c r="V409">
        <f t="shared" si="166"/>
        <v>0</v>
      </c>
      <c r="W409">
        <f t="shared" si="167"/>
        <v>0</v>
      </c>
      <c r="X409">
        <f t="shared" si="170"/>
        <v>0</v>
      </c>
      <c r="Y409">
        <f t="shared" si="168"/>
        <v>0</v>
      </c>
      <c r="Z409" t="s">
        <v>89</v>
      </c>
      <c r="AA409" s="5" t="s">
        <v>107</v>
      </c>
      <c r="AB409" s="5" t="s">
        <v>677</v>
      </c>
      <c r="AC409" t="s">
        <v>73</v>
      </c>
      <c r="AD409" t="s">
        <v>94</v>
      </c>
      <c r="AE409" s="5" t="s">
        <v>106</v>
      </c>
      <c r="AF409" t="s">
        <v>107</v>
      </c>
      <c r="AG409" t="s">
        <v>95</v>
      </c>
      <c r="AH409">
        <f t="shared" si="179"/>
        <v>3.8167940000000001E-3</v>
      </c>
      <c r="AI409">
        <f t="shared" si="180"/>
        <v>3.8167940000000001E-3</v>
      </c>
      <c r="AJ409">
        <f t="shared" si="169"/>
        <v>3.8167940000000001E-3</v>
      </c>
      <c r="AK409">
        <v>3.8167940000000001E-3</v>
      </c>
      <c r="AL409">
        <v>0.13196722</v>
      </c>
      <c r="AM409">
        <v>0.13623904000000001</v>
      </c>
      <c r="AN409">
        <v>0.13894967999999999</v>
      </c>
      <c r="AO409">
        <v>99.618320600000004</v>
      </c>
      <c r="AP409">
        <v>86.803278000000006</v>
      </c>
      <c r="AQ409">
        <v>86.376096000000004</v>
      </c>
      <c r="AR409">
        <v>86.105031999999994</v>
      </c>
      <c r="AS409" t="b">
        <v>0</v>
      </c>
      <c r="AT409" t="b">
        <v>0</v>
      </c>
      <c r="AU409" t="s">
        <v>92</v>
      </c>
      <c r="AV409" t="s">
        <v>92</v>
      </c>
      <c r="AW409" t="s">
        <v>79</v>
      </c>
      <c r="AX409" t="s">
        <v>129</v>
      </c>
      <c r="AY409" t="s">
        <v>675</v>
      </c>
      <c r="AZ409" t="s">
        <v>109</v>
      </c>
      <c r="BA409">
        <v>2</v>
      </c>
      <c r="BB409">
        <v>1</v>
      </c>
      <c r="BC409">
        <v>4.1163553999999996E-3</v>
      </c>
      <c r="BD409">
        <v>1.4279989108178799E-4</v>
      </c>
      <c r="BE409">
        <v>4.2591552910817903E-3</v>
      </c>
      <c r="BF409">
        <f>IF(AK409&lt;BE409,1,0)</f>
        <v>1</v>
      </c>
      <c r="BG409">
        <f>IF(AK409&lt;BC409,1,0)</f>
        <v>1</v>
      </c>
      <c r="BH409">
        <f>VLOOKUP($B409,[1]Data_Peer_with_peerVars!$B$2:$Z$1050,20,FALSE)</f>
        <v>3</v>
      </c>
      <c r="BI409">
        <f>VLOOKUP($B409,[1]Data_Peer_with_peerVars!$B$2:$Z$1050,21,FALSE)</f>
        <v>3</v>
      </c>
      <c r="BJ409">
        <f>VLOOKUP($B409,[1]Data_Peer_with_peerVars!$B$2:$Z$1050,22,FALSE)</f>
        <v>1</v>
      </c>
      <c r="BK409">
        <f>VLOOKUP($B409,[1]Data_Peer_with_peerVars!$B$2:$Z$1050,23,FALSE)</f>
        <v>30</v>
      </c>
      <c r="BL409">
        <f>VLOOKUP($B409,[1]Data_Peer_with_peerVars!$B$2:$Z$1050,24,FALSE)</f>
        <v>21</v>
      </c>
      <c r="BM409">
        <f>VLOOKUP($B409,[1]Data_Peer_with_peerVars!$B$2:$Z$1050,25,FALSE)</f>
        <v>0.7</v>
      </c>
    </row>
    <row r="410" spans="1:65" x14ac:dyDescent="0.2">
      <c r="A410">
        <v>1</v>
      </c>
      <c r="B410" t="s">
        <v>678</v>
      </c>
      <c r="C410">
        <v>212</v>
      </c>
      <c r="D410" t="s">
        <v>68</v>
      </c>
      <c r="E410">
        <v>1</v>
      </c>
      <c r="F410">
        <v>286</v>
      </c>
      <c r="G410" t="s">
        <v>69</v>
      </c>
      <c r="H410" s="1">
        <v>7</v>
      </c>
      <c r="I410" t="s">
        <v>87</v>
      </c>
      <c r="J410" t="s">
        <v>124</v>
      </c>
      <c r="K410" t="s">
        <v>109</v>
      </c>
      <c r="L410">
        <v>1</v>
      </c>
      <c r="M410">
        <v>0</v>
      </c>
      <c r="N410">
        <v>1</v>
      </c>
      <c r="O410">
        <v>0</v>
      </c>
      <c r="P410">
        <v>0</v>
      </c>
      <c r="Q410">
        <v>6</v>
      </c>
      <c r="R410">
        <v>1</v>
      </c>
      <c r="S410">
        <v>1</v>
      </c>
      <c r="T410">
        <v>1</v>
      </c>
      <c r="U410">
        <v>1</v>
      </c>
      <c r="V410">
        <f t="shared" si="166"/>
        <v>0</v>
      </c>
      <c r="W410">
        <f t="shared" si="167"/>
        <v>0</v>
      </c>
      <c r="X410">
        <f t="shared" si="170"/>
        <v>0</v>
      </c>
      <c r="Y410">
        <f t="shared" si="168"/>
        <v>0</v>
      </c>
      <c r="Z410" t="s">
        <v>73</v>
      </c>
      <c r="AA410" s="5" t="s">
        <v>73</v>
      </c>
      <c r="AB410" s="5" t="s">
        <v>73</v>
      </c>
      <c r="AC410" t="s">
        <v>107</v>
      </c>
      <c r="AD410" t="s">
        <v>95</v>
      </c>
      <c r="AE410" s="5" t="s">
        <v>95</v>
      </c>
      <c r="AF410" t="s">
        <v>173</v>
      </c>
      <c r="AG410" t="s">
        <v>174</v>
      </c>
      <c r="AH410">
        <f t="shared" si="179"/>
        <v>8.7623219999999995E-3</v>
      </c>
      <c r="AI410">
        <f t="shared" si="180"/>
        <v>8.7623219999999995E-3</v>
      </c>
      <c r="AJ410">
        <f t="shared" si="169"/>
        <v>8.7623219999999995E-3</v>
      </c>
      <c r="AK410">
        <v>8.7623219999999995E-3</v>
      </c>
      <c r="AL410">
        <v>7.667032E-2</v>
      </c>
      <c r="AM410">
        <v>9.3493715000000005E-2</v>
      </c>
      <c r="AN410">
        <v>9.7480830000000004E-2</v>
      </c>
      <c r="AO410">
        <v>99.123767799999996</v>
      </c>
      <c r="AP410">
        <v>92.332967999999994</v>
      </c>
      <c r="AQ410">
        <v>90.650628499999996</v>
      </c>
      <c r="AR410">
        <v>90.251917000000006</v>
      </c>
      <c r="AS410" t="b">
        <v>0</v>
      </c>
      <c r="AT410" t="b">
        <v>0</v>
      </c>
      <c r="AU410" t="s">
        <v>77</v>
      </c>
      <c r="AV410" t="s">
        <v>77</v>
      </c>
      <c r="AW410" t="s">
        <v>79</v>
      </c>
      <c r="AX410" t="s">
        <v>129</v>
      </c>
      <c r="AY410" t="s">
        <v>675</v>
      </c>
      <c r="AZ410" t="s">
        <v>109</v>
      </c>
      <c r="BA410">
        <v>4</v>
      </c>
      <c r="BB410">
        <v>0.5</v>
      </c>
      <c r="BC410">
        <v>2.6475456000000001E-2</v>
      </c>
      <c r="BD410">
        <v>8.8330364056477401E-3</v>
      </c>
      <c r="BE410">
        <v>3.53084924056477E-2</v>
      </c>
      <c r="BF410">
        <f>IF(AK410&lt;BE410,1,0)</f>
        <v>1</v>
      </c>
      <c r="BG410">
        <f>IF(AK410&lt;BC410,1,0)</f>
        <v>1</v>
      </c>
      <c r="BH410">
        <f>VLOOKUP($B410,[1]Data_Peer_with_peerVars!$B$2:$Z$1050,20,FALSE)</f>
        <v>3</v>
      </c>
      <c r="BI410">
        <f>VLOOKUP($B410,[1]Data_Peer_with_peerVars!$B$2:$Z$1050,21,FALSE)</f>
        <v>3</v>
      </c>
      <c r="BJ410">
        <f>VLOOKUP($B410,[1]Data_Peer_with_peerVars!$B$2:$Z$1050,22,FALSE)</f>
        <v>1</v>
      </c>
      <c r="BK410">
        <f>VLOOKUP($B410,[1]Data_Peer_with_peerVars!$B$2:$Z$1050,23,FALSE)</f>
        <v>30</v>
      </c>
      <c r="BL410">
        <f>VLOOKUP($B410,[1]Data_Peer_with_peerVars!$B$2:$Z$1050,24,FALSE)</f>
        <v>21</v>
      </c>
      <c r="BM410">
        <f>VLOOKUP($B410,[1]Data_Peer_with_peerVars!$B$2:$Z$1050,25,FALSE)</f>
        <v>0.7</v>
      </c>
    </row>
    <row r="411" spans="1:65" x14ac:dyDescent="0.2">
      <c r="A411">
        <v>1</v>
      </c>
      <c r="B411" t="s">
        <v>679</v>
      </c>
      <c r="C411">
        <v>213</v>
      </c>
      <c r="D411" t="s">
        <v>68</v>
      </c>
      <c r="E411">
        <v>1</v>
      </c>
      <c r="F411">
        <v>319</v>
      </c>
      <c r="G411" t="s">
        <v>86</v>
      </c>
      <c r="H411" s="1">
        <v>7</v>
      </c>
      <c r="I411" t="s">
        <v>87</v>
      </c>
      <c r="J411" t="s">
        <v>124</v>
      </c>
      <c r="K411" t="s">
        <v>109</v>
      </c>
      <c r="L411">
        <v>1</v>
      </c>
      <c r="M411">
        <v>0</v>
      </c>
      <c r="N411">
        <v>1</v>
      </c>
      <c r="O411">
        <v>0</v>
      </c>
      <c r="P411">
        <v>0</v>
      </c>
      <c r="Q411">
        <v>11</v>
      </c>
      <c r="R411">
        <v>0</v>
      </c>
      <c r="S411">
        <v>0</v>
      </c>
      <c r="T411">
        <v>1</v>
      </c>
      <c r="U411">
        <v>1</v>
      </c>
      <c r="V411">
        <f t="shared" si="166"/>
        <v>1</v>
      </c>
      <c r="W411">
        <v>1</v>
      </c>
      <c r="X411">
        <v>1</v>
      </c>
      <c r="Y411">
        <v>1</v>
      </c>
      <c r="Z411" t="s">
        <v>94</v>
      </c>
      <c r="AA411" s="5" t="s">
        <v>94</v>
      </c>
      <c r="AB411" s="5" t="s">
        <v>94</v>
      </c>
      <c r="AC411" t="s">
        <v>94</v>
      </c>
      <c r="AD411" t="s">
        <v>95</v>
      </c>
      <c r="AE411" s="5" t="s">
        <v>95</v>
      </c>
      <c r="AF411" t="s">
        <v>107</v>
      </c>
      <c r="AG411" t="s">
        <v>74</v>
      </c>
      <c r="AH411">
        <f t="shared" si="179"/>
        <v>5.5949779999999998E-2</v>
      </c>
      <c r="AI411">
        <f t="shared" si="180"/>
        <v>5.5949779999999998E-2</v>
      </c>
      <c r="AJ411">
        <f t="shared" si="169"/>
        <v>5.5949779999999998E-2</v>
      </c>
      <c r="AK411">
        <v>5.5949779999999998E-2</v>
      </c>
      <c r="AL411">
        <v>0.12793876000000001</v>
      </c>
      <c r="AM411">
        <v>0.13260274</v>
      </c>
      <c r="AN411">
        <v>0.13369863000000001</v>
      </c>
      <c r="AO411">
        <v>94.405022000000002</v>
      </c>
      <c r="AP411">
        <v>87.206124000000003</v>
      </c>
      <c r="AQ411">
        <v>86.739726000000005</v>
      </c>
      <c r="AR411">
        <v>86.630137000000005</v>
      </c>
      <c r="AS411" t="b">
        <v>1</v>
      </c>
      <c r="AT411" t="b">
        <v>0</v>
      </c>
      <c r="AU411" t="s">
        <v>77</v>
      </c>
      <c r="AV411" t="s">
        <v>78</v>
      </c>
      <c r="AW411" t="s">
        <v>79</v>
      </c>
      <c r="AX411" t="s">
        <v>129</v>
      </c>
      <c r="AY411" t="s">
        <v>675</v>
      </c>
      <c r="AZ411" t="s">
        <v>109</v>
      </c>
      <c r="BA411">
        <v>1</v>
      </c>
      <c r="BB411">
        <v>0.7</v>
      </c>
      <c r="BC411">
        <v>1.6447369E-2</v>
      </c>
      <c r="BD411">
        <v>4.2236161269162102E-4</v>
      </c>
      <c r="BE411">
        <v>1.6869730612691598E-2</v>
      </c>
      <c r="BF411">
        <f>IF(AK411&lt;BE411,1,0)</f>
        <v>0</v>
      </c>
      <c r="BG411">
        <f>IF(AK411&lt;BC411,1,0)</f>
        <v>0</v>
      </c>
      <c r="BH411">
        <f>VLOOKUP($B411,[1]Data_Peer_with_peerVars!$B$2:$Z$1050,20,FALSE)</f>
        <v>0</v>
      </c>
      <c r="BI411">
        <f>VLOOKUP($B411,[1]Data_Peer_with_peerVars!$B$2:$Z$1050,21,FALSE)</f>
        <v>0</v>
      </c>
      <c r="BJ411">
        <v>0</v>
      </c>
      <c r="BK411">
        <f>VLOOKUP($B411,[1]Data_Peer_with_peerVars!$B$2:$Z$1050,23,FALSE)</f>
        <v>14</v>
      </c>
      <c r="BL411">
        <f>VLOOKUP($B411,[1]Data_Peer_with_peerVars!$B$2:$Z$1050,24,FALSE)</f>
        <v>6</v>
      </c>
      <c r="BM411">
        <f>VLOOKUP($B411,[1]Data_Peer_with_peerVars!$B$2:$Z$1050,25,FALSE)</f>
        <v>0.428571429</v>
      </c>
    </row>
    <row r="412" spans="1:65" x14ac:dyDescent="0.2">
      <c r="A412">
        <v>1</v>
      </c>
      <c r="B412" t="s">
        <v>680</v>
      </c>
      <c r="C412">
        <v>213</v>
      </c>
      <c r="D412" t="s">
        <v>68</v>
      </c>
      <c r="E412">
        <v>1</v>
      </c>
      <c r="F412">
        <v>319</v>
      </c>
      <c r="G412" t="s">
        <v>86</v>
      </c>
      <c r="H412" s="1">
        <v>7</v>
      </c>
      <c r="I412" t="s">
        <v>87</v>
      </c>
      <c r="J412" t="s">
        <v>124</v>
      </c>
      <c r="K412" t="s">
        <v>109</v>
      </c>
      <c r="L412">
        <v>1</v>
      </c>
      <c r="M412">
        <v>0</v>
      </c>
      <c r="N412">
        <v>1</v>
      </c>
      <c r="O412">
        <v>0</v>
      </c>
      <c r="P412">
        <v>0</v>
      </c>
      <c r="Q412">
        <v>11</v>
      </c>
      <c r="R412">
        <v>0</v>
      </c>
      <c r="S412">
        <v>0</v>
      </c>
      <c r="T412">
        <v>0</v>
      </c>
      <c r="U412">
        <v>0</v>
      </c>
      <c r="V412">
        <f t="shared" si="166"/>
        <v>1</v>
      </c>
      <c r="W412">
        <v>1</v>
      </c>
      <c r="X412">
        <v>1</v>
      </c>
      <c r="Y412">
        <v>1</v>
      </c>
      <c r="Z412" t="s">
        <v>73</v>
      </c>
      <c r="AA412" s="5" t="s">
        <v>73</v>
      </c>
      <c r="AB412" s="5" t="s">
        <v>73</v>
      </c>
      <c r="AC412" t="s">
        <v>73</v>
      </c>
      <c r="AD412" t="s">
        <v>94</v>
      </c>
      <c r="AE412" s="5" t="s">
        <v>94</v>
      </c>
      <c r="AF412" t="s">
        <v>75</v>
      </c>
      <c r="AG412" t="s">
        <v>95</v>
      </c>
      <c r="AH412">
        <f t="shared" si="179"/>
        <v>6.792144E-2</v>
      </c>
      <c r="AI412">
        <f t="shared" si="180"/>
        <v>6.792144E-2</v>
      </c>
      <c r="AJ412">
        <f t="shared" si="169"/>
        <v>6.792144E-2</v>
      </c>
      <c r="AK412">
        <v>6.792144E-2</v>
      </c>
      <c r="AL412">
        <v>0.11796832</v>
      </c>
      <c r="AM412">
        <v>0.12972085</v>
      </c>
      <c r="AN412">
        <v>0.14188081</v>
      </c>
      <c r="AO412">
        <v>93.207856000000007</v>
      </c>
      <c r="AP412">
        <v>88.203168000000005</v>
      </c>
      <c r="AQ412">
        <v>87.027914999999993</v>
      </c>
      <c r="AR412">
        <v>85.811919000000003</v>
      </c>
      <c r="AS412" t="b">
        <v>1</v>
      </c>
      <c r="AT412" t="b">
        <v>0</v>
      </c>
      <c r="AU412" t="s">
        <v>77</v>
      </c>
      <c r="AV412" t="s">
        <v>78</v>
      </c>
      <c r="AW412" t="s">
        <v>79</v>
      </c>
      <c r="AX412" t="s">
        <v>129</v>
      </c>
      <c r="AY412" t="s">
        <v>675</v>
      </c>
      <c r="AZ412" t="s">
        <v>109</v>
      </c>
      <c r="BA412">
        <v>1</v>
      </c>
      <c r="BB412">
        <v>0.7</v>
      </c>
      <c r="BC412">
        <v>4.1163553999999996E-3</v>
      </c>
      <c r="BD412">
        <v>1.4279989108178799E-4</v>
      </c>
      <c r="BE412">
        <v>4.2591552910817903E-3</v>
      </c>
      <c r="BF412">
        <f>IF(AK412&lt;BE412,1,0)</f>
        <v>0</v>
      </c>
      <c r="BG412">
        <f>IF(AK412&lt;BC412,1,0)</f>
        <v>0</v>
      </c>
      <c r="BH412">
        <f>VLOOKUP($B412,[1]Data_Peer_with_peerVars!$B$2:$Z$1050,20,FALSE)</f>
        <v>0</v>
      </c>
      <c r="BI412">
        <f>VLOOKUP($B412,[1]Data_Peer_with_peerVars!$B$2:$Z$1050,21,FALSE)</f>
        <v>0</v>
      </c>
      <c r="BJ412">
        <v>0</v>
      </c>
      <c r="BK412">
        <f>VLOOKUP($B412,[1]Data_Peer_with_peerVars!$B$2:$Z$1050,23,FALSE)</f>
        <v>14</v>
      </c>
      <c r="BL412">
        <f>VLOOKUP($B412,[1]Data_Peer_with_peerVars!$B$2:$Z$1050,24,FALSE)</f>
        <v>6</v>
      </c>
      <c r="BM412">
        <f>VLOOKUP($B412,[1]Data_Peer_with_peerVars!$B$2:$Z$1050,25,FALSE)</f>
        <v>0.428571429</v>
      </c>
    </row>
    <row r="413" spans="1:65" x14ac:dyDescent="0.2">
      <c r="A413">
        <v>1</v>
      </c>
      <c r="B413" t="s">
        <v>681</v>
      </c>
      <c r="C413">
        <v>213</v>
      </c>
      <c r="D413" t="s">
        <v>68</v>
      </c>
      <c r="E413">
        <v>1</v>
      </c>
      <c r="F413">
        <v>319</v>
      </c>
      <c r="G413" t="s">
        <v>86</v>
      </c>
      <c r="H413" s="1">
        <v>7</v>
      </c>
      <c r="I413" t="s">
        <v>87</v>
      </c>
      <c r="J413" t="s">
        <v>124</v>
      </c>
      <c r="K413" t="s">
        <v>109</v>
      </c>
      <c r="L413">
        <v>1</v>
      </c>
      <c r="M413">
        <v>0</v>
      </c>
      <c r="N413">
        <v>1</v>
      </c>
      <c r="O413">
        <v>0</v>
      </c>
      <c r="P413">
        <v>0</v>
      </c>
      <c r="Q413">
        <v>11</v>
      </c>
      <c r="R413">
        <v>0</v>
      </c>
      <c r="S413">
        <v>0</v>
      </c>
      <c r="T413">
        <v>0</v>
      </c>
      <c r="U413">
        <v>0</v>
      </c>
      <c r="V413">
        <f t="shared" si="166"/>
        <v>0</v>
      </c>
      <c r="W413">
        <f t="shared" si="167"/>
        <v>0</v>
      </c>
      <c r="X413">
        <f t="shared" si="170"/>
        <v>0</v>
      </c>
      <c r="Y413">
        <f t="shared" si="168"/>
        <v>0</v>
      </c>
      <c r="Z413" t="s">
        <v>89</v>
      </c>
      <c r="AA413" s="5" t="s">
        <v>82</v>
      </c>
      <c r="AB413" s="5" t="s">
        <v>82</v>
      </c>
      <c r="AC413" t="s">
        <v>101</v>
      </c>
      <c r="AD413" t="s">
        <v>99</v>
      </c>
      <c r="AE413" s="5" t="s">
        <v>99</v>
      </c>
      <c r="AF413" t="s">
        <v>103</v>
      </c>
      <c r="AG413" t="s">
        <v>102</v>
      </c>
      <c r="AH413">
        <f t="shared" ref="AH413:AH417" si="181">AI413</f>
        <v>3.7616692E-2</v>
      </c>
      <c r="AI413">
        <f t="shared" ref="AI413:AI417" si="182">AJ413</f>
        <v>3.7616692E-2</v>
      </c>
      <c r="AJ413">
        <f t="shared" si="169"/>
        <v>3.7616692E-2</v>
      </c>
      <c r="AK413">
        <v>3.7616692E-2</v>
      </c>
      <c r="AL413">
        <v>7.656164E-2</v>
      </c>
      <c r="AM413">
        <v>8.46663E-2</v>
      </c>
      <c r="AN413">
        <v>0.121784344</v>
      </c>
      <c r="AO413">
        <v>96.2383308</v>
      </c>
      <c r="AP413">
        <v>92.343835999999996</v>
      </c>
      <c r="AQ413">
        <v>91.533370000000005</v>
      </c>
      <c r="AR413">
        <v>87.8215656</v>
      </c>
      <c r="AS413" t="b">
        <v>0</v>
      </c>
      <c r="AT413" t="b">
        <v>0</v>
      </c>
      <c r="AU413" t="s">
        <v>108</v>
      </c>
      <c r="AV413" t="s">
        <v>108</v>
      </c>
      <c r="AW413" t="s">
        <v>79</v>
      </c>
      <c r="AX413" t="s">
        <v>129</v>
      </c>
      <c r="AY413" t="s">
        <v>675</v>
      </c>
      <c r="AZ413" t="s">
        <v>82</v>
      </c>
      <c r="BA413" t="s">
        <v>82</v>
      </c>
      <c r="BB413" t="s">
        <v>82</v>
      </c>
      <c r="BC413">
        <v>1.4096186E-2</v>
      </c>
      <c r="BD413">
        <v>1.55088650053763E-3</v>
      </c>
      <c r="BE413">
        <v>1.5647072500537599E-2</v>
      </c>
      <c r="BF413">
        <f>IF(AK413&lt;BE413,1,0)</f>
        <v>0</v>
      </c>
      <c r="BG413">
        <f>IF(AK413&lt;BC413,1,0)</f>
        <v>0</v>
      </c>
    </row>
    <row r="414" spans="1:65" x14ac:dyDescent="0.2">
      <c r="A414">
        <v>1</v>
      </c>
      <c r="B414" t="s">
        <v>682</v>
      </c>
      <c r="C414">
        <v>214</v>
      </c>
      <c r="D414" t="s">
        <v>68</v>
      </c>
      <c r="E414">
        <v>1</v>
      </c>
      <c r="F414">
        <v>364</v>
      </c>
      <c r="G414" t="s">
        <v>69</v>
      </c>
      <c r="H414" s="1">
        <v>6</v>
      </c>
      <c r="I414" t="s">
        <v>87</v>
      </c>
      <c r="J414" t="s">
        <v>88</v>
      </c>
      <c r="K414" t="s">
        <v>109</v>
      </c>
      <c r="L414">
        <v>1</v>
      </c>
      <c r="M414">
        <v>0</v>
      </c>
      <c r="N414">
        <v>1</v>
      </c>
      <c r="O414">
        <v>0</v>
      </c>
      <c r="P414">
        <v>0</v>
      </c>
      <c r="Q414">
        <v>3</v>
      </c>
      <c r="R414">
        <v>0</v>
      </c>
      <c r="S414">
        <v>0</v>
      </c>
      <c r="T414">
        <v>1</v>
      </c>
      <c r="U414">
        <v>1</v>
      </c>
      <c r="V414">
        <f t="shared" si="166"/>
        <v>0</v>
      </c>
      <c r="W414">
        <f t="shared" si="167"/>
        <v>0</v>
      </c>
      <c r="X414">
        <f t="shared" si="170"/>
        <v>0</v>
      </c>
      <c r="Y414">
        <f t="shared" si="168"/>
        <v>0</v>
      </c>
      <c r="Z414" t="s">
        <v>98</v>
      </c>
      <c r="AA414" s="5" t="s">
        <v>99</v>
      </c>
      <c r="AB414" s="5" t="s">
        <v>683</v>
      </c>
      <c r="AC414" t="s">
        <v>94</v>
      </c>
      <c r="AD414" t="s">
        <v>95</v>
      </c>
      <c r="AE414" s="5" t="s">
        <v>95</v>
      </c>
      <c r="AF414" t="s">
        <v>107</v>
      </c>
      <c r="AG414" t="s">
        <v>74</v>
      </c>
      <c r="AH414">
        <f t="shared" si="181"/>
        <v>1.5283843E-2</v>
      </c>
      <c r="AI414">
        <f t="shared" si="182"/>
        <v>1.5283843E-2</v>
      </c>
      <c r="AJ414">
        <f t="shared" si="169"/>
        <v>1.5283843E-2</v>
      </c>
      <c r="AK414">
        <v>1.5283843E-2</v>
      </c>
      <c r="AL414">
        <v>0.108802624</v>
      </c>
      <c r="AM414">
        <v>0.11178082</v>
      </c>
      <c r="AN414">
        <v>0.12684930999999999</v>
      </c>
      <c r="AO414">
        <v>98.471615700000001</v>
      </c>
      <c r="AP414">
        <v>89.119737599999993</v>
      </c>
      <c r="AQ414">
        <v>88.821917999999997</v>
      </c>
      <c r="AR414">
        <v>87.315068999999994</v>
      </c>
      <c r="AS414" t="b">
        <v>0</v>
      </c>
      <c r="AT414" t="b">
        <v>0</v>
      </c>
      <c r="AU414" t="s">
        <v>77</v>
      </c>
      <c r="AV414" t="s">
        <v>78</v>
      </c>
      <c r="AW414" t="s">
        <v>79</v>
      </c>
      <c r="AX414" t="s">
        <v>129</v>
      </c>
      <c r="AY414" t="s">
        <v>675</v>
      </c>
      <c r="AZ414" t="s">
        <v>109</v>
      </c>
      <c r="BA414">
        <v>5</v>
      </c>
      <c r="BB414">
        <v>1.05</v>
      </c>
      <c r="BC414">
        <v>1.6447369E-2</v>
      </c>
      <c r="BD414">
        <v>4.2236161269162102E-4</v>
      </c>
      <c r="BE414">
        <v>1.6869730612691598E-2</v>
      </c>
      <c r="BF414">
        <f>IF(AK414&lt;BE414,1,0)</f>
        <v>1</v>
      </c>
      <c r="BG414">
        <f>IF(AK414&lt;BC414,1,0)</f>
        <v>1</v>
      </c>
      <c r="BH414">
        <f>VLOOKUP($B414,[1]Data_Peer_with_peerVars!$B$2:$Z$1050,20,FALSE)</f>
        <v>2</v>
      </c>
      <c r="BI414">
        <f>VLOOKUP($B414,[1]Data_Peer_with_peerVars!$B$2:$Z$1050,21,FALSE)</f>
        <v>0</v>
      </c>
      <c r="BJ414">
        <f>VLOOKUP($B414,[1]Data_Peer_with_peerVars!$B$2:$Z$1050,22,FALSE)</f>
        <v>0</v>
      </c>
      <c r="BK414">
        <f>VLOOKUP($B414,[1]Data_Peer_with_peerVars!$B$2:$Z$1050,23,FALSE)</f>
        <v>28</v>
      </c>
      <c r="BL414">
        <f>VLOOKUP($B414,[1]Data_Peer_with_peerVars!$B$2:$Z$1050,24,FALSE)</f>
        <v>18</v>
      </c>
      <c r="BM414">
        <f>VLOOKUP($B414,[1]Data_Peer_with_peerVars!$B$2:$Z$1050,25,FALSE)</f>
        <v>0.64285714299999996</v>
      </c>
    </row>
    <row r="415" spans="1:65" x14ac:dyDescent="0.2">
      <c r="A415">
        <v>1</v>
      </c>
      <c r="B415" t="s">
        <v>684</v>
      </c>
      <c r="C415">
        <v>214</v>
      </c>
      <c r="D415" t="s">
        <v>68</v>
      </c>
      <c r="E415">
        <v>1</v>
      </c>
      <c r="F415">
        <v>364</v>
      </c>
      <c r="G415" t="s">
        <v>69</v>
      </c>
      <c r="H415" s="1">
        <v>6</v>
      </c>
      <c r="I415" t="s">
        <v>87</v>
      </c>
      <c r="J415" t="s">
        <v>88</v>
      </c>
      <c r="K415" t="s">
        <v>109</v>
      </c>
      <c r="L415">
        <v>1</v>
      </c>
      <c r="M415">
        <v>0</v>
      </c>
      <c r="N415">
        <v>1</v>
      </c>
      <c r="O415">
        <v>0</v>
      </c>
      <c r="P415">
        <v>0</v>
      </c>
      <c r="Q415">
        <v>3</v>
      </c>
      <c r="R415">
        <v>0</v>
      </c>
      <c r="S415">
        <v>0</v>
      </c>
      <c r="T415">
        <v>0</v>
      </c>
      <c r="U415">
        <v>0</v>
      </c>
      <c r="V415">
        <f t="shared" si="166"/>
        <v>0</v>
      </c>
      <c r="W415">
        <f t="shared" si="167"/>
        <v>0</v>
      </c>
      <c r="X415">
        <f t="shared" si="170"/>
        <v>0</v>
      </c>
      <c r="Y415">
        <f t="shared" si="168"/>
        <v>0</v>
      </c>
      <c r="Z415" t="s">
        <v>170</v>
      </c>
      <c r="AA415" s="5" t="s">
        <v>170</v>
      </c>
      <c r="AB415" s="5" t="s">
        <v>685</v>
      </c>
      <c r="AC415" t="s">
        <v>101</v>
      </c>
      <c r="AD415" t="s">
        <v>114</v>
      </c>
      <c r="AE415" s="5" t="s">
        <v>686</v>
      </c>
      <c r="AF415" t="s">
        <v>167</v>
      </c>
      <c r="AG415" t="s">
        <v>103</v>
      </c>
      <c r="AH415">
        <f t="shared" si="181"/>
        <v>0.26248612999999998</v>
      </c>
      <c r="AI415">
        <f t="shared" si="182"/>
        <v>0.26248612999999998</v>
      </c>
      <c r="AJ415">
        <f t="shared" si="169"/>
        <v>0.26248612999999998</v>
      </c>
      <c r="AK415">
        <v>0.26248612999999998</v>
      </c>
      <c r="AL415">
        <v>0.26508024000000002</v>
      </c>
      <c r="AM415">
        <v>0.26675900000000002</v>
      </c>
      <c r="AN415">
        <v>0.26781737999999999</v>
      </c>
      <c r="AO415">
        <v>73.751386999999994</v>
      </c>
      <c r="AP415">
        <v>73.491975999999994</v>
      </c>
      <c r="AQ415">
        <v>73.324100000000001</v>
      </c>
      <c r="AR415">
        <v>73.218261999999996</v>
      </c>
      <c r="AS415" t="b">
        <v>0</v>
      </c>
      <c r="AT415" t="b">
        <v>0</v>
      </c>
      <c r="AU415" t="s">
        <v>92</v>
      </c>
      <c r="AV415" t="s">
        <v>92</v>
      </c>
      <c r="AW415" t="s">
        <v>79</v>
      </c>
      <c r="AX415" t="s">
        <v>129</v>
      </c>
      <c r="AY415" t="s">
        <v>675</v>
      </c>
      <c r="AZ415" t="s">
        <v>109</v>
      </c>
      <c r="BA415">
        <v>3</v>
      </c>
      <c r="BB415">
        <v>0.98</v>
      </c>
      <c r="BC415">
        <v>1.4096186E-2</v>
      </c>
      <c r="BD415">
        <v>1.55088650053763E-3</v>
      </c>
      <c r="BE415">
        <v>1.5647072500537599E-2</v>
      </c>
      <c r="BF415">
        <f>IF(AK415&lt;BE415,1,0)</f>
        <v>0</v>
      </c>
      <c r="BG415">
        <f>IF(AK415&lt;BC415,1,0)</f>
        <v>0</v>
      </c>
      <c r="BH415">
        <f>VLOOKUP($B415,[1]Data_Peer_with_peerVars!$B$2:$Z$1050,20,FALSE)</f>
        <v>2</v>
      </c>
      <c r="BI415">
        <f>VLOOKUP($B415,[1]Data_Peer_with_peerVars!$B$2:$Z$1050,21,FALSE)</f>
        <v>0</v>
      </c>
      <c r="BJ415">
        <f>VLOOKUP($B415,[1]Data_Peer_with_peerVars!$B$2:$Z$1050,22,FALSE)</f>
        <v>0</v>
      </c>
      <c r="BK415">
        <f>VLOOKUP($B415,[1]Data_Peer_with_peerVars!$B$2:$Z$1050,23,FALSE)</f>
        <v>28</v>
      </c>
      <c r="BL415">
        <f>VLOOKUP($B415,[1]Data_Peer_with_peerVars!$B$2:$Z$1050,24,FALSE)</f>
        <v>18</v>
      </c>
      <c r="BM415">
        <f>VLOOKUP($B415,[1]Data_Peer_with_peerVars!$B$2:$Z$1050,25,FALSE)</f>
        <v>0.64285714299999996</v>
      </c>
    </row>
    <row r="416" spans="1:65" x14ac:dyDescent="0.2">
      <c r="A416">
        <v>1</v>
      </c>
      <c r="B416" t="s">
        <v>687</v>
      </c>
      <c r="C416">
        <v>214</v>
      </c>
      <c r="D416" t="s">
        <v>68</v>
      </c>
      <c r="E416">
        <v>1</v>
      </c>
      <c r="F416">
        <v>364</v>
      </c>
      <c r="G416" t="s">
        <v>69</v>
      </c>
      <c r="H416" s="1">
        <v>6</v>
      </c>
      <c r="I416" t="s">
        <v>87</v>
      </c>
      <c r="J416" t="s">
        <v>88</v>
      </c>
      <c r="K416" t="s">
        <v>109</v>
      </c>
      <c r="L416">
        <v>1</v>
      </c>
      <c r="M416">
        <v>0</v>
      </c>
      <c r="N416">
        <v>1</v>
      </c>
      <c r="O416">
        <v>0</v>
      </c>
      <c r="P416">
        <v>0</v>
      </c>
      <c r="Q416">
        <v>3</v>
      </c>
      <c r="R416">
        <v>0</v>
      </c>
      <c r="S416">
        <v>0</v>
      </c>
      <c r="T416">
        <v>0</v>
      </c>
      <c r="U416">
        <v>0</v>
      </c>
      <c r="V416">
        <f t="shared" si="166"/>
        <v>1</v>
      </c>
      <c r="W416">
        <v>1</v>
      </c>
      <c r="X416">
        <v>1</v>
      </c>
      <c r="Y416">
        <v>1</v>
      </c>
      <c r="Z416" t="s">
        <v>101</v>
      </c>
      <c r="AA416" s="5" t="s">
        <v>101</v>
      </c>
      <c r="AB416" s="5" t="s">
        <v>101</v>
      </c>
      <c r="AC416" t="s">
        <v>101</v>
      </c>
      <c r="AD416" t="s">
        <v>99</v>
      </c>
      <c r="AE416" s="5" t="s">
        <v>99</v>
      </c>
      <c r="AF416" t="s">
        <v>103</v>
      </c>
      <c r="AG416" t="s">
        <v>167</v>
      </c>
      <c r="AH416">
        <f t="shared" si="181"/>
        <v>5.8617674000000002E-2</v>
      </c>
      <c r="AI416">
        <f t="shared" si="182"/>
        <v>5.8617674000000002E-2</v>
      </c>
      <c r="AJ416">
        <f t="shared" si="169"/>
        <v>5.8617674000000002E-2</v>
      </c>
      <c r="AK416">
        <v>5.8617674000000002E-2</v>
      </c>
      <c r="AL416">
        <v>8.5013140000000001E-2</v>
      </c>
      <c r="AM416">
        <v>9.5800529999999995E-2</v>
      </c>
      <c r="AN416">
        <v>0.12653239999999999</v>
      </c>
      <c r="AO416">
        <v>94.138232599999995</v>
      </c>
      <c r="AP416">
        <v>91.498686000000006</v>
      </c>
      <c r="AQ416">
        <v>90.419946999999993</v>
      </c>
      <c r="AR416">
        <v>87.346760000000003</v>
      </c>
      <c r="AS416" t="b">
        <v>1</v>
      </c>
      <c r="AT416" t="b">
        <v>0</v>
      </c>
      <c r="AU416" t="s">
        <v>77</v>
      </c>
      <c r="AV416" t="s">
        <v>77</v>
      </c>
      <c r="AW416" t="s">
        <v>79</v>
      </c>
      <c r="AX416" t="s">
        <v>129</v>
      </c>
      <c r="AY416" t="s">
        <v>675</v>
      </c>
      <c r="AZ416" t="s">
        <v>109</v>
      </c>
      <c r="BA416">
        <v>10</v>
      </c>
      <c r="BB416">
        <v>1.05</v>
      </c>
      <c r="BC416">
        <v>1.4096186E-2</v>
      </c>
      <c r="BD416">
        <v>1.55088650053763E-3</v>
      </c>
      <c r="BE416">
        <v>1.5647072500537599E-2</v>
      </c>
      <c r="BF416">
        <f>IF(AK416&lt;BE416,1,0)</f>
        <v>0</v>
      </c>
      <c r="BG416">
        <f>IF(AK416&lt;BC416,1,0)</f>
        <v>0</v>
      </c>
      <c r="BH416">
        <f>VLOOKUP($B416,[1]Data_Peer_with_peerVars!$B$2:$Z$1050,20,FALSE)</f>
        <v>2</v>
      </c>
      <c r="BI416">
        <f>VLOOKUP($B416,[1]Data_Peer_with_peerVars!$B$2:$Z$1050,21,FALSE)</f>
        <v>0</v>
      </c>
      <c r="BJ416">
        <f>VLOOKUP($B416,[1]Data_Peer_with_peerVars!$B$2:$Z$1050,22,FALSE)</f>
        <v>0</v>
      </c>
      <c r="BK416">
        <f>VLOOKUP($B416,[1]Data_Peer_with_peerVars!$B$2:$Z$1050,23,FALSE)</f>
        <v>28</v>
      </c>
      <c r="BL416">
        <f>VLOOKUP($B416,[1]Data_Peer_with_peerVars!$B$2:$Z$1050,24,FALSE)</f>
        <v>18</v>
      </c>
      <c r="BM416">
        <f>VLOOKUP($B416,[1]Data_Peer_with_peerVars!$B$2:$Z$1050,25,FALSE)</f>
        <v>0.64285714299999996</v>
      </c>
    </row>
    <row r="417" spans="1:65" x14ac:dyDescent="0.2">
      <c r="A417">
        <v>1</v>
      </c>
      <c r="B417" t="s">
        <v>688</v>
      </c>
      <c r="C417">
        <v>215</v>
      </c>
      <c r="D417" t="s">
        <v>68</v>
      </c>
      <c r="E417">
        <v>1</v>
      </c>
      <c r="F417">
        <v>365</v>
      </c>
      <c r="G417" t="s">
        <v>69</v>
      </c>
      <c r="H417" s="1">
        <v>6</v>
      </c>
      <c r="I417" t="s">
        <v>70</v>
      </c>
      <c r="J417" t="s">
        <v>71</v>
      </c>
      <c r="K417" t="s">
        <v>109</v>
      </c>
      <c r="L417">
        <v>1</v>
      </c>
      <c r="M417">
        <v>0</v>
      </c>
      <c r="N417">
        <v>0</v>
      </c>
      <c r="O417">
        <v>0</v>
      </c>
      <c r="P417">
        <v>1</v>
      </c>
      <c r="Q417">
        <v>9</v>
      </c>
      <c r="R417">
        <v>0</v>
      </c>
      <c r="S417">
        <v>0</v>
      </c>
      <c r="T417">
        <v>0</v>
      </c>
      <c r="U417">
        <v>0</v>
      </c>
      <c r="V417">
        <f t="shared" si="166"/>
        <v>1</v>
      </c>
      <c r="W417">
        <v>1</v>
      </c>
      <c r="X417">
        <v>1</v>
      </c>
      <c r="Y417">
        <v>1</v>
      </c>
      <c r="Z417" t="s">
        <v>76</v>
      </c>
      <c r="AA417" s="5" t="s">
        <v>76</v>
      </c>
      <c r="AB417" s="5" t="s">
        <v>76</v>
      </c>
      <c r="AC417" t="s">
        <v>76</v>
      </c>
      <c r="AD417" t="s">
        <v>74</v>
      </c>
      <c r="AE417" s="5" t="s">
        <v>142</v>
      </c>
      <c r="AF417" t="s">
        <v>75</v>
      </c>
      <c r="AG417" t="s">
        <v>84</v>
      </c>
      <c r="AH417">
        <f t="shared" si="181"/>
        <v>7.4438974000000005E-2</v>
      </c>
      <c r="AI417">
        <f t="shared" si="182"/>
        <v>7.4438974000000005E-2</v>
      </c>
      <c r="AJ417">
        <f t="shared" si="169"/>
        <v>7.4438974000000005E-2</v>
      </c>
      <c r="AK417">
        <v>7.4438974000000005E-2</v>
      </c>
      <c r="AL417">
        <v>7.6606259999999995E-2</v>
      </c>
      <c r="AM417">
        <v>0.1154057</v>
      </c>
      <c r="AN417">
        <v>0.1179868</v>
      </c>
      <c r="AO417">
        <v>92.556102600000003</v>
      </c>
      <c r="AP417">
        <v>92.339374000000007</v>
      </c>
      <c r="AQ417">
        <v>88.459429999999998</v>
      </c>
      <c r="AR417">
        <v>88.201319999999996</v>
      </c>
      <c r="AS417" t="b">
        <v>0</v>
      </c>
      <c r="AT417" t="b">
        <v>0</v>
      </c>
      <c r="AU417" t="s">
        <v>108</v>
      </c>
      <c r="AV417" t="s">
        <v>108</v>
      </c>
      <c r="AW417" t="s">
        <v>79</v>
      </c>
      <c r="AX417" t="s">
        <v>129</v>
      </c>
      <c r="AY417" t="s">
        <v>689</v>
      </c>
      <c r="AZ417" t="s">
        <v>109</v>
      </c>
      <c r="BA417">
        <v>2</v>
      </c>
      <c r="BB417">
        <v>1.4</v>
      </c>
      <c r="BC417">
        <v>7.7070764999999999E-2</v>
      </c>
      <c r="BD417">
        <v>1.90190515067399E-3</v>
      </c>
      <c r="BE417">
        <v>7.8972670150673996E-2</v>
      </c>
      <c r="BF417">
        <f>IF(AK417&lt;BE417,1,0)</f>
        <v>1</v>
      </c>
      <c r="BG417">
        <f>IF(AK417&lt;BC417,1,0)</f>
        <v>1</v>
      </c>
      <c r="BH417">
        <f>VLOOKUP($B417,[1]Data_Peer_with_peerVars!$B$2:$Z$1050,20,FALSE)</f>
        <v>6</v>
      </c>
      <c r="BI417">
        <f>VLOOKUP($B417,[1]Data_Peer_with_peerVars!$B$2:$Z$1050,21,FALSE)</f>
        <v>5</v>
      </c>
      <c r="BJ417">
        <f>VLOOKUP($B417,[1]Data_Peer_with_peerVars!$B$2:$Z$1050,22,FALSE)</f>
        <v>0.83333333300000001</v>
      </c>
      <c r="BK417">
        <f>VLOOKUP($B417,[1]Data_Peer_with_peerVars!$B$2:$Z$1050,23,FALSE)</f>
        <v>36</v>
      </c>
      <c r="BL417">
        <f>VLOOKUP($B417,[1]Data_Peer_with_peerVars!$B$2:$Z$1050,24,FALSE)</f>
        <v>21</v>
      </c>
      <c r="BM417">
        <f>VLOOKUP($B417,[1]Data_Peer_with_peerVars!$B$2:$Z$1050,25,FALSE)</f>
        <v>0.58333333300000001</v>
      </c>
    </row>
    <row r="418" spans="1:65" x14ac:dyDescent="0.2">
      <c r="A418">
        <v>1</v>
      </c>
      <c r="B418" t="s">
        <v>690</v>
      </c>
      <c r="C418">
        <v>216</v>
      </c>
      <c r="D418" t="s">
        <v>68</v>
      </c>
      <c r="E418">
        <v>1</v>
      </c>
      <c r="F418">
        <v>376</v>
      </c>
      <c r="G418" t="s">
        <v>69</v>
      </c>
      <c r="H418" s="1">
        <v>7</v>
      </c>
      <c r="I418" t="s">
        <v>87</v>
      </c>
      <c r="J418" t="s">
        <v>124</v>
      </c>
      <c r="K418" t="s">
        <v>109</v>
      </c>
      <c r="L418">
        <v>1</v>
      </c>
      <c r="M418">
        <v>0</v>
      </c>
      <c r="N418">
        <v>1</v>
      </c>
      <c r="O418">
        <v>0</v>
      </c>
      <c r="P418">
        <v>1</v>
      </c>
      <c r="Q418">
        <v>5</v>
      </c>
      <c r="R418">
        <v>1</v>
      </c>
      <c r="S418">
        <v>1</v>
      </c>
      <c r="T418">
        <v>1</v>
      </c>
      <c r="U418">
        <v>1</v>
      </c>
      <c r="V418">
        <f t="shared" si="166"/>
        <v>0</v>
      </c>
      <c r="W418">
        <f t="shared" si="167"/>
        <v>0</v>
      </c>
      <c r="X418">
        <f t="shared" si="170"/>
        <v>0</v>
      </c>
      <c r="Y418">
        <f t="shared" si="168"/>
        <v>0</v>
      </c>
      <c r="Z418" t="s">
        <v>177</v>
      </c>
      <c r="AA418" s="5" t="s">
        <v>177</v>
      </c>
      <c r="AB418" s="5" t="s">
        <v>691</v>
      </c>
      <c r="AC418" t="s">
        <v>107</v>
      </c>
      <c r="AD418" t="s">
        <v>95</v>
      </c>
      <c r="AE418" s="5" t="s">
        <v>95</v>
      </c>
      <c r="AF418" t="s">
        <v>173</v>
      </c>
      <c r="AG418" t="s">
        <v>174</v>
      </c>
      <c r="AH418">
        <f>AI418</f>
        <v>9.0460530000000001E-3</v>
      </c>
      <c r="AI418">
        <f>AJ418</f>
        <v>9.0460530000000001E-3</v>
      </c>
      <c r="AJ418">
        <f t="shared" si="169"/>
        <v>9.0460530000000001E-3</v>
      </c>
      <c r="AK418">
        <v>9.0460530000000001E-3</v>
      </c>
      <c r="AL418">
        <v>7.7576759999999995E-2</v>
      </c>
      <c r="AM418">
        <v>9.441708E-2</v>
      </c>
      <c r="AN418">
        <v>9.8684214000000006E-2</v>
      </c>
      <c r="AO418">
        <v>99.0953947</v>
      </c>
      <c r="AP418">
        <v>92.242323999999996</v>
      </c>
      <c r="AQ418">
        <v>90.558291999999994</v>
      </c>
      <c r="AR418">
        <v>90.131578599999997</v>
      </c>
      <c r="AS418" t="b">
        <v>0</v>
      </c>
      <c r="AT418" t="b">
        <v>0</v>
      </c>
      <c r="AU418" t="s">
        <v>92</v>
      </c>
      <c r="AV418" t="s">
        <v>92</v>
      </c>
      <c r="AW418" t="s">
        <v>79</v>
      </c>
      <c r="AX418" t="s">
        <v>129</v>
      </c>
      <c r="AY418" t="s">
        <v>689</v>
      </c>
      <c r="AZ418" t="s">
        <v>109</v>
      </c>
      <c r="BA418">
        <v>3</v>
      </c>
      <c r="BB418">
        <v>0.7</v>
      </c>
      <c r="BC418">
        <v>2.6475456000000001E-2</v>
      </c>
      <c r="BD418">
        <v>8.8330364056477401E-3</v>
      </c>
      <c r="BE418">
        <v>3.53084924056477E-2</v>
      </c>
      <c r="BF418">
        <f>IF(AK418&lt;BE418,1,0)</f>
        <v>1</v>
      </c>
      <c r="BG418">
        <f>IF(AK418&lt;BC418,1,0)</f>
        <v>1</v>
      </c>
      <c r="BH418">
        <f>VLOOKUP($B418,[1]Data_Peer_with_peerVars!$B$2:$Z$1050,20,FALSE)</f>
        <v>0</v>
      </c>
      <c r="BI418">
        <f>VLOOKUP($B418,[1]Data_Peer_with_peerVars!$B$2:$Z$1050,21,FALSE)</f>
        <v>0</v>
      </c>
      <c r="BJ418">
        <v>0</v>
      </c>
      <c r="BK418">
        <f>VLOOKUP($B418,[1]Data_Peer_with_peerVars!$B$2:$Z$1050,23,FALSE)</f>
        <v>14</v>
      </c>
      <c r="BL418">
        <f>VLOOKUP($B418,[1]Data_Peer_with_peerVars!$B$2:$Z$1050,24,FALSE)</f>
        <v>7</v>
      </c>
      <c r="BM418">
        <f>VLOOKUP($B418,[1]Data_Peer_with_peerVars!$B$2:$Z$1050,25,FALSE)</f>
        <v>0.5</v>
      </c>
    </row>
    <row r="419" spans="1:65" x14ac:dyDescent="0.2">
      <c r="A419">
        <v>1</v>
      </c>
      <c r="B419" t="s">
        <v>692</v>
      </c>
      <c r="C419">
        <v>216</v>
      </c>
      <c r="D419" t="s">
        <v>68</v>
      </c>
      <c r="E419">
        <v>1</v>
      </c>
      <c r="F419">
        <v>376</v>
      </c>
      <c r="G419" t="s">
        <v>69</v>
      </c>
      <c r="H419" s="1">
        <v>7</v>
      </c>
      <c r="I419" t="s">
        <v>87</v>
      </c>
      <c r="J419" t="s">
        <v>124</v>
      </c>
      <c r="K419" t="s">
        <v>109</v>
      </c>
      <c r="L419">
        <v>1</v>
      </c>
      <c r="M419">
        <v>0</v>
      </c>
      <c r="N419">
        <v>1</v>
      </c>
      <c r="O419">
        <v>0</v>
      </c>
      <c r="P419">
        <v>1</v>
      </c>
      <c r="Q419">
        <v>5</v>
      </c>
      <c r="R419">
        <v>0</v>
      </c>
      <c r="S419">
        <v>0</v>
      </c>
      <c r="T419">
        <v>0</v>
      </c>
      <c r="U419">
        <v>0</v>
      </c>
      <c r="V419">
        <f t="shared" si="166"/>
        <v>1</v>
      </c>
      <c r="W419">
        <v>1</v>
      </c>
      <c r="X419">
        <v>1</v>
      </c>
      <c r="Y419">
        <v>1</v>
      </c>
      <c r="Z419" t="s">
        <v>74</v>
      </c>
      <c r="AA419" s="5" t="s">
        <v>74</v>
      </c>
      <c r="AB419" s="5" t="s">
        <v>74</v>
      </c>
      <c r="AC419" t="s">
        <v>74</v>
      </c>
      <c r="AD419" t="s">
        <v>75</v>
      </c>
      <c r="AE419" s="5" t="s">
        <v>213</v>
      </c>
      <c r="AF419" t="s">
        <v>120</v>
      </c>
      <c r="AG419" t="s">
        <v>76</v>
      </c>
      <c r="AH419">
        <f t="shared" ref="AH419:AH421" si="183">AI419</f>
        <v>1.9199123000000001E-3</v>
      </c>
      <c r="AI419">
        <f>AJ419</f>
        <v>1.9199123000000001E-3</v>
      </c>
      <c r="AJ419">
        <f t="shared" si="169"/>
        <v>1.9199123000000001E-3</v>
      </c>
      <c r="AK419">
        <v>1.9199123000000001E-3</v>
      </c>
      <c r="AL419">
        <v>8.6622803999999998E-2</v>
      </c>
      <c r="AM419">
        <v>8.9764640000000007E-2</v>
      </c>
      <c r="AN419">
        <v>9.375E-2</v>
      </c>
      <c r="AO419">
        <v>99.808008770000001</v>
      </c>
      <c r="AP419">
        <v>91.3377196</v>
      </c>
      <c r="AQ419">
        <v>91.023536000000007</v>
      </c>
      <c r="AR419">
        <v>90.625</v>
      </c>
      <c r="AS419" t="b">
        <v>1</v>
      </c>
      <c r="AT419" t="b">
        <v>0</v>
      </c>
      <c r="AU419" t="s">
        <v>77</v>
      </c>
      <c r="AV419" t="s">
        <v>108</v>
      </c>
      <c r="AW419" t="s">
        <v>79</v>
      </c>
      <c r="AX419" t="s">
        <v>129</v>
      </c>
      <c r="AY419" t="s">
        <v>689</v>
      </c>
      <c r="AZ419" t="s">
        <v>72</v>
      </c>
      <c r="BA419" t="s">
        <v>82</v>
      </c>
      <c r="BB419">
        <v>1.05</v>
      </c>
      <c r="BC419">
        <v>2.4738868000000001E-3</v>
      </c>
      <c r="BD419">
        <v>1.4256942275279999E-4</v>
      </c>
      <c r="BE419">
        <v>2.6164562227527998E-3</v>
      </c>
      <c r="BF419">
        <f>IF(AK419&lt;BE419,1,0)</f>
        <v>1</v>
      </c>
      <c r="BG419">
        <f>IF(AK419&lt;BC419,1,0)</f>
        <v>1</v>
      </c>
      <c r="BH419">
        <f>VLOOKUP($B419,[1]Data_Peer_with_peerVars!$B$2:$Z$1050,20,FALSE)</f>
        <v>0</v>
      </c>
      <c r="BI419">
        <f>VLOOKUP($B419,[1]Data_Peer_with_peerVars!$B$2:$Z$1050,21,FALSE)</f>
        <v>0</v>
      </c>
      <c r="BJ419">
        <v>0</v>
      </c>
      <c r="BK419">
        <f>VLOOKUP($B419,[1]Data_Peer_with_peerVars!$B$2:$Z$1050,23,FALSE)</f>
        <v>14</v>
      </c>
      <c r="BL419">
        <f>VLOOKUP($B419,[1]Data_Peer_with_peerVars!$B$2:$Z$1050,24,FALSE)</f>
        <v>7</v>
      </c>
      <c r="BM419">
        <f>VLOOKUP($B419,[1]Data_Peer_with_peerVars!$B$2:$Z$1050,25,FALSE)</f>
        <v>0.5</v>
      </c>
    </row>
    <row r="420" spans="1:65" x14ac:dyDescent="0.2">
      <c r="A420">
        <v>1</v>
      </c>
      <c r="B420" t="s">
        <v>693</v>
      </c>
      <c r="C420">
        <v>217</v>
      </c>
      <c r="D420" t="s">
        <v>68</v>
      </c>
      <c r="E420">
        <v>1</v>
      </c>
      <c r="F420">
        <v>831</v>
      </c>
      <c r="G420" t="s">
        <v>69</v>
      </c>
      <c r="H420" s="1">
        <v>7</v>
      </c>
      <c r="I420" t="s">
        <v>70</v>
      </c>
      <c r="J420" t="s">
        <v>71</v>
      </c>
      <c r="K420" t="s">
        <v>109</v>
      </c>
      <c r="L420">
        <v>1</v>
      </c>
      <c r="M420">
        <v>0</v>
      </c>
      <c r="N420">
        <v>1</v>
      </c>
      <c r="O420">
        <v>0</v>
      </c>
      <c r="P420">
        <v>0</v>
      </c>
      <c r="Q420">
        <v>6</v>
      </c>
      <c r="R420">
        <v>0</v>
      </c>
      <c r="S420">
        <v>0</v>
      </c>
      <c r="T420">
        <v>0</v>
      </c>
      <c r="U420">
        <v>0</v>
      </c>
      <c r="V420">
        <f t="shared" si="166"/>
        <v>0</v>
      </c>
      <c r="W420">
        <f t="shared" si="167"/>
        <v>1</v>
      </c>
      <c r="X420">
        <v>1</v>
      </c>
      <c r="Y420">
        <v>1</v>
      </c>
      <c r="Z420" t="s">
        <v>76</v>
      </c>
      <c r="AA420" s="5" t="s">
        <v>76</v>
      </c>
      <c r="AB420" s="5" t="s">
        <v>76</v>
      </c>
      <c r="AC420" t="s">
        <v>74</v>
      </c>
      <c r="AD420" t="s">
        <v>76</v>
      </c>
      <c r="AE420" s="5" t="s">
        <v>76</v>
      </c>
      <c r="AF420" t="s">
        <v>84</v>
      </c>
      <c r="AG420" t="s">
        <v>75</v>
      </c>
      <c r="AH420">
        <f t="shared" si="183"/>
        <v>7.299071E-2</v>
      </c>
      <c r="AI420">
        <f>AJ420</f>
        <v>7.299071E-2</v>
      </c>
      <c r="AJ420">
        <f>AL420</f>
        <v>7.299071E-2</v>
      </c>
      <c r="AK420">
        <v>7.0488209999999996E-2</v>
      </c>
      <c r="AL420">
        <v>7.299071E-2</v>
      </c>
      <c r="AM420">
        <v>0.10549451</v>
      </c>
      <c r="AN420">
        <v>0.11171961</v>
      </c>
      <c r="AO420">
        <v>92.951178999999996</v>
      </c>
      <c r="AP420">
        <v>92.700929000000002</v>
      </c>
      <c r="AQ420">
        <v>89.450548999999995</v>
      </c>
      <c r="AR420">
        <v>88.828039000000004</v>
      </c>
      <c r="AS420" t="b">
        <v>0</v>
      </c>
      <c r="AT420" t="b">
        <v>1</v>
      </c>
      <c r="AU420" t="s">
        <v>77</v>
      </c>
      <c r="AV420" t="s">
        <v>77</v>
      </c>
      <c r="AW420" t="s">
        <v>79</v>
      </c>
      <c r="AX420" t="s">
        <v>129</v>
      </c>
      <c r="AY420" t="s">
        <v>675</v>
      </c>
      <c r="AZ420" t="s">
        <v>109</v>
      </c>
      <c r="BA420">
        <v>2</v>
      </c>
      <c r="BB420">
        <v>0.7</v>
      </c>
      <c r="BC420">
        <v>2.4738868000000001E-3</v>
      </c>
      <c r="BD420">
        <v>1.4256942275279999E-4</v>
      </c>
      <c r="BE420">
        <v>2.6164562227527998E-3</v>
      </c>
      <c r="BF420">
        <f>IF(AK420&lt;BE420,1,0)</f>
        <v>0</v>
      </c>
      <c r="BG420">
        <f>IF(AK420&lt;BC420,1,0)</f>
        <v>0</v>
      </c>
      <c r="BH420">
        <f>VLOOKUP($B420,[1]Data_Peer_with_peerVars!$B$2:$Z$1050,20,FALSE)</f>
        <v>4</v>
      </c>
      <c r="BI420">
        <f>VLOOKUP($B420,[1]Data_Peer_with_peerVars!$B$2:$Z$1050,21,FALSE)</f>
        <v>1</v>
      </c>
      <c r="BJ420">
        <f>VLOOKUP($B420,[1]Data_Peer_with_peerVars!$B$2:$Z$1050,22,FALSE)</f>
        <v>0.25</v>
      </c>
      <c r="BK420">
        <f>VLOOKUP($B420,[1]Data_Peer_with_peerVars!$B$2:$Z$1050,23,FALSE)</f>
        <v>31</v>
      </c>
      <c r="BL420">
        <f>VLOOKUP($B420,[1]Data_Peer_with_peerVars!$B$2:$Z$1050,24,FALSE)</f>
        <v>19</v>
      </c>
      <c r="BM420">
        <f>VLOOKUP($B420,[1]Data_Peer_with_peerVars!$B$2:$Z$1050,25,FALSE)</f>
        <v>0.61290322600000002</v>
      </c>
    </row>
    <row r="421" spans="1:65" x14ac:dyDescent="0.2">
      <c r="A421">
        <v>1</v>
      </c>
      <c r="B421" t="s">
        <v>694</v>
      </c>
      <c r="C421">
        <v>217</v>
      </c>
      <c r="D421" t="s">
        <v>68</v>
      </c>
      <c r="E421">
        <v>1</v>
      </c>
      <c r="F421">
        <v>831</v>
      </c>
      <c r="G421" t="s">
        <v>69</v>
      </c>
      <c r="H421" s="1">
        <v>7</v>
      </c>
      <c r="I421" t="s">
        <v>70</v>
      </c>
      <c r="J421" t="s">
        <v>71</v>
      </c>
      <c r="K421" t="s">
        <v>109</v>
      </c>
      <c r="L421">
        <v>1</v>
      </c>
      <c r="M421">
        <v>0</v>
      </c>
      <c r="N421">
        <v>1</v>
      </c>
      <c r="O421">
        <v>0</v>
      </c>
      <c r="P421">
        <v>0</v>
      </c>
      <c r="Q421">
        <v>6</v>
      </c>
      <c r="R421">
        <v>0</v>
      </c>
      <c r="S421">
        <v>0</v>
      </c>
      <c r="T421">
        <v>0</v>
      </c>
      <c r="U421">
        <v>0</v>
      </c>
      <c r="V421">
        <f t="shared" si="166"/>
        <v>1</v>
      </c>
      <c r="W421">
        <v>1</v>
      </c>
      <c r="X421">
        <v>1</v>
      </c>
      <c r="Y421">
        <v>1</v>
      </c>
      <c r="Z421" t="s">
        <v>101</v>
      </c>
      <c r="AA421" s="5" t="s">
        <v>101</v>
      </c>
      <c r="AB421" s="5" t="s">
        <v>101</v>
      </c>
      <c r="AC421" t="s">
        <v>101</v>
      </c>
      <c r="AD421" t="s">
        <v>99</v>
      </c>
      <c r="AE421" s="5" t="s">
        <v>99</v>
      </c>
      <c r="AF421" t="s">
        <v>103</v>
      </c>
      <c r="AG421" t="s">
        <v>102</v>
      </c>
      <c r="AH421">
        <f t="shared" si="183"/>
        <v>5.4120880000000003E-2</v>
      </c>
      <c r="AI421">
        <f>AJ421</f>
        <v>5.4120880000000003E-2</v>
      </c>
      <c r="AJ421">
        <f t="shared" si="169"/>
        <v>5.4120880000000003E-2</v>
      </c>
      <c r="AK421">
        <v>5.4120880000000003E-2</v>
      </c>
      <c r="AL421">
        <v>8.5082870000000005E-2</v>
      </c>
      <c r="AM421">
        <v>9.3042515000000006E-2</v>
      </c>
      <c r="AN421">
        <v>0.13108921000000001</v>
      </c>
      <c r="AO421">
        <v>94.587912000000003</v>
      </c>
      <c r="AP421">
        <v>91.491713000000004</v>
      </c>
      <c r="AQ421">
        <v>90.695748499999993</v>
      </c>
      <c r="AR421">
        <v>86.891079000000005</v>
      </c>
      <c r="AS421" t="b">
        <v>1</v>
      </c>
      <c r="AT421" t="b">
        <v>0</v>
      </c>
      <c r="AU421" t="s">
        <v>77</v>
      </c>
      <c r="AV421" t="s">
        <v>77</v>
      </c>
      <c r="AW421" t="s">
        <v>79</v>
      </c>
      <c r="AX421" t="s">
        <v>129</v>
      </c>
      <c r="AY421" t="s">
        <v>675</v>
      </c>
      <c r="AZ421" t="s">
        <v>109</v>
      </c>
      <c r="BA421">
        <v>4</v>
      </c>
      <c r="BB421">
        <v>4</v>
      </c>
      <c r="BC421">
        <v>1.4096186E-2</v>
      </c>
      <c r="BD421">
        <v>1.55088650053763E-3</v>
      </c>
      <c r="BE421">
        <v>1.5647072500537599E-2</v>
      </c>
      <c r="BF421">
        <f>IF(AK421&lt;BE421,1,0)</f>
        <v>0</v>
      </c>
      <c r="BG421">
        <f>IF(AK421&lt;BC421,1,0)</f>
        <v>0</v>
      </c>
      <c r="BH421">
        <f>VLOOKUP($B421,[1]Data_Peer_with_peerVars!$B$2:$Z$1050,20,FALSE)</f>
        <v>4</v>
      </c>
      <c r="BI421">
        <f>VLOOKUP($B421,[1]Data_Peer_with_peerVars!$B$2:$Z$1050,21,FALSE)</f>
        <v>1</v>
      </c>
      <c r="BJ421">
        <f>VLOOKUP($B421,[1]Data_Peer_with_peerVars!$B$2:$Z$1050,22,FALSE)</f>
        <v>0.25</v>
      </c>
      <c r="BK421">
        <f>VLOOKUP($B421,[1]Data_Peer_with_peerVars!$B$2:$Z$1050,23,FALSE)</f>
        <v>31</v>
      </c>
      <c r="BL421">
        <f>VLOOKUP($B421,[1]Data_Peer_with_peerVars!$B$2:$Z$1050,24,FALSE)</f>
        <v>19</v>
      </c>
      <c r="BM421">
        <f>VLOOKUP($B421,[1]Data_Peer_with_peerVars!$B$2:$Z$1050,25,FALSE)</f>
        <v>0.61290322600000002</v>
      </c>
    </row>
    <row r="422" spans="1:65" x14ac:dyDescent="0.2">
      <c r="A422">
        <v>1</v>
      </c>
      <c r="B422" t="s">
        <v>695</v>
      </c>
      <c r="C422">
        <v>218</v>
      </c>
      <c r="D422" t="s">
        <v>68</v>
      </c>
      <c r="E422">
        <v>1</v>
      </c>
      <c r="F422">
        <v>832</v>
      </c>
      <c r="G422" t="s">
        <v>86</v>
      </c>
      <c r="H422" s="1">
        <v>6</v>
      </c>
      <c r="I422" t="s">
        <v>87</v>
      </c>
      <c r="J422" t="s">
        <v>150</v>
      </c>
      <c r="K422" t="s">
        <v>109</v>
      </c>
      <c r="L422">
        <v>1</v>
      </c>
      <c r="M422">
        <v>0</v>
      </c>
      <c r="N422">
        <v>0</v>
      </c>
      <c r="O422">
        <v>0</v>
      </c>
      <c r="P422">
        <v>0</v>
      </c>
      <c r="Q422">
        <v>9</v>
      </c>
      <c r="R422">
        <v>0</v>
      </c>
      <c r="S422">
        <v>0</v>
      </c>
      <c r="T422">
        <v>0</v>
      </c>
      <c r="U422">
        <v>0</v>
      </c>
      <c r="V422">
        <f t="shared" si="166"/>
        <v>0</v>
      </c>
      <c r="W422">
        <f t="shared" si="167"/>
        <v>0</v>
      </c>
      <c r="X422">
        <f t="shared" si="170"/>
        <v>0</v>
      </c>
      <c r="Y422">
        <f t="shared" si="168"/>
        <v>0</v>
      </c>
      <c r="Z422" t="s">
        <v>98</v>
      </c>
      <c r="AA422" s="5" t="s">
        <v>99</v>
      </c>
      <c r="AB422" s="5" t="s">
        <v>659</v>
      </c>
      <c r="AC422" t="s">
        <v>73</v>
      </c>
      <c r="AD422" t="s">
        <v>91</v>
      </c>
      <c r="AE422" s="5" t="s">
        <v>696</v>
      </c>
      <c r="AF422" t="s">
        <v>137</v>
      </c>
      <c r="AG422" t="s">
        <v>113</v>
      </c>
      <c r="AH422">
        <f t="shared" ref="AH422:AH435" si="184">AI422</f>
        <v>0.120840155</v>
      </c>
      <c r="AI422">
        <f t="shared" ref="AI422:AI428" si="185">AJ422</f>
        <v>0.120840155</v>
      </c>
      <c r="AJ422">
        <f t="shared" si="169"/>
        <v>0.120840155</v>
      </c>
      <c r="AK422">
        <v>0.120840155</v>
      </c>
      <c r="AL422">
        <v>0.12137779999999999</v>
      </c>
      <c r="AM422">
        <v>0.14882577999999999</v>
      </c>
      <c r="AN422">
        <v>0.15266336999999999</v>
      </c>
      <c r="AO422">
        <v>87.915984499999993</v>
      </c>
      <c r="AP422">
        <v>87.862219999999994</v>
      </c>
      <c r="AQ422">
        <v>85.117422000000005</v>
      </c>
      <c r="AR422">
        <v>84.733663000000007</v>
      </c>
      <c r="AS422" t="b">
        <v>0</v>
      </c>
      <c r="AT422" t="b">
        <v>0</v>
      </c>
      <c r="AU422" t="s">
        <v>108</v>
      </c>
      <c r="AV422" t="s">
        <v>108</v>
      </c>
      <c r="AW422" t="s">
        <v>79</v>
      </c>
      <c r="AX422" t="s">
        <v>129</v>
      </c>
      <c r="AY422" t="s">
        <v>675</v>
      </c>
      <c r="AZ422" t="s">
        <v>109</v>
      </c>
      <c r="BA422">
        <v>2</v>
      </c>
      <c r="BB422">
        <v>0.7</v>
      </c>
      <c r="BC422">
        <v>4.1163553999999996E-3</v>
      </c>
      <c r="BD422">
        <v>1.4279989108178799E-4</v>
      </c>
      <c r="BE422">
        <v>4.2591552910817903E-3</v>
      </c>
      <c r="BF422">
        <f>IF(AK422&lt;BE422,1,0)</f>
        <v>0</v>
      </c>
      <c r="BG422">
        <f>IF(AK422&lt;BC422,1,0)</f>
        <v>0</v>
      </c>
      <c r="BH422">
        <f>VLOOKUP($B422,[1]Data_Peer_with_peerVars!$B$2:$Z$1050,20,FALSE)</f>
        <v>3</v>
      </c>
      <c r="BI422">
        <f>VLOOKUP($B422,[1]Data_Peer_with_peerVars!$B$2:$Z$1050,21,FALSE)</f>
        <v>1</v>
      </c>
      <c r="BJ422">
        <f>VLOOKUP($B422,[1]Data_Peer_with_peerVars!$B$2:$Z$1050,22,FALSE)</f>
        <v>0.33333333300000001</v>
      </c>
      <c r="BK422">
        <f>VLOOKUP($B422,[1]Data_Peer_with_peerVars!$B$2:$Z$1050,23,FALSE)</f>
        <v>31</v>
      </c>
      <c r="BL422">
        <f>VLOOKUP($B422,[1]Data_Peer_with_peerVars!$B$2:$Z$1050,24,FALSE)</f>
        <v>21</v>
      </c>
      <c r="BM422">
        <f>VLOOKUP($B422,[1]Data_Peer_with_peerVars!$B$2:$Z$1050,25,FALSE)</f>
        <v>0.67741935499999995</v>
      </c>
    </row>
    <row r="423" spans="1:65" x14ac:dyDescent="0.2">
      <c r="A423">
        <v>1</v>
      </c>
      <c r="B423" t="s">
        <v>697</v>
      </c>
      <c r="C423">
        <v>218</v>
      </c>
      <c r="D423" t="s">
        <v>68</v>
      </c>
      <c r="E423">
        <v>1</v>
      </c>
      <c r="F423">
        <v>832</v>
      </c>
      <c r="G423" t="s">
        <v>86</v>
      </c>
      <c r="H423" s="1">
        <v>6</v>
      </c>
      <c r="I423" t="s">
        <v>87</v>
      </c>
      <c r="J423" t="s">
        <v>150</v>
      </c>
      <c r="K423" t="s">
        <v>109</v>
      </c>
      <c r="L423">
        <v>1</v>
      </c>
      <c r="M423">
        <v>0</v>
      </c>
      <c r="N423">
        <v>0</v>
      </c>
      <c r="O423">
        <v>0</v>
      </c>
      <c r="P423">
        <v>0</v>
      </c>
      <c r="Q423">
        <v>9</v>
      </c>
      <c r="R423">
        <v>1</v>
      </c>
      <c r="S423">
        <v>1</v>
      </c>
      <c r="T423">
        <v>1</v>
      </c>
      <c r="U423">
        <v>1</v>
      </c>
      <c r="V423">
        <f t="shared" si="166"/>
        <v>0</v>
      </c>
      <c r="W423">
        <f t="shared" si="167"/>
        <v>0</v>
      </c>
      <c r="X423">
        <f t="shared" si="170"/>
        <v>0</v>
      </c>
      <c r="Y423">
        <f t="shared" si="168"/>
        <v>0</v>
      </c>
      <c r="Z423" t="s">
        <v>94</v>
      </c>
      <c r="AA423" s="5" t="s">
        <v>94</v>
      </c>
      <c r="AB423" s="5" t="s">
        <v>94</v>
      </c>
      <c r="AC423" t="s">
        <v>107</v>
      </c>
      <c r="AD423" t="s">
        <v>95</v>
      </c>
      <c r="AE423" s="5" t="s">
        <v>95</v>
      </c>
      <c r="AF423" t="s">
        <v>173</v>
      </c>
      <c r="AG423" t="s">
        <v>174</v>
      </c>
      <c r="AH423">
        <f t="shared" si="184"/>
        <v>9.3099670000000006E-3</v>
      </c>
      <c r="AI423">
        <f t="shared" si="185"/>
        <v>9.3099670000000006E-3</v>
      </c>
      <c r="AJ423">
        <f t="shared" si="169"/>
        <v>9.3099670000000006E-3</v>
      </c>
      <c r="AK423">
        <v>9.3099670000000006E-3</v>
      </c>
      <c r="AL423">
        <v>7.6081010000000004E-2</v>
      </c>
      <c r="AM423">
        <v>9.2896179999999995E-2</v>
      </c>
      <c r="AN423">
        <v>9.6606455999999993E-2</v>
      </c>
      <c r="AO423">
        <v>99.069003300000006</v>
      </c>
      <c r="AP423">
        <v>92.391898999999995</v>
      </c>
      <c r="AQ423">
        <v>90.710381999999996</v>
      </c>
      <c r="AR423">
        <v>90.339354400000005</v>
      </c>
      <c r="AS423" t="b">
        <v>0</v>
      </c>
      <c r="AT423" t="b">
        <v>0</v>
      </c>
      <c r="AU423" t="s">
        <v>77</v>
      </c>
      <c r="AV423" t="s">
        <v>77</v>
      </c>
      <c r="AW423" t="s">
        <v>79</v>
      </c>
      <c r="AX423" t="s">
        <v>129</v>
      </c>
      <c r="AY423" t="s">
        <v>675</v>
      </c>
      <c r="AZ423" t="s">
        <v>72</v>
      </c>
      <c r="BA423" t="s">
        <v>82</v>
      </c>
      <c r="BB423">
        <v>0.35</v>
      </c>
      <c r="BC423">
        <v>2.6475456000000001E-2</v>
      </c>
      <c r="BD423">
        <v>8.8330364056477401E-3</v>
      </c>
      <c r="BE423">
        <v>3.53084924056477E-2</v>
      </c>
      <c r="BF423">
        <f>IF(AK423&lt;BE423,1,0)</f>
        <v>1</v>
      </c>
      <c r="BG423">
        <f>IF(AK423&lt;BC423,1,0)</f>
        <v>1</v>
      </c>
      <c r="BH423">
        <f>VLOOKUP($B423,[1]Data_Peer_with_peerVars!$B$2:$Z$1050,20,FALSE)</f>
        <v>3</v>
      </c>
      <c r="BI423">
        <f>VLOOKUP($B423,[1]Data_Peer_with_peerVars!$B$2:$Z$1050,21,FALSE)</f>
        <v>1</v>
      </c>
      <c r="BJ423">
        <f>VLOOKUP($B423,[1]Data_Peer_with_peerVars!$B$2:$Z$1050,22,FALSE)</f>
        <v>0.33333333300000001</v>
      </c>
      <c r="BK423">
        <f>VLOOKUP($B423,[1]Data_Peer_with_peerVars!$B$2:$Z$1050,23,FALSE)</f>
        <v>31</v>
      </c>
      <c r="BL423">
        <f>VLOOKUP($B423,[1]Data_Peer_with_peerVars!$B$2:$Z$1050,24,FALSE)</f>
        <v>21</v>
      </c>
      <c r="BM423">
        <f>VLOOKUP($B423,[1]Data_Peer_with_peerVars!$B$2:$Z$1050,25,FALSE)</f>
        <v>0.67741935499999995</v>
      </c>
    </row>
    <row r="424" spans="1:65" x14ac:dyDescent="0.2">
      <c r="A424">
        <v>1</v>
      </c>
      <c r="B424" t="s">
        <v>698</v>
      </c>
      <c r="C424">
        <v>219</v>
      </c>
      <c r="D424" t="s">
        <v>68</v>
      </c>
      <c r="E424">
        <v>1</v>
      </c>
      <c r="F424">
        <v>307</v>
      </c>
      <c r="G424" t="s">
        <v>69</v>
      </c>
      <c r="H424" s="1">
        <v>7</v>
      </c>
      <c r="I424" t="s">
        <v>70</v>
      </c>
      <c r="J424" t="s">
        <v>71</v>
      </c>
      <c r="K424" t="s">
        <v>72</v>
      </c>
      <c r="L424">
        <v>1</v>
      </c>
      <c r="M424">
        <v>0</v>
      </c>
      <c r="N424">
        <v>1</v>
      </c>
      <c r="O424">
        <v>0</v>
      </c>
      <c r="P424">
        <v>1</v>
      </c>
      <c r="Q424">
        <v>4</v>
      </c>
      <c r="R424">
        <v>0</v>
      </c>
      <c r="S424">
        <v>0</v>
      </c>
      <c r="T424">
        <v>0</v>
      </c>
      <c r="U424">
        <v>0</v>
      </c>
      <c r="V424">
        <f t="shared" si="166"/>
        <v>1</v>
      </c>
      <c r="W424">
        <v>1</v>
      </c>
      <c r="X424">
        <v>1</v>
      </c>
      <c r="Y424">
        <v>1</v>
      </c>
      <c r="Z424" t="s">
        <v>76</v>
      </c>
      <c r="AA424" s="5" t="s">
        <v>76</v>
      </c>
      <c r="AB424" s="5" t="s">
        <v>76</v>
      </c>
      <c r="AC424" t="s">
        <v>76</v>
      </c>
      <c r="AD424" t="s">
        <v>74</v>
      </c>
      <c r="AE424" s="5" t="s">
        <v>74</v>
      </c>
      <c r="AF424" t="s">
        <v>75</v>
      </c>
      <c r="AG424" t="s">
        <v>120</v>
      </c>
      <c r="AH424">
        <f t="shared" si="184"/>
        <v>7.4863390000000002E-2</v>
      </c>
      <c r="AI424">
        <f t="shared" si="185"/>
        <v>7.4863390000000002E-2</v>
      </c>
      <c r="AJ424">
        <f t="shared" si="169"/>
        <v>7.4863390000000002E-2</v>
      </c>
      <c r="AK424">
        <v>7.4863390000000002E-2</v>
      </c>
      <c r="AL424">
        <v>8.8590235000000003E-2</v>
      </c>
      <c r="AM424">
        <v>0.11829135</v>
      </c>
      <c r="AN424">
        <v>0.1183707</v>
      </c>
      <c r="AO424">
        <v>92.513660999999999</v>
      </c>
      <c r="AP424">
        <v>91.140976499999994</v>
      </c>
      <c r="AQ424">
        <v>88.170865000000006</v>
      </c>
      <c r="AR424">
        <v>88.162930000000003</v>
      </c>
      <c r="AS424" t="b">
        <v>1</v>
      </c>
      <c r="AT424" t="b">
        <v>0</v>
      </c>
      <c r="AU424" t="s">
        <v>77</v>
      </c>
      <c r="AV424" t="s">
        <v>77</v>
      </c>
      <c r="AW424" t="s">
        <v>79</v>
      </c>
      <c r="AX424" t="s">
        <v>129</v>
      </c>
      <c r="AY424" t="s">
        <v>129</v>
      </c>
      <c r="AZ424" t="s">
        <v>72</v>
      </c>
      <c r="BA424" t="s">
        <v>82</v>
      </c>
      <c r="BB424">
        <v>1</v>
      </c>
      <c r="BC424">
        <v>7.7070764999999999E-2</v>
      </c>
      <c r="BD424">
        <v>1.90190515067399E-3</v>
      </c>
      <c r="BE424">
        <v>7.8972670150673996E-2</v>
      </c>
      <c r="BF424">
        <f>IF(AK424&lt;BE424,1,0)</f>
        <v>1</v>
      </c>
      <c r="BG424">
        <f>IF(AK424&lt;BC424,1,0)</f>
        <v>1</v>
      </c>
      <c r="BH424">
        <f>VLOOKUP($B424,[1]Data_Peer_with_peerVars!$B$2:$Z$1050,20,FALSE)</f>
        <v>9</v>
      </c>
      <c r="BI424">
        <f>VLOOKUP($B424,[1]Data_Peer_with_peerVars!$B$2:$Z$1050,21,FALSE)</f>
        <v>9</v>
      </c>
      <c r="BJ424">
        <f>VLOOKUP($B424,[1]Data_Peer_with_peerVars!$B$2:$Z$1050,22,FALSE)</f>
        <v>1</v>
      </c>
      <c r="BK424">
        <f>VLOOKUP($B424,[1]Data_Peer_with_peerVars!$B$2:$Z$1050,23,FALSE)</f>
        <v>45</v>
      </c>
      <c r="BL424">
        <f>VLOOKUP($B424,[1]Data_Peer_with_peerVars!$B$2:$Z$1050,24,FALSE)</f>
        <v>32</v>
      </c>
      <c r="BM424">
        <f>VLOOKUP($B424,[1]Data_Peer_with_peerVars!$B$2:$Z$1050,25,FALSE)</f>
        <v>0.71111111100000002</v>
      </c>
    </row>
    <row r="425" spans="1:65" x14ac:dyDescent="0.2">
      <c r="A425">
        <v>1</v>
      </c>
      <c r="B425" t="s">
        <v>699</v>
      </c>
      <c r="C425">
        <v>220</v>
      </c>
      <c r="D425" t="s">
        <v>68</v>
      </c>
      <c r="E425">
        <v>1</v>
      </c>
      <c r="F425">
        <v>339</v>
      </c>
      <c r="G425" t="s">
        <v>86</v>
      </c>
      <c r="H425" s="1">
        <v>7</v>
      </c>
      <c r="I425" t="s">
        <v>87</v>
      </c>
      <c r="J425" t="s">
        <v>124</v>
      </c>
      <c r="K425" t="s">
        <v>109</v>
      </c>
      <c r="L425">
        <v>1</v>
      </c>
      <c r="M425">
        <v>0</v>
      </c>
      <c r="N425">
        <v>1</v>
      </c>
      <c r="O425">
        <v>0</v>
      </c>
      <c r="P425">
        <v>1</v>
      </c>
      <c r="Q425">
        <v>11</v>
      </c>
      <c r="R425">
        <v>0</v>
      </c>
      <c r="S425">
        <v>0</v>
      </c>
      <c r="T425">
        <v>0</v>
      </c>
      <c r="U425">
        <v>0</v>
      </c>
      <c r="V425">
        <f t="shared" si="166"/>
        <v>1</v>
      </c>
      <c r="W425">
        <v>1</v>
      </c>
      <c r="X425">
        <v>1</v>
      </c>
      <c r="Y425">
        <v>1</v>
      </c>
      <c r="Z425" t="s">
        <v>76</v>
      </c>
      <c r="AA425" s="5" t="s">
        <v>76</v>
      </c>
      <c r="AB425" s="5" t="s">
        <v>76</v>
      </c>
      <c r="AC425" t="s">
        <v>76</v>
      </c>
      <c r="AD425" t="s">
        <v>74</v>
      </c>
      <c r="AE425" s="5" t="s">
        <v>74</v>
      </c>
      <c r="AF425" t="s">
        <v>120</v>
      </c>
      <c r="AG425" t="s">
        <v>75</v>
      </c>
      <c r="AH425">
        <f t="shared" si="184"/>
        <v>7.9551670000000005E-2</v>
      </c>
      <c r="AI425">
        <f t="shared" si="185"/>
        <v>7.9551670000000005E-2</v>
      </c>
      <c r="AJ425">
        <f t="shared" si="169"/>
        <v>7.9551670000000005E-2</v>
      </c>
      <c r="AK425">
        <v>7.9551670000000005E-2</v>
      </c>
      <c r="AL425">
        <v>8.6670324000000007E-2</v>
      </c>
      <c r="AM425">
        <v>0.11563696</v>
      </c>
      <c r="AN425">
        <v>0.11911281</v>
      </c>
      <c r="AO425">
        <v>92.044832999999997</v>
      </c>
      <c r="AP425">
        <v>91.332967600000003</v>
      </c>
      <c r="AQ425">
        <v>88.436304000000007</v>
      </c>
      <c r="AR425">
        <v>88.088718999999998</v>
      </c>
      <c r="AS425" t="b">
        <v>1</v>
      </c>
      <c r="AT425" t="b">
        <v>0</v>
      </c>
      <c r="AU425" t="s">
        <v>77</v>
      </c>
      <c r="AV425" t="s">
        <v>77</v>
      </c>
      <c r="AW425" t="s">
        <v>79</v>
      </c>
      <c r="AX425" t="s">
        <v>129</v>
      </c>
      <c r="AY425" t="s">
        <v>129</v>
      </c>
      <c r="AZ425" t="s">
        <v>109</v>
      </c>
      <c r="BA425">
        <v>22</v>
      </c>
      <c r="BB425">
        <v>7</v>
      </c>
      <c r="BC425">
        <v>7.7070764999999999E-2</v>
      </c>
      <c r="BD425">
        <v>1.90190515067399E-3</v>
      </c>
      <c r="BE425">
        <v>7.8972670150673996E-2</v>
      </c>
      <c r="BF425">
        <f>IF(AK425&lt;BE425,1,0)</f>
        <v>0</v>
      </c>
      <c r="BG425">
        <f>IF(AK425&lt;BC425,1,0)</f>
        <v>0</v>
      </c>
      <c r="BH425">
        <f>VLOOKUP($B425,[1]Data_Peer_with_peerVars!$B$2:$Z$1050,20,FALSE)</f>
        <v>0</v>
      </c>
      <c r="BI425">
        <f>VLOOKUP($B425,[1]Data_Peer_with_peerVars!$B$2:$Z$1050,21,FALSE)</f>
        <v>0</v>
      </c>
      <c r="BJ425">
        <v>0</v>
      </c>
      <c r="BK425">
        <f>VLOOKUP($B425,[1]Data_Peer_with_peerVars!$B$2:$Z$1050,23,FALSE)</f>
        <v>33</v>
      </c>
      <c r="BL425">
        <f>VLOOKUP($B425,[1]Data_Peer_with_peerVars!$B$2:$Z$1050,24,FALSE)</f>
        <v>25</v>
      </c>
      <c r="BM425">
        <f>VLOOKUP($B425,[1]Data_Peer_with_peerVars!$B$2:$Z$1050,25,FALSE)</f>
        <v>0.75757575799999999</v>
      </c>
    </row>
    <row r="426" spans="1:65" x14ac:dyDescent="0.2">
      <c r="A426">
        <v>1</v>
      </c>
      <c r="B426" t="s">
        <v>700</v>
      </c>
      <c r="C426">
        <v>220</v>
      </c>
      <c r="D426" t="s">
        <v>68</v>
      </c>
      <c r="E426">
        <v>1</v>
      </c>
      <c r="F426">
        <v>339</v>
      </c>
      <c r="G426" t="s">
        <v>86</v>
      </c>
      <c r="H426" s="1">
        <v>7</v>
      </c>
      <c r="I426" t="s">
        <v>87</v>
      </c>
      <c r="J426" t="s">
        <v>124</v>
      </c>
      <c r="K426" t="s">
        <v>109</v>
      </c>
      <c r="L426">
        <v>1</v>
      </c>
      <c r="M426">
        <v>0</v>
      </c>
      <c r="N426">
        <v>1</v>
      </c>
      <c r="O426">
        <v>0</v>
      </c>
      <c r="P426">
        <v>1</v>
      </c>
      <c r="Q426">
        <v>11</v>
      </c>
      <c r="R426">
        <v>0</v>
      </c>
      <c r="S426">
        <v>0</v>
      </c>
      <c r="T426">
        <v>1</v>
      </c>
      <c r="U426">
        <v>1</v>
      </c>
      <c r="V426">
        <f t="shared" si="166"/>
        <v>1</v>
      </c>
      <c r="W426">
        <v>1</v>
      </c>
      <c r="X426">
        <v>1</v>
      </c>
      <c r="Y426">
        <v>1</v>
      </c>
      <c r="Z426" t="s">
        <v>73</v>
      </c>
      <c r="AA426" s="5" t="s">
        <v>73</v>
      </c>
      <c r="AB426" s="5" t="s">
        <v>73</v>
      </c>
      <c r="AC426" t="s">
        <v>73</v>
      </c>
      <c r="AD426" t="s">
        <v>94</v>
      </c>
      <c r="AE426" s="5" t="s">
        <v>106</v>
      </c>
      <c r="AF426" t="s">
        <v>107</v>
      </c>
      <c r="AG426" t="s">
        <v>95</v>
      </c>
      <c r="AH426">
        <f t="shared" si="184"/>
        <v>3.8314174999999999E-3</v>
      </c>
      <c r="AI426">
        <f t="shared" si="185"/>
        <v>3.8314174999999999E-3</v>
      </c>
      <c r="AJ426">
        <f t="shared" si="169"/>
        <v>3.8314174999999999E-3</v>
      </c>
      <c r="AK426">
        <v>3.8314174999999999E-3</v>
      </c>
      <c r="AL426">
        <v>0.13165112000000001</v>
      </c>
      <c r="AM426">
        <v>0.13676389999999999</v>
      </c>
      <c r="AN426">
        <v>0.13920922999999999</v>
      </c>
      <c r="AO426">
        <v>99.616858250000007</v>
      </c>
      <c r="AP426">
        <v>86.834888000000007</v>
      </c>
      <c r="AQ426">
        <v>86.323610000000002</v>
      </c>
      <c r="AR426">
        <v>86.079076999999998</v>
      </c>
      <c r="AS426" t="b">
        <v>1</v>
      </c>
      <c r="AT426" t="b">
        <v>0</v>
      </c>
      <c r="AU426" t="s">
        <v>77</v>
      </c>
      <c r="AV426" t="s">
        <v>108</v>
      </c>
      <c r="AW426" t="s">
        <v>79</v>
      </c>
      <c r="AX426" t="s">
        <v>129</v>
      </c>
      <c r="AY426" t="s">
        <v>129</v>
      </c>
      <c r="AZ426" t="s">
        <v>72</v>
      </c>
      <c r="BA426" t="s">
        <v>82</v>
      </c>
      <c r="BB426">
        <v>1.5</v>
      </c>
      <c r="BC426">
        <v>4.1163553999999996E-3</v>
      </c>
      <c r="BD426">
        <v>1.4279989108178799E-4</v>
      </c>
      <c r="BE426">
        <v>4.2591552910817903E-3</v>
      </c>
      <c r="BF426">
        <f>IF(AK426&lt;BE426,1,0)</f>
        <v>1</v>
      </c>
      <c r="BG426">
        <f>IF(AK426&lt;BC426,1,0)</f>
        <v>1</v>
      </c>
      <c r="BH426">
        <f>VLOOKUP($B426,[1]Data_Peer_with_peerVars!$B$2:$Z$1050,20,FALSE)</f>
        <v>0</v>
      </c>
      <c r="BI426">
        <f>VLOOKUP($B426,[1]Data_Peer_with_peerVars!$B$2:$Z$1050,21,FALSE)</f>
        <v>0</v>
      </c>
      <c r="BJ426">
        <v>0</v>
      </c>
      <c r="BK426">
        <f>VLOOKUP($B426,[1]Data_Peer_with_peerVars!$B$2:$Z$1050,23,FALSE)</f>
        <v>33</v>
      </c>
      <c r="BL426">
        <f>VLOOKUP($B426,[1]Data_Peer_with_peerVars!$B$2:$Z$1050,24,FALSE)</f>
        <v>25</v>
      </c>
      <c r="BM426">
        <f>VLOOKUP($B426,[1]Data_Peer_with_peerVars!$B$2:$Z$1050,25,FALSE)</f>
        <v>0.75757575799999999</v>
      </c>
    </row>
    <row r="427" spans="1:65" x14ac:dyDescent="0.2">
      <c r="A427">
        <v>1</v>
      </c>
      <c r="B427" t="s">
        <v>701</v>
      </c>
      <c r="C427">
        <v>221</v>
      </c>
      <c r="D427" t="s">
        <v>68</v>
      </c>
      <c r="E427">
        <v>1</v>
      </c>
      <c r="F427">
        <v>340</v>
      </c>
      <c r="G427" t="s">
        <v>69</v>
      </c>
      <c r="H427" s="1">
        <v>6</v>
      </c>
      <c r="I427" t="s">
        <v>70</v>
      </c>
      <c r="J427" t="s">
        <v>301</v>
      </c>
      <c r="K427" t="s">
        <v>109</v>
      </c>
      <c r="L427">
        <v>1</v>
      </c>
      <c r="M427">
        <v>1</v>
      </c>
      <c r="N427">
        <v>0</v>
      </c>
      <c r="O427">
        <v>0</v>
      </c>
      <c r="P427">
        <v>1</v>
      </c>
      <c r="Q427">
        <v>8</v>
      </c>
      <c r="R427">
        <v>0</v>
      </c>
      <c r="S427">
        <v>0</v>
      </c>
      <c r="T427">
        <v>0</v>
      </c>
      <c r="U427">
        <v>0</v>
      </c>
      <c r="V427">
        <f t="shared" si="166"/>
        <v>1</v>
      </c>
      <c r="W427">
        <v>1</v>
      </c>
      <c r="X427">
        <v>1</v>
      </c>
      <c r="Y427">
        <v>1</v>
      </c>
      <c r="Z427" t="s">
        <v>76</v>
      </c>
      <c r="AA427" s="5" t="s">
        <v>76</v>
      </c>
      <c r="AB427" s="5" t="s">
        <v>76</v>
      </c>
      <c r="AC427" t="s">
        <v>76</v>
      </c>
      <c r="AD427" t="s">
        <v>74</v>
      </c>
      <c r="AE427" s="5" t="s">
        <v>142</v>
      </c>
      <c r="AF427" t="s">
        <v>120</v>
      </c>
      <c r="AG427" t="s">
        <v>75</v>
      </c>
      <c r="AH427">
        <f t="shared" si="184"/>
        <v>8.1967209999999999E-2</v>
      </c>
      <c r="AI427">
        <f t="shared" si="185"/>
        <v>8.1967209999999999E-2</v>
      </c>
      <c r="AJ427">
        <f t="shared" si="169"/>
        <v>8.1967209999999999E-2</v>
      </c>
      <c r="AK427">
        <v>8.1967209999999999E-2</v>
      </c>
      <c r="AL427">
        <v>8.4429820000000003E-2</v>
      </c>
      <c r="AM427">
        <v>0.11584699</v>
      </c>
      <c r="AN427">
        <v>0.11658456</v>
      </c>
      <c r="AO427">
        <v>91.803279000000003</v>
      </c>
      <c r="AP427">
        <v>91.557017999999999</v>
      </c>
      <c r="AQ427">
        <v>88.415300999999999</v>
      </c>
      <c r="AR427">
        <v>88.341543999999999</v>
      </c>
      <c r="AS427" t="b">
        <v>0</v>
      </c>
      <c r="AT427" t="b">
        <v>0</v>
      </c>
      <c r="AU427" t="s">
        <v>108</v>
      </c>
      <c r="AV427" t="s">
        <v>108</v>
      </c>
      <c r="AW427" t="s">
        <v>79</v>
      </c>
      <c r="AX427" t="s">
        <v>129</v>
      </c>
      <c r="AY427" t="s">
        <v>129</v>
      </c>
      <c r="AZ427" t="s">
        <v>109</v>
      </c>
      <c r="BA427">
        <v>4</v>
      </c>
      <c r="BB427">
        <v>3.5</v>
      </c>
      <c r="BC427">
        <v>7.7070764999999999E-2</v>
      </c>
      <c r="BD427">
        <v>1.90190515067399E-3</v>
      </c>
      <c r="BE427">
        <v>7.8972670150673996E-2</v>
      </c>
      <c r="BF427">
        <f>IF(AK427&lt;BE427,1,0)</f>
        <v>0</v>
      </c>
      <c r="BG427">
        <f>IF(AK427&lt;BC427,1,0)</f>
        <v>0</v>
      </c>
      <c r="BH427">
        <f>VLOOKUP($B427,[1]Data_Peer_with_peerVars!$B$2:$Z$1050,20,FALSE)</f>
        <v>4</v>
      </c>
      <c r="BI427">
        <f>VLOOKUP($B427,[1]Data_Peer_with_peerVars!$B$2:$Z$1050,21,FALSE)</f>
        <v>2</v>
      </c>
      <c r="BJ427">
        <f>VLOOKUP($B427,[1]Data_Peer_with_peerVars!$B$2:$Z$1050,22,FALSE)</f>
        <v>0.5</v>
      </c>
      <c r="BK427">
        <f>VLOOKUP($B427,[1]Data_Peer_with_peerVars!$B$2:$Z$1050,23,FALSE)</f>
        <v>42</v>
      </c>
      <c r="BL427">
        <f>VLOOKUP($B427,[1]Data_Peer_with_peerVars!$B$2:$Z$1050,24,FALSE)</f>
        <v>31</v>
      </c>
      <c r="BM427">
        <f>VLOOKUP($B427,[1]Data_Peer_with_peerVars!$B$2:$Z$1050,25,FALSE)</f>
        <v>0.73809523799999999</v>
      </c>
    </row>
    <row r="428" spans="1:65" x14ac:dyDescent="0.2">
      <c r="A428">
        <v>1</v>
      </c>
      <c r="B428" t="s">
        <v>702</v>
      </c>
      <c r="C428">
        <v>221</v>
      </c>
      <c r="D428" t="s">
        <v>68</v>
      </c>
      <c r="E428">
        <v>1</v>
      </c>
      <c r="F428">
        <v>340</v>
      </c>
      <c r="G428" t="s">
        <v>69</v>
      </c>
      <c r="H428" s="1">
        <v>6</v>
      </c>
      <c r="I428" t="s">
        <v>70</v>
      </c>
      <c r="J428" t="s">
        <v>301</v>
      </c>
      <c r="K428" t="s">
        <v>109</v>
      </c>
      <c r="L428">
        <v>1</v>
      </c>
      <c r="M428">
        <v>1</v>
      </c>
      <c r="N428">
        <v>0</v>
      </c>
      <c r="O428">
        <v>0</v>
      </c>
      <c r="P428">
        <v>1</v>
      </c>
      <c r="Q428">
        <v>8</v>
      </c>
      <c r="R428">
        <v>0</v>
      </c>
      <c r="S428">
        <v>0</v>
      </c>
      <c r="T428">
        <v>1</v>
      </c>
      <c r="U428">
        <v>1</v>
      </c>
      <c r="V428">
        <f t="shared" si="166"/>
        <v>1</v>
      </c>
      <c r="W428">
        <v>1</v>
      </c>
      <c r="X428">
        <v>1</v>
      </c>
      <c r="Y428">
        <v>1</v>
      </c>
      <c r="Z428" t="s">
        <v>73</v>
      </c>
      <c r="AA428" s="5" t="s">
        <v>73</v>
      </c>
      <c r="AB428" s="5" t="s">
        <v>73</v>
      </c>
      <c r="AC428" t="s">
        <v>73</v>
      </c>
      <c r="AD428" t="s">
        <v>94</v>
      </c>
      <c r="AE428" s="5" t="s">
        <v>106</v>
      </c>
      <c r="AF428" t="s">
        <v>107</v>
      </c>
      <c r="AG428" t="s">
        <v>95</v>
      </c>
      <c r="AH428">
        <f t="shared" si="184"/>
        <v>3.8230475000000002E-3</v>
      </c>
      <c r="AI428">
        <f t="shared" si="185"/>
        <v>3.8230475000000002E-3</v>
      </c>
      <c r="AJ428">
        <f t="shared" si="169"/>
        <v>3.8230475000000002E-3</v>
      </c>
      <c r="AK428">
        <v>3.8230475000000002E-3</v>
      </c>
      <c r="AL428">
        <v>0.13136289000000001</v>
      </c>
      <c r="AM428">
        <v>0.13646348</v>
      </c>
      <c r="AN428">
        <v>0.13890411</v>
      </c>
      <c r="AO428">
        <v>99.617695249999997</v>
      </c>
      <c r="AP428">
        <v>86.863710999999995</v>
      </c>
      <c r="AQ428">
        <v>86.353651999999997</v>
      </c>
      <c r="AR428">
        <v>86.109589</v>
      </c>
      <c r="AS428" t="b">
        <v>1</v>
      </c>
      <c r="AT428" t="b">
        <v>0</v>
      </c>
      <c r="AU428" t="s">
        <v>77</v>
      </c>
      <c r="AV428" t="s">
        <v>108</v>
      </c>
      <c r="AW428" t="s">
        <v>79</v>
      </c>
      <c r="AX428" t="s">
        <v>129</v>
      </c>
      <c r="AY428" t="s">
        <v>129</v>
      </c>
      <c r="AZ428" t="s">
        <v>109</v>
      </c>
      <c r="BA428">
        <v>4</v>
      </c>
      <c r="BB428">
        <v>2</v>
      </c>
      <c r="BC428">
        <v>4.1163553999999996E-3</v>
      </c>
      <c r="BD428">
        <v>1.4279989108178799E-4</v>
      </c>
      <c r="BE428">
        <v>4.2591552910817903E-3</v>
      </c>
      <c r="BF428">
        <f>IF(AK428&lt;BE428,1,0)</f>
        <v>1</v>
      </c>
      <c r="BG428">
        <f>IF(AK428&lt;BC428,1,0)</f>
        <v>1</v>
      </c>
      <c r="BH428">
        <f>VLOOKUP($B428,[1]Data_Peer_with_peerVars!$B$2:$Z$1050,20,FALSE)</f>
        <v>4</v>
      </c>
      <c r="BI428">
        <f>VLOOKUP($B428,[1]Data_Peer_with_peerVars!$B$2:$Z$1050,21,FALSE)</f>
        <v>2</v>
      </c>
      <c r="BJ428">
        <f>VLOOKUP($B428,[1]Data_Peer_with_peerVars!$B$2:$Z$1050,22,FALSE)</f>
        <v>0.5</v>
      </c>
      <c r="BK428">
        <f>VLOOKUP($B428,[1]Data_Peer_with_peerVars!$B$2:$Z$1050,23,FALSE)</f>
        <v>42</v>
      </c>
      <c r="BL428">
        <f>VLOOKUP($B428,[1]Data_Peer_with_peerVars!$B$2:$Z$1050,24,FALSE)</f>
        <v>31</v>
      </c>
      <c r="BM428">
        <f>VLOOKUP($B428,[1]Data_Peer_with_peerVars!$B$2:$Z$1050,25,FALSE)</f>
        <v>0.73809523799999999</v>
      </c>
    </row>
    <row r="429" spans="1:65" x14ac:dyDescent="0.2">
      <c r="A429">
        <v>1</v>
      </c>
      <c r="B429" t="s">
        <v>703</v>
      </c>
      <c r="C429">
        <v>222</v>
      </c>
      <c r="D429" t="s">
        <v>68</v>
      </c>
      <c r="E429">
        <v>1</v>
      </c>
      <c r="F429">
        <v>343</v>
      </c>
      <c r="G429" t="s">
        <v>69</v>
      </c>
      <c r="H429" s="1">
        <v>7</v>
      </c>
      <c r="I429" t="s">
        <v>70</v>
      </c>
      <c r="J429" t="s">
        <v>71</v>
      </c>
      <c r="K429" t="s">
        <v>109</v>
      </c>
      <c r="L429">
        <v>1</v>
      </c>
      <c r="M429">
        <v>0</v>
      </c>
      <c r="N429">
        <v>0</v>
      </c>
      <c r="O429">
        <v>0</v>
      </c>
      <c r="P429">
        <v>0</v>
      </c>
      <c r="Q429">
        <v>10</v>
      </c>
      <c r="R429">
        <v>0</v>
      </c>
      <c r="S429">
        <v>0</v>
      </c>
      <c r="T429">
        <v>0</v>
      </c>
      <c r="U429">
        <v>0</v>
      </c>
      <c r="V429">
        <f t="shared" si="166"/>
        <v>0</v>
      </c>
      <c r="W429">
        <f t="shared" si="167"/>
        <v>1</v>
      </c>
      <c r="X429">
        <v>1</v>
      </c>
      <c r="Y429">
        <v>1</v>
      </c>
      <c r="Z429" t="s">
        <v>76</v>
      </c>
      <c r="AA429" s="5" t="s">
        <v>76</v>
      </c>
      <c r="AB429" s="5" t="s">
        <v>76</v>
      </c>
      <c r="AC429" t="s">
        <v>74</v>
      </c>
      <c r="AD429" t="s">
        <v>76</v>
      </c>
      <c r="AE429" s="5" t="s">
        <v>76</v>
      </c>
      <c r="AF429" t="s">
        <v>120</v>
      </c>
      <c r="AG429" t="s">
        <v>75</v>
      </c>
      <c r="AH429">
        <f t="shared" si="184"/>
        <v>8.5839260000000001E-2</v>
      </c>
      <c r="AI429">
        <f>AJ429</f>
        <v>8.5839260000000001E-2</v>
      </c>
      <c r="AJ429">
        <f>AL429</f>
        <v>8.5839260000000001E-2</v>
      </c>
      <c r="AK429">
        <v>8.3927593999999994E-2</v>
      </c>
      <c r="AL429">
        <v>8.5839260000000001E-2</v>
      </c>
      <c r="AM429">
        <v>0.11809732000000001</v>
      </c>
      <c r="AN429">
        <v>0.12075575</v>
      </c>
      <c r="AO429">
        <v>91.607240599999997</v>
      </c>
      <c r="AP429">
        <v>91.416073999999995</v>
      </c>
      <c r="AQ429">
        <v>88.190268000000003</v>
      </c>
      <c r="AR429">
        <v>87.924424999999999</v>
      </c>
      <c r="AS429" t="b">
        <v>0</v>
      </c>
      <c r="AT429" t="b">
        <v>1</v>
      </c>
      <c r="AU429" t="s">
        <v>77</v>
      </c>
      <c r="AV429" t="s">
        <v>77</v>
      </c>
      <c r="AW429" t="s">
        <v>79</v>
      </c>
      <c r="AX429" t="s">
        <v>129</v>
      </c>
      <c r="AY429" t="s">
        <v>129</v>
      </c>
      <c r="AZ429" t="s">
        <v>109</v>
      </c>
      <c r="BA429">
        <v>20</v>
      </c>
      <c r="BB429">
        <v>3</v>
      </c>
      <c r="BC429">
        <v>2.4738868000000001E-3</v>
      </c>
      <c r="BD429">
        <v>1.4256942275279999E-4</v>
      </c>
      <c r="BE429">
        <v>2.6164562227527998E-3</v>
      </c>
      <c r="BF429">
        <f>IF(AK429&lt;BE429,1,0)</f>
        <v>0</v>
      </c>
      <c r="BG429">
        <f>IF(AK429&lt;BC429,1,0)</f>
        <v>0</v>
      </c>
      <c r="BH429">
        <f>VLOOKUP($B429,[1]Data_Peer_with_peerVars!$B$2:$Z$1050,20,FALSE)</f>
        <v>8</v>
      </c>
      <c r="BI429">
        <f>VLOOKUP($B429,[1]Data_Peer_with_peerVars!$B$2:$Z$1050,21,FALSE)</f>
        <v>8</v>
      </c>
      <c r="BJ429">
        <f>VLOOKUP($B429,[1]Data_Peer_with_peerVars!$B$2:$Z$1050,22,FALSE)</f>
        <v>1</v>
      </c>
      <c r="BK429">
        <f>VLOOKUP($B429,[1]Data_Peer_with_peerVars!$B$2:$Z$1050,23,FALSE)</f>
        <v>44</v>
      </c>
      <c r="BL429">
        <f>VLOOKUP($B429,[1]Data_Peer_with_peerVars!$B$2:$Z$1050,24,FALSE)</f>
        <v>31</v>
      </c>
      <c r="BM429">
        <f>VLOOKUP($B429,[1]Data_Peer_with_peerVars!$B$2:$Z$1050,25,FALSE)</f>
        <v>0.70454545499999999</v>
      </c>
    </row>
    <row r="430" spans="1:65" x14ac:dyDescent="0.2">
      <c r="A430">
        <v>1</v>
      </c>
      <c r="B430" t="s">
        <v>704</v>
      </c>
      <c r="C430">
        <v>222</v>
      </c>
      <c r="D430" t="s">
        <v>68</v>
      </c>
      <c r="E430">
        <v>1</v>
      </c>
      <c r="F430">
        <v>343</v>
      </c>
      <c r="G430" t="s">
        <v>69</v>
      </c>
      <c r="H430" s="1">
        <v>7</v>
      </c>
      <c r="I430" t="s">
        <v>70</v>
      </c>
      <c r="J430" t="s">
        <v>71</v>
      </c>
      <c r="K430" t="s">
        <v>109</v>
      </c>
      <c r="L430">
        <v>1</v>
      </c>
      <c r="M430">
        <v>0</v>
      </c>
      <c r="N430">
        <v>0</v>
      </c>
      <c r="O430">
        <v>0</v>
      </c>
      <c r="P430">
        <v>0</v>
      </c>
      <c r="Q430">
        <v>10</v>
      </c>
      <c r="R430">
        <v>0</v>
      </c>
      <c r="S430">
        <v>0</v>
      </c>
      <c r="T430">
        <v>1</v>
      </c>
      <c r="U430">
        <v>1</v>
      </c>
      <c r="V430">
        <f t="shared" si="166"/>
        <v>1</v>
      </c>
      <c r="W430">
        <v>1</v>
      </c>
      <c r="X430">
        <v>1</v>
      </c>
      <c r="Y430">
        <v>1</v>
      </c>
      <c r="Z430" t="s">
        <v>73</v>
      </c>
      <c r="AA430" s="5" t="s">
        <v>73</v>
      </c>
      <c r="AB430" s="5" t="s">
        <v>73</v>
      </c>
      <c r="AC430" t="s">
        <v>73</v>
      </c>
      <c r="AD430" t="s">
        <v>94</v>
      </c>
      <c r="AE430" s="5" t="s">
        <v>106</v>
      </c>
      <c r="AF430" t="s">
        <v>107</v>
      </c>
      <c r="AG430" t="s">
        <v>95</v>
      </c>
      <c r="AH430">
        <f t="shared" si="184"/>
        <v>3.8167940000000001E-3</v>
      </c>
      <c r="AI430">
        <f t="shared" ref="AI430:AI435" si="186">AJ430</f>
        <v>3.8167940000000001E-3</v>
      </c>
      <c r="AJ430">
        <f t="shared" si="169"/>
        <v>3.8167940000000001E-3</v>
      </c>
      <c r="AK430">
        <v>3.8167940000000001E-3</v>
      </c>
      <c r="AL430">
        <v>0.13169399000000001</v>
      </c>
      <c r="AM430">
        <v>0.13623904000000001</v>
      </c>
      <c r="AN430">
        <v>0.13867615</v>
      </c>
      <c r="AO430">
        <v>99.618320600000004</v>
      </c>
      <c r="AP430">
        <v>86.830601000000001</v>
      </c>
      <c r="AQ430">
        <v>86.376096000000004</v>
      </c>
      <c r="AR430">
        <v>86.132384999999999</v>
      </c>
      <c r="AS430" t="b">
        <v>1</v>
      </c>
      <c r="AT430" t="b">
        <v>0</v>
      </c>
      <c r="AU430" t="s">
        <v>77</v>
      </c>
      <c r="AV430" t="s">
        <v>108</v>
      </c>
      <c r="AW430" t="s">
        <v>79</v>
      </c>
      <c r="AX430" t="s">
        <v>129</v>
      </c>
      <c r="AY430" t="s">
        <v>129</v>
      </c>
      <c r="AZ430" t="s">
        <v>72</v>
      </c>
      <c r="BA430" t="s">
        <v>82</v>
      </c>
      <c r="BB430">
        <v>1</v>
      </c>
      <c r="BC430">
        <v>4.1163553999999996E-3</v>
      </c>
      <c r="BD430">
        <v>1.4279989108178799E-4</v>
      </c>
      <c r="BE430">
        <v>4.2591552910817903E-3</v>
      </c>
      <c r="BF430">
        <f>IF(AK430&lt;BE430,1,0)</f>
        <v>1</v>
      </c>
      <c r="BG430">
        <f>IF(AK430&lt;BC430,1,0)</f>
        <v>1</v>
      </c>
      <c r="BH430">
        <f>VLOOKUP($B430,[1]Data_Peer_with_peerVars!$B$2:$Z$1050,20,FALSE)</f>
        <v>8</v>
      </c>
      <c r="BI430">
        <f>VLOOKUP($B430,[1]Data_Peer_with_peerVars!$B$2:$Z$1050,21,FALSE)</f>
        <v>8</v>
      </c>
      <c r="BJ430">
        <f>VLOOKUP($B430,[1]Data_Peer_with_peerVars!$B$2:$Z$1050,22,FALSE)</f>
        <v>1</v>
      </c>
      <c r="BK430">
        <f>VLOOKUP($B430,[1]Data_Peer_with_peerVars!$B$2:$Z$1050,23,FALSE)</f>
        <v>44</v>
      </c>
      <c r="BL430">
        <f>VLOOKUP($B430,[1]Data_Peer_with_peerVars!$B$2:$Z$1050,24,FALSE)</f>
        <v>31</v>
      </c>
      <c r="BM430">
        <f>VLOOKUP($B430,[1]Data_Peer_with_peerVars!$B$2:$Z$1050,25,FALSE)</f>
        <v>0.70454545499999999</v>
      </c>
    </row>
    <row r="431" spans="1:65" x14ac:dyDescent="0.2">
      <c r="A431">
        <v>1</v>
      </c>
      <c r="B431" t="s">
        <v>705</v>
      </c>
      <c r="C431">
        <v>223</v>
      </c>
      <c r="D431" t="s">
        <v>68</v>
      </c>
      <c r="E431">
        <v>1</v>
      </c>
      <c r="F431">
        <v>345</v>
      </c>
      <c r="G431" t="s">
        <v>86</v>
      </c>
      <c r="H431" s="1">
        <v>7</v>
      </c>
      <c r="I431" t="s">
        <v>70</v>
      </c>
      <c r="J431" t="s">
        <v>71</v>
      </c>
      <c r="K431" t="s">
        <v>109</v>
      </c>
      <c r="L431">
        <v>1</v>
      </c>
      <c r="M431">
        <v>0</v>
      </c>
      <c r="N431">
        <v>1</v>
      </c>
      <c r="O431">
        <v>0</v>
      </c>
      <c r="P431">
        <v>1</v>
      </c>
      <c r="Q431">
        <v>11</v>
      </c>
      <c r="R431">
        <v>0</v>
      </c>
      <c r="S431">
        <v>0</v>
      </c>
      <c r="T431">
        <v>0</v>
      </c>
      <c r="U431">
        <v>0</v>
      </c>
      <c r="V431">
        <f t="shared" si="166"/>
        <v>1</v>
      </c>
      <c r="W431">
        <v>1</v>
      </c>
      <c r="X431">
        <v>1</v>
      </c>
      <c r="Y431">
        <v>1</v>
      </c>
      <c r="Z431" t="s">
        <v>76</v>
      </c>
      <c r="AA431" s="5" t="s">
        <v>76</v>
      </c>
      <c r="AB431" s="5" t="s">
        <v>76</v>
      </c>
      <c r="AC431" t="s">
        <v>76</v>
      </c>
      <c r="AD431" t="s">
        <v>74</v>
      </c>
      <c r="AE431" s="5" t="s">
        <v>142</v>
      </c>
      <c r="AF431" t="s">
        <v>120</v>
      </c>
      <c r="AG431" t="s">
        <v>167</v>
      </c>
      <c r="AH431">
        <f t="shared" si="184"/>
        <v>0.10491803</v>
      </c>
      <c r="AI431">
        <f t="shared" si="186"/>
        <v>0.10491803</v>
      </c>
      <c r="AJ431">
        <f t="shared" si="169"/>
        <v>0.10491803</v>
      </c>
      <c r="AK431">
        <v>0.10491803</v>
      </c>
      <c r="AL431">
        <v>0.106633775</v>
      </c>
      <c r="AM431">
        <v>0.12923497</v>
      </c>
      <c r="AN431">
        <v>0.1321272</v>
      </c>
      <c r="AO431">
        <v>89.508196999999996</v>
      </c>
      <c r="AP431">
        <v>89.336622500000004</v>
      </c>
      <c r="AQ431">
        <v>87.076503000000002</v>
      </c>
      <c r="AR431">
        <v>86.787279999999996</v>
      </c>
      <c r="AS431" t="b">
        <v>0</v>
      </c>
      <c r="AT431" t="b">
        <v>0</v>
      </c>
      <c r="AU431" t="s">
        <v>108</v>
      </c>
      <c r="AV431" t="s">
        <v>108</v>
      </c>
      <c r="AW431" t="s">
        <v>79</v>
      </c>
      <c r="AX431" t="s">
        <v>129</v>
      </c>
      <c r="AY431" t="s">
        <v>129</v>
      </c>
      <c r="AZ431" t="s">
        <v>109</v>
      </c>
      <c r="BA431">
        <v>2</v>
      </c>
      <c r="BB431">
        <v>1</v>
      </c>
      <c r="BC431">
        <v>7.7070764999999999E-2</v>
      </c>
      <c r="BD431">
        <v>1.90190515067399E-3</v>
      </c>
      <c r="BE431">
        <v>7.8972670150673996E-2</v>
      </c>
      <c r="BF431">
        <f>IF(AK431&lt;BE431,1,0)</f>
        <v>0</v>
      </c>
      <c r="BG431">
        <f>IF(AK431&lt;BC431,1,0)</f>
        <v>0</v>
      </c>
      <c r="BH431">
        <f>VLOOKUP($B431,[1]Data_Peer_with_peerVars!$B$2:$Z$1050,20,FALSE)</f>
        <v>8</v>
      </c>
      <c r="BI431">
        <f>VLOOKUP($B431,[1]Data_Peer_with_peerVars!$B$2:$Z$1050,21,FALSE)</f>
        <v>8</v>
      </c>
      <c r="BJ431">
        <f>VLOOKUP($B431,[1]Data_Peer_with_peerVars!$B$2:$Z$1050,22,FALSE)</f>
        <v>1</v>
      </c>
      <c r="BK431">
        <f>VLOOKUP($B431,[1]Data_Peer_with_peerVars!$B$2:$Z$1050,23,FALSE)</f>
        <v>44</v>
      </c>
      <c r="BL431">
        <f>VLOOKUP($B431,[1]Data_Peer_with_peerVars!$B$2:$Z$1050,24,FALSE)</f>
        <v>31</v>
      </c>
      <c r="BM431">
        <f>VLOOKUP($B431,[1]Data_Peer_with_peerVars!$B$2:$Z$1050,25,FALSE)</f>
        <v>0.70454545499999999</v>
      </c>
    </row>
    <row r="432" spans="1:65" x14ac:dyDescent="0.2">
      <c r="A432">
        <v>1</v>
      </c>
      <c r="B432" t="s">
        <v>706</v>
      </c>
      <c r="C432">
        <v>223</v>
      </c>
      <c r="D432" t="s">
        <v>68</v>
      </c>
      <c r="E432">
        <v>1</v>
      </c>
      <c r="F432">
        <v>345</v>
      </c>
      <c r="G432" t="s">
        <v>86</v>
      </c>
      <c r="H432" s="1">
        <v>7</v>
      </c>
      <c r="I432" t="s">
        <v>70</v>
      </c>
      <c r="J432" t="s">
        <v>71</v>
      </c>
      <c r="K432" t="s">
        <v>109</v>
      </c>
      <c r="L432">
        <v>1</v>
      </c>
      <c r="M432">
        <v>0</v>
      </c>
      <c r="N432">
        <v>1</v>
      </c>
      <c r="O432">
        <v>0</v>
      </c>
      <c r="P432">
        <v>1</v>
      </c>
      <c r="Q432">
        <v>11</v>
      </c>
      <c r="R432">
        <v>0</v>
      </c>
      <c r="S432">
        <v>0</v>
      </c>
      <c r="T432">
        <v>1</v>
      </c>
      <c r="U432">
        <v>1</v>
      </c>
      <c r="V432">
        <f t="shared" si="166"/>
        <v>1</v>
      </c>
      <c r="W432">
        <v>1</v>
      </c>
      <c r="X432">
        <v>1</v>
      </c>
      <c r="Y432">
        <v>1</v>
      </c>
      <c r="Z432" t="s">
        <v>73</v>
      </c>
      <c r="AA432" s="5" t="s">
        <v>73</v>
      </c>
      <c r="AB432" s="5" t="s">
        <v>73</v>
      </c>
      <c r="AC432" t="s">
        <v>73</v>
      </c>
      <c r="AD432" t="s">
        <v>94</v>
      </c>
      <c r="AE432" s="5" t="s">
        <v>106</v>
      </c>
      <c r="AF432" t="s">
        <v>107</v>
      </c>
      <c r="AG432" t="s">
        <v>95</v>
      </c>
      <c r="AH432">
        <f t="shared" si="184"/>
        <v>3.8167940000000001E-3</v>
      </c>
      <c r="AI432">
        <f t="shared" si="186"/>
        <v>3.8167940000000001E-3</v>
      </c>
      <c r="AJ432">
        <f t="shared" si="169"/>
        <v>3.8167940000000001E-3</v>
      </c>
      <c r="AK432">
        <v>3.8167940000000001E-3</v>
      </c>
      <c r="AL432">
        <v>0.13169399000000001</v>
      </c>
      <c r="AM432">
        <v>0.13623904000000001</v>
      </c>
      <c r="AN432">
        <v>0.13867615</v>
      </c>
      <c r="AO432">
        <v>99.618320600000004</v>
      </c>
      <c r="AP432">
        <v>86.830601000000001</v>
      </c>
      <c r="AQ432">
        <v>86.376096000000004</v>
      </c>
      <c r="AR432">
        <v>86.132384999999999</v>
      </c>
      <c r="AS432" t="b">
        <v>1</v>
      </c>
      <c r="AT432" t="b">
        <v>0</v>
      </c>
      <c r="AU432" t="s">
        <v>77</v>
      </c>
      <c r="AV432" t="s">
        <v>108</v>
      </c>
      <c r="AW432" t="s">
        <v>79</v>
      </c>
      <c r="AX432" t="s">
        <v>129</v>
      </c>
      <c r="AY432" t="s">
        <v>129</v>
      </c>
      <c r="AZ432" t="s">
        <v>109</v>
      </c>
      <c r="BA432">
        <v>4</v>
      </c>
      <c r="BB432">
        <v>1</v>
      </c>
      <c r="BC432">
        <v>4.1163553999999996E-3</v>
      </c>
      <c r="BD432">
        <v>1.4279989108178799E-4</v>
      </c>
      <c r="BE432">
        <v>4.2591552910817903E-3</v>
      </c>
      <c r="BF432">
        <f>IF(AK432&lt;BE432,1,0)</f>
        <v>1</v>
      </c>
      <c r="BG432">
        <f>IF(AK432&lt;BC432,1,0)</f>
        <v>1</v>
      </c>
      <c r="BH432">
        <f>VLOOKUP($B432,[1]Data_Peer_with_peerVars!$B$2:$Z$1050,20,FALSE)</f>
        <v>8</v>
      </c>
      <c r="BI432">
        <f>VLOOKUP($B432,[1]Data_Peer_with_peerVars!$B$2:$Z$1050,21,FALSE)</f>
        <v>8</v>
      </c>
      <c r="BJ432">
        <f>VLOOKUP($B432,[1]Data_Peer_with_peerVars!$B$2:$Z$1050,22,FALSE)</f>
        <v>1</v>
      </c>
      <c r="BK432">
        <f>VLOOKUP($B432,[1]Data_Peer_with_peerVars!$B$2:$Z$1050,23,FALSE)</f>
        <v>44</v>
      </c>
      <c r="BL432">
        <f>VLOOKUP($B432,[1]Data_Peer_with_peerVars!$B$2:$Z$1050,24,FALSE)</f>
        <v>31</v>
      </c>
      <c r="BM432">
        <f>VLOOKUP($B432,[1]Data_Peer_with_peerVars!$B$2:$Z$1050,25,FALSE)</f>
        <v>0.70454545499999999</v>
      </c>
    </row>
    <row r="433" spans="1:65" x14ac:dyDescent="0.2">
      <c r="A433">
        <v>1</v>
      </c>
      <c r="B433" t="s">
        <v>707</v>
      </c>
      <c r="C433">
        <v>224</v>
      </c>
      <c r="D433" t="s">
        <v>68</v>
      </c>
      <c r="E433">
        <v>1</v>
      </c>
      <c r="F433">
        <v>349</v>
      </c>
      <c r="G433" t="s">
        <v>86</v>
      </c>
      <c r="H433" s="1">
        <v>7</v>
      </c>
      <c r="I433" t="s">
        <v>87</v>
      </c>
      <c r="J433" t="s">
        <v>150</v>
      </c>
      <c r="K433" t="s">
        <v>109</v>
      </c>
      <c r="L433">
        <v>1</v>
      </c>
      <c r="M433">
        <v>0</v>
      </c>
      <c r="N433">
        <v>1</v>
      </c>
      <c r="O433">
        <v>0</v>
      </c>
      <c r="P433">
        <v>0</v>
      </c>
      <c r="Q433">
        <v>6</v>
      </c>
      <c r="R433">
        <v>0</v>
      </c>
      <c r="S433">
        <v>0</v>
      </c>
      <c r="T433">
        <v>0</v>
      </c>
      <c r="U433">
        <v>0</v>
      </c>
      <c r="V433">
        <f t="shared" si="166"/>
        <v>1</v>
      </c>
      <c r="W433">
        <v>1</v>
      </c>
      <c r="X433">
        <v>1</v>
      </c>
      <c r="Y433">
        <v>1</v>
      </c>
      <c r="Z433" t="s">
        <v>76</v>
      </c>
      <c r="AA433" s="5" t="s">
        <v>76</v>
      </c>
      <c r="AB433" s="5" t="s">
        <v>76</v>
      </c>
      <c r="AC433" t="s">
        <v>76</v>
      </c>
      <c r="AD433" t="s">
        <v>74</v>
      </c>
      <c r="AE433" s="5" t="s">
        <v>74</v>
      </c>
      <c r="AF433" t="s">
        <v>75</v>
      </c>
      <c r="AG433" t="s">
        <v>120</v>
      </c>
      <c r="AH433">
        <f t="shared" si="184"/>
        <v>7.2637900000000005E-2</v>
      </c>
      <c r="AI433">
        <f t="shared" si="186"/>
        <v>7.2637900000000005E-2</v>
      </c>
      <c r="AJ433">
        <f t="shared" si="169"/>
        <v>7.2637900000000005E-2</v>
      </c>
      <c r="AK433">
        <v>7.2637900000000005E-2</v>
      </c>
      <c r="AL433">
        <v>9.3972600000000003E-2</v>
      </c>
      <c r="AM433">
        <v>0.11980306</v>
      </c>
      <c r="AN433">
        <v>0.12233752000000001</v>
      </c>
      <c r="AO433">
        <v>92.73621</v>
      </c>
      <c r="AP433">
        <v>90.602739999999997</v>
      </c>
      <c r="AQ433">
        <v>88.019694000000001</v>
      </c>
      <c r="AR433">
        <v>87.766248000000004</v>
      </c>
      <c r="AS433" t="b">
        <v>1</v>
      </c>
      <c r="AT433" t="b">
        <v>0</v>
      </c>
      <c r="AU433" t="s">
        <v>77</v>
      </c>
      <c r="AV433" t="s">
        <v>77</v>
      </c>
      <c r="AW433" t="s">
        <v>79</v>
      </c>
      <c r="AX433" t="s">
        <v>129</v>
      </c>
      <c r="AY433" t="s">
        <v>129</v>
      </c>
      <c r="AZ433" t="s">
        <v>109</v>
      </c>
      <c r="BA433">
        <v>14</v>
      </c>
      <c r="BB433">
        <v>1</v>
      </c>
      <c r="BC433">
        <v>7.7070764999999999E-2</v>
      </c>
      <c r="BD433">
        <v>1.90190515067399E-3</v>
      </c>
      <c r="BE433">
        <v>7.8972670150673996E-2</v>
      </c>
      <c r="BF433">
        <f>IF(AK433&lt;BE433,1,0)</f>
        <v>1</v>
      </c>
      <c r="BG433">
        <f>IF(AK433&lt;BC433,1,0)</f>
        <v>1</v>
      </c>
    </row>
    <row r="434" spans="1:65" x14ac:dyDescent="0.2">
      <c r="A434">
        <v>1</v>
      </c>
      <c r="B434" t="s">
        <v>708</v>
      </c>
      <c r="C434">
        <v>224</v>
      </c>
      <c r="D434" t="s">
        <v>68</v>
      </c>
      <c r="E434">
        <v>1</v>
      </c>
      <c r="F434">
        <v>349</v>
      </c>
      <c r="G434" t="s">
        <v>86</v>
      </c>
      <c r="H434" s="1">
        <v>7</v>
      </c>
      <c r="I434" t="s">
        <v>87</v>
      </c>
      <c r="J434" t="s">
        <v>150</v>
      </c>
      <c r="K434" t="s">
        <v>109</v>
      </c>
      <c r="L434">
        <v>1</v>
      </c>
      <c r="M434">
        <v>0</v>
      </c>
      <c r="N434">
        <v>1</v>
      </c>
      <c r="O434">
        <v>0</v>
      </c>
      <c r="P434">
        <v>0</v>
      </c>
      <c r="Q434">
        <v>6</v>
      </c>
      <c r="R434">
        <v>0</v>
      </c>
      <c r="S434">
        <v>0</v>
      </c>
      <c r="T434">
        <v>1</v>
      </c>
      <c r="U434">
        <v>1</v>
      </c>
      <c r="V434">
        <f t="shared" si="166"/>
        <v>1</v>
      </c>
      <c r="W434">
        <v>1</v>
      </c>
      <c r="X434">
        <v>1</v>
      </c>
      <c r="Y434">
        <v>1</v>
      </c>
      <c r="Z434" t="s">
        <v>73</v>
      </c>
      <c r="AA434" s="5" t="s">
        <v>73</v>
      </c>
      <c r="AB434" s="5" t="s">
        <v>73</v>
      </c>
      <c r="AC434" t="s">
        <v>73</v>
      </c>
      <c r="AD434" t="s">
        <v>94</v>
      </c>
      <c r="AE434" s="5" t="s">
        <v>106</v>
      </c>
      <c r="AF434" t="s">
        <v>107</v>
      </c>
      <c r="AG434" t="s">
        <v>95</v>
      </c>
      <c r="AH434">
        <f t="shared" si="184"/>
        <v>3.8167940000000001E-3</v>
      </c>
      <c r="AI434">
        <f t="shared" si="186"/>
        <v>3.8167940000000001E-3</v>
      </c>
      <c r="AJ434">
        <f t="shared" si="169"/>
        <v>3.8167940000000001E-3</v>
      </c>
      <c r="AK434">
        <v>3.8167940000000001E-3</v>
      </c>
      <c r="AL434">
        <v>0.13169399000000001</v>
      </c>
      <c r="AM434">
        <v>0.13623904000000001</v>
      </c>
      <c r="AN434">
        <v>0.13875206000000001</v>
      </c>
      <c r="AO434">
        <v>99.618320600000004</v>
      </c>
      <c r="AP434">
        <v>86.830601000000001</v>
      </c>
      <c r="AQ434">
        <v>86.376096000000004</v>
      </c>
      <c r="AR434">
        <v>86.124793999999994</v>
      </c>
      <c r="AS434" t="b">
        <v>1</v>
      </c>
      <c r="AT434" t="b">
        <v>0</v>
      </c>
      <c r="AU434" t="s">
        <v>77</v>
      </c>
      <c r="AV434" t="s">
        <v>108</v>
      </c>
      <c r="AW434" t="s">
        <v>79</v>
      </c>
      <c r="AX434" t="s">
        <v>129</v>
      </c>
      <c r="AY434" t="s">
        <v>129</v>
      </c>
      <c r="AZ434" t="s">
        <v>109</v>
      </c>
      <c r="BA434">
        <v>14</v>
      </c>
      <c r="BB434">
        <v>1.4</v>
      </c>
      <c r="BC434">
        <v>4.1163553999999996E-3</v>
      </c>
      <c r="BD434">
        <v>1.4279989108178799E-4</v>
      </c>
      <c r="BE434">
        <v>4.2591552910817903E-3</v>
      </c>
      <c r="BF434">
        <f>IF(AK434&lt;BE434,1,0)</f>
        <v>1</v>
      </c>
      <c r="BG434">
        <f>IF(AK434&lt;BC434,1,0)</f>
        <v>1</v>
      </c>
    </row>
    <row r="435" spans="1:65" x14ac:dyDescent="0.2">
      <c r="A435">
        <v>1</v>
      </c>
      <c r="B435" t="s">
        <v>709</v>
      </c>
      <c r="C435">
        <v>225</v>
      </c>
      <c r="D435" t="s">
        <v>68</v>
      </c>
      <c r="E435">
        <v>0</v>
      </c>
      <c r="F435">
        <v>341</v>
      </c>
      <c r="G435" t="s">
        <v>97</v>
      </c>
      <c r="H435" s="1">
        <v>7</v>
      </c>
      <c r="I435" t="s">
        <v>70</v>
      </c>
      <c r="J435" t="s">
        <v>71</v>
      </c>
      <c r="K435" t="s">
        <v>109</v>
      </c>
      <c r="L435">
        <v>1</v>
      </c>
      <c r="M435">
        <v>1</v>
      </c>
      <c r="N435">
        <v>0</v>
      </c>
      <c r="O435">
        <v>0</v>
      </c>
      <c r="P435">
        <v>0</v>
      </c>
      <c r="Q435">
        <v>6</v>
      </c>
      <c r="R435">
        <v>0</v>
      </c>
      <c r="S435">
        <v>0</v>
      </c>
      <c r="T435">
        <v>0</v>
      </c>
      <c r="U435">
        <v>0</v>
      </c>
      <c r="V435">
        <f t="shared" si="166"/>
        <v>1</v>
      </c>
      <c r="W435">
        <v>1</v>
      </c>
      <c r="X435">
        <v>1</v>
      </c>
      <c r="Y435">
        <v>1</v>
      </c>
      <c r="Z435" t="s">
        <v>76</v>
      </c>
      <c r="AA435" s="5" t="s">
        <v>76</v>
      </c>
      <c r="AB435" s="5" t="s">
        <v>76</v>
      </c>
      <c r="AC435" t="s">
        <v>76</v>
      </c>
      <c r="AD435" t="s">
        <v>74</v>
      </c>
      <c r="AE435" s="5" t="s">
        <v>74</v>
      </c>
      <c r="AF435" t="s">
        <v>75</v>
      </c>
      <c r="AG435" t="s">
        <v>120</v>
      </c>
      <c r="AH435">
        <f t="shared" si="184"/>
        <v>7.4003280000000005E-2</v>
      </c>
      <c r="AI435">
        <f t="shared" si="186"/>
        <v>7.4003280000000005E-2</v>
      </c>
      <c r="AJ435">
        <f t="shared" si="169"/>
        <v>7.4003280000000005E-2</v>
      </c>
      <c r="AK435">
        <v>7.4003280000000005E-2</v>
      </c>
      <c r="AL435">
        <v>9.2602740000000003E-2</v>
      </c>
      <c r="AM435">
        <v>0.1214442</v>
      </c>
      <c r="AN435">
        <v>0.12206445</v>
      </c>
      <c r="AO435">
        <v>92.599671999999998</v>
      </c>
      <c r="AP435">
        <v>90.739726000000005</v>
      </c>
      <c r="AQ435">
        <v>87.855580000000003</v>
      </c>
      <c r="AR435">
        <v>87.793554999999998</v>
      </c>
      <c r="AS435" t="b">
        <v>1</v>
      </c>
      <c r="AT435" t="b">
        <v>0</v>
      </c>
      <c r="AU435" t="s">
        <v>77</v>
      </c>
      <c r="AV435" t="s">
        <v>77</v>
      </c>
      <c r="AW435" t="s">
        <v>79</v>
      </c>
      <c r="AX435" t="s">
        <v>129</v>
      </c>
      <c r="AY435" t="s">
        <v>129</v>
      </c>
      <c r="AZ435" t="s">
        <v>109</v>
      </c>
      <c r="BA435">
        <v>20</v>
      </c>
      <c r="BB435">
        <v>1.5</v>
      </c>
      <c r="BC435">
        <v>7.7070764999999999E-2</v>
      </c>
      <c r="BD435">
        <v>1.90190515067399E-3</v>
      </c>
      <c r="BE435">
        <v>7.8972670150673996E-2</v>
      </c>
      <c r="BF435">
        <f>IF(AK435&lt;BE435,1,0)</f>
        <v>1</v>
      </c>
      <c r="BG435">
        <f>IF(AK435&lt;BC435,1,0)</f>
        <v>1</v>
      </c>
      <c r="BH435">
        <f>VLOOKUP($B435,[1]Data_Peer_with_peerVars!$B$2:$Z$1050,20,FALSE)</f>
        <v>2</v>
      </c>
      <c r="BI435">
        <f>VLOOKUP($B435,[1]Data_Peer_with_peerVars!$B$2:$Z$1050,21,FALSE)</f>
        <v>2</v>
      </c>
      <c r="BJ435">
        <f>VLOOKUP($B435,[1]Data_Peer_with_peerVars!$B$2:$Z$1050,22,FALSE)</f>
        <v>1</v>
      </c>
      <c r="BK435">
        <f>VLOOKUP($B435,[1]Data_Peer_with_peerVars!$B$2:$Z$1050,23,FALSE)</f>
        <v>43</v>
      </c>
      <c r="BL435">
        <f>VLOOKUP($B435,[1]Data_Peer_with_peerVars!$B$2:$Z$1050,24,FALSE)</f>
        <v>32</v>
      </c>
      <c r="BM435">
        <f>VLOOKUP($B435,[1]Data_Peer_with_peerVars!$B$2:$Z$1050,25,FALSE)</f>
        <v>0.74418604700000002</v>
      </c>
    </row>
    <row r="436" spans="1:65" x14ac:dyDescent="0.2">
      <c r="A436">
        <v>1</v>
      </c>
      <c r="B436" t="s">
        <v>710</v>
      </c>
      <c r="C436">
        <v>225</v>
      </c>
      <c r="D436" t="s">
        <v>68</v>
      </c>
      <c r="E436">
        <v>0</v>
      </c>
      <c r="F436">
        <v>341</v>
      </c>
      <c r="G436" t="s">
        <v>97</v>
      </c>
      <c r="H436" s="1">
        <v>7</v>
      </c>
      <c r="I436" t="s">
        <v>70</v>
      </c>
      <c r="J436" t="s">
        <v>71</v>
      </c>
      <c r="K436" t="s">
        <v>109</v>
      </c>
      <c r="L436">
        <v>1</v>
      </c>
      <c r="M436">
        <v>1</v>
      </c>
      <c r="N436">
        <v>0</v>
      </c>
      <c r="O436">
        <v>0</v>
      </c>
      <c r="P436">
        <v>0</v>
      </c>
      <c r="Q436">
        <v>6</v>
      </c>
      <c r="R436">
        <v>0</v>
      </c>
      <c r="S436">
        <v>0</v>
      </c>
      <c r="T436">
        <v>0</v>
      </c>
      <c r="U436">
        <v>0</v>
      </c>
      <c r="V436">
        <f t="shared" si="166"/>
        <v>0</v>
      </c>
      <c r="W436">
        <f t="shared" si="167"/>
        <v>0</v>
      </c>
      <c r="X436">
        <f t="shared" si="170"/>
        <v>0</v>
      </c>
      <c r="Y436">
        <f t="shared" si="168"/>
        <v>0</v>
      </c>
      <c r="Z436" t="s">
        <v>89</v>
      </c>
      <c r="AA436" s="5" t="s">
        <v>82</v>
      </c>
      <c r="AB436" s="5" t="s">
        <v>82</v>
      </c>
      <c r="AC436" t="s">
        <v>137</v>
      </c>
      <c r="AD436" t="s">
        <v>113</v>
      </c>
      <c r="AE436" s="5" t="s">
        <v>711</v>
      </c>
      <c r="AF436" t="s">
        <v>94</v>
      </c>
      <c r="AG436" t="s">
        <v>75</v>
      </c>
      <c r="AH436">
        <f t="shared" ref="AH436:AH437" si="187">AI436</f>
        <v>0.10322228</v>
      </c>
      <c r="AI436">
        <f t="shared" ref="AI436:AI437" si="188">AJ436</f>
        <v>0.10322228</v>
      </c>
      <c r="AJ436">
        <f t="shared" si="169"/>
        <v>0.10322228</v>
      </c>
      <c r="AK436">
        <v>0.10322228</v>
      </c>
      <c r="AL436">
        <v>0.13014828000000001</v>
      </c>
      <c r="AM436">
        <v>0.1302567</v>
      </c>
      <c r="AN436">
        <v>0.13054188</v>
      </c>
      <c r="AO436">
        <v>89.677772000000004</v>
      </c>
      <c r="AP436">
        <v>86.985172000000006</v>
      </c>
      <c r="AQ436">
        <v>86.974329999999995</v>
      </c>
      <c r="AR436">
        <v>86.945812000000004</v>
      </c>
      <c r="AS436" t="b">
        <v>0</v>
      </c>
      <c r="AT436" t="b">
        <v>0</v>
      </c>
      <c r="AU436" t="s">
        <v>108</v>
      </c>
      <c r="AV436" t="s">
        <v>108</v>
      </c>
      <c r="AW436" t="s">
        <v>79</v>
      </c>
      <c r="AX436" t="s">
        <v>129</v>
      </c>
      <c r="AY436" t="s">
        <v>129</v>
      </c>
      <c r="AZ436" t="s">
        <v>82</v>
      </c>
      <c r="BA436" t="s">
        <v>82</v>
      </c>
      <c r="BB436" t="s">
        <v>82</v>
      </c>
      <c r="BC436">
        <v>5.4824560000000001E-2</v>
      </c>
      <c r="BD436">
        <v>2.68252196314279E-2</v>
      </c>
      <c r="BE436">
        <v>8.1649779631427902E-2</v>
      </c>
      <c r="BF436">
        <f>IF(AK436&lt;BE436,1,0)</f>
        <v>0</v>
      </c>
      <c r="BG436">
        <f>IF(AK436&lt;BC436,1,0)</f>
        <v>0</v>
      </c>
    </row>
    <row r="437" spans="1:65" x14ac:dyDescent="0.2">
      <c r="A437">
        <v>1</v>
      </c>
      <c r="B437" t="s">
        <v>712</v>
      </c>
      <c r="C437">
        <v>226</v>
      </c>
      <c r="D437" t="s">
        <v>68</v>
      </c>
      <c r="E437">
        <v>0</v>
      </c>
      <c r="F437">
        <v>342</v>
      </c>
      <c r="G437" t="s">
        <v>97</v>
      </c>
      <c r="H437" s="1">
        <v>7</v>
      </c>
      <c r="I437" t="s">
        <v>87</v>
      </c>
      <c r="J437" t="s">
        <v>124</v>
      </c>
      <c r="K437" t="s">
        <v>72</v>
      </c>
      <c r="L437">
        <v>1</v>
      </c>
      <c r="M437">
        <v>0</v>
      </c>
      <c r="N437">
        <v>0</v>
      </c>
      <c r="O437">
        <v>0</v>
      </c>
      <c r="P437">
        <v>0</v>
      </c>
      <c r="Q437">
        <v>3</v>
      </c>
      <c r="R437">
        <v>0</v>
      </c>
      <c r="S437">
        <v>0</v>
      </c>
      <c r="T437">
        <v>0</v>
      </c>
      <c r="U437">
        <v>0</v>
      </c>
      <c r="V437">
        <f t="shared" si="166"/>
        <v>0</v>
      </c>
      <c r="W437">
        <f t="shared" si="167"/>
        <v>0</v>
      </c>
      <c r="X437">
        <f t="shared" si="170"/>
        <v>0</v>
      </c>
      <c r="Y437">
        <f t="shared" si="168"/>
        <v>0</v>
      </c>
      <c r="Z437" t="s">
        <v>73</v>
      </c>
      <c r="AA437" s="5" t="s">
        <v>73</v>
      </c>
      <c r="AB437" s="5" t="s">
        <v>713</v>
      </c>
      <c r="AC437" t="s">
        <v>74</v>
      </c>
      <c r="AD437" t="s">
        <v>76</v>
      </c>
      <c r="AE437" s="5" t="s">
        <v>76</v>
      </c>
      <c r="AF437" t="s">
        <v>75</v>
      </c>
      <c r="AG437" t="s">
        <v>120</v>
      </c>
      <c r="AH437">
        <f t="shared" si="187"/>
        <v>7.1075739999999998E-2</v>
      </c>
      <c r="AI437">
        <f t="shared" si="188"/>
        <v>7.1075739999999998E-2</v>
      </c>
      <c r="AJ437">
        <f t="shared" si="169"/>
        <v>7.1075739999999998E-2</v>
      </c>
      <c r="AK437">
        <v>7.1075739999999998E-2</v>
      </c>
      <c r="AL437">
        <v>7.4124720000000005E-2</v>
      </c>
      <c r="AM437">
        <v>0.113150686</v>
      </c>
      <c r="AN437">
        <v>0.11460613</v>
      </c>
      <c r="AO437">
        <v>92.892426</v>
      </c>
      <c r="AP437">
        <v>92.587528000000006</v>
      </c>
      <c r="AQ437">
        <v>88.684931399999996</v>
      </c>
      <c r="AR437">
        <v>88.539387000000005</v>
      </c>
      <c r="AS437" t="b">
        <v>0</v>
      </c>
      <c r="AT437" t="b">
        <v>0</v>
      </c>
      <c r="AU437" t="s">
        <v>77</v>
      </c>
      <c r="AV437" t="s">
        <v>77</v>
      </c>
      <c r="AW437" t="s">
        <v>79</v>
      </c>
      <c r="AX437" t="s">
        <v>129</v>
      </c>
      <c r="AY437" t="s">
        <v>129</v>
      </c>
      <c r="AZ437" t="s">
        <v>72</v>
      </c>
      <c r="BA437" t="s">
        <v>82</v>
      </c>
      <c r="BB437">
        <v>1</v>
      </c>
      <c r="BC437">
        <v>2.4738868000000001E-3</v>
      </c>
      <c r="BD437">
        <v>1.4256942275279999E-4</v>
      </c>
      <c r="BE437">
        <v>2.6164562227527998E-3</v>
      </c>
      <c r="BF437">
        <f>IF(AK437&lt;BE437,1,0)</f>
        <v>0</v>
      </c>
      <c r="BG437">
        <f>IF(AK437&lt;BC437,1,0)</f>
        <v>0</v>
      </c>
      <c r="BH437">
        <f>VLOOKUP($B437,[1]Data_Peer_with_peerVars!$B$2:$Z$1050,20,FALSE)</f>
        <v>5</v>
      </c>
      <c r="BI437">
        <f>VLOOKUP($B437,[1]Data_Peer_with_peerVars!$B$2:$Z$1050,21,FALSE)</f>
        <v>4</v>
      </c>
      <c r="BJ437">
        <f>VLOOKUP($B437,[1]Data_Peer_with_peerVars!$B$2:$Z$1050,22,FALSE)</f>
        <v>0.8</v>
      </c>
      <c r="BK437">
        <f>VLOOKUP($B437,[1]Data_Peer_with_peerVars!$B$2:$Z$1050,23,FALSE)</f>
        <v>43</v>
      </c>
      <c r="BL437">
        <f>VLOOKUP($B437,[1]Data_Peer_with_peerVars!$B$2:$Z$1050,24,FALSE)</f>
        <v>33</v>
      </c>
      <c r="BM437">
        <f>VLOOKUP($B437,[1]Data_Peer_with_peerVars!$B$2:$Z$1050,25,FALSE)</f>
        <v>0.76744186000000003</v>
      </c>
    </row>
    <row r="438" spans="1:65" x14ac:dyDescent="0.2">
      <c r="A438">
        <v>1</v>
      </c>
      <c r="B438" t="s">
        <v>714</v>
      </c>
      <c r="C438">
        <v>227</v>
      </c>
      <c r="D438" t="s">
        <v>68</v>
      </c>
      <c r="E438">
        <v>0</v>
      </c>
      <c r="F438">
        <v>346</v>
      </c>
      <c r="G438" t="s">
        <v>97</v>
      </c>
      <c r="H438" s="1">
        <v>7</v>
      </c>
      <c r="I438" t="s">
        <v>70</v>
      </c>
      <c r="J438" t="s">
        <v>71</v>
      </c>
      <c r="K438" t="s">
        <v>109</v>
      </c>
      <c r="L438">
        <v>1</v>
      </c>
      <c r="M438">
        <v>0</v>
      </c>
      <c r="N438">
        <v>1</v>
      </c>
      <c r="O438">
        <v>0</v>
      </c>
      <c r="P438">
        <v>1</v>
      </c>
      <c r="Q438">
        <v>5</v>
      </c>
      <c r="R438">
        <v>0</v>
      </c>
      <c r="S438">
        <v>0</v>
      </c>
      <c r="T438">
        <v>0</v>
      </c>
      <c r="U438">
        <v>0</v>
      </c>
      <c r="V438">
        <f t="shared" si="166"/>
        <v>1</v>
      </c>
      <c r="W438">
        <v>1</v>
      </c>
      <c r="X438">
        <v>1</v>
      </c>
      <c r="Y438">
        <v>1</v>
      </c>
      <c r="Z438" t="s">
        <v>73</v>
      </c>
      <c r="AA438" s="5" t="s">
        <v>73</v>
      </c>
      <c r="AB438" s="5" t="s">
        <v>73</v>
      </c>
      <c r="AC438" t="s">
        <v>73</v>
      </c>
      <c r="AD438" t="s">
        <v>75</v>
      </c>
      <c r="AE438" s="5" t="s">
        <v>75</v>
      </c>
      <c r="AF438" t="s">
        <v>94</v>
      </c>
      <c r="AG438" t="s">
        <v>74</v>
      </c>
      <c r="AH438">
        <f>AI438</f>
        <v>9.6122340000000001E-2</v>
      </c>
      <c r="AI438">
        <f>AJ438</f>
        <v>9.6122340000000001E-2</v>
      </c>
      <c r="AJ438">
        <f t="shared" si="169"/>
        <v>9.6122340000000001E-2</v>
      </c>
      <c r="AK438">
        <v>9.6122340000000001E-2</v>
      </c>
      <c r="AL438">
        <v>0.12219178</v>
      </c>
      <c r="AM438">
        <v>0.14078731999999999</v>
      </c>
      <c r="AN438">
        <v>0.14544457</v>
      </c>
      <c r="AO438">
        <v>90.387765999999999</v>
      </c>
      <c r="AP438">
        <v>87.780822000000001</v>
      </c>
      <c r="AQ438">
        <v>85.921267999999998</v>
      </c>
      <c r="AR438">
        <v>85.455543000000006</v>
      </c>
      <c r="AS438" t="b">
        <v>1</v>
      </c>
      <c r="AT438" t="b">
        <v>0</v>
      </c>
      <c r="AU438" t="s">
        <v>77</v>
      </c>
      <c r="AV438" t="s">
        <v>78</v>
      </c>
      <c r="AW438" t="s">
        <v>79</v>
      </c>
      <c r="AX438" t="s">
        <v>129</v>
      </c>
      <c r="AY438" t="s">
        <v>129</v>
      </c>
      <c r="AZ438" t="s">
        <v>109</v>
      </c>
      <c r="BA438">
        <v>8</v>
      </c>
      <c r="BB438">
        <v>2.38</v>
      </c>
      <c r="BC438">
        <v>4.1163553999999996E-3</v>
      </c>
      <c r="BD438">
        <v>1.4279989108178799E-4</v>
      </c>
      <c r="BE438">
        <v>4.2591552910817903E-3</v>
      </c>
      <c r="BF438">
        <f>IF(AK438&lt;BE438,1,0)</f>
        <v>0</v>
      </c>
      <c r="BG438">
        <f>IF(AK438&lt;BC438,1,0)</f>
        <v>0</v>
      </c>
      <c r="BH438">
        <f>VLOOKUP($B438,[1]Data_Peer_with_peerVars!$B$2:$Z$1050,20,FALSE)</f>
        <v>0</v>
      </c>
      <c r="BI438">
        <f>VLOOKUP($B438,[1]Data_Peer_with_peerVars!$B$2:$Z$1050,21,FALSE)</f>
        <v>0</v>
      </c>
      <c r="BJ438">
        <v>0</v>
      </c>
      <c r="BK438">
        <f>VLOOKUP($B438,[1]Data_Peer_with_peerVars!$B$2:$Z$1050,23,FALSE)</f>
        <v>40</v>
      </c>
      <c r="BL438">
        <f>VLOOKUP($B438,[1]Data_Peer_with_peerVars!$B$2:$Z$1050,24,FALSE)</f>
        <v>29</v>
      </c>
      <c r="BM438">
        <f>VLOOKUP($B438,[1]Data_Peer_with_peerVars!$B$2:$Z$1050,25,FALSE)</f>
        <v>0.72499999999999998</v>
      </c>
    </row>
    <row r="439" spans="1:65" x14ac:dyDescent="0.2">
      <c r="A439">
        <v>1</v>
      </c>
      <c r="B439" t="s">
        <v>715</v>
      </c>
      <c r="C439">
        <v>227</v>
      </c>
      <c r="D439" t="s">
        <v>68</v>
      </c>
      <c r="E439">
        <v>0</v>
      </c>
      <c r="F439">
        <v>346</v>
      </c>
      <c r="G439" t="s">
        <v>97</v>
      </c>
      <c r="H439" s="1">
        <v>7</v>
      </c>
      <c r="I439" t="s">
        <v>70</v>
      </c>
      <c r="J439" t="s">
        <v>71</v>
      </c>
      <c r="K439" t="s">
        <v>109</v>
      </c>
      <c r="L439">
        <v>1</v>
      </c>
      <c r="M439">
        <v>0</v>
      </c>
      <c r="N439">
        <v>1</v>
      </c>
      <c r="O439">
        <v>0</v>
      </c>
      <c r="P439">
        <v>1</v>
      </c>
      <c r="Q439">
        <v>5</v>
      </c>
      <c r="R439">
        <v>0</v>
      </c>
      <c r="S439">
        <v>0</v>
      </c>
      <c r="T439">
        <v>0</v>
      </c>
      <c r="U439">
        <v>0</v>
      </c>
      <c r="V439">
        <f t="shared" si="166"/>
        <v>0</v>
      </c>
      <c r="W439">
        <f t="shared" si="167"/>
        <v>0</v>
      </c>
      <c r="X439">
        <f t="shared" si="170"/>
        <v>0</v>
      </c>
      <c r="Y439">
        <f t="shared" si="168"/>
        <v>0</v>
      </c>
      <c r="Z439" t="s">
        <v>137</v>
      </c>
      <c r="AA439" s="5" t="s">
        <v>137</v>
      </c>
      <c r="AB439" s="5" t="s">
        <v>137</v>
      </c>
      <c r="AC439" t="s">
        <v>94</v>
      </c>
      <c r="AD439" t="s">
        <v>101</v>
      </c>
      <c r="AE439" s="5" t="s">
        <v>101</v>
      </c>
      <c r="AF439" t="s">
        <v>99</v>
      </c>
      <c r="AG439" t="s">
        <v>102</v>
      </c>
      <c r="AH439">
        <f>AI439</f>
        <v>0.1</v>
      </c>
      <c r="AI439">
        <f>AJ439</f>
        <v>0.1</v>
      </c>
      <c r="AJ439">
        <f t="shared" si="169"/>
        <v>0.1</v>
      </c>
      <c r="AK439">
        <v>0.1</v>
      </c>
      <c r="AL439">
        <v>0.1290144</v>
      </c>
      <c r="AM439">
        <v>0.13090605999999999</v>
      </c>
      <c r="AN439">
        <v>0.13518722</v>
      </c>
      <c r="AO439">
        <v>90</v>
      </c>
      <c r="AP439">
        <v>87.098560000000006</v>
      </c>
      <c r="AQ439">
        <v>86.909394000000006</v>
      </c>
      <c r="AR439">
        <v>86.481278000000003</v>
      </c>
      <c r="AS439" t="b">
        <v>0</v>
      </c>
      <c r="AT439" t="b">
        <v>0</v>
      </c>
      <c r="AU439" t="s">
        <v>78</v>
      </c>
      <c r="AV439" t="s">
        <v>78</v>
      </c>
      <c r="AW439" t="s">
        <v>79</v>
      </c>
      <c r="AX439" t="s">
        <v>129</v>
      </c>
      <c r="AY439" t="s">
        <v>129</v>
      </c>
      <c r="AZ439" t="s">
        <v>72</v>
      </c>
      <c r="BA439" t="s">
        <v>82</v>
      </c>
      <c r="BB439">
        <v>0.7</v>
      </c>
      <c r="BC439">
        <v>1.6447369E-2</v>
      </c>
      <c r="BD439">
        <v>4.2236161269162102E-4</v>
      </c>
      <c r="BE439">
        <v>1.6869730612691598E-2</v>
      </c>
      <c r="BF439">
        <f>IF(AK439&lt;BE439,1,0)</f>
        <v>0</v>
      </c>
      <c r="BG439">
        <f>IF(AK439&lt;BC439,1,0)</f>
        <v>0</v>
      </c>
      <c r="BH439">
        <f>VLOOKUP($B439,[1]Data_Peer_with_peerVars!$B$2:$Z$1050,20,FALSE)</f>
        <v>0</v>
      </c>
      <c r="BI439">
        <f>VLOOKUP($B439,[1]Data_Peer_with_peerVars!$B$2:$Z$1050,21,FALSE)</f>
        <v>0</v>
      </c>
      <c r="BJ439">
        <v>0</v>
      </c>
      <c r="BK439">
        <f>VLOOKUP($B439,[1]Data_Peer_with_peerVars!$B$2:$Z$1050,23,FALSE)</f>
        <v>40</v>
      </c>
      <c r="BL439">
        <f>VLOOKUP($B439,[1]Data_Peer_with_peerVars!$B$2:$Z$1050,24,FALSE)</f>
        <v>29</v>
      </c>
      <c r="BM439">
        <f>VLOOKUP($B439,[1]Data_Peer_with_peerVars!$B$2:$Z$1050,25,FALSE)</f>
        <v>0.72499999999999998</v>
      </c>
    </row>
    <row r="440" spans="1:65" x14ac:dyDescent="0.2">
      <c r="A440">
        <v>1</v>
      </c>
      <c r="B440" t="s">
        <v>716</v>
      </c>
      <c r="C440">
        <v>228</v>
      </c>
      <c r="D440" t="s">
        <v>68</v>
      </c>
      <c r="E440">
        <v>0</v>
      </c>
      <c r="F440">
        <v>348</v>
      </c>
      <c r="G440" t="s">
        <v>97</v>
      </c>
      <c r="H440" s="1">
        <v>7</v>
      </c>
      <c r="I440" t="s">
        <v>70</v>
      </c>
      <c r="J440" t="s">
        <v>71</v>
      </c>
      <c r="K440" t="s">
        <v>109</v>
      </c>
      <c r="L440">
        <v>1</v>
      </c>
      <c r="M440">
        <v>0</v>
      </c>
      <c r="N440">
        <v>1</v>
      </c>
      <c r="O440">
        <v>0</v>
      </c>
      <c r="P440">
        <v>1</v>
      </c>
      <c r="Q440">
        <v>11</v>
      </c>
      <c r="R440">
        <v>0</v>
      </c>
      <c r="S440">
        <v>0</v>
      </c>
      <c r="T440">
        <v>1</v>
      </c>
      <c r="U440">
        <v>1</v>
      </c>
      <c r="V440">
        <f t="shared" si="166"/>
        <v>1</v>
      </c>
      <c r="W440">
        <v>1</v>
      </c>
      <c r="X440">
        <v>1</v>
      </c>
      <c r="Y440">
        <v>1</v>
      </c>
      <c r="Z440" t="s">
        <v>73</v>
      </c>
      <c r="AA440" s="5" t="s">
        <v>73</v>
      </c>
      <c r="AB440" s="5" t="s">
        <v>73</v>
      </c>
      <c r="AC440" t="s">
        <v>73</v>
      </c>
      <c r="AD440" t="s">
        <v>94</v>
      </c>
      <c r="AE440" s="5" t="s">
        <v>106</v>
      </c>
      <c r="AF440" t="s">
        <v>107</v>
      </c>
      <c r="AG440" t="s">
        <v>95</v>
      </c>
      <c r="AH440">
        <f t="shared" ref="AH440:AH442" si="189">AI440</f>
        <v>1.8548828E-2</v>
      </c>
      <c r="AI440">
        <f t="shared" ref="AI440:AI442" si="190">AJ440</f>
        <v>1.8548828E-2</v>
      </c>
      <c r="AJ440">
        <f t="shared" si="169"/>
        <v>1.8548828E-2</v>
      </c>
      <c r="AK440">
        <v>1.8548828E-2</v>
      </c>
      <c r="AL440">
        <v>0.11782395</v>
      </c>
      <c r="AM440">
        <v>0.13027975999999999</v>
      </c>
      <c r="AN440">
        <v>0.13300492</v>
      </c>
      <c r="AO440">
        <v>98.145117200000001</v>
      </c>
      <c r="AP440">
        <v>88.217605000000006</v>
      </c>
      <c r="AQ440">
        <v>86.972024000000005</v>
      </c>
      <c r="AR440">
        <v>86.699507999999994</v>
      </c>
      <c r="AS440" t="b">
        <v>1</v>
      </c>
      <c r="AT440" t="b">
        <v>0</v>
      </c>
      <c r="AU440" t="s">
        <v>77</v>
      </c>
      <c r="AV440" t="s">
        <v>108</v>
      </c>
      <c r="AW440" t="s">
        <v>79</v>
      </c>
      <c r="AX440" t="s">
        <v>129</v>
      </c>
      <c r="AY440" t="s">
        <v>129</v>
      </c>
      <c r="AZ440" t="s">
        <v>109</v>
      </c>
      <c r="BA440">
        <v>8</v>
      </c>
      <c r="BB440">
        <v>1</v>
      </c>
      <c r="BC440">
        <v>4.1163553999999996E-3</v>
      </c>
      <c r="BD440">
        <v>1.4279989108178799E-4</v>
      </c>
      <c r="BE440">
        <v>4.2591552910817903E-3</v>
      </c>
      <c r="BF440">
        <f>IF(AK440&lt;BE440,1,0)</f>
        <v>0</v>
      </c>
      <c r="BG440">
        <f>IF(AK440&lt;BC440,1,0)</f>
        <v>0</v>
      </c>
      <c r="BH440">
        <f>VLOOKUP($B440,[1]Data_Peer_with_peerVars!$B$2:$Z$1050,20,FALSE)</f>
        <v>0</v>
      </c>
      <c r="BI440">
        <f>VLOOKUP($B440,[1]Data_Peer_with_peerVars!$B$2:$Z$1050,21,FALSE)</f>
        <v>0</v>
      </c>
      <c r="BJ440">
        <v>0</v>
      </c>
      <c r="BK440">
        <f>VLOOKUP($B440,[1]Data_Peer_with_peerVars!$B$2:$Z$1050,23,FALSE)</f>
        <v>29</v>
      </c>
      <c r="BL440">
        <f>VLOOKUP($B440,[1]Data_Peer_with_peerVars!$B$2:$Z$1050,24,FALSE)</f>
        <v>24</v>
      </c>
      <c r="BM440">
        <f>VLOOKUP($B440,[1]Data_Peer_with_peerVars!$B$2:$Z$1050,25,FALSE)</f>
        <v>0.82758620699999996</v>
      </c>
    </row>
    <row r="441" spans="1:65" x14ac:dyDescent="0.2">
      <c r="A441">
        <v>1</v>
      </c>
      <c r="B441" t="s">
        <v>717</v>
      </c>
      <c r="C441">
        <v>229</v>
      </c>
      <c r="D441" t="s">
        <v>68</v>
      </c>
      <c r="E441">
        <v>0</v>
      </c>
      <c r="F441">
        <v>358</v>
      </c>
      <c r="G441" t="s">
        <v>97</v>
      </c>
      <c r="H441" s="1">
        <v>7</v>
      </c>
      <c r="I441" t="s">
        <v>87</v>
      </c>
      <c r="J441" t="s">
        <v>88</v>
      </c>
      <c r="K441" t="s">
        <v>109</v>
      </c>
      <c r="L441">
        <v>1</v>
      </c>
      <c r="M441">
        <v>1</v>
      </c>
      <c r="N441">
        <v>0</v>
      </c>
      <c r="O441">
        <v>0</v>
      </c>
      <c r="P441">
        <v>1</v>
      </c>
      <c r="Q441">
        <v>16</v>
      </c>
      <c r="R441">
        <v>0</v>
      </c>
      <c r="S441">
        <v>0</v>
      </c>
      <c r="T441">
        <v>0</v>
      </c>
      <c r="U441">
        <v>0</v>
      </c>
      <c r="V441">
        <f t="shared" si="166"/>
        <v>1</v>
      </c>
      <c r="W441">
        <v>1</v>
      </c>
      <c r="X441">
        <v>1</v>
      </c>
      <c r="Y441">
        <v>1</v>
      </c>
      <c r="Z441" t="s">
        <v>73</v>
      </c>
      <c r="AA441" s="5" t="s">
        <v>73</v>
      </c>
      <c r="AB441" s="5" t="s">
        <v>73</v>
      </c>
      <c r="AC441" t="s">
        <v>73</v>
      </c>
      <c r="AD441" t="s">
        <v>94</v>
      </c>
      <c r="AE441" s="5" t="s">
        <v>94</v>
      </c>
      <c r="AF441" t="s">
        <v>287</v>
      </c>
      <c r="AG441" t="s">
        <v>137</v>
      </c>
      <c r="AH441">
        <f t="shared" si="189"/>
        <v>0.10010911</v>
      </c>
      <c r="AI441">
        <f t="shared" si="190"/>
        <v>0.10010911</v>
      </c>
      <c r="AJ441">
        <f t="shared" si="169"/>
        <v>0.10010911</v>
      </c>
      <c r="AK441">
        <v>0.10010911</v>
      </c>
      <c r="AL441">
        <v>0.13189513999999999</v>
      </c>
      <c r="AM441">
        <v>0.13653741999999999</v>
      </c>
      <c r="AN441">
        <v>0.14281814000000001</v>
      </c>
      <c r="AO441">
        <v>89.989089000000007</v>
      </c>
      <c r="AP441">
        <v>86.810485999999997</v>
      </c>
      <c r="AQ441">
        <v>86.346258000000006</v>
      </c>
      <c r="AR441">
        <v>85.718186000000003</v>
      </c>
      <c r="AS441" t="b">
        <v>1</v>
      </c>
      <c r="AT441" t="b">
        <v>0</v>
      </c>
      <c r="AU441" t="s">
        <v>78</v>
      </c>
      <c r="AV441" t="s">
        <v>78</v>
      </c>
      <c r="AW441" t="s">
        <v>79</v>
      </c>
      <c r="AX441" t="s">
        <v>129</v>
      </c>
      <c r="AY441" t="s">
        <v>129</v>
      </c>
      <c r="AZ441" t="s">
        <v>109</v>
      </c>
      <c r="BA441">
        <v>10</v>
      </c>
      <c r="BB441">
        <v>0.7</v>
      </c>
      <c r="BC441">
        <v>4.1163553999999996E-3</v>
      </c>
      <c r="BD441">
        <v>1.4279989108178799E-4</v>
      </c>
      <c r="BE441">
        <v>4.2591552910817903E-3</v>
      </c>
      <c r="BF441">
        <f>IF(AK441&lt;BE441,1,0)</f>
        <v>0</v>
      </c>
      <c r="BG441">
        <f>IF(AK441&lt;BC441,1,0)</f>
        <v>0</v>
      </c>
      <c r="BH441">
        <f>VLOOKUP($B441,[1]Data_Peer_with_peerVars!$B$2:$Z$1050,20,FALSE)</f>
        <v>2</v>
      </c>
      <c r="BI441">
        <f>VLOOKUP($B441,[1]Data_Peer_with_peerVars!$B$2:$Z$1050,21,FALSE)</f>
        <v>1</v>
      </c>
      <c r="BJ441">
        <f>VLOOKUP($B441,[1]Data_Peer_with_peerVars!$B$2:$Z$1050,22,FALSE)</f>
        <v>0.5</v>
      </c>
      <c r="BK441">
        <f>VLOOKUP($B441,[1]Data_Peer_with_peerVars!$B$2:$Z$1050,23,FALSE)</f>
        <v>48</v>
      </c>
      <c r="BL441">
        <f>VLOOKUP($B441,[1]Data_Peer_with_peerVars!$B$2:$Z$1050,24,FALSE)</f>
        <v>33</v>
      </c>
      <c r="BM441">
        <f>VLOOKUP($B441,[1]Data_Peer_with_peerVars!$B$2:$Z$1050,25,FALSE)</f>
        <v>0.6875</v>
      </c>
    </row>
    <row r="442" spans="1:65" x14ac:dyDescent="0.2">
      <c r="A442">
        <v>1</v>
      </c>
      <c r="B442" t="s">
        <v>718</v>
      </c>
      <c r="C442">
        <v>229</v>
      </c>
      <c r="D442" t="s">
        <v>68</v>
      </c>
      <c r="E442">
        <v>0</v>
      </c>
      <c r="F442">
        <v>358</v>
      </c>
      <c r="G442" t="s">
        <v>97</v>
      </c>
      <c r="H442" s="1">
        <v>7</v>
      </c>
      <c r="I442" t="s">
        <v>87</v>
      </c>
      <c r="J442" t="s">
        <v>88</v>
      </c>
      <c r="K442" t="s">
        <v>109</v>
      </c>
      <c r="L442">
        <v>1</v>
      </c>
      <c r="M442">
        <v>1</v>
      </c>
      <c r="N442">
        <v>0</v>
      </c>
      <c r="O442">
        <v>0</v>
      </c>
      <c r="P442">
        <v>1</v>
      </c>
      <c r="Q442">
        <v>16</v>
      </c>
      <c r="R442">
        <v>0</v>
      </c>
      <c r="S442">
        <v>0</v>
      </c>
      <c r="T442">
        <v>0</v>
      </c>
      <c r="U442">
        <v>0</v>
      </c>
      <c r="V442">
        <f t="shared" si="166"/>
        <v>1</v>
      </c>
      <c r="W442">
        <v>1</v>
      </c>
      <c r="X442">
        <v>1</v>
      </c>
      <c r="Y442">
        <v>1</v>
      </c>
      <c r="Z442" t="s">
        <v>74</v>
      </c>
      <c r="AA442" s="5" t="s">
        <v>74</v>
      </c>
      <c r="AB442" s="5" t="s">
        <v>74</v>
      </c>
      <c r="AC442" t="s">
        <v>74</v>
      </c>
      <c r="AD442" t="s">
        <v>101</v>
      </c>
      <c r="AE442" s="5" t="s">
        <v>101</v>
      </c>
      <c r="AF442" t="s">
        <v>102</v>
      </c>
      <c r="AG442" t="s">
        <v>103</v>
      </c>
      <c r="AH442">
        <f t="shared" si="189"/>
        <v>9.8189789999999999E-2</v>
      </c>
      <c r="AI442">
        <f t="shared" si="190"/>
        <v>9.8189789999999999E-2</v>
      </c>
      <c r="AJ442">
        <f t="shared" si="169"/>
        <v>9.8189789999999999E-2</v>
      </c>
      <c r="AK442">
        <v>9.8189789999999999E-2</v>
      </c>
      <c r="AL442">
        <v>0.10219780000000001</v>
      </c>
      <c r="AM442">
        <v>0.12527293</v>
      </c>
      <c r="AN442">
        <v>0.1275482</v>
      </c>
      <c r="AO442">
        <v>90.181021000000001</v>
      </c>
      <c r="AP442">
        <v>89.78022</v>
      </c>
      <c r="AQ442">
        <v>87.472707</v>
      </c>
      <c r="AR442">
        <v>87.245180000000005</v>
      </c>
      <c r="AS442" t="b">
        <v>1</v>
      </c>
      <c r="AT442" t="b">
        <v>0</v>
      </c>
      <c r="AU442" t="s">
        <v>77</v>
      </c>
      <c r="AV442" t="s">
        <v>78</v>
      </c>
      <c r="AW442" t="s">
        <v>79</v>
      </c>
      <c r="AX442" t="s">
        <v>129</v>
      </c>
      <c r="AY442" t="s">
        <v>129</v>
      </c>
      <c r="AZ442" t="s">
        <v>109</v>
      </c>
      <c r="BA442">
        <v>10</v>
      </c>
      <c r="BB442">
        <v>1.4</v>
      </c>
      <c r="BC442">
        <v>2.4738868000000001E-3</v>
      </c>
      <c r="BD442">
        <v>1.4256942275279999E-4</v>
      </c>
      <c r="BE442">
        <v>2.6164562227527998E-3</v>
      </c>
      <c r="BF442">
        <f>IF(AK442&lt;BE442,1,0)</f>
        <v>0</v>
      </c>
      <c r="BG442">
        <f>IF(AK442&lt;BC442,1,0)</f>
        <v>0</v>
      </c>
      <c r="BH442">
        <f>VLOOKUP($B442,[1]Data_Peer_with_peerVars!$B$2:$Z$1050,20,FALSE)</f>
        <v>2</v>
      </c>
      <c r="BI442">
        <f>VLOOKUP($B442,[1]Data_Peer_with_peerVars!$B$2:$Z$1050,21,FALSE)</f>
        <v>1</v>
      </c>
      <c r="BJ442">
        <f>VLOOKUP($B442,[1]Data_Peer_with_peerVars!$B$2:$Z$1050,22,FALSE)</f>
        <v>0.5</v>
      </c>
      <c r="BK442">
        <f>VLOOKUP($B442,[1]Data_Peer_with_peerVars!$B$2:$Z$1050,23,FALSE)</f>
        <v>48</v>
      </c>
      <c r="BL442">
        <f>VLOOKUP($B442,[1]Data_Peer_with_peerVars!$B$2:$Z$1050,24,FALSE)</f>
        <v>33</v>
      </c>
      <c r="BM442">
        <f>VLOOKUP($B442,[1]Data_Peer_with_peerVars!$B$2:$Z$1050,25,FALSE)</f>
        <v>0.6875</v>
      </c>
    </row>
    <row r="443" spans="1:65" x14ac:dyDescent="0.2">
      <c r="A443">
        <v>1</v>
      </c>
      <c r="B443" t="s">
        <v>719</v>
      </c>
      <c r="C443">
        <v>230</v>
      </c>
      <c r="D443" t="s">
        <v>68</v>
      </c>
      <c r="E443">
        <v>1</v>
      </c>
      <c r="F443">
        <v>533</v>
      </c>
      <c r="G443" t="s">
        <v>69</v>
      </c>
      <c r="H443" s="1">
        <v>7</v>
      </c>
      <c r="I443" t="s">
        <v>70</v>
      </c>
      <c r="J443" t="s">
        <v>71</v>
      </c>
      <c r="K443" t="s">
        <v>109</v>
      </c>
      <c r="L443">
        <v>1</v>
      </c>
      <c r="M443">
        <v>0</v>
      </c>
      <c r="N443">
        <v>1</v>
      </c>
      <c r="O443">
        <v>0</v>
      </c>
      <c r="P443">
        <v>0</v>
      </c>
      <c r="Q443">
        <v>9</v>
      </c>
      <c r="R443">
        <v>0</v>
      </c>
      <c r="S443">
        <v>0</v>
      </c>
      <c r="T443">
        <v>1</v>
      </c>
      <c r="U443">
        <v>1</v>
      </c>
      <c r="V443">
        <f t="shared" si="166"/>
        <v>0</v>
      </c>
      <c r="W443">
        <f t="shared" si="167"/>
        <v>0</v>
      </c>
      <c r="X443">
        <f t="shared" si="170"/>
        <v>0</v>
      </c>
      <c r="Y443">
        <f t="shared" si="168"/>
        <v>0</v>
      </c>
      <c r="Z443" t="s">
        <v>137</v>
      </c>
      <c r="AA443" s="5" t="s">
        <v>137</v>
      </c>
      <c r="AB443" s="5" t="s">
        <v>137</v>
      </c>
      <c r="AC443" t="s">
        <v>94</v>
      </c>
      <c r="AD443" t="s">
        <v>95</v>
      </c>
      <c r="AE443" s="5" t="s">
        <v>95</v>
      </c>
      <c r="AF443" t="s">
        <v>107</v>
      </c>
      <c r="AG443" t="s">
        <v>74</v>
      </c>
      <c r="AH443">
        <f>AI443</f>
        <v>1.5010917E-2</v>
      </c>
      <c r="AI443">
        <f>AJ443</f>
        <v>1.5010917E-2</v>
      </c>
      <c r="AJ443">
        <f t="shared" si="169"/>
        <v>1.5010917E-2</v>
      </c>
      <c r="AK443">
        <v>1.5010917E-2</v>
      </c>
      <c r="AL443">
        <v>0.1079825</v>
      </c>
      <c r="AM443">
        <v>0.110958904</v>
      </c>
      <c r="AN443">
        <v>0.12767123</v>
      </c>
      <c r="AO443">
        <v>98.498908299999997</v>
      </c>
      <c r="AP443">
        <v>89.201750000000004</v>
      </c>
      <c r="AQ443">
        <v>88.904109599999998</v>
      </c>
      <c r="AR443">
        <v>87.232877000000002</v>
      </c>
      <c r="AS443" t="b">
        <v>0</v>
      </c>
      <c r="AT443" t="b">
        <v>0</v>
      </c>
      <c r="AU443" t="s">
        <v>77</v>
      </c>
      <c r="AV443" t="s">
        <v>78</v>
      </c>
      <c r="AW443" t="s">
        <v>79</v>
      </c>
      <c r="AX443" t="s">
        <v>129</v>
      </c>
      <c r="AY443" t="s">
        <v>129</v>
      </c>
      <c r="AZ443" t="s">
        <v>109</v>
      </c>
      <c r="BA443">
        <v>2</v>
      </c>
      <c r="BB443">
        <v>1.4</v>
      </c>
      <c r="BC443">
        <v>1.6447369E-2</v>
      </c>
      <c r="BD443">
        <v>4.2236161269162102E-4</v>
      </c>
      <c r="BE443">
        <v>1.6869730612691598E-2</v>
      </c>
      <c r="BF443">
        <f>IF(AK443&lt;BE443,1,0)</f>
        <v>1</v>
      </c>
      <c r="BG443">
        <f>IF(AK443&lt;BC443,1,0)</f>
        <v>1</v>
      </c>
      <c r="BH443">
        <f>VLOOKUP($B443,[1]Data_Peer_with_peerVars!$B$2:$Z$1050,20,FALSE)</f>
        <v>2</v>
      </c>
      <c r="BI443">
        <f>VLOOKUP($B443,[1]Data_Peer_with_peerVars!$B$2:$Z$1050,21,FALSE)</f>
        <v>2</v>
      </c>
      <c r="BJ443">
        <f>VLOOKUP($B443,[1]Data_Peer_with_peerVars!$B$2:$Z$1050,22,FALSE)</f>
        <v>1</v>
      </c>
      <c r="BK443">
        <f>VLOOKUP($B443,[1]Data_Peer_with_peerVars!$B$2:$Z$1050,23,FALSE)</f>
        <v>38</v>
      </c>
      <c r="BL443">
        <f>VLOOKUP($B443,[1]Data_Peer_with_peerVars!$B$2:$Z$1050,24,FALSE)</f>
        <v>28</v>
      </c>
      <c r="BM443">
        <f>VLOOKUP($B443,[1]Data_Peer_with_peerVars!$B$2:$Z$1050,25,FALSE)</f>
        <v>0.73684210500000002</v>
      </c>
    </row>
    <row r="444" spans="1:65" x14ac:dyDescent="0.2">
      <c r="A444">
        <v>1</v>
      </c>
      <c r="B444" t="s">
        <v>720</v>
      </c>
      <c r="C444">
        <v>230</v>
      </c>
      <c r="D444" t="s">
        <v>68</v>
      </c>
      <c r="E444">
        <v>1</v>
      </c>
      <c r="F444">
        <v>533</v>
      </c>
      <c r="G444" t="s">
        <v>69</v>
      </c>
      <c r="H444" s="1">
        <v>7</v>
      </c>
      <c r="I444" t="s">
        <v>70</v>
      </c>
      <c r="J444" t="s">
        <v>71</v>
      </c>
      <c r="K444" t="s">
        <v>109</v>
      </c>
      <c r="L444">
        <v>1</v>
      </c>
      <c r="M444">
        <v>0</v>
      </c>
      <c r="N444">
        <v>1</v>
      </c>
      <c r="O444">
        <v>0</v>
      </c>
      <c r="P444">
        <v>0</v>
      </c>
      <c r="Q444">
        <v>9</v>
      </c>
      <c r="R444">
        <v>0</v>
      </c>
      <c r="S444">
        <v>0</v>
      </c>
      <c r="T444">
        <v>0</v>
      </c>
      <c r="U444">
        <v>0</v>
      </c>
      <c r="V444">
        <f t="shared" si="166"/>
        <v>1</v>
      </c>
      <c r="W444">
        <v>1</v>
      </c>
      <c r="X444">
        <v>1</v>
      </c>
      <c r="Y444">
        <v>1</v>
      </c>
      <c r="Z444" t="s">
        <v>76</v>
      </c>
      <c r="AA444" s="5" t="s">
        <v>76</v>
      </c>
      <c r="AB444" s="5" t="s">
        <v>76</v>
      </c>
      <c r="AC444" t="s">
        <v>76</v>
      </c>
      <c r="AD444" t="s">
        <v>74</v>
      </c>
      <c r="AE444" s="5" t="s">
        <v>74</v>
      </c>
      <c r="AF444" t="s">
        <v>120</v>
      </c>
      <c r="AG444" t="s">
        <v>75</v>
      </c>
      <c r="AH444">
        <f>AI444</f>
        <v>7.837247E-2</v>
      </c>
      <c r="AI444">
        <f>AJ444</f>
        <v>7.837247E-2</v>
      </c>
      <c r="AJ444">
        <f t="shared" si="169"/>
        <v>7.837247E-2</v>
      </c>
      <c r="AK444">
        <v>7.837247E-2</v>
      </c>
      <c r="AL444">
        <v>8.7123290000000006E-2</v>
      </c>
      <c r="AM444">
        <v>0.12179137</v>
      </c>
      <c r="AN444">
        <v>0.123905905</v>
      </c>
      <c r="AO444">
        <v>92.162752999999995</v>
      </c>
      <c r="AP444">
        <v>91.287671000000003</v>
      </c>
      <c r="AQ444">
        <v>87.820863000000003</v>
      </c>
      <c r="AR444">
        <v>87.609409499999998</v>
      </c>
      <c r="AS444" t="b">
        <v>1</v>
      </c>
      <c r="AT444" t="b">
        <v>0</v>
      </c>
      <c r="AU444" t="s">
        <v>77</v>
      </c>
      <c r="AV444" t="s">
        <v>77</v>
      </c>
      <c r="AW444" t="s">
        <v>79</v>
      </c>
      <c r="AX444" t="s">
        <v>129</v>
      </c>
      <c r="AY444" t="s">
        <v>129</v>
      </c>
      <c r="AZ444" t="s">
        <v>109</v>
      </c>
      <c r="BA444">
        <v>3</v>
      </c>
      <c r="BB444">
        <v>0.7</v>
      </c>
      <c r="BC444">
        <v>7.7070764999999999E-2</v>
      </c>
      <c r="BD444">
        <v>1.90190515067399E-3</v>
      </c>
      <c r="BE444">
        <v>7.8972670150673996E-2</v>
      </c>
      <c r="BF444">
        <f>IF(AK444&lt;BE444,1,0)</f>
        <v>1</v>
      </c>
      <c r="BG444">
        <f>IF(AK444&lt;BC444,1,0)</f>
        <v>0</v>
      </c>
      <c r="BH444">
        <f>VLOOKUP($B444,[1]Data_Peer_with_peerVars!$B$2:$Z$1050,20,FALSE)</f>
        <v>2</v>
      </c>
      <c r="BI444">
        <f>VLOOKUP($B444,[1]Data_Peer_with_peerVars!$B$2:$Z$1050,21,FALSE)</f>
        <v>2</v>
      </c>
      <c r="BJ444">
        <f>VLOOKUP($B444,[1]Data_Peer_with_peerVars!$B$2:$Z$1050,22,FALSE)</f>
        <v>1</v>
      </c>
      <c r="BK444">
        <f>VLOOKUP($B444,[1]Data_Peer_with_peerVars!$B$2:$Z$1050,23,FALSE)</f>
        <v>38</v>
      </c>
      <c r="BL444">
        <f>VLOOKUP($B444,[1]Data_Peer_with_peerVars!$B$2:$Z$1050,24,FALSE)</f>
        <v>28</v>
      </c>
      <c r="BM444">
        <f>VLOOKUP($B444,[1]Data_Peer_with_peerVars!$B$2:$Z$1050,25,FALSE)</f>
        <v>0.73684210500000002</v>
      </c>
    </row>
    <row r="445" spans="1:65" x14ac:dyDescent="0.2">
      <c r="A445">
        <v>1</v>
      </c>
      <c r="B445" t="s">
        <v>721</v>
      </c>
      <c r="C445">
        <v>231</v>
      </c>
      <c r="D445" t="s">
        <v>68</v>
      </c>
      <c r="E445">
        <v>0</v>
      </c>
      <c r="F445">
        <v>315</v>
      </c>
      <c r="G445" t="s">
        <v>119</v>
      </c>
      <c r="H445" s="1">
        <v>7</v>
      </c>
      <c r="I445" t="s">
        <v>70</v>
      </c>
      <c r="J445" t="s">
        <v>71</v>
      </c>
      <c r="K445" t="s">
        <v>72</v>
      </c>
      <c r="L445">
        <v>1</v>
      </c>
      <c r="M445">
        <v>0</v>
      </c>
      <c r="N445">
        <v>0</v>
      </c>
      <c r="O445">
        <v>0</v>
      </c>
      <c r="P445">
        <v>1</v>
      </c>
      <c r="Q445">
        <v>6</v>
      </c>
      <c r="R445">
        <v>0</v>
      </c>
      <c r="S445">
        <v>0</v>
      </c>
      <c r="T445">
        <v>0</v>
      </c>
      <c r="U445">
        <v>0</v>
      </c>
      <c r="V445">
        <f t="shared" si="166"/>
        <v>0</v>
      </c>
      <c r="W445">
        <f t="shared" si="167"/>
        <v>0</v>
      </c>
      <c r="X445">
        <f t="shared" si="170"/>
        <v>0</v>
      </c>
      <c r="Y445">
        <f t="shared" si="168"/>
        <v>0</v>
      </c>
      <c r="Z445" t="s">
        <v>73</v>
      </c>
      <c r="AA445" s="5" t="s">
        <v>73</v>
      </c>
      <c r="AB445" s="5" t="s">
        <v>73</v>
      </c>
      <c r="AC445" t="s">
        <v>103</v>
      </c>
      <c r="AD445" t="s">
        <v>137</v>
      </c>
      <c r="AE445" s="5" t="s">
        <v>305</v>
      </c>
      <c r="AF445" t="s">
        <v>91</v>
      </c>
      <c r="AG445" t="s">
        <v>101</v>
      </c>
      <c r="AH445">
        <f t="shared" ref="AH445:AH446" si="191">AI445</f>
        <v>0.11025358</v>
      </c>
      <c r="AI445">
        <f t="shared" ref="AI445:AI448" si="192">AJ445</f>
        <v>0.11025358</v>
      </c>
      <c r="AJ445">
        <f t="shared" si="169"/>
        <v>0.11025358</v>
      </c>
      <c r="AK445">
        <v>0.11025358</v>
      </c>
      <c r="AL445">
        <v>0.11120219000000001</v>
      </c>
      <c r="AM445">
        <v>0.1302682</v>
      </c>
      <c r="AN445">
        <v>0.13131868999999999</v>
      </c>
      <c r="AO445">
        <v>88.974642000000003</v>
      </c>
      <c r="AP445">
        <v>88.879780999999994</v>
      </c>
      <c r="AQ445">
        <v>86.973179999999999</v>
      </c>
      <c r="AR445">
        <v>86.868131000000005</v>
      </c>
      <c r="AS445" t="b">
        <v>0</v>
      </c>
      <c r="AT445" t="b">
        <v>0</v>
      </c>
      <c r="AU445" t="s">
        <v>78</v>
      </c>
      <c r="AV445" t="s">
        <v>108</v>
      </c>
      <c r="AW445" t="s">
        <v>79</v>
      </c>
      <c r="AX445" t="s">
        <v>129</v>
      </c>
      <c r="AY445" t="s">
        <v>722</v>
      </c>
      <c r="AZ445" t="s">
        <v>72</v>
      </c>
      <c r="BA445" t="s">
        <v>82</v>
      </c>
      <c r="BB445">
        <v>0.35</v>
      </c>
      <c r="BC445">
        <v>1.8406593999999998E-2</v>
      </c>
      <c r="BD445">
        <v>3.30705390234067E-4</v>
      </c>
      <c r="BE445">
        <v>1.8737299390234101E-2</v>
      </c>
      <c r="BF445">
        <f>IF(AK445&lt;BE445,1,0)</f>
        <v>0</v>
      </c>
      <c r="BG445">
        <f>IF(AK445&lt;BC445,1,0)</f>
        <v>0</v>
      </c>
      <c r="BH445">
        <f>VLOOKUP($B445,[1]Data_Peer_with_peerVars!$B$2:$Z$1050,20,FALSE)</f>
        <v>2</v>
      </c>
      <c r="BI445">
        <f>VLOOKUP($B445,[1]Data_Peer_with_peerVars!$B$2:$Z$1050,21,FALSE)</f>
        <v>1</v>
      </c>
      <c r="BJ445">
        <f>VLOOKUP($B445,[1]Data_Peer_with_peerVars!$B$2:$Z$1050,22,FALSE)</f>
        <v>0.5</v>
      </c>
      <c r="BK445">
        <f>VLOOKUP($B445,[1]Data_Peer_with_peerVars!$B$2:$Z$1050,23,FALSE)</f>
        <v>12</v>
      </c>
      <c r="BL445">
        <f>VLOOKUP($B445,[1]Data_Peer_with_peerVars!$B$2:$Z$1050,24,FALSE)</f>
        <v>10</v>
      </c>
      <c r="BM445">
        <f>VLOOKUP($B445,[1]Data_Peer_with_peerVars!$B$2:$Z$1050,25,FALSE)</f>
        <v>0.83333333300000001</v>
      </c>
    </row>
    <row r="446" spans="1:65" x14ac:dyDescent="0.2">
      <c r="A446">
        <v>1</v>
      </c>
      <c r="B446" t="s">
        <v>723</v>
      </c>
      <c r="C446">
        <v>231</v>
      </c>
      <c r="D446" t="s">
        <v>68</v>
      </c>
      <c r="E446">
        <v>0</v>
      </c>
      <c r="F446">
        <v>315</v>
      </c>
      <c r="G446" t="s">
        <v>119</v>
      </c>
      <c r="H446" s="1">
        <v>7</v>
      </c>
      <c r="I446" t="s">
        <v>70</v>
      </c>
      <c r="J446" t="s">
        <v>71</v>
      </c>
      <c r="K446" t="s">
        <v>72</v>
      </c>
      <c r="L446">
        <v>1</v>
      </c>
      <c r="M446">
        <v>0</v>
      </c>
      <c r="N446">
        <v>0</v>
      </c>
      <c r="O446">
        <v>0</v>
      </c>
      <c r="P446">
        <v>1</v>
      </c>
      <c r="Q446">
        <v>6</v>
      </c>
      <c r="R446">
        <v>0</v>
      </c>
      <c r="S446">
        <v>0</v>
      </c>
      <c r="T446">
        <v>0</v>
      </c>
      <c r="U446">
        <v>0</v>
      </c>
      <c r="V446">
        <f t="shared" si="166"/>
        <v>0</v>
      </c>
      <c r="W446">
        <f t="shared" si="167"/>
        <v>0</v>
      </c>
      <c r="X446">
        <f t="shared" si="170"/>
        <v>0</v>
      </c>
      <c r="Y446">
        <f t="shared" si="168"/>
        <v>0</v>
      </c>
      <c r="Z446" t="s">
        <v>76</v>
      </c>
      <c r="AA446" s="5" t="s">
        <v>76</v>
      </c>
      <c r="AB446" s="5" t="s">
        <v>76</v>
      </c>
      <c r="AC446" t="s">
        <v>101</v>
      </c>
      <c r="AD446" t="s">
        <v>99</v>
      </c>
      <c r="AE446" s="5" t="s">
        <v>99</v>
      </c>
      <c r="AF446" t="s">
        <v>103</v>
      </c>
      <c r="AG446" t="s">
        <v>102</v>
      </c>
      <c r="AH446">
        <f t="shared" si="191"/>
        <v>6.1470909999999997E-2</v>
      </c>
      <c r="AI446">
        <f t="shared" si="192"/>
        <v>6.1470909999999997E-2</v>
      </c>
      <c r="AJ446">
        <f t="shared" si="169"/>
        <v>6.1470909999999997E-2</v>
      </c>
      <c r="AK446">
        <v>6.1470909999999997E-2</v>
      </c>
      <c r="AL446">
        <v>9.5973520000000007E-2</v>
      </c>
      <c r="AM446">
        <v>0.101596914</v>
      </c>
      <c r="AN446">
        <v>0.12854804</v>
      </c>
      <c r="AO446">
        <v>93.852908999999997</v>
      </c>
      <c r="AP446">
        <v>90.402647999999999</v>
      </c>
      <c r="AQ446">
        <v>89.8403086</v>
      </c>
      <c r="AR446">
        <v>87.145195999999999</v>
      </c>
      <c r="AS446" t="b">
        <v>0</v>
      </c>
      <c r="AT446" t="b">
        <v>0</v>
      </c>
      <c r="AU446" t="s">
        <v>77</v>
      </c>
      <c r="AV446" t="s">
        <v>77</v>
      </c>
      <c r="AW446" t="s">
        <v>79</v>
      </c>
      <c r="AX446" t="s">
        <v>129</v>
      </c>
      <c r="AY446" t="s">
        <v>722</v>
      </c>
      <c r="AZ446" t="s">
        <v>72</v>
      </c>
      <c r="BA446" t="s">
        <v>82</v>
      </c>
      <c r="BB446">
        <v>0.35</v>
      </c>
      <c r="BC446">
        <v>1.4096186E-2</v>
      </c>
      <c r="BD446">
        <v>1.55088650053763E-3</v>
      </c>
      <c r="BE446">
        <v>1.5647072500537599E-2</v>
      </c>
      <c r="BF446">
        <f>IF(AK446&lt;BE446,1,0)</f>
        <v>0</v>
      </c>
      <c r="BG446">
        <f>IF(AK446&lt;BC446,1,0)</f>
        <v>0</v>
      </c>
      <c r="BH446">
        <f>VLOOKUP($B446,[1]Data_Peer_with_peerVars!$B$2:$Z$1050,20,FALSE)</f>
        <v>2</v>
      </c>
      <c r="BI446">
        <f>VLOOKUP($B446,[1]Data_Peer_with_peerVars!$B$2:$Z$1050,21,FALSE)</f>
        <v>1</v>
      </c>
      <c r="BJ446">
        <f>VLOOKUP($B446,[1]Data_Peer_with_peerVars!$B$2:$Z$1050,22,FALSE)</f>
        <v>0.5</v>
      </c>
      <c r="BK446">
        <f>VLOOKUP($B446,[1]Data_Peer_with_peerVars!$B$2:$Z$1050,23,FALSE)</f>
        <v>12</v>
      </c>
      <c r="BL446">
        <f>VLOOKUP($B446,[1]Data_Peer_with_peerVars!$B$2:$Z$1050,24,FALSE)</f>
        <v>10</v>
      </c>
      <c r="BM446">
        <f>VLOOKUP($B446,[1]Data_Peer_with_peerVars!$B$2:$Z$1050,25,FALSE)</f>
        <v>0.83333333300000001</v>
      </c>
    </row>
    <row r="447" spans="1:65" x14ac:dyDescent="0.2">
      <c r="A447">
        <v>1</v>
      </c>
      <c r="B447" t="s">
        <v>724</v>
      </c>
      <c r="C447">
        <v>232</v>
      </c>
      <c r="D447" t="s">
        <v>68</v>
      </c>
      <c r="E447">
        <v>0</v>
      </c>
      <c r="F447">
        <v>316</v>
      </c>
      <c r="G447" t="s">
        <v>119</v>
      </c>
      <c r="H447" s="1">
        <v>0</v>
      </c>
      <c r="I447" t="s">
        <v>70</v>
      </c>
      <c r="J447" t="s">
        <v>71</v>
      </c>
      <c r="K447" t="s">
        <v>72</v>
      </c>
      <c r="L447">
        <v>1</v>
      </c>
      <c r="M447">
        <v>0</v>
      </c>
      <c r="N447">
        <v>0</v>
      </c>
      <c r="O447">
        <v>0</v>
      </c>
      <c r="P447">
        <v>0</v>
      </c>
      <c r="Q447">
        <v>6</v>
      </c>
      <c r="R447">
        <v>0</v>
      </c>
      <c r="S447">
        <v>0</v>
      </c>
      <c r="T447">
        <v>0</v>
      </c>
      <c r="U447">
        <v>0</v>
      </c>
      <c r="V447">
        <f t="shared" si="166"/>
        <v>0</v>
      </c>
      <c r="W447">
        <f t="shared" si="167"/>
        <v>1</v>
      </c>
      <c r="X447">
        <v>1</v>
      </c>
      <c r="Y447">
        <v>1</v>
      </c>
      <c r="Z447" t="s">
        <v>76</v>
      </c>
      <c r="AA447" s="5" t="s">
        <v>76</v>
      </c>
      <c r="AB447" s="5" t="s">
        <v>76</v>
      </c>
      <c r="AC447" t="s">
        <v>94</v>
      </c>
      <c r="AD447" t="s">
        <v>76</v>
      </c>
      <c r="AE447" s="5" t="s">
        <v>76</v>
      </c>
      <c r="AF447" t="s">
        <v>74</v>
      </c>
      <c r="AG447" t="s">
        <v>167</v>
      </c>
      <c r="AH447">
        <f>AI447</f>
        <v>0.13844893999999999</v>
      </c>
      <c r="AI447">
        <f t="shared" si="192"/>
        <v>0.13844893999999999</v>
      </c>
      <c r="AJ447">
        <f>AL447</f>
        <v>0.13844893999999999</v>
      </c>
      <c r="AK447">
        <v>0.13646288000000001</v>
      </c>
      <c r="AL447">
        <v>0.13844893999999999</v>
      </c>
      <c r="AM447">
        <v>0.14136986000000001</v>
      </c>
      <c r="AN447">
        <v>0.15041097</v>
      </c>
      <c r="AO447">
        <v>86.353712000000002</v>
      </c>
      <c r="AP447">
        <v>86.155106000000004</v>
      </c>
      <c r="AQ447">
        <v>85.863014000000007</v>
      </c>
      <c r="AR447">
        <v>84.958903000000007</v>
      </c>
      <c r="AS447" t="b">
        <v>0</v>
      </c>
      <c r="AT447" t="b">
        <v>1</v>
      </c>
      <c r="AU447" t="s">
        <v>78</v>
      </c>
      <c r="AV447" t="s">
        <v>78</v>
      </c>
      <c r="AW447" t="s">
        <v>79</v>
      </c>
      <c r="AX447" t="s">
        <v>129</v>
      </c>
      <c r="AY447" t="s">
        <v>722</v>
      </c>
      <c r="AZ447" t="s">
        <v>72</v>
      </c>
      <c r="BA447" t="s">
        <v>82</v>
      </c>
      <c r="BB447">
        <v>1.5</v>
      </c>
      <c r="BC447">
        <v>1.6447369E-2</v>
      </c>
      <c r="BD447">
        <v>4.2236161269162102E-4</v>
      </c>
      <c r="BE447">
        <v>1.6869730612691598E-2</v>
      </c>
      <c r="BF447">
        <f>IF(AK447&lt;BE447,1,0)</f>
        <v>0</v>
      </c>
      <c r="BG447">
        <f>IF(AK447&lt;BC447,1,0)</f>
        <v>0</v>
      </c>
      <c r="BH447">
        <f>VLOOKUP($B447,[1]Data_Peer_with_peerVars!$B$2:$Z$1050,20,FALSE)</f>
        <v>2</v>
      </c>
      <c r="BI447">
        <f>VLOOKUP($B447,[1]Data_Peer_with_peerVars!$B$2:$Z$1050,21,FALSE)</f>
        <v>0</v>
      </c>
      <c r="BJ447">
        <f>VLOOKUP($B447,[1]Data_Peer_with_peerVars!$B$2:$Z$1050,22,FALSE)</f>
        <v>0</v>
      </c>
      <c r="BK447">
        <f>VLOOKUP($B447,[1]Data_Peer_with_peerVars!$B$2:$Z$1050,23,FALSE)</f>
        <v>17</v>
      </c>
      <c r="BL447">
        <f>VLOOKUP($B447,[1]Data_Peer_with_peerVars!$B$2:$Z$1050,24,FALSE)</f>
        <v>12</v>
      </c>
      <c r="BM447">
        <f>VLOOKUP($B447,[1]Data_Peer_with_peerVars!$B$2:$Z$1050,25,FALSE)</f>
        <v>0.70588235300000002</v>
      </c>
    </row>
    <row r="448" spans="1:65" x14ac:dyDescent="0.2">
      <c r="A448">
        <v>1</v>
      </c>
      <c r="B448" t="s">
        <v>725</v>
      </c>
      <c r="C448">
        <v>232</v>
      </c>
      <c r="D448" t="s">
        <v>68</v>
      </c>
      <c r="E448">
        <v>0</v>
      </c>
      <c r="F448">
        <v>316</v>
      </c>
      <c r="G448" t="s">
        <v>119</v>
      </c>
      <c r="H448" s="1">
        <v>0</v>
      </c>
      <c r="I448" t="s">
        <v>70</v>
      </c>
      <c r="J448" t="s">
        <v>71</v>
      </c>
      <c r="K448" t="s">
        <v>72</v>
      </c>
      <c r="L448">
        <v>1</v>
      </c>
      <c r="M448">
        <v>0</v>
      </c>
      <c r="N448">
        <v>0</v>
      </c>
      <c r="O448">
        <v>0</v>
      </c>
      <c r="P448">
        <v>0</v>
      </c>
      <c r="Q448">
        <v>6</v>
      </c>
      <c r="R448">
        <v>0</v>
      </c>
      <c r="S448">
        <v>0</v>
      </c>
      <c r="T448">
        <v>0</v>
      </c>
      <c r="U448">
        <v>0</v>
      </c>
      <c r="V448">
        <f t="shared" si="166"/>
        <v>0</v>
      </c>
      <c r="W448">
        <f t="shared" si="167"/>
        <v>0</v>
      </c>
      <c r="X448">
        <f t="shared" si="170"/>
        <v>0</v>
      </c>
      <c r="Y448">
        <f t="shared" si="168"/>
        <v>0</v>
      </c>
      <c r="Z448" t="s">
        <v>74</v>
      </c>
      <c r="AA448" s="5" t="s">
        <v>74</v>
      </c>
      <c r="AB448" s="5" t="s">
        <v>74</v>
      </c>
      <c r="AC448" t="s">
        <v>94</v>
      </c>
      <c r="AD448" t="s">
        <v>101</v>
      </c>
      <c r="AE448" s="5" t="s">
        <v>101</v>
      </c>
      <c r="AF448" t="s">
        <v>99</v>
      </c>
      <c r="AG448" t="s">
        <v>103</v>
      </c>
      <c r="AH448">
        <f>AI448</f>
        <v>9.9617906000000006E-2</v>
      </c>
      <c r="AI448">
        <f t="shared" si="192"/>
        <v>9.9617906000000006E-2</v>
      </c>
      <c r="AJ448">
        <f t="shared" si="169"/>
        <v>9.9617906000000006E-2</v>
      </c>
      <c r="AK448">
        <v>9.9617906000000006E-2</v>
      </c>
      <c r="AL448">
        <v>0.11312464999999999</v>
      </c>
      <c r="AM448">
        <v>0.12624036</v>
      </c>
      <c r="AN448">
        <v>0.12775329999999999</v>
      </c>
      <c r="AO448">
        <v>90.0382094</v>
      </c>
      <c r="AP448">
        <v>88.687534999999997</v>
      </c>
      <c r="AQ448">
        <v>87.375963999999996</v>
      </c>
      <c r="AR448">
        <v>87.224670000000003</v>
      </c>
      <c r="AS448" t="b">
        <v>0</v>
      </c>
      <c r="AT448" t="b">
        <v>0</v>
      </c>
      <c r="AU448" t="s">
        <v>77</v>
      </c>
      <c r="AV448" t="s">
        <v>78</v>
      </c>
      <c r="AW448" t="s">
        <v>79</v>
      </c>
      <c r="AX448" t="s">
        <v>129</v>
      </c>
      <c r="AY448" t="s">
        <v>722</v>
      </c>
      <c r="AZ448" t="s">
        <v>72</v>
      </c>
      <c r="BA448" t="s">
        <v>82</v>
      </c>
      <c r="BB448">
        <v>1.5</v>
      </c>
      <c r="BC448">
        <v>1.6447369E-2</v>
      </c>
      <c r="BD448">
        <v>4.2236161269162102E-4</v>
      </c>
      <c r="BE448">
        <v>1.6869730612691598E-2</v>
      </c>
      <c r="BF448">
        <f>IF(AK448&lt;BE448,1,0)</f>
        <v>0</v>
      </c>
      <c r="BG448">
        <f>IF(AK448&lt;BC448,1,0)</f>
        <v>0</v>
      </c>
      <c r="BH448">
        <f>VLOOKUP($B448,[1]Data_Peer_with_peerVars!$B$2:$Z$1050,20,FALSE)</f>
        <v>2</v>
      </c>
      <c r="BI448">
        <f>VLOOKUP($B448,[1]Data_Peer_with_peerVars!$B$2:$Z$1050,21,FALSE)</f>
        <v>0</v>
      </c>
      <c r="BJ448">
        <f>VLOOKUP($B448,[1]Data_Peer_with_peerVars!$B$2:$Z$1050,22,FALSE)</f>
        <v>0</v>
      </c>
      <c r="BK448">
        <f>VLOOKUP($B448,[1]Data_Peer_with_peerVars!$B$2:$Z$1050,23,FALSE)</f>
        <v>17</v>
      </c>
      <c r="BL448">
        <f>VLOOKUP($B448,[1]Data_Peer_with_peerVars!$B$2:$Z$1050,24,FALSE)</f>
        <v>12</v>
      </c>
      <c r="BM448">
        <f>VLOOKUP($B448,[1]Data_Peer_with_peerVars!$B$2:$Z$1050,25,FALSE)</f>
        <v>0.70588235300000002</v>
      </c>
    </row>
    <row r="449" spans="1:65" x14ac:dyDescent="0.2">
      <c r="A449">
        <v>1</v>
      </c>
      <c r="B449" t="s">
        <v>726</v>
      </c>
      <c r="C449">
        <v>233</v>
      </c>
      <c r="D449" t="s">
        <v>68</v>
      </c>
      <c r="E449">
        <v>0</v>
      </c>
      <c r="F449">
        <v>325</v>
      </c>
      <c r="G449" t="s">
        <v>119</v>
      </c>
      <c r="H449" s="1">
        <v>5</v>
      </c>
      <c r="I449" t="s">
        <v>87</v>
      </c>
      <c r="J449" t="s">
        <v>124</v>
      </c>
      <c r="K449" t="s">
        <v>109</v>
      </c>
      <c r="L449">
        <v>1</v>
      </c>
      <c r="M449">
        <v>0</v>
      </c>
      <c r="N449">
        <v>0</v>
      </c>
      <c r="O449">
        <v>0</v>
      </c>
      <c r="P449">
        <v>1</v>
      </c>
      <c r="Q449">
        <v>6</v>
      </c>
      <c r="R449">
        <v>0</v>
      </c>
      <c r="S449">
        <v>0</v>
      </c>
      <c r="T449">
        <v>0</v>
      </c>
      <c r="U449">
        <v>0</v>
      </c>
      <c r="V449">
        <f t="shared" si="166"/>
        <v>1</v>
      </c>
      <c r="W449">
        <v>1</v>
      </c>
      <c r="X449">
        <v>1</v>
      </c>
      <c r="Y449">
        <v>1</v>
      </c>
      <c r="Z449" t="s">
        <v>94</v>
      </c>
      <c r="AA449" s="5" t="s">
        <v>94</v>
      </c>
      <c r="AB449" s="5" t="s">
        <v>94</v>
      </c>
      <c r="AC449" t="s">
        <v>94</v>
      </c>
      <c r="AD449" t="s">
        <v>101</v>
      </c>
      <c r="AE449" s="5" t="s">
        <v>101</v>
      </c>
      <c r="AF449" t="s">
        <v>99</v>
      </c>
      <c r="AG449" t="s">
        <v>103</v>
      </c>
      <c r="AH449">
        <f t="shared" ref="AH449:AH461" si="193">AI449</f>
        <v>0.11353712000000001</v>
      </c>
      <c r="AI449">
        <f>AJ449</f>
        <v>0.11353712000000001</v>
      </c>
      <c r="AJ449">
        <f t="shared" si="169"/>
        <v>0.11353712000000001</v>
      </c>
      <c r="AK449">
        <v>0.11353712000000001</v>
      </c>
      <c r="AL449">
        <v>0.12019759000000001</v>
      </c>
      <c r="AM449">
        <v>0.12727273</v>
      </c>
      <c r="AN449">
        <v>0.13511281999999999</v>
      </c>
      <c r="AO449">
        <v>88.646287999999998</v>
      </c>
      <c r="AP449">
        <v>87.980241000000007</v>
      </c>
      <c r="AQ449">
        <v>87.272727000000003</v>
      </c>
      <c r="AR449">
        <v>86.488718000000006</v>
      </c>
      <c r="AS449" t="b">
        <v>1</v>
      </c>
      <c r="AT449" t="b">
        <v>0</v>
      </c>
      <c r="AU449" t="s">
        <v>78</v>
      </c>
      <c r="AV449" t="s">
        <v>78</v>
      </c>
      <c r="AW449" t="s">
        <v>79</v>
      </c>
      <c r="AX449" t="s">
        <v>129</v>
      </c>
      <c r="AY449" t="s">
        <v>727</v>
      </c>
      <c r="AZ449" t="s">
        <v>109</v>
      </c>
      <c r="BA449">
        <v>20</v>
      </c>
      <c r="BB449">
        <v>4</v>
      </c>
      <c r="BC449">
        <v>1.6447369E-2</v>
      </c>
      <c r="BD449">
        <v>4.2236161269162102E-4</v>
      </c>
      <c r="BE449">
        <v>1.6869730612691598E-2</v>
      </c>
      <c r="BF449">
        <f>IF(AK449&lt;BE449,1,0)</f>
        <v>0</v>
      </c>
      <c r="BG449">
        <f>IF(AK449&lt;BC449,1,0)</f>
        <v>0</v>
      </c>
      <c r="BH449">
        <f>VLOOKUP($B449,[1]Data_Peer_with_peerVars!$B$2:$Z$1050,20,FALSE)</f>
        <v>0</v>
      </c>
      <c r="BI449">
        <f>VLOOKUP($B449,[1]Data_Peer_with_peerVars!$B$2:$Z$1050,21,FALSE)</f>
        <v>0</v>
      </c>
      <c r="BJ449">
        <v>0</v>
      </c>
      <c r="BK449">
        <f>VLOOKUP($B449,[1]Data_Peer_with_peerVars!$B$2:$Z$1050,23,FALSE)</f>
        <v>24</v>
      </c>
      <c r="BL449">
        <f>VLOOKUP($B449,[1]Data_Peer_with_peerVars!$B$2:$Z$1050,24,FALSE)</f>
        <v>17</v>
      </c>
      <c r="BM449">
        <f>VLOOKUP($B449,[1]Data_Peer_with_peerVars!$B$2:$Z$1050,25,FALSE)</f>
        <v>0.70833333300000001</v>
      </c>
    </row>
    <row r="450" spans="1:65" x14ac:dyDescent="0.2">
      <c r="A450">
        <v>1</v>
      </c>
      <c r="B450" t="s">
        <v>728</v>
      </c>
      <c r="C450">
        <v>234</v>
      </c>
      <c r="D450" t="s">
        <v>68</v>
      </c>
      <c r="E450">
        <v>0</v>
      </c>
      <c r="F450">
        <v>369</v>
      </c>
      <c r="G450" t="s">
        <v>119</v>
      </c>
      <c r="H450" s="1">
        <v>0</v>
      </c>
      <c r="I450" t="s">
        <v>70</v>
      </c>
      <c r="J450" t="s">
        <v>71</v>
      </c>
      <c r="K450" t="s">
        <v>109</v>
      </c>
      <c r="L450">
        <v>1</v>
      </c>
      <c r="M450">
        <v>0</v>
      </c>
      <c r="N450">
        <v>0</v>
      </c>
      <c r="O450">
        <v>0</v>
      </c>
      <c r="P450">
        <v>1</v>
      </c>
      <c r="Q450">
        <v>3</v>
      </c>
      <c r="R450">
        <v>0</v>
      </c>
      <c r="S450">
        <v>0</v>
      </c>
      <c r="T450">
        <v>0</v>
      </c>
      <c r="U450">
        <v>0</v>
      </c>
      <c r="V450">
        <f t="shared" si="166"/>
        <v>0</v>
      </c>
      <c r="W450">
        <f t="shared" si="167"/>
        <v>1</v>
      </c>
      <c r="X450">
        <v>1</v>
      </c>
      <c r="Y450">
        <v>1</v>
      </c>
      <c r="Z450" t="s">
        <v>76</v>
      </c>
      <c r="AA450" s="5" t="s">
        <v>76</v>
      </c>
      <c r="AB450" s="5" t="s">
        <v>76</v>
      </c>
      <c r="AC450" t="s">
        <v>94</v>
      </c>
      <c r="AD450" t="s">
        <v>76</v>
      </c>
      <c r="AE450" s="5" t="s">
        <v>729</v>
      </c>
      <c r="AF450" t="s">
        <v>74</v>
      </c>
      <c r="AG450" t="s">
        <v>75</v>
      </c>
      <c r="AH450">
        <f t="shared" si="193"/>
        <v>0.10590181999999999</v>
      </c>
      <c r="AI450">
        <f>AJ450</f>
        <v>0.10590181999999999</v>
      </c>
      <c r="AJ450">
        <f>AL450</f>
        <v>0.10590181999999999</v>
      </c>
      <c r="AK450">
        <v>0.10550964</v>
      </c>
      <c r="AL450">
        <v>0.10590181999999999</v>
      </c>
      <c r="AM450">
        <v>0.10708357</v>
      </c>
      <c r="AN450">
        <v>0.12921038000000001</v>
      </c>
      <c r="AO450">
        <v>89.449036000000007</v>
      </c>
      <c r="AP450">
        <v>89.409818000000001</v>
      </c>
      <c r="AQ450">
        <v>89.291642999999993</v>
      </c>
      <c r="AR450">
        <v>87.078962000000004</v>
      </c>
      <c r="AS450" t="b">
        <v>0</v>
      </c>
      <c r="AT450" t="b">
        <v>0</v>
      </c>
      <c r="AU450" t="s">
        <v>108</v>
      </c>
      <c r="AV450" t="s">
        <v>108</v>
      </c>
      <c r="AW450" t="s">
        <v>79</v>
      </c>
      <c r="AX450" t="s">
        <v>129</v>
      </c>
      <c r="AY450" t="s">
        <v>722</v>
      </c>
      <c r="AZ450" t="s">
        <v>109</v>
      </c>
      <c r="BA450">
        <v>8</v>
      </c>
      <c r="BB450">
        <v>1</v>
      </c>
      <c r="BC450">
        <v>1.6447369E-2</v>
      </c>
      <c r="BD450">
        <v>4.2236161269162102E-4</v>
      </c>
      <c r="BE450">
        <v>1.6869730612691598E-2</v>
      </c>
      <c r="BF450">
        <f>IF(AK450&lt;BE450,1,0)</f>
        <v>0</v>
      </c>
      <c r="BG450">
        <f>IF(AK450&lt;BC450,1,0)</f>
        <v>0</v>
      </c>
      <c r="BH450">
        <f>VLOOKUP($B450,[1]Data_Peer_with_peerVars!$B$2:$Z$1050,20,FALSE)</f>
        <v>0</v>
      </c>
      <c r="BI450">
        <f>VLOOKUP($B450,[1]Data_Peer_with_peerVars!$B$2:$Z$1050,21,FALSE)</f>
        <v>0</v>
      </c>
      <c r="BJ450">
        <v>0</v>
      </c>
      <c r="BK450">
        <f>VLOOKUP($B450,[1]Data_Peer_with_peerVars!$B$2:$Z$1050,23,FALSE)</f>
        <v>39</v>
      </c>
      <c r="BL450">
        <f>VLOOKUP($B450,[1]Data_Peer_with_peerVars!$B$2:$Z$1050,24,FALSE)</f>
        <v>28</v>
      </c>
      <c r="BM450">
        <f>VLOOKUP($B450,[1]Data_Peer_with_peerVars!$B$2:$Z$1050,25,FALSE)</f>
        <v>0.71794871800000004</v>
      </c>
    </row>
    <row r="451" spans="1:65" x14ac:dyDescent="0.2">
      <c r="A451">
        <v>1</v>
      </c>
      <c r="B451" t="s">
        <v>730</v>
      </c>
      <c r="C451">
        <v>235</v>
      </c>
      <c r="D451" t="s">
        <v>68</v>
      </c>
      <c r="E451">
        <v>0</v>
      </c>
      <c r="F451">
        <v>370</v>
      </c>
      <c r="G451" t="s">
        <v>119</v>
      </c>
      <c r="H451" s="1">
        <v>7</v>
      </c>
      <c r="I451" t="s">
        <v>70</v>
      </c>
      <c r="J451" t="s">
        <v>71</v>
      </c>
      <c r="K451" t="s">
        <v>109</v>
      </c>
      <c r="L451">
        <v>1</v>
      </c>
      <c r="M451">
        <v>0</v>
      </c>
      <c r="N451">
        <v>0</v>
      </c>
      <c r="O451">
        <v>0</v>
      </c>
      <c r="P451">
        <v>1</v>
      </c>
      <c r="Q451">
        <v>11</v>
      </c>
      <c r="R451">
        <v>0</v>
      </c>
      <c r="S451">
        <v>0</v>
      </c>
      <c r="T451">
        <v>0</v>
      </c>
      <c r="U451">
        <v>0</v>
      </c>
      <c r="V451">
        <f t="shared" ref="V451:V514" si="194">IF(Z451=AC451,1,0)</f>
        <v>1</v>
      </c>
      <c r="W451">
        <v>1</v>
      </c>
      <c r="X451">
        <v>1</v>
      </c>
      <c r="Y451">
        <v>1</v>
      </c>
      <c r="Z451" t="s">
        <v>94</v>
      </c>
      <c r="AA451" s="5" t="s">
        <v>94</v>
      </c>
      <c r="AB451" s="5" t="s">
        <v>94</v>
      </c>
      <c r="AC451" t="s">
        <v>94</v>
      </c>
      <c r="AD451" t="s">
        <v>102</v>
      </c>
      <c r="AE451" s="5" t="s">
        <v>102</v>
      </c>
      <c r="AF451" t="s">
        <v>95</v>
      </c>
      <c r="AG451" t="s">
        <v>167</v>
      </c>
      <c r="AH451">
        <f t="shared" si="193"/>
        <v>8.5258529999999999E-2</v>
      </c>
      <c r="AI451">
        <f t="shared" ref="AI451:AI455" si="195">AJ451</f>
        <v>8.5258529999999999E-2</v>
      </c>
      <c r="AJ451">
        <f t="shared" ref="AJ451:AJ514" si="196">AK451</f>
        <v>8.5258529999999999E-2</v>
      </c>
      <c r="AK451">
        <v>8.5258529999999999E-2</v>
      </c>
      <c r="AL451">
        <v>0.13743815000000001</v>
      </c>
      <c r="AM451">
        <v>0.14214876000000001</v>
      </c>
      <c r="AN451">
        <v>0.14226520000000001</v>
      </c>
      <c r="AO451">
        <v>91.474147000000002</v>
      </c>
      <c r="AP451">
        <v>86.256185000000002</v>
      </c>
      <c r="AQ451">
        <v>85.785123999999996</v>
      </c>
      <c r="AR451">
        <v>85.773480000000006</v>
      </c>
      <c r="AS451" t="b">
        <v>1</v>
      </c>
      <c r="AT451" t="b">
        <v>0</v>
      </c>
      <c r="AU451" t="s">
        <v>77</v>
      </c>
      <c r="AV451" t="s">
        <v>78</v>
      </c>
      <c r="AW451" t="s">
        <v>79</v>
      </c>
      <c r="AX451" t="s">
        <v>129</v>
      </c>
      <c r="AY451" t="s">
        <v>722</v>
      </c>
      <c r="AZ451" t="s">
        <v>109</v>
      </c>
      <c r="BA451">
        <v>10</v>
      </c>
      <c r="BB451">
        <v>0.7</v>
      </c>
      <c r="BC451">
        <v>1.6447369E-2</v>
      </c>
      <c r="BD451">
        <v>4.2236161269162102E-4</v>
      </c>
      <c r="BE451">
        <v>1.6869730612691598E-2</v>
      </c>
      <c r="BF451">
        <f>IF(AK451&lt;BE451,1,0)</f>
        <v>0</v>
      </c>
      <c r="BG451">
        <f>IF(AK451&lt;BC451,1,0)</f>
        <v>0</v>
      </c>
      <c r="BH451">
        <f>VLOOKUP($B451,[1]Data_Peer_with_peerVars!$B$2:$Z$1050,20,FALSE)</f>
        <v>0</v>
      </c>
      <c r="BI451">
        <f>VLOOKUP($B451,[1]Data_Peer_with_peerVars!$B$2:$Z$1050,21,FALSE)</f>
        <v>0</v>
      </c>
      <c r="BJ451">
        <v>0</v>
      </c>
      <c r="BK451">
        <f>VLOOKUP($B451,[1]Data_Peer_with_peerVars!$B$2:$Z$1050,23,FALSE)</f>
        <v>1</v>
      </c>
      <c r="BL451">
        <f>VLOOKUP($B451,[1]Data_Peer_with_peerVars!$B$2:$Z$1050,24,FALSE)</f>
        <v>1</v>
      </c>
      <c r="BM451">
        <f>VLOOKUP($B451,[1]Data_Peer_with_peerVars!$B$2:$Z$1050,25,FALSE)</f>
        <v>1</v>
      </c>
    </row>
    <row r="452" spans="1:65" x14ac:dyDescent="0.2">
      <c r="A452">
        <v>1</v>
      </c>
      <c r="B452" t="s">
        <v>731</v>
      </c>
      <c r="C452">
        <v>235</v>
      </c>
      <c r="D452" t="s">
        <v>68</v>
      </c>
      <c r="E452">
        <v>0</v>
      </c>
      <c r="F452">
        <v>370</v>
      </c>
      <c r="G452" t="s">
        <v>119</v>
      </c>
      <c r="H452" s="1">
        <v>7</v>
      </c>
      <c r="I452" t="s">
        <v>70</v>
      </c>
      <c r="J452" t="s">
        <v>71</v>
      </c>
      <c r="K452" t="s">
        <v>109</v>
      </c>
      <c r="L452">
        <v>1</v>
      </c>
      <c r="M452">
        <v>0</v>
      </c>
      <c r="N452">
        <v>0</v>
      </c>
      <c r="O452">
        <v>0</v>
      </c>
      <c r="P452">
        <v>1</v>
      </c>
      <c r="Q452">
        <v>11</v>
      </c>
      <c r="R452">
        <v>0</v>
      </c>
      <c r="S452">
        <v>0</v>
      </c>
      <c r="T452">
        <v>0</v>
      </c>
      <c r="U452">
        <v>0</v>
      </c>
      <c r="V452">
        <f t="shared" si="194"/>
        <v>1</v>
      </c>
      <c r="W452">
        <v>1</v>
      </c>
      <c r="X452">
        <v>1</v>
      </c>
      <c r="Y452">
        <v>1</v>
      </c>
      <c r="Z452" t="s">
        <v>101</v>
      </c>
      <c r="AA452" s="5" t="s">
        <v>101</v>
      </c>
      <c r="AB452" s="5" t="s">
        <v>101</v>
      </c>
      <c r="AC452" t="s">
        <v>101</v>
      </c>
      <c r="AD452" t="s">
        <v>99</v>
      </c>
      <c r="AE452" s="5" t="s">
        <v>99</v>
      </c>
      <c r="AF452" t="s">
        <v>76</v>
      </c>
      <c r="AG452" t="s">
        <v>167</v>
      </c>
      <c r="AH452">
        <f t="shared" si="193"/>
        <v>0.14195497000000001</v>
      </c>
      <c r="AI452">
        <f t="shared" si="195"/>
        <v>0.14195497000000001</v>
      </c>
      <c r="AJ452">
        <f t="shared" si="196"/>
        <v>0.14195497000000001</v>
      </c>
      <c r="AK452">
        <v>0.14195497000000001</v>
      </c>
      <c r="AL452">
        <v>0.14765840999999999</v>
      </c>
      <c r="AM452">
        <v>0.14918032000000001</v>
      </c>
      <c r="AN452">
        <v>0.14939693000000001</v>
      </c>
      <c r="AO452">
        <v>85.804502999999997</v>
      </c>
      <c r="AP452">
        <v>85.234159000000005</v>
      </c>
      <c r="AQ452">
        <v>85.081968000000003</v>
      </c>
      <c r="AR452">
        <v>85.060306999999995</v>
      </c>
      <c r="AS452" t="b">
        <v>1</v>
      </c>
      <c r="AT452" t="b">
        <v>0</v>
      </c>
      <c r="AU452" t="s">
        <v>78</v>
      </c>
      <c r="AV452" t="s">
        <v>78</v>
      </c>
      <c r="AW452" t="s">
        <v>79</v>
      </c>
      <c r="AX452" t="s">
        <v>129</v>
      </c>
      <c r="AY452" t="s">
        <v>722</v>
      </c>
      <c r="AZ452" t="s">
        <v>109</v>
      </c>
      <c r="BA452">
        <v>1</v>
      </c>
      <c r="BB452">
        <v>0.7</v>
      </c>
      <c r="BC452">
        <v>1.4096186E-2</v>
      </c>
      <c r="BD452">
        <v>1.55088650053763E-3</v>
      </c>
      <c r="BE452">
        <v>1.5647072500537599E-2</v>
      </c>
      <c r="BF452">
        <f>IF(AK452&lt;BE452,1,0)</f>
        <v>0</v>
      </c>
      <c r="BG452">
        <f>IF(AK452&lt;BC452,1,0)</f>
        <v>0</v>
      </c>
      <c r="BH452">
        <f>VLOOKUP($B452,[1]Data_Peer_with_peerVars!$B$2:$Z$1050,20,FALSE)</f>
        <v>0</v>
      </c>
      <c r="BI452">
        <f>VLOOKUP($B452,[1]Data_Peer_with_peerVars!$B$2:$Z$1050,21,FALSE)</f>
        <v>0</v>
      </c>
      <c r="BJ452">
        <v>0</v>
      </c>
      <c r="BK452">
        <f>VLOOKUP($B452,[1]Data_Peer_with_peerVars!$B$2:$Z$1050,23,FALSE)</f>
        <v>1</v>
      </c>
      <c r="BL452">
        <f>VLOOKUP($B452,[1]Data_Peer_with_peerVars!$B$2:$Z$1050,24,FALSE)</f>
        <v>1</v>
      </c>
      <c r="BM452">
        <f>VLOOKUP($B452,[1]Data_Peer_with_peerVars!$B$2:$Z$1050,25,FALSE)</f>
        <v>1</v>
      </c>
    </row>
    <row r="453" spans="1:65" x14ac:dyDescent="0.2">
      <c r="A453">
        <v>1</v>
      </c>
      <c r="B453" t="s">
        <v>732</v>
      </c>
      <c r="C453">
        <v>236</v>
      </c>
      <c r="D453" t="s">
        <v>68</v>
      </c>
      <c r="E453">
        <v>0</v>
      </c>
      <c r="F453">
        <v>371</v>
      </c>
      <c r="G453" t="s">
        <v>119</v>
      </c>
      <c r="H453" s="1">
        <v>7</v>
      </c>
      <c r="I453" t="s">
        <v>70</v>
      </c>
      <c r="J453" t="s">
        <v>71</v>
      </c>
      <c r="K453" t="s">
        <v>109</v>
      </c>
      <c r="L453">
        <v>1</v>
      </c>
      <c r="M453">
        <v>0</v>
      </c>
      <c r="N453">
        <v>0</v>
      </c>
      <c r="O453">
        <v>1</v>
      </c>
      <c r="P453">
        <v>0</v>
      </c>
      <c r="Q453">
        <v>11</v>
      </c>
      <c r="R453">
        <v>0</v>
      </c>
      <c r="S453">
        <v>0</v>
      </c>
      <c r="T453">
        <v>0</v>
      </c>
      <c r="U453">
        <v>0</v>
      </c>
      <c r="V453">
        <f t="shared" si="194"/>
        <v>1</v>
      </c>
      <c r="W453">
        <v>1</v>
      </c>
      <c r="X453">
        <v>1</v>
      </c>
      <c r="Y453">
        <v>1</v>
      </c>
      <c r="Z453" t="s">
        <v>76</v>
      </c>
      <c r="AA453" s="5" t="s">
        <v>76</v>
      </c>
      <c r="AB453" s="5" t="s">
        <v>76</v>
      </c>
      <c r="AC453" t="s">
        <v>76</v>
      </c>
      <c r="AD453" t="s">
        <v>74</v>
      </c>
      <c r="AE453" s="5" t="s">
        <v>74</v>
      </c>
      <c r="AF453" t="s">
        <v>120</v>
      </c>
      <c r="AG453" t="s">
        <v>75</v>
      </c>
      <c r="AH453">
        <f t="shared" si="193"/>
        <v>7.9191700000000004E-2</v>
      </c>
      <c r="AI453">
        <f t="shared" si="195"/>
        <v>7.9191700000000004E-2</v>
      </c>
      <c r="AJ453">
        <f t="shared" si="196"/>
        <v>7.9191700000000004E-2</v>
      </c>
      <c r="AK453">
        <v>7.9191700000000004E-2</v>
      </c>
      <c r="AL453">
        <v>8.9041099999999998E-2</v>
      </c>
      <c r="AM453">
        <v>0.11851447</v>
      </c>
      <c r="AN453">
        <v>0.12035011</v>
      </c>
      <c r="AO453">
        <v>92.080830000000006</v>
      </c>
      <c r="AP453">
        <v>91.095889999999997</v>
      </c>
      <c r="AQ453">
        <v>88.148553000000007</v>
      </c>
      <c r="AR453">
        <v>87.964989000000003</v>
      </c>
      <c r="AS453" t="b">
        <v>1</v>
      </c>
      <c r="AT453" t="b">
        <v>0</v>
      </c>
      <c r="AU453" t="s">
        <v>77</v>
      </c>
      <c r="AV453" t="s">
        <v>77</v>
      </c>
      <c r="AW453" t="s">
        <v>79</v>
      </c>
      <c r="AX453" t="s">
        <v>129</v>
      </c>
      <c r="AY453" t="s">
        <v>722</v>
      </c>
      <c r="AZ453" t="s">
        <v>109</v>
      </c>
      <c r="BA453">
        <v>15</v>
      </c>
      <c r="BB453">
        <v>2</v>
      </c>
      <c r="BC453">
        <v>7.7070764999999999E-2</v>
      </c>
      <c r="BD453">
        <v>1.90190515067399E-3</v>
      </c>
      <c r="BE453">
        <v>7.8972670150673996E-2</v>
      </c>
      <c r="BF453">
        <f>IF(AK453&lt;BE453,1,0)</f>
        <v>0</v>
      </c>
      <c r="BG453">
        <f>IF(AK453&lt;BC453,1,0)</f>
        <v>0</v>
      </c>
      <c r="BH453">
        <f>VLOOKUP($B453,[1]Data_Peer_with_peerVars!$B$2:$Z$1050,20,FALSE)</f>
        <v>0</v>
      </c>
      <c r="BI453">
        <f>VLOOKUP($B453,[1]Data_Peer_with_peerVars!$B$2:$Z$1050,21,FALSE)</f>
        <v>0</v>
      </c>
      <c r="BJ453">
        <v>0</v>
      </c>
      <c r="BK453">
        <f>VLOOKUP($B453,[1]Data_Peer_with_peerVars!$B$2:$Z$1050,23,FALSE)</f>
        <v>7</v>
      </c>
      <c r="BL453">
        <f>VLOOKUP($B453,[1]Data_Peer_with_peerVars!$B$2:$Z$1050,24,FALSE)</f>
        <v>4</v>
      </c>
      <c r="BM453">
        <f>VLOOKUP($B453,[1]Data_Peer_with_peerVars!$B$2:$Z$1050,25,FALSE)</f>
        <v>0.571428571</v>
      </c>
    </row>
    <row r="454" spans="1:65" x14ac:dyDescent="0.2">
      <c r="A454">
        <v>1</v>
      </c>
      <c r="B454" t="s">
        <v>733</v>
      </c>
      <c r="C454">
        <v>236</v>
      </c>
      <c r="D454" t="s">
        <v>68</v>
      </c>
      <c r="E454">
        <v>0</v>
      </c>
      <c r="F454">
        <v>371</v>
      </c>
      <c r="G454" t="s">
        <v>119</v>
      </c>
      <c r="H454" s="1">
        <v>7</v>
      </c>
      <c r="I454" t="s">
        <v>70</v>
      </c>
      <c r="J454" t="s">
        <v>71</v>
      </c>
      <c r="K454" t="s">
        <v>109</v>
      </c>
      <c r="L454">
        <v>1</v>
      </c>
      <c r="M454">
        <v>0</v>
      </c>
      <c r="N454">
        <v>0</v>
      </c>
      <c r="O454">
        <v>1</v>
      </c>
      <c r="P454">
        <v>0</v>
      </c>
      <c r="Q454">
        <v>11</v>
      </c>
      <c r="R454">
        <v>0</v>
      </c>
      <c r="S454">
        <v>0</v>
      </c>
      <c r="T454">
        <v>1</v>
      </c>
      <c r="U454">
        <v>1</v>
      </c>
      <c r="V454">
        <f t="shared" si="194"/>
        <v>1</v>
      </c>
      <c r="W454">
        <v>1</v>
      </c>
      <c r="X454">
        <v>1</v>
      </c>
      <c r="Y454">
        <v>1</v>
      </c>
      <c r="Z454" t="s">
        <v>73</v>
      </c>
      <c r="AA454" s="5" t="s">
        <v>73</v>
      </c>
      <c r="AB454" s="5" t="s">
        <v>73</v>
      </c>
      <c r="AC454" t="s">
        <v>73</v>
      </c>
      <c r="AD454" t="s">
        <v>94</v>
      </c>
      <c r="AE454" s="5" t="s">
        <v>106</v>
      </c>
      <c r="AF454" t="s">
        <v>107</v>
      </c>
      <c r="AG454" t="s">
        <v>95</v>
      </c>
      <c r="AH454">
        <f t="shared" si="193"/>
        <v>3.8167940000000001E-3</v>
      </c>
      <c r="AI454">
        <f t="shared" si="195"/>
        <v>3.8167940000000001E-3</v>
      </c>
      <c r="AJ454">
        <f t="shared" si="196"/>
        <v>3.8167940000000001E-3</v>
      </c>
      <c r="AK454">
        <v>3.8167940000000001E-3</v>
      </c>
      <c r="AL454">
        <v>0.13169399000000001</v>
      </c>
      <c r="AM454">
        <v>0.13623904000000001</v>
      </c>
      <c r="AN454">
        <v>0.13867615</v>
      </c>
      <c r="AO454">
        <v>99.618320600000004</v>
      </c>
      <c r="AP454">
        <v>86.830601000000001</v>
      </c>
      <c r="AQ454">
        <v>86.376096000000004</v>
      </c>
      <c r="AR454">
        <v>86.132384999999999</v>
      </c>
      <c r="AS454" t="b">
        <v>1</v>
      </c>
      <c r="AT454" t="b">
        <v>0</v>
      </c>
      <c r="AU454" t="s">
        <v>77</v>
      </c>
      <c r="AV454" t="s">
        <v>108</v>
      </c>
      <c r="AW454" t="s">
        <v>79</v>
      </c>
      <c r="AX454" t="s">
        <v>129</v>
      </c>
      <c r="AY454" t="s">
        <v>722</v>
      </c>
      <c r="AZ454" t="s">
        <v>109</v>
      </c>
      <c r="BA454">
        <v>5</v>
      </c>
      <c r="BB454">
        <v>2</v>
      </c>
      <c r="BC454">
        <v>4.1163553999999996E-3</v>
      </c>
      <c r="BD454">
        <v>1.4279989108178799E-4</v>
      </c>
      <c r="BE454">
        <v>4.2591552910817903E-3</v>
      </c>
      <c r="BF454">
        <f>IF(AK454&lt;BE454,1,0)</f>
        <v>1</v>
      </c>
      <c r="BG454">
        <f>IF(AK454&lt;BC454,1,0)</f>
        <v>1</v>
      </c>
      <c r="BH454">
        <f>VLOOKUP($B454,[1]Data_Peer_with_peerVars!$B$2:$Z$1050,20,FALSE)</f>
        <v>0</v>
      </c>
      <c r="BI454">
        <f>VLOOKUP($B454,[1]Data_Peer_with_peerVars!$B$2:$Z$1050,21,FALSE)</f>
        <v>0</v>
      </c>
      <c r="BJ454">
        <v>0</v>
      </c>
      <c r="BK454">
        <f>VLOOKUP($B454,[1]Data_Peer_with_peerVars!$B$2:$Z$1050,23,FALSE)</f>
        <v>7</v>
      </c>
      <c r="BL454">
        <f>VLOOKUP($B454,[1]Data_Peer_with_peerVars!$B$2:$Z$1050,24,FALSE)</f>
        <v>4</v>
      </c>
      <c r="BM454">
        <f>VLOOKUP($B454,[1]Data_Peer_with_peerVars!$B$2:$Z$1050,25,FALSE)</f>
        <v>0.571428571</v>
      </c>
    </row>
    <row r="455" spans="1:65" x14ac:dyDescent="0.2">
      <c r="A455">
        <v>1</v>
      </c>
      <c r="B455" t="s">
        <v>734</v>
      </c>
      <c r="C455">
        <v>237</v>
      </c>
      <c r="D455" t="s">
        <v>155</v>
      </c>
      <c r="E455">
        <v>0</v>
      </c>
      <c r="F455" s="14" t="s">
        <v>82</v>
      </c>
      <c r="G455" s="14" t="s">
        <v>82</v>
      </c>
      <c r="H455" s="1">
        <v>5</v>
      </c>
      <c r="I455" t="s">
        <v>70</v>
      </c>
      <c r="J455" t="s">
        <v>71</v>
      </c>
      <c r="K455" t="s">
        <v>109</v>
      </c>
      <c r="L455">
        <v>1</v>
      </c>
      <c r="M455">
        <v>1</v>
      </c>
      <c r="N455">
        <v>0</v>
      </c>
      <c r="O455">
        <v>0</v>
      </c>
      <c r="P455">
        <v>1</v>
      </c>
      <c r="Q455">
        <v>2</v>
      </c>
      <c r="R455">
        <v>0</v>
      </c>
      <c r="S455">
        <v>0</v>
      </c>
      <c r="T455">
        <v>0</v>
      </c>
      <c r="U455">
        <v>0</v>
      </c>
      <c r="V455">
        <f t="shared" si="194"/>
        <v>1</v>
      </c>
      <c r="W455">
        <v>1</v>
      </c>
      <c r="X455">
        <v>1</v>
      </c>
      <c r="Y455">
        <v>1</v>
      </c>
      <c r="Z455" t="s">
        <v>73</v>
      </c>
      <c r="AA455" s="5" t="s">
        <v>73</v>
      </c>
      <c r="AB455" s="5" t="s">
        <v>117</v>
      </c>
      <c r="AC455" t="s">
        <v>73</v>
      </c>
      <c r="AD455" t="s">
        <v>94</v>
      </c>
      <c r="AE455" s="5" t="s">
        <v>94</v>
      </c>
      <c r="AF455" t="s">
        <v>75</v>
      </c>
      <c r="AG455" t="s">
        <v>95</v>
      </c>
      <c r="AH455">
        <f t="shared" si="193"/>
        <v>6.8702289999999999E-2</v>
      </c>
      <c r="AI455">
        <f t="shared" si="195"/>
        <v>6.8702289999999999E-2</v>
      </c>
      <c r="AJ455">
        <f t="shared" si="196"/>
        <v>6.8702289999999999E-2</v>
      </c>
      <c r="AK455">
        <v>6.8702289999999999E-2</v>
      </c>
      <c r="AL455">
        <v>0.118176855</v>
      </c>
      <c r="AM455">
        <v>0.1291735</v>
      </c>
      <c r="AN455">
        <v>0.14242755000000001</v>
      </c>
      <c r="AO455">
        <v>93.129771000000005</v>
      </c>
      <c r="AP455">
        <v>88.182314500000004</v>
      </c>
      <c r="AQ455">
        <v>87.082650000000001</v>
      </c>
      <c r="AR455">
        <v>85.757244999999998</v>
      </c>
      <c r="AS455" t="b">
        <v>1</v>
      </c>
      <c r="AT455" t="b">
        <v>0</v>
      </c>
      <c r="AU455" t="s">
        <v>77</v>
      </c>
      <c r="AV455" t="s">
        <v>78</v>
      </c>
      <c r="AW455" t="s">
        <v>79</v>
      </c>
      <c r="AX455" t="s">
        <v>129</v>
      </c>
      <c r="AY455" t="s">
        <v>129</v>
      </c>
      <c r="AZ455" t="s">
        <v>109</v>
      </c>
      <c r="BA455">
        <v>8</v>
      </c>
      <c r="BB455">
        <v>0.7</v>
      </c>
      <c r="BC455">
        <v>4.1163553999999996E-3</v>
      </c>
      <c r="BD455">
        <v>1.4279989108178799E-4</v>
      </c>
      <c r="BE455">
        <v>4.2591552910817903E-3</v>
      </c>
      <c r="BF455">
        <f>IF(AK455&lt;BE455,1,0)</f>
        <v>0</v>
      </c>
      <c r="BG455">
        <f>IF(AK455&lt;BC455,1,0)</f>
        <v>0</v>
      </c>
      <c r="BH455">
        <f>VLOOKUP($B455,[1]Data_Peer_with_peerVars!$B$2:$Z$1050,20,FALSE)</f>
        <v>0</v>
      </c>
      <c r="BI455">
        <f>VLOOKUP($B455,[1]Data_Peer_with_peerVars!$B$2:$Z$1050,21,FALSE)</f>
        <v>0</v>
      </c>
      <c r="BJ455">
        <v>0</v>
      </c>
      <c r="BK455">
        <f>VLOOKUP($B455,[1]Data_Peer_with_peerVars!$B$2:$Z$1050,23,FALSE)</f>
        <v>41</v>
      </c>
      <c r="BL455">
        <f>VLOOKUP($B455,[1]Data_Peer_with_peerVars!$B$2:$Z$1050,24,FALSE)</f>
        <v>33</v>
      </c>
      <c r="BM455">
        <f>VLOOKUP($B455,[1]Data_Peer_with_peerVars!$B$2:$Z$1050,25,FALSE)</f>
        <v>0.80487804900000004</v>
      </c>
    </row>
    <row r="456" spans="1:65" x14ac:dyDescent="0.2">
      <c r="A456">
        <v>1</v>
      </c>
      <c r="B456" t="s">
        <v>735</v>
      </c>
      <c r="C456">
        <v>238</v>
      </c>
      <c r="D456" t="s">
        <v>155</v>
      </c>
      <c r="E456">
        <v>0</v>
      </c>
      <c r="F456" s="14" t="s">
        <v>82</v>
      </c>
      <c r="G456" s="14" t="s">
        <v>82</v>
      </c>
      <c r="H456" s="1">
        <v>7</v>
      </c>
      <c r="I456" t="s">
        <v>70</v>
      </c>
      <c r="J456" t="s">
        <v>71</v>
      </c>
      <c r="K456" t="s">
        <v>109</v>
      </c>
      <c r="L456">
        <v>1</v>
      </c>
      <c r="M456">
        <v>1</v>
      </c>
      <c r="N456">
        <v>0</v>
      </c>
      <c r="O456">
        <v>0</v>
      </c>
      <c r="P456">
        <v>0</v>
      </c>
      <c r="Q456">
        <v>9</v>
      </c>
      <c r="R456">
        <v>0</v>
      </c>
      <c r="S456">
        <v>0</v>
      </c>
      <c r="T456">
        <v>0</v>
      </c>
      <c r="U456">
        <v>0</v>
      </c>
      <c r="V456">
        <f t="shared" si="194"/>
        <v>0</v>
      </c>
      <c r="W456">
        <f t="shared" ref="W456:W512" si="197">IF(Z456=AD456,1,0)</f>
        <v>1</v>
      </c>
      <c r="X456">
        <v>1</v>
      </c>
      <c r="Y456">
        <v>1</v>
      </c>
      <c r="Z456" t="s">
        <v>76</v>
      </c>
      <c r="AA456" s="5" t="s">
        <v>76</v>
      </c>
      <c r="AB456" s="5" t="s">
        <v>76</v>
      </c>
      <c r="AC456" t="s">
        <v>74</v>
      </c>
      <c r="AD456" t="s">
        <v>76</v>
      </c>
      <c r="AE456" s="5" t="s">
        <v>76</v>
      </c>
      <c r="AF456" t="s">
        <v>120</v>
      </c>
      <c r="AG456" t="s">
        <v>75</v>
      </c>
      <c r="AH456">
        <f t="shared" si="193"/>
        <v>9.0114689999999997E-2</v>
      </c>
      <c r="AI456">
        <f>AJ456</f>
        <v>9.0114689999999997E-2</v>
      </c>
      <c r="AJ456">
        <f>AL456</f>
        <v>9.0114689999999997E-2</v>
      </c>
      <c r="AK456">
        <v>8.7671235E-2</v>
      </c>
      <c r="AL456">
        <v>9.0114689999999997E-2</v>
      </c>
      <c r="AM456">
        <v>0.11878755000000001</v>
      </c>
      <c r="AN456">
        <v>0.12089716</v>
      </c>
      <c r="AO456">
        <v>91.232876500000003</v>
      </c>
      <c r="AP456">
        <v>90.988530999999995</v>
      </c>
      <c r="AQ456">
        <v>88.121245000000002</v>
      </c>
      <c r="AR456">
        <v>87.910284000000004</v>
      </c>
      <c r="AS456" t="b">
        <v>0</v>
      </c>
      <c r="AT456" t="b">
        <v>1</v>
      </c>
      <c r="AU456" t="s">
        <v>77</v>
      </c>
      <c r="AV456" t="s">
        <v>77</v>
      </c>
      <c r="AW456" t="s">
        <v>79</v>
      </c>
      <c r="AX456" t="s">
        <v>129</v>
      </c>
      <c r="AY456" t="s">
        <v>129</v>
      </c>
      <c r="AZ456" t="s">
        <v>109</v>
      </c>
      <c r="BA456">
        <v>8</v>
      </c>
      <c r="BB456">
        <v>1</v>
      </c>
      <c r="BC456">
        <v>2.4738868000000001E-3</v>
      </c>
      <c r="BD456">
        <v>1.4256942275279999E-4</v>
      </c>
      <c r="BE456">
        <v>2.6164562227527998E-3</v>
      </c>
      <c r="BF456">
        <f>IF(AK456&lt;BE456,1,0)</f>
        <v>0</v>
      </c>
      <c r="BG456">
        <f>IF(AK456&lt;BC456,1,0)</f>
        <v>0</v>
      </c>
      <c r="BH456">
        <f>VLOOKUP($B456,[1]Data_Peer_with_peerVars!$B$2:$Z$1050,20,FALSE)</f>
        <v>2</v>
      </c>
      <c r="BI456">
        <f>VLOOKUP($B456,[1]Data_Peer_with_peerVars!$B$2:$Z$1050,21,FALSE)</f>
        <v>2</v>
      </c>
      <c r="BJ456">
        <f>VLOOKUP($B456,[1]Data_Peer_with_peerVars!$B$2:$Z$1050,22,FALSE)</f>
        <v>1</v>
      </c>
      <c r="BK456">
        <f>VLOOKUP($B456,[1]Data_Peer_with_peerVars!$B$2:$Z$1050,23,FALSE)</f>
        <v>39</v>
      </c>
      <c r="BL456">
        <f>VLOOKUP($B456,[1]Data_Peer_with_peerVars!$B$2:$Z$1050,24,FALSE)</f>
        <v>30</v>
      </c>
      <c r="BM456">
        <f>VLOOKUP($B456,[1]Data_Peer_with_peerVars!$B$2:$Z$1050,25,FALSE)</f>
        <v>0.76923076899999998</v>
      </c>
    </row>
    <row r="457" spans="1:65" x14ac:dyDescent="0.2">
      <c r="A457">
        <v>1</v>
      </c>
      <c r="B457" t="s">
        <v>736</v>
      </c>
      <c r="C457">
        <v>239</v>
      </c>
      <c r="D457" t="s">
        <v>155</v>
      </c>
      <c r="E457">
        <v>0</v>
      </c>
      <c r="F457" s="14" t="s">
        <v>82</v>
      </c>
      <c r="G457" s="14" t="s">
        <v>82</v>
      </c>
      <c r="H457" s="1">
        <v>7</v>
      </c>
      <c r="I457" t="s">
        <v>70</v>
      </c>
      <c r="J457" t="s">
        <v>71</v>
      </c>
      <c r="K457" t="s">
        <v>109</v>
      </c>
      <c r="L457">
        <v>1</v>
      </c>
      <c r="M457">
        <v>1</v>
      </c>
      <c r="N457">
        <v>0</v>
      </c>
      <c r="O457">
        <v>0</v>
      </c>
      <c r="P457">
        <v>1</v>
      </c>
      <c r="Q457">
        <v>6</v>
      </c>
      <c r="R457">
        <v>0</v>
      </c>
      <c r="S457">
        <v>0</v>
      </c>
      <c r="T457">
        <v>1</v>
      </c>
      <c r="U457">
        <v>1</v>
      </c>
      <c r="V457">
        <f t="shared" si="194"/>
        <v>1</v>
      </c>
      <c r="W457">
        <v>1</v>
      </c>
      <c r="X457">
        <v>1</v>
      </c>
      <c r="Y457">
        <v>1</v>
      </c>
      <c r="Z457" t="s">
        <v>73</v>
      </c>
      <c r="AA457" s="5" t="s">
        <v>73</v>
      </c>
      <c r="AB457" s="5" t="s">
        <v>73</v>
      </c>
      <c r="AC457" t="s">
        <v>73</v>
      </c>
      <c r="AD457" t="s">
        <v>94</v>
      </c>
      <c r="AE457" s="5" t="s">
        <v>106</v>
      </c>
      <c r="AF457" t="s">
        <v>107</v>
      </c>
      <c r="AG457" t="s">
        <v>95</v>
      </c>
      <c r="AH457">
        <f t="shared" si="193"/>
        <v>4.0916529999999998E-3</v>
      </c>
      <c r="AI457">
        <f t="shared" ref="AI457:AI461" si="198">AJ457</f>
        <v>4.0916529999999998E-3</v>
      </c>
      <c r="AJ457">
        <f t="shared" si="196"/>
        <v>4.0916529999999998E-3</v>
      </c>
      <c r="AK457">
        <v>4.0916529999999998E-3</v>
      </c>
      <c r="AL457">
        <v>0.13231274000000001</v>
      </c>
      <c r="AM457">
        <v>0.13658803999999999</v>
      </c>
      <c r="AN457">
        <v>0.13929939999999999</v>
      </c>
      <c r="AO457">
        <v>99.590834700000002</v>
      </c>
      <c r="AP457">
        <v>86.768726000000001</v>
      </c>
      <c r="AQ457">
        <v>86.341195999999997</v>
      </c>
      <c r="AR457">
        <v>86.070059999999998</v>
      </c>
      <c r="AS457" t="b">
        <v>1</v>
      </c>
      <c r="AT457" t="b">
        <v>0</v>
      </c>
      <c r="AU457" t="s">
        <v>77</v>
      </c>
      <c r="AV457" t="s">
        <v>108</v>
      </c>
      <c r="AW457" t="s">
        <v>79</v>
      </c>
      <c r="AX457" t="s">
        <v>129</v>
      </c>
      <c r="AY457" t="s">
        <v>129</v>
      </c>
      <c r="AZ457" t="s">
        <v>109</v>
      </c>
      <c r="BA457">
        <v>6</v>
      </c>
      <c r="BB457">
        <v>1</v>
      </c>
      <c r="BC457">
        <v>4.1163553999999996E-3</v>
      </c>
      <c r="BD457">
        <v>1.4279989108178799E-4</v>
      </c>
      <c r="BE457">
        <v>4.2591552910817903E-3</v>
      </c>
      <c r="BF457">
        <f>IF(AK457&lt;BE457,1,0)</f>
        <v>1</v>
      </c>
      <c r="BG457">
        <f>IF(AK457&lt;BC457,1,0)</f>
        <v>1</v>
      </c>
      <c r="BH457">
        <f>VLOOKUP($B457,[1]Data_Peer_with_peerVars!$B$2:$Z$1050,20,FALSE)</f>
        <v>2</v>
      </c>
      <c r="BI457">
        <f>VLOOKUP($B457,[1]Data_Peer_with_peerVars!$B$2:$Z$1050,21,FALSE)</f>
        <v>2</v>
      </c>
      <c r="BJ457">
        <f>VLOOKUP($B457,[1]Data_Peer_with_peerVars!$B$2:$Z$1050,22,FALSE)</f>
        <v>1</v>
      </c>
      <c r="BK457">
        <f>VLOOKUP($B457,[1]Data_Peer_with_peerVars!$B$2:$Z$1050,23,FALSE)</f>
        <v>43</v>
      </c>
      <c r="BL457">
        <f>VLOOKUP($B457,[1]Data_Peer_with_peerVars!$B$2:$Z$1050,24,FALSE)</f>
        <v>31</v>
      </c>
      <c r="BM457">
        <f>VLOOKUP($B457,[1]Data_Peer_with_peerVars!$B$2:$Z$1050,25,FALSE)</f>
        <v>0.72093023300000003</v>
      </c>
    </row>
    <row r="458" spans="1:65" x14ac:dyDescent="0.2">
      <c r="A458">
        <v>1</v>
      </c>
      <c r="B458" t="s">
        <v>737</v>
      </c>
      <c r="C458">
        <v>241</v>
      </c>
      <c r="D458" t="s">
        <v>68</v>
      </c>
      <c r="E458">
        <v>1</v>
      </c>
      <c r="F458">
        <v>353</v>
      </c>
      <c r="G458" t="s">
        <v>69</v>
      </c>
      <c r="H458" s="1">
        <v>7</v>
      </c>
      <c r="I458" t="s">
        <v>87</v>
      </c>
      <c r="J458" t="s">
        <v>124</v>
      </c>
      <c r="K458" t="s">
        <v>109</v>
      </c>
      <c r="L458">
        <v>1</v>
      </c>
      <c r="M458">
        <v>0</v>
      </c>
      <c r="N458">
        <v>1</v>
      </c>
      <c r="O458">
        <v>0</v>
      </c>
      <c r="P458">
        <v>1</v>
      </c>
      <c r="Q458">
        <v>5</v>
      </c>
      <c r="R458">
        <v>0</v>
      </c>
      <c r="S458">
        <v>0</v>
      </c>
      <c r="T458">
        <v>0</v>
      </c>
      <c r="U458">
        <v>0</v>
      </c>
      <c r="V458">
        <f t="shared" si="194"/>
        <v>1</v>
      </c>
      <c r="W458">
        <v>1</v>
      </c>
      <c r="X458">
        <v>1</v>
      </c>
      <c r="Y458">
        <v>1</v>
      </c>
      <c r="Z458" t="s">
        <v>73</v>
      </c>
      <c r="AA458" s="5" t="s">
        <v>73</v>
      </c>
      <c r="AB458" s="5" t="s">
        <v>73</v>
      </c>
      <c r="AC458" t="s">
        <v>73</v>
      </c>
      <c r="AD458" t="s">
        <v>94</v>
      </c>
      <c r="AE458" s="5" t="s">
        <v>94</v>
      </c>
      <c r="AF458" t="s">
        <v>75</v>
      </c>
      <c r="AG458" t="s">
        <v>74</v>
      </c>
      <c r="AH458">
        <f t="shared" si="193"/>
        <v>8.8925260000000006E-2</v>
      </c>
      <c r="AI458">
        <f t="shared" si="198"/>
        <v>8.8925260000000006E-2</v>
      </c>
      <c r="AJ458">
        <f t="shared" si="196"/>
        <v>8.8925260000000006E-2</v>
      </c>
      <c r="AK458">
        <v>8.8925260000000006E-2</v>
      </c>
      <c r="AL458">
        <v>0.12725286</v>
      </c>
      <c r="AM458">
        <v>0.13492064000000001</v>
      </c>
      <c r="AN458">
        <v>0.14473684000000001</v>
      </c>
      <c r="AO458">
        <v>91.107473999999996</v>
      </c>
      <c r="AP458">
        <v>87.274714000000003</v>
      </c>
      <c r="AQ458">
        <v>86.507936000000001</v>
      </c>
      <c r="AR458">
        <v>85.526315999999994</v>
      </c>
      <c r="AS458" t="b">
        <v>1</v>
      </c>
      <c r="AT458" t="b">
        <v>0</v>
      </c>
      <c r="AU458" t="s">
        <v>77</v>
      </c>
      <c r="AV458" t="s">
        <v>78</v>
      </c>
      <c r="AW458" t="s">
        <v>79</v>
      </c>
      <c r="AX458" t="s">
        <v>129</v>
      </c>
      <c r="AY458" t="s">
        <v>738</v>
      </c>
      <c r="AZ458" t="s">
        <v>109</v>
      </c>
      <c r="BA458">
        <v>3</v>
      </c>
      <c r="BB458">
        <v>0.35</v>
      </c>
      <c r="BC458">
        <v>4.1163553999999996E-3</v>
      </c>
      <c r="BD458">
        <v>1.4279989108178799E-4</v>
      </c>
      <c r="BE458">
        <v>4.2591552910817903E-3</v>
      </c>
      <c r="BF458">
        <f>IF(AK458&lt;BE458,1,0)</f>
        <v>0</v>
      </c>
      <c r="BG458">
        <f>IF(AK458&lt;BC458,1,0)</f>
        <v>0</v>
      </c>
      <c r="BH458">
        <f>VLOOKUP($B458,[1]Data_Peer_with_peerVars!$B$2:$Z$1050,20,FALSE)</f>
        <v>6</v>
      </c>
      <c r="BI458">
        <f>VLOOKUP($B458,[1]Data_Peer_with_peerVars!$B$2:$Z$1050,21,FALSE)</f>
        <v>5</v>
      </c>
      <c r="BJ458">
        <f>VLOOKUP($B458,[1]Data_Peer_with_peerVars!$B$2:$Z$1050,22,FALSE)</f>
        <v>0.83333333300000001</v>
      </c>
      <c r="BK458">
        <f>VLOOKUP($B458,[1]Data_Peer_with_peerVars!$B$2:$Z$1050,23,FALSE)</f>
        <v>40</v>
      </c>
      <c r="BL458">
        <f>VLOOKUP($B458,[1]Data_Peer_with_peerVars!$B$2:$Z$1050,24,FALSE)</f>
        <v>24</v>
      </c>
      <c r="BM458">
        <f>VLOOKUP($B458,[1]Data_Peer_with_peerVars!$B$2:$Z$1050,25,FALSE)</f>
        <v>0.6</v>
      </c>
    </row>
    <row r="459" spans="1:65" x14ac:dyDescent="0.2">
      <c r="A459">
        <v>1</v>
      </c>
      <c r="B459" t="s">
        <v>739</v>
      </c>
      <c r="C459">
        <v>242</v>
      </c>
      <c r="D459" t="s">
        <v>68</v>
      </c>
      <c r="E459">
        <v>1</v>
      </c>
      <c r="F459">
        <v>354</v>
      </c>
      <c r="G459" t="s">
        <v>86</v>
      </c>
      <c r="H459" s="1">
        <v>6</v>
      </c>
      <c r="I459" t="s">
        <v>70</v>
      </c>
      <c r="J459" t="s">
        <v>740</v>
      </c>
      <c r="K459" t="s">
        <v>72</v>
      </c>
      <c r="L459">
        <v>1</v>
      </c>
      <c r="M459">
        <v>0</v>
      </c>
      <c r="N459">
        <v>1</v>
      </c>
      <c r="O459">
        <v>1</v>
      </c>
      <c r="P459">
        <v>0</v>
      </c>
      <c r="Q459">
        <v>0</v>
      </c>
      <c r="R459">
        <v>0</v>
      </c>
      <c r="S459">
        <v>0</v>
      </c>
      <c r="T459">
        <v>0</v>
      </c>
      <c r="U459">
        <v>0</v>
      </c>
      <c r="V459">
        <f t="shared" si="194"/>
        <v>1</v>
      </c>
      <c r="W459">
        <v>1</v>
      </c>
      <c r="X459">
        <v>1</v>
      </c>
      <c r="Y459">
        <v>1</v>
      </c>
      <c r="Z459" t="s">
        <v>76</v>
      </c>
      <c r="AA459" s="5" t="s">
        <v>76</v>
      </c>
      <c r="AB459" s="5" t="s">
        <v>501</v>
      </c>
      <c r="AC459" t="s">
        <v>76</v>
      </c>
      <c r="AD459" t="s">
        <v>74</v>
      </c>
      <c r="AE459" s="5" t="s">
        <v>142</v>
      </c>
      <c r="AF459" t="s">
        <v>84</v>
      </c>
      <c r="AG459" t="s">
        <v>75</v>
      </c>
      <c r="AH459">
        <f t="shared" si="193"/>
        <v>7.2717329999999997E-2</v>
      </c>
      <c r="AI459">
        <f t="shared" si="198"/>
        <v>7.2717329999999997E-2</v>
      </c>
      <c r="AJ459">
        <f t="shared" si="196"/>
        <v>7.2717329999999997E-2</v>
      </c>
      <c r="AK459">
        <v>7.2717329999999997E-2</v>
      </c>
      <c r="AL459">
        <v>7.4053759999999996E-2</v>
      </c>
      <c r="AM459">
        <v>0.109615386</v>
      </c>
      <c r="AN459">
        <v>0.11363637</v>
      </c>
      <c r="AO459">
        <v>92.728267000000002</v>
      </c>
      <c r="AP459">
        <v>92.594623999999996</v>
      </c>
      <c r="AQ459">
        <v>89.038461400000003</v>
      </c>
      <c r="AR459">
        <v>88.636363000000003</v>
      </c>
      <c r="AS459" t="b">
        <v>0</v>
      </c>
      <c r="AT459" t="b">
        <v>0</v>
      </c>
      <c r="AU459" t="s">
        <v>108</v>
      </c>
      <c r="AV459" t="s">
        <v>108</v>
      </c>
      <c r="AW459" t="s">
        <v>79</v>
      </c>
      <c r="AX459" t="s">
        <v>129</v>
      </c>
      <c r="AY459" t="s">
        <v>741</v>
      </c>
      <c r="AZ459" t="s">
        <v>72</v>
      </c>
      <c r="BA459" t="s">
        <v>82</v>
      </c>
      <c r="BB459">
        <v>3</v>
      </c>
      <c r="BC459">
        <v>7.7070764999999999E-2</v>
      </c>
      <c r="BD459">
        <v>1.90190515067399E-3</v>
      </c>
      <c r="BE459">
        <v>7.8972670150673996E-2</v>
      </c>
      <c r="BF459">
        <f>IF(AK459&lt;BE459,1,0)</f>
        <v>1</v>
      </c>
      <c r="BG459">
        <f>IF(AK459&lt;BC459,1,0)</f>
        <v>1</v>
      </c>
      <c r="BH459">
        <f>VLOOKUP($B459,[1]Data_Peer_with_peerVars!$B$2:$Z$1050,20,FALSE)</f>
        <v>5</v>
      </c>
      <c r="BI459">
        <f>VLOOKUP($B459,[1]Data_Peer_with_peerVars!$B$2:$Z$1050,21,FALSE)</f>
        <v>2</v>
      </c>
      <c r="BJ459">
        <f>VLOOKUP($B459,[1]Data_Peer_with_peerVars!$B$2:$Z$1050,22,FALSE)</f>
        <v>0.4</v>
      </c>
      <c r="BK459">
        <f>VLOOKUP($B459,[1]Data_Peer_with_peerVars!$B$2:$Z$1050,23,FALSE)</f>
        <v>32</v>
      </c>
      <c r="BL459">
        <f>VLOOKUP($B459,[1]Data_Peer_with_peerVars!$B$2:$Z$1050,24,FALSE)</f>
        <v>20</v>
      </c>
      <c r="BM459">
        <f>VLOOKUP($B459,[1]Data_Peer_with_peerVars!$B$2:$Z$1050,25,FALSE)</f>
        <v>0.625</v>
      </c>
    </row>
    <row r="460" spans="1:65" x14ac:dyDescent="0.2">
      <c r="A460">
        <v>1</v>
      </c>
      <c r="B460" t="s">
        <v>742</v>
      </c>
      <c r="C460">
        <v>243</v>
      </c>
      <c r="D460" t="s">
        <v>68</v>
      </c>
      <c r="E460">
        <v>1</v>
      </c>
      <c r="F460">
        <v>357</v>
      </c>
      <c r="G460" t="s">
        <v>86</v>
      </c>
      <c r="H460" s="1">
        <v>7</v>
      </c>
      <c r="I460" t="s">
        <v>70</v>
      </c>
      <c r="J460" t="s">
        <v>71</v>
      </c>
      <c r="K460" t="s">
        <v>109</v>
      </c>
      <c r="L460">
        <v>1</v>
      </c>
      <c r="M460">
        <v>0</v>
      </c>
      <c r="N460">
        <v>1</v>
      </c>
      <c r="O460">
        <v>0</v>
      </c>
      <c r="P460">
        <v>1</v>
      </c>
      <c r="Q460">
        <v>6</v>
      </c>
      <c r="R460">
        <v>0</v>
      </c>
      <c r="S460">
        <v>0</v>
      </c>
      <c r="T460">
        <v>1</v>
      </c>
      <c r="U460">
        <v>1</v>
      </c>
      <c r="V460">
        <f t="shared" si="194"/>
        <v>1</v>
      </c>
      <c r="W460">
        <v>1</v>
      </c>
      <c r="X460">
        <v>1</v>
      </c>
      <c r="Y460">
        <v>1</v>
      </c>
      <c r="Z460" t="s">
        <v>73</v>
      </c>
      <c r="AA460" s="5" t="s">
        <v>73</v>
      </c>
      <c r="AB460" s="5" t="s">
        <v>73</v>
      </c>
      <c r="AC460" t="s">
        <v>73</v>
      </c>
      <c r="AD460" t="s">
        <v>94</v>
      </c>
      <c r="AE460" s="5" t="s">
        <v>106</v>
      </c>
      <c r="AF460" t="s">
        <v>107</v>
      </c>
      <c r="AG460" t="s">
        <v>95</v>
      </c>
      <c r="AH460">
        <f t="shared" si="193"/>
        <v>4.0916529999999998E-3</v>
      </c>
      <c r="AI460">
        <f t="shared" si="198"/>
        <v>4.0916529999999998E-3</v>
      </c>
      <c r="AJ460">
        <f t="shared" si="196"/>
        <v>4.0916529999999998E-3</v>
      </c>
      <c r="AK460">
        <v>4.0916529999999998E-3</v>
      </c>
      <c r="AL460">
        <v>0.13203936999999999</v>
      </c>
      <c r="AM460">
        <v>0.13658803999999999</v>
      </c>
      <c r="AN460">
        <v>0.13902571999999999</v>
      </c>
      <c r="AO460">
        <v>99.590834700000002</v>
      </c>
      <c r="AP460">
        <v>86.796063000000004</v>
      </c>
      <c r="AQ460">
        <v>86.341195999999997</v>
      </c>
      <c r="AR460">
        <v>86.097427999999994</v>
      </c>
      <c r="AS460" t="b">
        <v>1</v>
      </c>
      <c r="AT460" t="b">
        <v>0</v>
      </c>
      <c r="AU460" t="s">
        <v>77</v>
      </c>
      <c r="AV460" t="s">
        <v>108</v>
      </c>
      <c r="AW460" t="s">
        <v>79</v>
      </c>
      <c r="AX460" t="s">
        <v>129</v>
      </c>
      <c r="AY460" t="s">
        <v>738</v>
      </c>
      <c r="AZ460" t="s">
        <v>109</v>
      </c>
      <c r="BA460">
        <v>3</v>
      </c>
      <c r="BB460">
        <v>2</v>
      </c>
      <c r="BC460">
        <v>4.1163553999999996E-3</v>
      </c>
      <c r="BD460">
        <v>1.4279989108178799E-4</v>
      </c>
      <c r="BE460">
        <v>4.2591552910817903E-3</v>
      </c>
      <c r="BF460">
        <f>IF(AK460&lt;BE460,1,0)</f>
        <v>1</v>
      </c>
      <c r="BG460">
        <f>IF(AK460&lt;BC460,1,0)</f>
        <v>1</v>
      </c>
      <c r="BH460">
        <f>VLOOKUP($B460,[1]Data_Peer_with_peerVars!$B$2:$Z$1050,20,FALSE)</f>
        <v>4</v>
      </c>
      <c r="BI460">
        <f>VLOOKUP($B460,[1]Data_Peer_with_peerVars!$B$2:$Z$1050,21,FALSE)</f>
        <v>4</v>
      </c>
      <c r="BJ460">
        <f>VLOOKUP($B460,[1]Data_Peer_with_peerVars!$B$2:$Z$1050,22,FALSE)</f>
        <v>1</v>
      </c>
      <c r="BK460">
        <f>VLOOKUP($B460,[1]Data_Peer_with_peerVars!$B$2:$Z$1050,23,FALSE)</f>
        <v>33</v>
      </c>
      <c r="BL460">
        <f>VLOOKUP($B460,[1]Data_Peer_with_peerVars!$B$2:$Z$1050,24,FALSE)</f>
        <v>19</v>
      </c>
      <c r="BM460">
        <f>VLOOKUP($B460,[1]Data_Peer_with_peerVars!$B$2:$Z$1050,25,FALSE)</f>
        <v>0.57575757599999999</v>
      </c>
    </row>
    <row r="461" spans="1:65" x14ac:dyDescent="0.2">
      <c r="A461">
        <v>1</v>
      </c>
      <c r="B461" t="s">
        <v>743</v>
      </c>
      <c r="C461">
        <v>243</v>
      </c>
      <c r="D461" t="s">
        <v>68</v>
      </c>
      <c r="E461">
        <v>1</v>
      </c>
      <c r="F461">
        <v>357</v>
      </c>
      <c r="G461" t="s">
        <v>86</v>
      </c>
      <c r="H461" s="1">
        <v>7</v>
      </c>
      <c r="I461" t="s">
        <v>70</v>
      </c>
      <c r="J461" t="s">
        <v>71</v>
      </c>
      <c r="K461" t="s">
        <v>109</v>
      </c>
      <c r="L461">
        <v>1</v>
      </c>
      <c r="M461">
        <v>0</v>
      </c>
      <c r="N461">
        <v>1</v>
      </c>
      <c r="O461">
        <v>0</v>
      </c>
      <c r="P461">
        <v>1</v>
      </c>
      <c r="Q461">
        <v>6</v>
      </c>
      <c r="R461">
        <v>0</v>
      </c>
      <c r="S461">
        <v>0</v>
      </c>
      <c r="T461">
        <v>1</v>
      </c>
      <c r="U461">
        <v>1</v>
      </c>
      <c r="V461">
        <f t="shared" si="194"/>
        <v>1</v>
      </c>
      <c r="W461">
        <v>1</v>
      </c>
      <c r="X461">
        <v>1</v>
      </c>
      <c r="Y461">
        <v>1</v>
      </c>
      <c r="Z461" t="s">
        <v>94</v>
      </c>
      <c r="AA461" s="5" t="s">
        <v>228</v>
      </c>
      <c r="AB461" s="5" t="s">
        <v>744</v>
      </c>
      <c r="AC461" t="s">
        <v>94</v>
      </c>
      <c r="AD461" t="s">
        <v>95</v>
      </c>
      <c r="AE461" s="5" t="s">
        <v>95</v>
      </c>
      <c r="AF461" t="s">
        <v>107</v>
      </c>
      <c r="AG461" t="s">
        <v>73</v>
      </c>
      <c r="AH461">
        <f t="shared" si="193"/>
        <v>1.5010917E-2</v>
      </c>
      <c r="AI461">
        <f t="shared" si="198"/>
        <v>1.5010917E-2</v>
      </c>
      <c r="AJ461">
        <f t="shared" si="196"/>
        <v>1.5010917E-2</v>
      </c>
      <c r="AK461">
        <v>1.5010917E-2</v>
      </c>
      <c r="AL461">
        <v>0.10858862</v>
      </c>
      <c r="AM461">
        <v>0.112054795</v>
      </c>
      <c r="AN461">
        <v>0.12711402999999999</v>
      </c>
      <c r="AO461">
        <v>98.498908299999997</v>
      </c>
      <c r="AP461">
        <v>89.141137999999998</v>
      </c>
      <c r="AQ461">
        <v>88.794520500000004</v>
      </c>
      <c r="AR461">
        <v>87.288596999999996</v>
      </c>
      <c r="AS461" t="b">
        <v>0</v>
      </c>
      <c r="AT461" t="b">
        <v>0</v>
      </c>
      <c r="AU461" t="s">
        <v>92</v>
      </c>
      <c r="AV461" t="s">
        <v>92</v>
      </c>
      <c r="AW461" t="s">
        <v>79</v>
      </c>
      <c r="AX461" t="s">
        <v>129</v>
      </c>
      <c r="AY461" t="s">
        <v>738</v>
      </c>
      <c r="AZ461" t="s">
        <v>72</v>
      </c>
      <c r="BA461" t="s">
        <v>82</v>
      </c>
      <c r="BB461">
        <v>1</v>
      </c>
      <c r="BC461">
        <v>1.6447369E-2</v>
      </c>
      <c r="BD461">
        <v>4.2236161269162102E-4</v>
      </c>
      <c r="BE461">
        <v>1.6869730612691598E-2</v>
      </c>
      <c r="BF461">
        <f>IF(AK461&lt;BE461,1,0)</f>
        <v>1</v>
      </c>
      <c r="BG461">
        <f>IF(AK461&lt;BC461,1,0)</f>
        <v>1</v>
      </c>
      <c r="BH461">
        <f>VLOOKUP($B461,[1]Data_Peer_with_peerVars!$B$2:$Z$1050,20,FALSE)</f>
        <v>4</v>
      </c>
      <c r="BI461">
        <f>VLOOKUP($B461,[1]Data_Peer_with_peerVars!$B$2:$Z$1050,21,FALSE)</f>
        <v>4</v>
      </c>
      <c r="BJ461">
        <f>VLOOKUP($B461,[1]Data_Peer_with_peerVars!$B$2:$Z$1050,22,FALSE)</f>
        <v>1</v>
      </c>
      <c r="BK461">
        <f>VLOOKUP($B461,[1]Data_Peer_with_peerVars!$B$2:$Z$1050,23,FALSE)</f>
        <v>33</v>
      </c>
      <c r="BL461">
        <f>VLOOKUP($B461,[1]Data_Peer_with_peerVars!$B$2:$Z$1050,24,FALSE)</f>
        <v>19</v>
      </c>
      <c r="BM461">
        <f>VLOOKUP($B461,[1]Data_Peer_with_peerVars!$B$2:$Z$1050,25,FALSE)</f>
        <v>0.57575757599999999</v>
      </c>
    </row>
    <row r="462" spans="1:65" x14ac:dyDescent="0.2">
      <c r="A462">
        <v>1</v>
      </c>
      <c r="B462" t="s">
        <v>745</v>
      </c>
      <c r="C462">
        <v>243</v>
      </c>
      <c r="D462" t="s">
        <v>68</v>
      </c>
      <c r="E462">
        <v>1</v>
      </c>
      <c r="F462">
        <v>357</v>
      </c>
      <c r="G462" t="s">
        <v>86</v>
      </c>
      <c r="H462" s="1">
        <v>7</v>
      </c>
      <c r="I462" t="s">
        <v>70</v>
      </c>
      <c r="J462" t="s">
        <v>71</v>
      </c>
      <c r="K462" t="s">
        <v>109</v>
      </c>
      <c r="L462">
        <v>1</v>
      </c>
      <c r="M462">
        <v>0</v>
      </c>
      <c r="N462">
        <v>1</v>
      </c>
      <c r="O462">
        <v>0</v>
      </c>
      <c r="P462">
        <v>1</v>
      </c>
      <c r="Q462">
        <v>6</v>
      </c>
      <c r="R462">
        <v>1</v>
      </c>
      <c r="S462">
        <v>1</v>
      </c>
      <c r="T462">
        <v>1</v>
      </c>
      <c r="U462">
        <v>1</v>
      </c>
      <c r="V462">
        <f t="shared" si="194"/>
        <v>0</v>
      </c>
      <c r="W462">
        <f t="shared" si="197"/>
        <v>0</v>
      </c>
      <c r="X462">
        <f t="shared" ref="X462:X512" si="199">IF(Z462=AF462,1,0)</f>
        <v>0</v>
      </c>
      <c r="Y462">
        <f t="shared" ref="Y462:Y511" si="200">IF(Z462=AG462,1,0)</f>
        <v>0</v>
      </c>
      <c r="Z462" t="s">
        <v>177</v>
      </c>
      <c r="AA462" s="5" t="s">
        <v>170</v>
      </c>
      <c r="AB462" s="5" t="s">
        <v>746</v>
      </c>
      <c r="AC462" t="s">
        <v>107</v>
      </c>
      <c r="AD462" t="s">
        <v>94</v>
      </c>
      <c r="AE462" s="5" t="s">
        <v>106</v>
      </c>
      <c r="AF462" t="s">
        <v>95</v>
      </c>
      <c r="AG462" t="s">
        <v>173</v>
      </c>
      <c r="AH462">
        <f>AI462</f>
        <v>6.3013694999999995E-2</v>
      </c>
      <c r="AI462">
        <f>AJ462</f>
        <v>6.3013694999999995E-2</v>
      </c>
      <c r="AJ462">
        <f t="shared" si="196"/>
        <v>6.3013694999999995E-2</v>
      </c>
      <c r="AK462">
        <v>6.3013694999999995E-2</v>
      </c>
      <c r="AL462">
        <v>6.8268709999999996E-2</v>
      </c>
      <c r="AM462">
        <v>9.5954075E-2</v>
      </c>
      <c r="AN462">
        <v>0.11353712000000001</v>
      </c>
      <c r="AO462">
        <v>93.698630499999993</v>
      </c>
      <c r="AP462">
        <v>93.173129000000003</v>
      </c>
      <c r="AQ462">
        <v>90.404592500000007</v>
      </c>
      <c r="AR462">
        <v>88.646287999999998</v>
      </c>
      <c r="AS462" t="b">
        <v>0</v>
      </c>
      <c r="AT462" t="b">
        <v>0</v>
      </c>
      <c r="AU462" t="s">
        <v>92</v>
      </c>
      <c r="AV462" t="s">
        <v>92</v>
      </c>
      <c r="AW462" t="s">
        <v>79</v>
      </c>
      <c r="AX462" t="s">
        <v>129</v>
      </c>
      <c r="AY462" t="s">
        <v>738</v>
      </c>
      <c r="AZ462" t="s">
        <v>109</v>
      </c>
      <c r="BA462">
        <v>3</v>
      </c>
      <c r="BB462">
        <v>1</v>
      </c>
      <c r="BC462">
        <v>2.6475456000000001E-2</v>
      </c>
      <c r="BD462">
        <v>8.8330364056477401E-3</v>
      </c>
      <c r="BE462">
        <v>3.53084924056477E-2</v>
      </c>
      <c r="BF462">
        <f>IF(AK462&lt;BE462,1,0)</f>
        <v>0</v>
      </c>
      <c r="BG462">
        <f>IF(AK462&lt;BC462,1,0)</f>
        <v>0</v>
      </c>
      <c r="BH462">
        <f>VLOOKUP($B462,[1]Data_Peer_with_peerVars!$B$2:$Z$1050,20,FALSE)</f>
        <v>4</v>
      </c>
      <c r="BI462">
        <f>VLOOKUP($B462,[1]Data_Peer_with_peerVars!$B$2:$Z$1050,21,FALSE)</f>
        <v>4</v>
      </c>
      <c r="BJ462">
        <f>VLOOKUP($B462,[1]Data_Peer_with_peerVars!$B$2:$Z$1050,22,FALSE)</f>
        <v>1</v>
      </c>
      <c r="BK462">
        <f>VLOOKUP($B462,[1]Data_Peer_with_peerVars!$B$2:$Z$1050,23,FALSE)</f>
        <v>33</v>
      </c>
      <c r="BL462">
        <f>VLOOKUP($B462,[1]Data_Peer_with_peerVars!$B$2:$Z$1050,24,FALSE)</f>
        <v>19</v>
      </c>
      <c r="BM462">
        <f>VLOOKUP($B462,[1]Data_Peer_with_peerVars!$B$2:$Z$1050,25,FALSE)</f>
        <v>0.57575757599999999</v>
      </c>
    </row>
    <row r="463" spans="1:65" x14ac:dyDescent="0.2">
      <c r="A463">
        <v>1</v>
      </c>
      <c r="B463" t="s">
        <v>747</v>
      </c>
      <c r="C463">
        <v>243</v>
      </c>
      <c r="D463" t="s">
        <v>68</v>
      </c>
      <c r="E463">
        <v>1</v>
      </c>
      <c r="F463">
        <v>357</v>
      </c>
      <c r="G463" t="s">
        <v>86</v>
      </c>
      <c r="H463" s="1">
        <v>7</v>
      </c>
      <c r="I463" t="s">
        <v>70</v>
      </c>
      <c r="J463" t="s">
        <v>71</v>
      </c>
      <c r="K463" t="s">
        <v>109</v>
      </c>
      <c r="L463">
        <v>1</v>
      </c>
      <c r="M463">
        <v>0</v>
      </c>
      <c r="N463">
        <v>1</v>
      </c>
      <c r="O463">
        <v>0</v>
      </c>
      <c r="P463">
        <v>1</v>
      </c>
      <c r="Q463">
        <v>6</v>
      </c>
      <c r="R463">
        <v>0</v>
      </c>
      <c r="S463">
        <v>0</v>
      </c>
      <c r="T463">
        <v>0</v>
      </c>
      <c r="U463">
        <v>0</v>
      </c>
      <c r="V463">
        <f t="shared" si="194"/>
        <v>1</v>
      </c>
      <c r="W463">
        <v>1</v>
      </c>
      <c r="X463">
        <v>1</v>
      </c>
      <c r="Y463">
        <v>1</v>
      </c>
      <c r="Z463" t="s">
        <v>101</v>
      </c>
      <c r="AA463" s="5" t="s">
        <v>101</v>
      </c>
      <c r="AB463" s="5" t="s">
        <v>101</v>
      </c>
      <c r="AC463" t="s">
        <v>101</v>
      </c>
      <c r="AD463" t="s">
        <v>99</v>
      </c>
      <c r="AE463" s="5" t="s">
        <v>99</v>
      </c>
      <c r="AF463" t="s">
        <v>103</v>
      </c>
      <c r="AG463" t="s">
        <v>102</v>
      </c>
      <c r="AH463">
        <f t="shared" ref="AH463:AH466" si="201">AI463</f>
        <v>4.1069460000000002E-2</v>
      </c>
      <c r="AI463">
        <f t="shared" ref="AI463:AI466" si="202">AJ463</f>
        <v>4.1069460000000002E-2</v>
      </c>
      <c r="AJ463">
        <f t="shared" si="196"/>
        <v>4.1069460000000002E-2</v>
      </c>
      <c r="AK463">
        <v>4.1069460000000002E-2</v>
      </c>
      <c r="AL463">
        <v>7.9268290000000005E-2</v>
      </c>
      <c r="AM463">
        <v>8.8365650000000004E-2</v>
      </c>
      <c r="AN463">
        <v>0.12362637</v>
      </c>
      <c r="AO463">
        <v>95.893054000000006</v>
      </c>
      <c r="AP463">
        <v>92.073171000000002</v>
      </c>
      <c r="AQ463">
        <v>91.163435000000007</v>
      </c>
      <c r="AR463">
        <v>87.637362999999993</v>
      </c>
      <c r="AS463" t="b">
        <v>1</v>
      </c>
      <c r="AT463" t="b">
        <v>0</v>
      </c>
      <c r="AU463" t="s">
        <v>77</v>
      </c>
      <c r="AV463" t="s">
        <v>77</v>
      </c>
      <c r="AW463" t="s">
        <v>79</v>
      </c>
      <c r="AX463" t="s">
        <v>129</v>
      </c>
      <c r="AY463" t="s">
        <v>738</v>
      </c>
      <c r="AZ463" t="s">
        <v>109</v>
      </c>
      <c r="BA463">
        <v>2</v>
      </c>
      <c r="BB463">
        <v>0.28000000000000003</v>
      </c>
      <c r="BC463">
        <v>1.4096186E-2</v>
      </c>
      <c r="BD463">
        <v>1.55088650053763E-3</v>
      </c>
      <c r="BE463">
        <v>1.5647072500537599E-2</v>
      </c>
      <c r="BF463">
        <f>IF(AK463&lt;BE463,1,0)</f>
        <v>0</v>
      </c>
      <c r="BG463">
        <f>IF(AK463&lt;BC463,1,0)</f>
        <v>0</v>
      </c>
      <c r="BH463">
        <f>VLOOKUP($B463,[1]Data_Peer_with_peerVars!$B$2:$Z$1050,20,FALSE)</f>
        <v>4</v>
      </c>
      <c r="BI463">
        <f>VLOOKUP($B463,[1]Data_Peer_with_peerVars!$B$2:$Z$1050,21,FALSE)</f>
        <v>4</v>
      </c>
      <c r="BJ463">
        <f>VLOOKUP($B463,[1]Data_Peer_with_peerVars!$B$2:$Z$1050,22,FALSE)</f>
        <v>1</v>
      </c>
      <c r="BK463">
        <f>VLOOKUP($B463,[1]Data_Peer_with_peerVars!$B$2:$Z$1050,23,FALSE)</f>
        <v>33</v>
      </c>
      <c r="BL463">
        <f>VLOOKUP($B463,[1]Data_Peer_with_peerVars!$B$2:$Z$1050,24,FALSE)</f>
        <v>19</v>
      </c>
      <c r="BM463">
        <f>VLOOKUP($B463,[1]Data_Peer_with_peerVars!$B$2:$Z$1050,25,FALSE)</f>
        <v>0.57575757599999999</v>
      </c>
    </row>
    <row r="464" spans="1:65" x14ac:dyDescent="0.2">
      <c r="A464">
        <v>1</v>
      </c>
      <c r="B464" t="s">
        <v>748</v>
      </c>
      <c r="C464">
        <v>244</v>
      </c>
      <c r="D464" t="s">
        <v>68</v>
      </c>
      <c r="E464">
        <v>1</v>
      </c>
      <c r="F464">
        <v>359</v>
      </c>
      <c r="G464" t="s">
        <v>86</v>
      </c>
      <c r="H464" s="1">
        <v>7</v>
      </c>
      <c r="I464" t="s">
        <v>70</v>
      </c>
      <c r="J464" t="s">
        <v>71</v>
      </c>
      <c r="K464" t="s">
        <v>72</v>
      </c>
      <c r="L464">
        <v>1</v>
      </c>
      <c r="M464">
        <v>0</v>
      </c>
      <c r="N464">
        <v>1</v>
      </c>
      <c r="O464">
        <v>0</v>
      </c>
      <c r="P464">
        <v>0</v>
      </c>
      <c r="Q464">
        <v>3</v>
      </c>
      <c r="R464">
        <v>0</v>
      </c>
      <c r="S464">
        <v>0</v>
      </c>
      <c r="T464">
        <v>0</v>
      </c>
      <c r="U464">
        <v>0</v>
      </c>
      <c r="V464">
        <f t="shared" si="194"/>
        <v>1</v>
      </c>
      <c r="W464">
        <v>1</v>
      </c>
      <c r="X464">
        <v>1</v>
      </c>
      <c r="Y464">
        <v>1</v>
      </c>
      <c r="Z464" t="s">
        <v>101</v>
      </c>
      <c r="AA464" s="5" t="s">
        <v>101</v>
      </c>
      <c r="AB464" s="5" t="s">
        <v>101</v>
      </c>
      <c r="AC464" t="s">
        <v>101</v>
      </c>
      <c r="AD464" t="s">
        <v>99</v>
      </c>
      <c r="AE464" s="5" t="s">
        <v>99</v>
      </c>
      <c r="AF464" t="s">
        <v>103</v>
      </c>
      <c r="AG464" t="s">
        <v>102</v>
      </c>
      <c r="AH464">
        <f t="shared" si="201"/>
        <v>4.5030202999999998E-2</v>
      </c>
      <c r="AI464">
        <f t="shared" si="202"/>
        <v>4.5030202999999998E-2</v>
      </c>
      <c r="AJ464">
        <f t="shared" si="196"/>
        <v>4.5030202999999998E-2</v>
      </c>
      <c r="AK464">
        <v>4.5030202999999998E-2</v>
      </c>
      <c r="AL464">
        <v>8.3011580000000001E-2</v>
      </c>
      <c r="AM464">
        <v>9.4818079999999999E-2</v>
      </c>
      <c r="AN464">
        <v>0.12943746</v>
      </c>
      <c r="AO464">
        <v>95.496979699999997</v>
      </c>
      <c r="AP464">
        <v>91.698841999999999</v>
      </c>
      <c r="AQ464">
        <v>90.518191999999999</v>
      </c>
      <c r="AR464">
        <v>87.056253999999996</v>
      </c>
      <c r="AS464" t="b">
        <v>1</v>
      </c>
      <c r="AT464" t="b">
        <v>0</v>
      </c>
      <c r="AU464" t="s">
        <v>77</v>
      </c>
      <c r="AV464" t="s">
        <v>77</v>
      </c>
      <c r="AW464" t="s">
        <v>79</v>
      </c>
      <c r="AX464" t="s">
        <v>129</v>
      </c>
      <c r="AY464" t="s">
        <v>738</v>
      </c>
      <c r="AZ464" t="s">
        <v>72</v>
      </c>
      <c r="BA464" t="s">
        <v>82</v>
      </c>
      <c r="BB464">
        <v>0.35</v>
      </c>
      <c r="BC464">
        <v>1.4096186E-2</v>
      </c>
      <c r="BD464">
        <v>1.55088650053763E-3</v>
      </c>
      <c r="BE464">
        <v>1.5647072500537599E-2</v>
      </c>
      <c r="BF464">
        <f>IF(AK464&lt;BE464,1,0)</f>
        <v>0</v>
      </c>
      <c r="BG464">
        <f>IF(AK464&lt;BC464,1,0)</f>
        <v>0</v>
      </c>
      <c r="BH464">
        <f>VLOOKUP($B464,[1]Data_Peer_with_peerVars!$B$2:$Z$1050,20,FALSE)</f>
        <v>7</v>
      </c>
      <c r="BI464">
        <f>VLOOKUP($B464,[1]Data_Peer_with_peerVars!$B$2:$Z$1050,21,FALSE)</f>
        <v>6</v>
      </c>
      <c r="BJ464">
        <f>VLOOKUP($B464,[1]Data_Peer_with_peerVars!$B$2:$Z$1050,22,FALSE)</f>
        <v>0.85714285700000004</v>
      </c>
      <c r="BK464">
        <f>VLOOKUP($B464,[1]Data_Peer_with_peerVars!$B$2:$Z$1050,23,FALSE)</f>
        <v>36</v>
      </c>
      <c r="BL464">
        <f>VLOOKUP($B464,[1]Data_Peer_with_peerVars!$B$2:$Z$1050,24,FALSE)</f>
        <v>21</v>
      </c>
      <c r="BM464">
        <f>VLOOKUP($B464,[1]Data_Peer_with_peerVars!$B$2:$Z$1050,25,FALSE)</f>
        <v>0.58333333300000001</v>
      </c>
    </row>
    <row r="465" spans="1:65" x14ac:dyDescent="0.2">
      <c r="A465">
        <v>1</v>
      </c>
      <c r="B465" t="s">
        <v>749</v>
      </c>
      <c r="C465">
        <v>245</v>
      </c>
      <c r="D465" t="s">
        <v>68</v>
      </c>
      <c r="E465">
        <v>1</v>
      </c>
      <c r="F465">
        <v>833</v>
      </c>
      <c r="G465" t="s">
        <v>69</v>
      </c>
      <c r="H465" s="1">
        <v>6</v>
      </c>
      <c r="I465" t="s">
        <v>87</v>
      </c>
      <c r="J465" t="s">
        <v>124</v>
      </c>
      <c r="K465" t="s">
        <v>72</v>
      </c>
      <c r="L465">
        <v>1</v>
      </c>
      <c r="M465">
        <v>1</v>
      </c>
      <c r="N465">
        <v>0</v>
      </c>
      <c r="O465">
        <v>0</v>
      </c>
      <c r="P465">
        <v>0</v>
      </c>
      <c r="Q465">
        <v>8</v>
      </c>
      <c r="R465">
        <v>0</v>
      </c>
      <c r="S465">
        <v>0</v>
      </c>
      <c r="T465">
        <v>1</v>
      </c>
      <c r="U465">
        <v>1</v>
      </c>
      <c r="V465">
        <f t="shared" si="194"/>
        <v>1</v>
      </c>
      <c r="W465">
        <v>1</v>
      </c>
      <c r="X465">
        <v>1</v>
      </c>
      <c r="Y465">
        <v>1</v>
      </c>
      <c r="Z465" t="s">
        <v>94</v>
      </c>
      <c r="AA465" s="5" t="s">
        <v>228</v>
      </c>
      <c r="AB465" s="5" t="s">
        <v>750</v>
      </c>
      <c r="AC465" t="s">
        <v>94</v>
      </c>
      <c r="AD465" t="s">
        <v>95</v>
      </c>
      <c r="AE465" s="5" t="s">
        <v>95</v>
      </c>
      <c r="AF465" t="s">
        <v>107</v>
      </c>
      <c r="AG465" t="s">
        <v>74</v>
      </c>
      <c r="AH465">
        <f t="shared" si="201"/>
        <v>1.6375544999999998E-2</v>
      </c>
      <c r="AI465">
        <f t="shared" si="202"/>
        <v>1.6375544999999998E-2</v>
      </c>
      <c r="AJ465">
        <f t="shared" si="196"/>
        <v>1.6375544999999998E-2</v>
      </c>
      <c r="AK465">
        <v>1.6375544999999998E-2</v>
      </c>
      <c r="AL465">
        <v>0.10858862</v>
      </c>
      <c r="AM465">
        <v>0.11068493</v>
      </c>
      <c r="AN465">
        <v>0.12664473000000001</v>
      </c>
      <c r="AO465">
        <v>98.362445500000007</v>
      </c>
      <c r="AP465">
        <v>89.141137999999998</v>
      </c>
      <c r="AQ465">
        <v>88.931506999999996</v>
      </c>
      <c r="AR465">
        <v>87.335526999999999</v>
      </c>
      <c r="AS465" t="b">
        <v>0</v>
      </c>
      <c r="AT465" t="b">
        <v>0</v>
      </c>
      <c r="AU465" t="s">
        <v>92</v>
      </c>
      <c r="AV465" t="s">
        <v>92</v>
      </c>
      <c r="AW465" t="s">
        <v>79</v>
      </c>
      <c r="AX465" t="s">
        <v>129</v>
      </c>
      <c r="AY465" t="s">
        <v>738</v>
      </c>
      <c r="AZ465" t="s">
        <v>72</v>
      </c>
      <c r="BA465" t="s">
        <v>82</v>
      </c>
      <c r="BB465">
        <v>0.28000000000000003</v>
      </c>
      <c r="BC465">
        <v>1.6447369E-2</v>
      </c>
      <c r="BD465">
        <v>4.2236161269162102E-4</v>
      </c>
      <c r="BE465">
        <v>1.6869730612691598E-2</v>
      </c>
      <c r="BF465">
        <f>IF(AK465&lt;BE465,1,0)</f>
        <v>1</v>
      </c>
      <c r="BG465">
        <f>IF(AK465&lt;BC465,1,0)</f>
        <v>1</v>
      </c>
      <c r="BH465">
        <f>VLOOKUP($B465,[1]Data_Peer_with_peerVars!$B$2:$Z$1050,20,FALSE)</f>
        <v>4</v>
      </c>
      <c r="BI465">
        <f>VLOOKUP($B465,[1]Data_Peer_with_peerVars!$B$2:$Z$1050,21,FALSE)</f>
        <v>3</v>
      </c>
      <c r="BJ465">
        <f>VLOOKUP($B465,[1]Data_Peer_with_peerVars!$B$2:$Z$1050,22,FALSE)</f>
        <v>0.75</v>
      </c>
      <c r="BK465">
        <f>VLOOKUP($B465,[1]Data_Peer_with_peerVars!$B$2:$Z$1050,23,FALSE)</f>
        <v>40</v>
      </c>
      <c r="BL465">
        <f>VLOOKUP($B465,[1]Data_Peer_with_peerVars!$B$2:$Z$1050,24,FALSE)</f>
        <v>23</v>
      </c>
      <c r="BM465">
        <f>VLOOKUP($B465,[1]Data_Peer_with_peerVars!$B$2:$Z$1050,25,FALSE)</f>
        <v>0.57499999999999996</v>
      </c>
    </row>
    <row r="466" spans="1:65" x14ac:dyDescent="0.2">
      <c r="A466">
        <v>1</v>
      </c>
      <c r="B466" t="s">
        <v>751</v>
      </c>
      <c r="C466">
        <v>246</v>
      </c>
      <c r="D466" t="s">
        <v>68</v>
      </c>
      <c r="E466">
        <v>0</v>
      </c>
      <c r="F466">
        <v>350</v>
      </c>
      <c r="G466" t="s">
        <v>119</v>
      </c>
      <c r="H466" s="1">
        <v>0</v>
      </c>
      <c r="I466" t="s">
        <v>70</v>
      </c>
      <c r="J466" t="s">
        <v>71</v>
      </c>
      <c r="K466" t="s">
        <v>72</v>
      </c>
      <c r="L466">
        <v>1</v>
      </c>
      <c r="M466">
        <v>0</v>
      </c>
      <c r="N466">
        <v>0</v>
      </c>
      <c r="O466">
        <v>0</v>
      </c>
      <c r="P466">
        <v>0</v>
      </c>
      <c r="Q466">
        <v>5</v>
      </c>
      <c r="R466">
        <v>0</v>
      </c>
      <c r="S466">
        <v>0</v>
      </c>
      <c r="T466">
        <v>0</v>
      </c>
      <c r="U466">
        <v>0</v>
      </c>
      <c r="V466">
        <f t="shared" si="194"/>
        <v>1</v>
      </c>
      <c r="W466">
        <v>1</v>
      </c>
      <c r="X466">
        <v>1</v>
      </c>
      <c r="Y466">
        <v>1</v>
      </c>
      <c r="Z466" t="s">
        <v>94</v>
      </c>
      <c r="AA466" s="5" t="s">
        <v>228</v>
      </c>
      <c r="AB466" s="5" t="s">
        <v>750</v>
      </c>
      <c r="AC466" t="s">
        <v>94</v>
      </c>
      <c r="AD466" t="s">
        <v>101</v>
      </c>
      <c r="AE466" s="5" t="s">
        <v>101</v>
      </c>
      <c r="AF466" t="s">
        <v>99</v>
      </c>
      <c r="AG466" t="s">
        <v>103</v>
      </c>
      <c r="AH466">
        <f t="shared" si="201"/>
        <v>9.3937740000000006E-2</v>
      </c>
      <c r="AI466">
        <f t="shared" si="202"/>
        <v>9.3937740000000006E-2</v>
      </c>
      <c r="AJ466">
        <f t="shared" si="196"/>
        <v>9.3937740000000006E-2</v>
      </c>
      <c r="AK466">
        <v>9.3937740000000006E-2</v>
      </c>
      <c r="AL466">
        <v>0.11510989000000001</v>
      </c>
      <c r="AM466">
        <v>0.12630999000000001</v>
      </c>
      <c r="AN466">
        <v>0.12892561999999999</v>
      </c>
      <c r="AO466">
        <v>90.606226000000007</v>
      </c>
      <c r="AP466">
        <v>88.489011000000005</v>
      </c>
      <c r="AQ466">
        <v>87.369000999999997</v>
      </c>
      <c r="AR466">
        <v>87.107438000000002</v>
      </c>
      <c r="AS466" t="b">
        <v>0</v>
      </c>
      <c r="AT466" t="b">
        <v>0</v>
      </c>
      <c r="AU466" t="s">
        <v>92</v>
      </c>
      <c r="AV466" t="s">
        <v>92</v>
      </c>
      <c r="AW466" t="s">
        <v>79</v>
      </c>
      <c r="AX466" t="s">
        <v>129</v>
      </c>
      <c r="AY466" t="s">
        <v>738</v>
      </c>
      <c r="AZ466" t="s">
        <v>72</v>
      </c>
      <c r="BA466" t="s">
        <v>82</v>
      </c>
      <c r="BB466">
        <v>0.5</v>
      </c>
      <c r="BC466">
        <v>1.6447369E-2</v>
      </c>
      <c r="BD466">
        <v>4.2236161269162102E-4</v>
      </c>
      <c r="BE466">
        <v>1.6869730612691598E-2</v>
      </c>
      <c r="BF466">
        <f>IF(AK466&lt;BE466,1,0)</f>
        <v>0</v>
      </c>
      <c r="BG466">
        <f>IF(AK466&lt;BC466,1,0)</f>
        <v>0</v>
      </c>
      <c r="BH466">
        <f>VLOOKUP($B466,[1]Data_Peer_with_peerVars!$B$2:$Z$1050,20,FALSE)</f>
        <v>5</v>
      </c>
      <c r="BI466">
        <f>VLOOKUP($B466,[1]Data_Peer_with_peerVars!$B$2:$Z$1050,21,FALSE)</f>
        <v>3</v>
      </c>
      <c r="BJ466">
        <f>VLOOKUP($B466,[1]Data_Peer_with_peerVars!$B$2:$Z$1050,22,FALSE)</f>
        <v>0.6</v>
      </c>
      <c r="BK466">
        <f>VLOOKUP($B466,[1]Data_Peer_with_peerVars!$B$2:$Z$1050,23,FALSE)</f>
        <v>39</v>
      </c>
      <c r="BL466">
        <f>VLOOKUP($B466,[1]Data_Peer_with_peerVars!$B$2:$Z$1050,24,FALSE)</f>
        <v>23</v>
      </c>
      <c r="BM466">
        <f>VLOOKUP($B466,[1]Data_Peer_with_peerVars!$B$2:$Z$1050,25,FALSE)</f>
        <v>0.58974358999999998</v>
      </c>
    </row>
    <row r="467" spans="1:65" x14ac:dyDescent="0.2">
      <c r="A467">
        <v>1</v>
      </c>
      <c r="B467" t="s">
        <v>752</v>
      </c>
      <c r="C467">
        <v>246</v>
      </c>
      <c r="D467" t="s">
        <v>68</v>
      </c>
      <c r="E467">
        <v>0</v>
      </c>
      <c r="F467">
        <v>350</v>
      </c>
      <c r="G467" t="s">
        <v>119</v>
      </c>
      <c r="H467" s="1">
        <v>0</v>
      </c>
      <c r="I467" t="s">
        <v>70</v>
      </c>
      <c r="J467" t="s">
        <v>71</v>
      </c>
      <c r="K467" t="s">
        <v>72</v>
      </c>
      <c r="L467">
        <v>1</v>
      </c>
      <c r="M467">
        <v>0</v>
      </c>
      <c r="N467">
        <v>0</v>
      </c>
      <c r="O467">
        <v>0</v>
      </c>
      <c r="P467">
        <v>0</v>
      </c>
      <c r="Q467">
        <v>5</v>
      </c>
      <c r="R467">
        <v>0</v>
      </c>
      <c r="S467">
        <v>0</v>
      </c>
      <c r="T467">
        <v>1</v>
      </c>
      <c r="U467">
        <v>1</v>
      </c>
      <c r="V467">
        <f t="shared" si="194"/>
        <v>0</v>
      </c>
      <c r="W467">
        <f t="shared" si="197"/>
        <v>0</v>
      </c>
      <c r="X467">
        <f t="shared" si="199"/>
        <v>0</v>
      </c>
      <c r="Y467">
        <f t="shared" si="200"/>
        <v>0</v>
      </c>
      <c r="Z467" t="s">
        <v>98</v>
      </c>
      <c r="AA467" s="5" t="s">
        <v>99</v>
      </c>
      <c r="AB467" s="5" t="s">
        <v>390</v>
      </c>
      <c r="AC467" t="s">
        <v>94</v>
      </c>
      <c r="AD467" t="s">
        <v>95</v>
      </c>
      <c r="AE467" s="5" t="s">
        <v>95</v>
      </c>
      <c r="AF467" t="s">
        <v>107</v>
      </c>
      <c r="AG467" t="s">
        <v>73</v>
      </c>
      <c r="AH467">
        <f t="shared" ref="AH467:AH475" si="203">AI467</f>
        <v>1.5010917E-2</v>
      </c>
      <c r="AI467">
        <f t="shared" ref="AI467:AI471" si="204">AJ467</f>
        <v>1.5010917E-2</v>
      </c>
      <c r="AJ467">
        <f t="shared" si="196"/>
        <v>1.5010917E-2</v>
      </c>
      <c r="AK467">
        <v>1.5010917E-2</v>
      </c>
      <c r="AL467">
        <v>0.11071623999999999</v>
      </c>
      <c r="AM467">
        <v>0.11287671000000001</v>
      </c>
      <c r="AN467">
        <v>0.12956901000000001</v>
      </c>
      <c r="AO467">
        <v>98.498908299999997</v>
      </c>
      <c r="AP467">
        <v>88.928376</v>
      </c>
      <c r="AQ467">
        <v>88.712328999999997</v>
      </c>
      <c r="AR467">
        <v>87.043098999999998</v>
      </c>
      <c r="AS467" t="b">
        <v>0</v>
      </c>
      <c r="AT467" t="b">
        <v>0</v>
      </c>
      <c r="AU467" t="s">
        <v>77</v>
      </c>
      <c r="AV467" t="s">
        <v>78</v>
      </c>
      <c r="AW467" t="s">
        <v>79</v>
      </c>
      <c r="AX467" t="s">
        <v>129</v>
      </c>
      <c r="AY467" t="s">
        <v>738</v>
      </c>
      <c r="AZ467" t="s">
        <v>72</v>
      </c>
      <c r="BA467" t="s">
        <v>82</v>
      </c>
      <c r="BB467">
        <v>0.5</v>
      </c>
      <c r="BC467">
        <v>1.6447369E-2</v>
      </c>
      <c r="BD467">
        <v>4.2236161269162102E-4</v>
      </c>
      <c r="BE467">
        <v>1.6869730612691598E-2</v>
      </c>
      <c r="BF467">
        <f>IF(AK467&lt;BE467,1,0)</f>
        <v>1</v>
      </c>
      <c r="BG467">
        <f>IF(AK467&lt;BC467,1,0)</f>
        <v>1</v>
      </c>
      <c r="BH467">
        <f>VLOOKUP($B467,[1]Data_Peer_with_peerVars!$B$2:$Z$1050,20,FALSE)</f>
        <v>5</v>
      </c>
      <c r="BI467">
        <f>VLOOKUP($B467,[1]Data_Peer_with_peerVars!$B$2:$Z$1050,21,FALSE)</f>
        <v>3</v>
      </c>
      <c r="BJ467">
        <f>VLOOKUP($B467,[1]Data_Peer_with_peerVars!$B$2:$Z$1050,22,FALSE)</f>
        <v>0.6</v>
      </c>
      <c r="BK467">
        <f>VLOOKUP($B467,[1]Data_Peer_with_peerVars!$B$2:$Z$1050,23,FALSE)</f>
        <v>39</v>
      </c>
      <c r="BL467">
        <f>VLOOKUP($B467,[1]Data_Peer_with_peerVars!$B$2:$Z$1050,24,FALSE)</f>
        <v>23</v>
      </c>
      <c r="BM467">
        <f>VLOOKUP($B467,[1]Data_Peer_with_peerVars!$B$2:$Z$1050,25,FALSE)</f>
        <v>0.58974358999999998</v>
      </c>
    </row>
    <row r="468" spans="1:65" x14ac:dyDescent="0.2">
      <c r="A468">
        <v>1</v>
      </c>
      <c r="B468" t="s">
        <v>753</v>
      </c>
      <c r="C468">
        <v>247</v>
      </c>
      <c r="D468" t="s">
        <v>68</v>
      </c>
      <c r="E468">
        <v>0</v>
      </c>
      <c r="F468">
        <v>351</v>
      </c>
      <c r="G468" t="s">
        <v>119</v>
      </c>
      <c r="H468" s="1">
        <v>7</v>
      </c>
      <c r="I468" t="s">
        <v>70</v>
      </c>
      <c r="J468" t="s">
        <v>71</v>
      </c>
      <c r="K468" t="s">
        <v>109</v>
      </c>
      <c r="L468">
        <v>1</v>
      </c>
      <c r="M468">
        <v>0</v>
      </c>
      <c r="N468">
        <v>0</v>
      </c>
      <c r="O468">
        <v>0</v>
      </c>
      <c r="P468">
        <v>1</v>
      </c>
      <c r="Q468">
        <v>0</v>
      </c>
      <c r="R468">
        <v>0</v>
      </c>
      <c r="S468">
        <v>0</v>
      </c>
      <c r="T468">
        <v>0</v>
      </c>
      <c r="U468">
        <v>0</v>
      </c>
      <c r="V468">
        <f t="shared" si="194"/>
        <v>0</v>
      </c>
      <c r="W468">
        <f t="shared" si="197"/>
        <v>0</v>
      </c>
      <c r="X468">
        <f t="shared" si="199"/>
        <v>0</v>
      </c>
      <c r="Y468">
        <f t="shared" si="200"/>
        <v>0</v>
      </c>
      <c r="Z468" t="s">
        <v>76</v>
      </c>
      <c r="AA468" s="5" t="s">
        <v>76</v>
      </c>
      <c r="AB468" s="5" t="s">
        <v>76</v>
      </c>
      <c r="AC468" t="s">
        <v>94</v>
      </c>
      <c r="AD468" t="s">
        <v>74</v>
      </c>
      <c r="AE468" s="5" t="s">
        <v>74</v>
      </c>
      <c r="AF468" t="s">
        <v>102</v>
      </c>
      <c r="AG468" t="s">
        <v>167</v>
      </c>
      <c r="AH468">
        <f t="shared" si="203"/>
        <v>0.11305298</v>
      </c>
      <c r="AI468">
        <f t="shared" si="204"/>
        <v>0.11305298</v>
      </c>
      <c r="AJ468">
        <f t="shared" si="196"/>
        <v>0.11305298</v>
      </c>
      <c r="AK468">
        <v>0.11305298</v>
      </c>
      <c r="AL468">
        <v>0.11951754000000001</v>
      </c>
      <c r="AM468">
        <v>0.13782752000000001</v>
      </c>
      <c r="AN468">
        <v>0.14070214</v>
      </c>
      <c r="AO468">
        <v>88.694702000000007</v>
      </c>
      <c r="AP468">
        <v>88.048246000000006</v>
      </c>
      <c r="AQ468">
        <v>86.217247999999998</v>
      </c>
      <c r="AR468">
        <v>85.929786000000007</v>
      </c>
      <c r="AS468" t="b">
        <v>0</v>
      </c>
      <c r="AT468" t="b">
        <v>0</v>
      </c>
      <c r="AU468" t="s">
        <v>78</v>
      </c>
      <c r="AV468" t="s">
        <v>78</v>
      </c>
      <c r="AW468" t="s">
        <v>79</v>
      </c>
      <c r="AX468" t="s">
        <v>129</v>
      </c>
      <c r="AY468" t="s">
        <v>738</v>
      </c>
      <c r="AZ468" t="s">
        <v>109</v>
      </c>
      <c r="BA468">
        <v>12</v>
      </c>
      <c r="BB468">
        <v>1</v>
      </c>
      <c r="BC468">
        <v>1.6447369E-2</v>
      </c>
      <c r="BD468">
        <v>4.2236161269162102E-4</v>
      </c>
      <c r="BE468">
        <v>1.6869730612691598E-2</v>
      </c>
      <c r="BF468">
        <f>IF(AK468&lt;BE468,1,0)</f>
        <v>0</v>
      </c>
      <c r="BG468">
        <f>IF(AK468&lt;BC468,1,0)</f>
        <v>0</v>
      </c>
      <c r="BH468">
        <f>VLOOKUP($B468,[1]Data_Peer_with_peerVars!$B$2:$Z$1050,20,FALSE)</f>
        <v>7</v>
      </c>
      <c r="BI468">
        <f>VLOOKUP($B468,[1]Data_Peer_with_peerVars!$B$2:$Z$1050,21,FALSE)</f>
        <v>5</v>
      </c>
      <c r="BJ468">
        <f>VLOOKUP($B468,[1]Data_Peer_with_peerVars!$B$2:$Z$1050,22,FALSE)</f>
        <v>0.71428571399999996</v>
      </c>
      <c r="BK468">
        <f>VLOOKUP($B468,[1]Data_Peer_with_peerVars!$B$2:$Z$1050,23,FALSE)</f>
        <v>42</v>
      </c>
      <c r="BL468">
        <f>VLOOKUP($B468,[1]Data_Peer_with_peerVars!$B$2:$Z$1050,24,FALSE)</f>
        <v>24</v>
      </c>
      <c r="BM468">
        <f>VLOOKUP($B468,[1]Data_Peer_with_peerVars!$B$2:$Z$1050,25,FALSE)</f>
        <v>0.571428571</v>
      </c>
    </row>
    <row r="469" spans="1:65" x14ac:dyDescent="0.2">
      <c r="A469">
        <v>1</v>
      </c>
      <c r="B469" t="s">
        <v>754</v>
      </c>
      <c r="C469">
        <v>248</v>
      </c>
      <c r="D469" t="s">
        <v>68</v>
      </c>
      <c r="E469">
        <v>0</v>
      </c>
      <c r="F469">
        <v>355</v>
      </c>
      <c r="G469" t="s">
        <v>97</v>
      </c>
      <c r="H469" s="1">
        <v>7</v>
      </c>
      <c r="I469" t="s">
        <v>70</v>
      </c>
      <c r="J469" t="s">
        <v>71</v>
      </c>
      <c r="K469" t="s">
        <v>109</v>
      </c>
      <c r="L469">
        <v>1</v>
      </c>
      <c r="M469">
        <v>0</v>
      </c>
      <c r="N469">
        <v>1</v>
      </c>
      <c r="O469">
        <v>0</v>
      </c>
      <c r="P469">
        <v>1</v>
      </c>
      <c r="Q469">
        <v>6</v>
      </c>
      <c r="R469">
        <v>0</v>
      </c>
      <c r="S469">
        <v>0</v>
      </c>
      <c r="T469">
        <v>0</v>
      </c>
      <c r="U469">
        <v>0</v>
      </c>
      <c r="V469">
        <f t="shared" si="194"/>
        <v>0</v>
      </c>
      <c r="W469">
        <f t="shared" si="197"/>
        <v>1</v>
      </c>
      <c r="X469">
        <v>1</v>
      </c>
      <c r="Y469">
        <v>1</v>
      </c>
      <c r="Z469" t="s">
        <v>76</v>
      </c>
      <c r="AA469" s="5" t="s">
        <v>76</v>
      </c>
      <c r="AB469" s="5" t="s">
        <v>76</v>
      </c>
      <c r="AC469" t="s">
        <v>74</v>
      </c>
      <c r="AD469" t="s">
        <v>76</v>
      </c>
      <c r="AE469" s="5" t="s">
        <v>76</v>
      </c>
      <c r="AF469" t="s">
        <v>120</v>
      </c>
      <c r="AG469" t="s">
        <v>75</v>
      </c>
      <c r="AH469">
        <f t="shared" si="203"/>
        <v>9.6448086000000002E-2</v>
      </c>
      <c r="AI469">
        <f t="shared" si="204"/>
        <v>9.6448086000000002E-2</v>
      </c>
      <c r="AJ469">
        <f>AL469</f>
        <v>9.6448086000000002E-2</v>
      </c>
      <c r="AK469">
        <v>8.9041099999999998E-2</v>
      </c>
      <c r="AL469">
        <v>9.6448086000000002E-2</v>
      </c>
      <c r="AM469">
        <v>0.12342982</v>
      </c>
      <c r="AN469">
        <v>0.123905905</v>
      </c>
      <c r="AO469">
        <v>91.095889999999997</v>
      </c>
      <c r="AP469">
        <v>90.355191399999995</v>
      </c>
      <c r="AQ469">
        <v>87.657017999999994</v>
      </c>
      <c r="AR469">
        <v>87.609409499999998</v>
      </c>
      <c r="AS469" t="b">
        <v>0</v>
      </c>
      <c r="AT469" t="b">
        <v>1</v>
      </c>
      <c r="AU469" t="s">
        <v>77</v>
      </c>
      <c r="AV469" t="s">
        <v>77</v>
      </c>
      <c r="AW469" t="s">
        <v>79</v>
      </c>
      <c r="AX469" t="s">
        <v>129</v>
      </c>
      <c r="AY469" t="s">
        <v>738</v>
      </c>
      <c r="AZ469" t="s">
        <v>109</v>
      </c>
      <c r="BA469">
        <v>8</v>
      </c>
      <c r="BB469">
        <v>1.4</v>
      </c>
      <c r="BC469">
        <v>2.4738868000000001E-3</v>
      </c>
      <c r="BD469">
        <v>1.4256942275279999E-4</v>
      </c>
      <c r="BE469">
        <v>2.6164562227527998E-3</v>
      </c>
      <c r="BF469">
        <f>IF(AK469&lt;BE469,1,0)</f>
        <v>0</v>
      </c>
      <c r="BG469">
        <f>IF(AK469&lt;BC469,1,0)</f>
        <v>0</v>
      </c>
      <c r="BH469">
        <f>VLOOKUP($B469,[1]Data_Peer_with_peerVars!$B$2:$Z$1050,20,FALSE)</f>
        <v>0</v>
      </c>
      <c r="BI469">
        <f>VLOOKUP($B469,[1]Data_Peer_with_peerVars!$B$2:$Z$1050,21,FALSE)</f>
        <v>0</v>
      </c>
      <c r="BJ469">
        <v>0</v>
      </c>
      <c r="BK469">
        <f>VLOOKUP($B469,[1]Data_Peer_with_peerVars!$B$2:$Z$1050,23,FALSE)</f>
        <v>32</v>
      </c>
      <c r="BL469">
        <f>VLOOKUP($B469,[1]Data_Peer_with_peerVars!$B$2:$Z$1050,24,FALSE)</f>
        <v>19</v>
      </c>
      <c r="BM469">
        <f>VLOOKUP($B469,[1]Data_Peer_with_peerVars!$B$2:$Z$1050,25,FALSE)</f>
        <v>0.59375</v>
      </c>
    </row>
    <row r="470" spans="1:65" x14ac:dyDescent="0.2">
      <c r="A470">
        <v>1</v>
      </c>
      <c r="B470" t="s">
        <v>755</v>
      </c>
      <c r="C470">
        <v>248</v>
      </c>
      <c r="D470" t="s">
        <v>68</v>
      </c>
      <c r="E470">
        <v>0</v>
      </c>
      <c r="F470">
        <v>355</v>
      </c>
      <c r="G470" t="s">
        <v>97</v>
      </c>
      <c r="H470" s="1">
        <v>7</v>
      </c>
      <c r="I470" t="s">
        <v>70</v>
      </c>
      <c r="J470" t="s">
        <v>71</v>
      </c>
      <c r="K470" t="s">
        <v>109</v>
      </c>
      <c r="L470">
        <v>1</v>
      </c>
      <c r="M470">
        <v>0</v>
      </c>
      <c r="N470">
        <v>1</v>
      </c>
      <c r="O470">
        <v>0</v>
      </c>
      <c r="P470">
        <v>1</v>
      </c>
      <c r="Q470">
        <v>6</v>
      </c>
      <c r="R470">
        <v>0</v>
      </c>
      <c r="S470">
        <v>0</v>
      </c>
      <c r="T470">
        <v>1</v>
      </c>
      <c r="U470">
        <v>1</v>
      </c>
      <c r="V470">
        <f t="shared" si="194"/>
        <v>1</v>
      </c>
      <c r="W470">
        <v>1</v>
      </c>
      <c r="X470">
        <v>1</v>
      </c>
      <c r="Y470">
        <v>1</v>
      </c>
      <c r="Z470" t="s">
        <v>73</v>
      </c>
      <c r="AA470" s="5" t="s">
        <v>73</v>
      </c>
      <c r="AB470" s="5" t="s">
        <v>73</v>
      </c>
      <c r="AC470" t="s">
        <v>73</v>
      </c>
      <c r="AD470" t="s">
        <v>94</v>
      </c>
      <c r="AE470" s="5" t="s">
        <v>106</v>
      </c>
      <c r="AF470" t="s">
        <v>107</v>
      </c>
      <c r="AG470" t="s">
        <v>95</v>
      </c>
      <c r="AH470">
        <f t="shared" si="203"/>
        <v>3.8188760000000001E-3</v>
      </c>
      <c r="AI470">
        <f t="shared" si="204"/>
        <v>3.8188760000000001E-3</v>
      </c>
      <c r="AJ470">
        <f t="shared" si="196"/>
        <v>3.8188760000000001E-3</v>
      </c>
      <c r="AK470">
        <v>3.8188760000000001E-3</v>
      </c>
      <c r="AL470">
        <v>0.13176599</v>
      </c>
      <c r="AM470">
        <v>0.13631377</v>
      </c>
      <c r="AN470">
        <v>0.13875206000000001</v>
      </c>
      <c r="AO470">
        <v>99.618112400000001</v>
      </c>
      <c r="AP470">
        <v>86.823401000000004</v>
      </c>
      <c r="AQ470">
        <v>86.368622999999999</v>
      </c>
      <c r="AR470">
        <v>86.124793999999994</v>
      </c>
      <c r="AS470" t="b">
        <v>1</v>
      </c>
      <c r="AT470" t="b">
        <v>0</v>
      </c>
      <c r="AU470" t="s">
        <v>77</v>
      </c>
      <c r="AV470" t="s">
        <v>108</v>
      </c>
      <c r="AW470" t="s">
        <v>79</v>
      </c>
      <c r="AX470" t="s">
        <v>129</v>
      </c>
      <c r="AY470" t="s">
        <v>738</v>
      </c>
      <c r="AZ470" t="s">
        <v>109</v>
      </c>
      <c r="BA470">
        <v>8</v>
      </c>
      <c r="BB470">
        <v>2.8</v>
      </c>
      <c r="BC470">
        <v>4.1163553999999996E-3</v>
      </c>
      <c r="BD470">
        <v>1.4279989108178799E-4</v>
      </c>
      <c r="BE470">
        <v>4.2591552910817903E-3</v>
      </c>
      <c r="BF470">
        <f>IF(AK470&lt;BE470,1,0)</f>
        <v>1</v>
      </c>
      <c r="BG470">
        <f>IF(AK470&lt;BC470,1,0)</f>
        <v>1</v>
      </c>
      <c r="BH470">
        <f>VLOOKUP($B470,[1]Data_Peer_with_peerVars!$B$2:$Z$1050,20,FALSE)</f>
        <v>0</v>
      </c>
      <c r="BI470">
        <f>VLOOKUP($B470,[1]Data_Peer_with_peerVars!$B$2:$Z$1050,21,FALSE)</f>
        <v>0</v>
      </c>
      <c r="BJ470">
        <v>0</v>
      </c>
      <c r="BK470">
        <f>VLOOKUP($B470,[1]Data_Peer_with_peerVars!$B$2:$Z$1050,23,FALSE)</f>
        <v>32</v>
      </c>
      <c r="BL470">
        <f>VLOOKUP($B470,[1]Data_Peer_with_peerVars!$B$2:$Z$1050,24,FALSE)</f>
        <v>19</v>
      </c>
      <c r="BM470">
        <f>VLOOKUP($B470,[1]Data_Peer_with_peerVars!$B$2:$Z$1050,25,FALSE)</f>
        <v>0.59375</v>
      </c>
    </row>
    <row r="471" spans="1:65" x14ac:dyDescent="0.2">
      <c r="A471">
        <v>1</v>
      </c>
      <c r="B471" t="s">
        <v>756</v>
      </c>
      <c r="C471">
        <v>249</v>
      </c>
      <c r="D471" t="s">
        <v>68</v>
      </c>
      <c r="E471">
        <v>0</v>
      </c>
      <c r="F471">
        <v>356</v>
      </c>
      <c r="G471" t="s">
        <v>119</v>
      </c>
      <c r="H471" s="1">
        <v>7</v>
      </c>
      <c r="I471" t="s">
        <v>70</v>
      </c>
      <c r="J471" t="s">
        <v>71</v>
      </c>
      <c r="K471" t="s">
        <v>109</v>
      </c>
      <c r="L471">
        <v>1</v>
      </c>
      <c r="M471">
        <v>0</v>
      </c>
      <c r="N471">
        <v>0</v>
      </c>
      <c r="O471">
        <v>0</v>
      </c>
      <c r="P471">
        <v>1</v>
      </c>
      <c r="Q471">
        <v>6</v>
      </c>
      <c r="R471">
        <v>0</v>
      </c>
      <c r="S471">
        <v>0</v>
      </c>
      <c r="T471">
        <v>0</v>
      </c>
      <c r="U471">
        <v>0</v>
      </c>
      <c r="V471">
        <f t="shared" si="194"/>
        <v>1</v>
      </c>
      <c r="W471">
        <v>1</v>
      </c>
      <c r="X471">
        <v>1</v>
      </c>
      <c r="Y471">
        <v>1</v>
      </c>
      <c r="Z471" t="s">
        <v>73</v>
      </c>
      <c r="AA471" s="5" t="s">
        <v>73</v>
      </c>
      <c r="AB471" s="5" t="s">
        <v>73</v>
      </c>
      <c r="AC471" t="s">
        <v>73</v>
      </c>
      <c r="AD471" t="s">
        <v>94</v>
      </c>
      <c r="AE471" s="5" t="s">
        <v>94</v>
      </c>
      <c r="AF471" t="s">
        <v>75</v>
      </c>
      <c r="AG471" t="s">
        <v>95</v>
      </c>
      <c r="AH471">
        <f t="shared" si="203"/>
        <v>6.3794984999999998E-2</v>
      </c>
      <c r="AI471">
        <f t="shared" si="204"/>
        <v>6.3794984999999998E-2</v>
      </c>
      <c r="AJ471">
        <f t="shared" si="196"/>
        <v>6.3794984999999998E-2</v>
      </c>
      <c r="AK471">
        <v>6.3794984999999998E-2</v>
      </c>
      <c r="AL471">
        <v>0.11981441</v>
      </c>
      <c r="AM471">
        <v>0.13047044999999999</v>
      </c>
      <c r="AN471">
        <v>0.14234972000000001</v>
      </c>
      <c r="AO471">
        <v>93.620501500000003</v>
      </c>
      <c r="AP471">
        <v>88.018558999999996</v>
      </c>
      <c r="AQ471">
        <v>86.952955000000003</v>
      </c>
      <c r="AR471">
        <v>85.765028000000001</v>
      </c>
      <c r="AS471" t="b">
        <v>1</v>
      </c>
      <c r="AT471" t="b">
        <v>0</v>
      </c>
      <c r="AU471" t="s">
        <v>77</v>
      </c>
      <c r="AV471" t="s">
        <v>78</v>
      </c>
      <c r="AW471" t="s">
        <v>79</v>
      </c>
      <c r="AX471" t="s">
        <v>129</v>
      </c>
      <c r="AY471" t="s">
        <v>738</v>
      </c>
      <c r="AZ471" t="s">
        <v>109</v>
      </c>
      <c r="BA471">
        <v>4</v>
      </c>
      <c r="BB471">
        <v>3.5</v>
      </c>
      <c r="BC471">
        <v>4.1163553999999996E-3</v>
      </c>
      <c r="BD471">
        <v>1.4279989108178799E-4</v>
      </c>
      <c r="BE471">
        <v>4.2591552910817903E-3</v>
      </c>
      <c r="BF471">
        <f>IF(AK471&lt;BE471,1,0)</f>
        <v>0</v>
      </c>
      <c r="BG471">
        <f>IF(AK471&lt;BC471,1,0)</f>
        <v>0</v>
      </c>
      <c r="BH471">
        <f>VLOOKUP($B471,[1]Data_Peer_with_peerVars!$B$2:$Z$1050,20,FALSE)</f>
        <v>5</v>
      </c>
      <c r="BI471">
        <f>VLOOKUP($B471,[1]Data_Peer_with_peerVars!$B$2:$Z$1050,21,FALSE)</f>
        <v>4</v>
      </c>
      <c r="BJ471">
        <f>VLOOKUP($B471,[1]Data_Peer_with_peerVars!$B$2:$Z$1050,22,FALSE)</f>
        <v>0.8</v>
      </c>
      <c r="BK471">
        <f>VLOOKUP($B471,[1]Data_Peer_with_peerVars!$B$2:$Z$1050,23,FALSE)</f>
        <v>36</v>
      </c>
      <c r="BL471">
        <f>VLOOKUP($B471,[1]Data_Peer_with_peerVars!$B$2:$Z$1050,24,FALSE)</f>
        <v>21</v>
      </c>
      <c r="BM471">
        <f>VLOOKUP($B471,[1]Data_Peer_with_peerVars!$B$2:$Z$1050,25,FALSE)</f>
        <v>0.58333333300000001</v>
      </c>
    </row>
    <row r="472" spans="1:65" x14ac:dyDescent="0.2">
      <c r="A472">
        <v>1</v>
      </c>
      <c r="B472" t="s">
        <v>757</v>
      </c>
      <c r="C472">
        <v>250</v>
      </c>
      <c r="D472" t="s">
        <v>68</v>
      </c>
      <c r="E472">
        <v>0</v>
      </c>
      <c r="F472">
        <v>362</v>
      </c>
      <c r="G472" t="s">
        <v>97</v>
      </c>
      <c r="H472" s="1">
        <v>7</v>
      </c>
      <c r="I472" t="s">
        <v>70</v>
      </c>
      <c r="J472" t="s">
        <v>71</v>
      </c>
      <c r="K472" t="s">
        <v>109</v>
      </c>
      <c r="L472">
        <v>1</v>
      </c>
      <c r="M472">
        <v>0</v>
      </c>
      <c r="N472">
        <v>0</v>
      </c>
      <c r="O472">
        <v>0</v>
      </c>
      <c r="P472">
        <v>1</v>
      </c>
      <c r="Q472">
        <v>6</v>
      </c>
      <c r="R472">
        <v>0</v>
      </c>
      <c r="S472">
        <v>0</v>
      </c>
      <c r="T472">
        <v>0</v>
      </c>
      <c r="U472">
        <v>0</v>
      </c>
      <c r="V472">
        <f t="shared" si="194"/>
        <v>0</v>
      </c>
      <c r="W472">
        <f t="shared" si="197"/>
        <v>1</v>
      </c>
      <c r="X472">
        <v>1</v>
      </c>
      <c r="Y472">
        <v>1</v>
      </c>
      <c r="Z472" t="s">
        <v>76</v>
      </c>
      <c r="AA472" s="5" t="s">
        <v>76</v>
      </c>
      <c r="AB472" s="5" t="s">
        <v>76</v>
      </c>
      <c r="AC472" t="s">
        <v>74</v>
      </c>
      <c r="AD472" t="s">
        <v>76</v>
      </c>
      <c r="AE472" s="5" t="s">
        <v>76</v>
      </c>
      <c r="AF472" t="s">
        <v>75</v>
      </c>
      <c r="AG472" t="s">
        <v>84</v>
      </c>
      <c r="AH472">
        <f t="shared" si="203"/>
        <v>6.9512859999999996E-2</v>
      </c>
      <c r="AI472">
        <f>AJ472</f>
        <v>6.9512859999999996E-2</v>
      </c>
      <c r="AJ472">
        <f>AL472</f>
        <v>6.9512859999999996E-2</v>
      </c>
      <c r="AK472">
        <v>5.3787050000000003E-2</v>
      </c>
      <c r="AL472">
        <v>6.9512859999999996E-2</v>
      </c>
      <c r="AM472">
        <v>0.10273973</v>
      </c>
      <c r="AN472">
        <v>0.105827376</v>
      </c>
      <c r="AO472">
        <v>94.621295000000003</v>
      </c>
      <c r="AP472">
        <v>93.048714000000004</v>
      </c>
      <c r="AQ472">
        <v>89.726027000000002</v>
      </c>
      <c r="AR472">
        <v>89.417262399999998</v>
      </c>
      <c r="AS472" t="b">
        <v>0</v>
      </c>
      <c r="AT472" t="b">
        <v>1</v>
      </c>
      <c r="AU472" t="s">
        <v>77</v>
      </c>
      <c r="AV472" t="s">
        <v>77</v>
      </c>
      <c r="AW472" t="s">
        <v>79</v>
      </c>
      <c r="AX472" t="s">
        <v>129</v>
      </c>
      <c r="AY472" t="s">
        <v>738</v>
      </c>
      <c r="AZ472" t="s">
        <v>109</v>
      </c>
      <c r="BA472">
        <v>12</v>
      </c>
      <c r="BB472">
        <v>1.75</v>
      </c>
      <c r="BC472">
        <v>2.4738868000000001E-3</v>
      </c>
      <c r="BD472">
        <v>1.4256942275279999E-4</v>
      </c>
      <c r="BE472">
        <v>2.6164562227527998E-3</v>
      </c>
      <c r="BF472">
        <f>IF(AK472&lt;BE472,1,0)</f>
        <v>0</v>
      </c>
      <c r="BG472">
        <f>IF(AK472&lt;BC472,1,0)</f>
        <v>0</v>
      </c>
      <c r="BH472">
        <f>VLOOKUP($B472,[1]Data_Peer_with_peerVars!$B$2:$Z$1050,20,FALSE)</f>
        <v>6</v>
      </c>
      <c r="BI472">
        <f>VLOOKUP($B472,[1]Data_Peer_with_peerVars!$B$2:$Z$1050,21,FALSE)</f>
        <v>3</v>
      </c>
      <c r="BJ472">
        <f>VLOOKUP($B472,[1]Data_Peer_with_peerVars!$B$2:$Z$1050,22,FALSE)</f>
        <v>0.5</v>
      </c>
      <c r="BK472">
        <f>VLOOKUP($B472,[1]Data_Peer_with_peerVars!$B$2:$Z$1050,23,FALSE)</f>
        <v>41</v>
      </c>
      <c r="BL472">
        <f>VLOOKUP($B472,[1]Data_Peer_with_peerVars!$B$2:$Z$1050,24,FALSE)</f>
        <v>22</v>
      </c>
      <c r="BM472">
        <f>VLOOKUP($B472,[1]Data_Peer_with_peerVars!$B$2:$Z$1050,25,FALSE)</f>
        <v>0.53658536599999995</v>
      </c>
    </row>
    <row r="473" spans="1:65" x14ac:dyDescent="0.2">
      <c r="A473">
        <v>1</v>
      </c>
      <c r="B473" t="s">
        <v>758</v>
      </c>
      <c r="C473">
        <v>250</v>
      </c>
      <c r="D473" t="s">
        <v>68</v>
      </c>
      <c r="E473">
        <v>0</v>
      </c>
      <c r="F473">
        <v>362</v>
      </c>
      <c r="G473" t="s">
        <v>97</v>
      </c>
      <c r="H473" s="1">
        <v>7</v>
      </c>
      <c r="I473" t="s">
        <v>70</v>
      </c>
      <c r="J473" t="s">
        <v>71</v>
      </c>
      <c r="K473" t="s">
        <v>109</v>
      </c>
      <c r="L473">
        <v>1</v>
      </c>
      <c r="M473">
        <v>0</v>
      </c>
      <c r="N473">
        <v>0</v>
      </c>
      <c r="O473">
        <v>0</v>
      </c>
      <c r="P473">
        <v>1</v>
      </c>
      <c r="Q473">
        <v>6</v>
      </c>
      <c r="R473">
        <v>0</v>
      </c>
      <c r="S473">
        <v>0</v>
      </c>
      <c r="T473">
        <v>1</v>
      </c>
      <c r="U473">
        <v>1</v>
      </c>
      <c r="V473">
        <f t="shared" si="194"/>
        <v>1</v>
      </c>
      <c r="W473">
        <v>1</v>
      </c>
      <c r="X473">
        <v>1</v>
      </c>
      <c r="Y473">
        <v>1</v>
      </c>
      <c r="Z473" t="s">
        <v>73</v>
      </c>
      <c r="AA473" s="5" t="s">
        <v>73</v>
      </c>
      <c r="AB473" s="5" t="s">
        <v>73</v>
      </c>
      <c r="AC473" t="s">
        <v>73</v>
      </c>
      <c r="AD473" t="s">
        <v>94</v>
      </c>
      <c r="AE473" s="5" t="s">
        <v>106</v>
      </c>
      <c r="AF473" t="s">
        <v>107</v>
      </c>
      <c r="AG473" t="s">
        <v>95</v>
      </c>
      <c r="AH473">
        <f t="shared" si="203"/>
        <v>3.8167940000000001E-3</v>
      </c>
      <c r="AI473">
        <f t="shared" ref="AI473:AI475" si="205">AJ473</f>
        <v>3.8167940000000001E-3</v>
      </c>
      <c r="AJ473">
        <f t="shared" si="196"/>
        <v>3.8167940000000001E-3</v>
      </c>
      <c r="AK473">
        <v>3.8167940000000001E-3</v>
      </c>
      <c r="AL473">
        <v>0.13169399000000001</v>
      </c>
      <c r="AM473">
        <v>0.13623904000000001</v>
      </c>
      <c r="AN473">
        <v>0.13867615</v>
      </c>
      <c r="AO473">
        <v>99.618320600000004</v>
      </c>
      <c r="AP473">
        <v>86.830601000000001</v>
      </c>
      <c r="AQ473">
        <v>86.376096000000004</v>
      </c>
      <c r="AR473">
        <v>86.132384999999999</v>
      </c>
      <c r="AS473" t="b">
        <v>1</v>
      </c>
      <c r="AT473" t="b">
        <v>0</v>
      </c>
      <c r="AU473" t="s">
        <v>77</v>
      </c>
      <c r="AV473" t="s">
        <v>108</v>
      </c>
      <c r="AW473" t="s">
        <v>79</v>
      </c>
      <c r="AX473" t="s">
        <v>129</v>
      </c>
      <c r="AY473" t="s">
        <v>738</v>
      </c>
      <c r="AZ473" t="s">
        <v>109</v>
      </c>
      <c r="BA473">
        <v>4</v>
      </c>
      <c r="BB473">
        <v>5.5</v>
      </c>
      <c r="BC473">
        <v>4.1163553999999996E-3</v>
      </c>
      <c r="BD473">
        <v>1.4279989108178799E-4</v>
      </c>
      <c r="BE473">
        <v>4.2591552910817903E-3</v>
      </c>
      <c r="BF473">
        <f>IF(AK473&lt;BE473,1,0)</f>
        <v>1</v>
      </c>
      <c r="BG473">
        <f>IF(AK473&lt;BC473,1,0)</f>
        <v>1</v>
      </c>
      <c r="BH473">
        <f>VLOOKUP($B473,[1]Data_Peer_with_peerVars!$B$2:$Z$1050,20,FALSE)</f>
        <v>6</v>
      </c>
      <c r="BI473">
        <f>VLOOKUP($B473,[1]Data_Peer_with_peerVars!$B$2:$Z$1050,21,FALSE)</f>
        <v>3</v>
      </c>
      <c r="BJ473">
        <f>VLOOKUP($B473,[1]Data_Peer_with_peerVars!$B$2:$Z$1050,22,FALSE)</f>
        <v>0.5</v>
      </c>
      <c r="BK473">
        <f>VLOOKUP($B473,[1]Data_Peer_with_peerVars!$B$2:$Z$1050,23,FALSE)</f>
        <v>41</v>
      </c>
      <c r="BL473">
        <f>VLOOKUP($B473,[1]Data_Peer_with_peerVars!$B$2:$Z$1050,24,FALSE)</f>
        <v>22</v>
      </c>
      <c r="BM473">
        <f>VLOOKUP($B473,[1]Data_Peer_with_peerVars!$B$2:$Z$1050,25,FALSE)</f>
        <v>0.53658536599999995</v>
      </c>
    </row>
    <row r="474" spans="1:65" x14ac:dyDescent="0.2">
      <c r="A474">
        <v>1</v>
      </c>
      <c r="B474" t="s">
        <v>759</v>
      </c>
      <c r="C474">
        <v>251</v>
      </c>
      <c r="D474" t="s">
        <v>68</v>
      </c>
      <c r="E474">
        <v>0</v>
      </c>
      <c r="F474">
        <v>529</v>
      </c>
      <c r="G474" t="s">
        <v>97</v>
      </c>
      <c r="H474" s="1">
        <v>7</v>
      </c>
      <c r="I474" t="s">
        <v>87</v>
      </c>
      <c r="J474" t="s">
        <v>124</v>
      </c>
      <c r="K474" t="s">
        <v>109</v>
      </c>
      <c r="L474">
        <v>1</v>
      </c>
      <c r="M474">
        <v>0</v>
      </c>
      <c r="N474">
        <v>0</v>
      </c>
      <c r="O474">
        <v>0</v>
      </c>
      <c r="P474">
        <v>0</v>
      </c>
      <c r="Q474">
        <v>2</v>
      </c>
      <c r="R474">
        <v>0</v>
      </c>
      <c r="S474">
        <v>0</v>
      </c>
      <c r="T474">
        <v>0</v>
      </c>
      <c r="U474">
        <v>0</v>
      </c>
      <c r="V474">
        <f t="shared" si="194"/>
        <v>1</v>
      </c>
      <c r="W474">
        <v>1</v>
      </c>
      <c r="X474">
        <v>1</v>
      </c>
      <c r="Y474">
        <v>1</v>
      </c>
      <c r="Z474" t="s">
        <v>76</v>
      </c>
      <c r="AA474" s="5" t="s">
        <v>76</v>
      </c>
      <c r="AB474" s="5" t="s">
        <v>76</v>
      </c>
      <c r="AC474" t="s">
        <v>76</v>
      </c>
      <c r="AD474" t="s">
        <v>74</v>
      </c>
      <c r="AE474" s="5" t="s">
        <v>74</v>
      </c>
      <c r="AF474" t="s">
        <v>75</v>
      </c>
      <c r="AG474" t="s">
        <v>120</v>
      </c>
      <c r="AH474">
        <f t="shared" si="203"/>
        <v>7.1584700000000001E-2</v>
      </c>
      <c r="AI474">
        <f t="shared" si="205"/>
        <v>7.1584700000000001E-2</v>
      </c>
      <c r="AJ474">
        <f t="shared" si="196"/>
        <v>7.1584700000000001E-2</v>
      </c>
      <c r="AK474">
        <v>7.1584700000000001E-2</v>
      </c>
      <c r="AL474">
        <v>8.9912279999999997E-2</v>
      </c>
      <c r="AM474">
        <v>0.11932129399999999</v>
      </c>
      <c r="AN474">
        <v>0.122404374</v>
      </c>
      <c r="AO474">
        <v>92.841530000000006</v>
      </c>
      <c r="AP474">
        <v>91.008771999999993</v>
      </c>
      <c r="AQ474">
        <v>88.067870600000006</v>
      </c>
      <c r="AR474">
        <v>87.759562599999995</v>
      </c>
      <c r="AS474" t="b">
        <v>1</v>
      </c>
      <c r="AT474" t="b">
        <v>0</v>
      </c>
      <c r="AU474" t="s">
        <v>77</v>
      </c>
      <c r="AV474" t="s">
        <v>77</v>
      </c>
      <c r="AW474" t="s">
        <v>79</v>
      </c>
      <c r="AX474" t="s">
        <v>129</v>
      </c>
      <c r="AY474" t="s">
        <v>738</v>
      </c>
      <c r="AZ474" t="s">
        <v>109</v>
      </c>
      <c r="BA474">
        <v>12</v>
      </c>
      <c r="BB474">
        <v>3.15</v>
      </c>
      <c r="BC474">
        <v>7.7070764999999999E-2</v>
      </c>
      <c r="BD474">
        <v>1.90190515067399E-3</v>
      </c>
      <c r="BE474">
        <v>7.8972670150673996E-2</v>
      </c>
      <c r="BF474">
        <f>IF(AK474&lt;BE474,1,0)</f>
        <v>1</v>
      </c>
      <c r="BG474">
        <f>IF(AK474&lt;BC474,1,0)</f>
        <v>1</v>
      </c>
      <c r="BH474">
        <f>VLOOKUP($B474,[1]Data_Peer_with_peerVars!$B$2:$Z$1050,20,FALSE)</f>
        <v>7</v>
      </c>
      <c r="BI474">
        <f>VLOOKUP($B474,[1]Data_Peer_with_peerVars!$B$2:$Z$1050,21,FALSE)</f>
        <v>4</v>
      </c>
      <c r="BJ474">
        <f>VLOOKUP($B474,[1]Data_Peer_with_peerVars!$B$2:$Z$1050,22,FALSE)</f>
        <v>0.571428571</v>
      </c>
      <c r="BK474">
        <f>VLOOKUP($B474,[1]Data_Peer_with_peerVars!$B$2:$Z$1050,23,FALSE)</f>
        <v>42</v>
      </c>
      <c r="BL474">
        <f>VLOOKUP($B474,[1]Data_Peer_with_peerVars!$B$2:$Z$1050,24,FALSE)</f>
        <v>23</v>
      </c>
      <c r="BM474">
        <f>VLOOKUP($B474,[1]Data_Peer_with_peerVars!$B$2:$Z$1050,25,FALSE)</f>
        <v>0.54761904800000005</v>
      </c>
    </row>
    <row r="475" spans="1:65" x14ac:dyDescent="0.2">
      <c r="A475">
        <v>1</v>
      </c>
      <c r="B475" t="s">
        <v>760</v>
      </c>
      <c r="C475">
        <v>252</v>
      </c>
      <c r="D475" t="s">
        <v>68</v>
      </c>
      <c r="E475">
        <v>1</v>
      </c>
      <c r="F475">
        <v>317</v>
      </c>
      <c r="G475" t="s">
        <v>86</v>
      </c>
      <c r="H475" s="1">
        <v>7</v>
      </c>
      <c r="I475" t="s">
        <v>87</v>
      </c>
      <c r="J475" t="s">
        <v>124</v>
      </c>
      <c r="K475" t="s">
        <v>109</v>
      </c>
      <c r="L475">
        <v>1</v>
      </c>
      <c r="M475">
        <v>0</v>
      </c>
      <c r="N475">
        <v>0</v>
      </c>
      <c r="O475">
        <v>0</v>
      </c>
      <c r="P475">
        <v>0</v>
      </c>
      <c r="Q475">
        <v>0</v>
      </c>
      <c r="R475">
        <v>0</v>
      </c>
      <c r="S475">
        <v>0</v>
      </c>
      <c r="T475">
        <v>0</v>
      </c>
      <c r="U475">
        <v>0</v>
      </c>
      <c r="V475">
        <f t="shared" si="194"/>
        <v>1</v>
      </c>
      <c r="W475">
        <v>1</v>
      </c>
      <c r="X475">
        <v>1</v>
      </c>
      <c r="Y475">
        <v>1</v>
      </c>
      <c r="Z475" t="s">
        <v>76</v>
      </c>
      <c r="AA475" s="5" t="s">
        <v>76</v>
      </c>
      <c r="AB475" s="5" t="s">
        <v>76</v>
      </c>
      <c r="AC475" t="s">
        <v>76</v>
      </c>
      <c r="AD475" t="s">
        <v>74</v>
      </c>
      <c r="AE475" s="5" t="s">
        <v>74</v>
      </c>
      <c r="AF475" t="s">
        <v>75</v>
      </c>
      <c r="AG475" t="s">
        <v>120</v>
      </c>
      <c r="AH475">
        <f t="shared" si="203"/>
        <v>7.3190785999999994E-2</v>
      </c>
      <c r="AI475">
        <f t="shared" si="205"/>
        <v>7.3190785999999994E-2</v>
      </c>
      <c r="AJ475">
        <f t="shared" si="196"/>
        <v>7.3190785999999994E-2</v>
      </c>
      <c r="AK475">
        <v>7.3190785999999994E-2</v>
      </c>
      <c r="AL475">
        <v>9.4334429999999997E-2</v>
      </c>
      <c r="AM475">
        <v>0.12026359</v>
      </c>
      <c r="AN475">
        <v>0.12116228</v>
      </c>
      <c r="AO475">
        <v>92.680921400000003</v>
      </c>
      <c r="AP475">
        <v>90.566557000000003</v>
      </c>
      <c r="AQ475">
        <v>87.973641000000001</v>
      </c>
      <c r="AR475">
        <v>87.883771999999993</v>
      </c>
      <c r="AS475" t="b">
        <v>1</v>
      </c>
      <c r="AT475" t="b">
        <v>0</v>
      </c>
      <c r="AU475" t="s">
        <v>77</v>
      </c>
      <c r="AV475" t="s">
        <v>77</v>
      </c>
      <c r="AW475" t="s">
        <v>79</v>
      </c>
      <c r="AX475" t="s">
        <v>129</v>
      </c>
      <c r="AY475" t="s">
        <v>727</v>
      </c>
      <c r="AZ475" t="s">
        <v>109</v>
      </c>
      <c r="BA475">
        <v>10</v>
      </c>
      <c r="BB475">
        <v>0.7</v>
      </c>
      <c r="BC475">
        <v>7.7070764999999999E-2</v>
      </c>
      <c r="BD475">
        <v>1.90190515067399E-3</v>
      </c>
      <c r="BE475">
        <v>7.8972670150673996E-2</v>
      </c>
      <c r="BF475">
        <f>IF(AK475&lt;BE475,1,0)</f>
        <v>1</v>
      </c>
      <c r="BG475">
        <f>IF(AK475&lt;BC475,1,0)</f>
        <v>1</v>
      </c>
      <c r="BH475">
        <f>VLOOKUP($B475,[1]Data_Peer_with_peerVars!$B$2:$Z$1050,20,FALSE)</f>
        <v>4</v>
      </c>
      <c r="BI475">
        <f>VLOOKUP($B475,[1]Data_Peer_with_peerVars!$B$2:$Z$1050,21,FALSE)</f>
        <v>2</v>
      </c>
      <c r="BJ475">
        <f>VLOOKUP($B475,[1]Data_Peer_with_peerVars!$B$2:$Z$1050,22,FALSE)</f>
        <v>0.5</v>
      </c>
      <c r="BK475">
        <f>VLOOKUP($B475,[1]Data_Peer_with_peerVars!$B$2:$Z$1050,23,FALSE)</f>
        <v>36</v>
      </c>
      <c r="BL475">
        <f>VLOOKUP($B475,[1]Data_Peer_with_peerVars!$B$2:$Z$1050,24,FALSE)</f>
        <v>27</v>
      </c>
      <c r="BM475">
        <f>VLOOKUP($B475,[1]Data_Peer_with_peerVars!$B$2:$Z$1050,25,FALSE)</f>
        <v>0.75</v>
      </c>
    </row>
    <row r="476" spans="1:65" x14ac:dyDescent="0.2">
      <c r="A476">
        <v>1</v>
      </c>
      <c r="B476" t="s">
        <v>761</v>
      </c>
      <c r="C476">
        <v>252</v>
      </c>
      <c r="D476" t="s">
        <v>68</v>
      </c>
      <c r="E476">
        <v>1</v>
      </c>
      <c r="F476">
        <v>317</v>
      </c>
      <c r="G476" t="s">
        <v>86</v>
      </c>
      <c r="H476" s="1">
        <v>7</v>
      </c>
      <c r="I476" t="s">
        <v>87</v>
      </c>
      <c r="J476" t="s">
        <v>124</v>
      </c>
      <c r="K476" t="s">
        <v>109</v>
      </c>
      <c r="L476">
        <v>1</v>
      </c>
      <c r="M476">
        <v>0</v>
      </c>
      <c r="N476">
        <v>0</v>
      </c>
      <c r="O476">
        <v>0</v>
      </c>
      <c r="P476">
        <v>0</v>
      </c>
      <c r="Q476">
        <v>0</v>
      </c>
      <c r="R476">
        <v>0</v>
      </c>
      <c r="S476">
        <v>0</v>
      </c>
      <c r="T476">
        <v>0</v>
      </c>
      <c r="U476">
        <v>0</v>
      </c>
      <c r="V476">
        <f t="shared" si="194"/>
        <v>0</v>
      </c>
      <c r="W476">
        <f t="shared" si="197"/>
        <v>0</v>
      </c>
      <c r="X476">
        <f t="shared" si="199"/>
        <v>0</v>
      </c>
      <c r="Y476">
        <f t="shared" si="200"/>
        <v>0</v>
      </c>
      <c r="Z476" t="s">
        <v>89</v>
      </c>
      <c r="AA476" s="5" t="s">
        <v>268</v>
      </c>
      <c r="AB476" s="5" t="s">
        <v>268</v>
      </c>
      <c r="AC476" t="s">
        <v>74</v>
      </c>
      <c r="AD476" t="s">
        <v>76</v>
      </c>
      <c r="AE476" s="5" t="s">
        <v>76</v>
      </c>
      <c r="AF476" t="s">
        <v>102</v>
      </c>
      <c r="AG476" t="s">
        <v>99</v>
      </c>
      <c r="AH476">
        <f t="shared" ref="AH476:AH479" si="206">AI476</f>
        <v>0.12219178</v>
      </c>
      <c r="AI476">
        <f t="shared" ref="AI476:AI479" si="207">AJ476</f>
        <v>0.12219178</v>
      </c>
      <c r="AJ476">
        <f t="shared" si="196"/>
        <v>0.12219178</v>
      </c>
      <c r="AK476">
        <v>0.12219178</v>
      </c>
      <c r="AL476">
        <v>0.1269798</v>
      </c>
      <c r="AM476">
        <v>0.13358779000000001</v>
      </c>
      <c r="AN476">
        <v>0.13663912</v>
      </c>
      <c r="AO476">
        <v>87.780822000000001</v>
      </c>
      <c r="AP476">
        <v>87.302019999999999</v>
      </c>
      <c r="AQ476">
        <v>86.641221000000002</v>
      </c>
      <c r="AR476">
        <v>86.336088000000004</v>
      </c>
      <c r="AS476" t="b">
        <v>0</v>
      </c>
      <c r="AT476" t="b">
        <v>0</v>
      </c>
      <c r="AU476" t="s">
        <v>92</v>
      </c>
      <c r="AV476" t="s">
        <v>92</v>
      </c>
      <c r="AW476" t="s">
        <v>79</v>
      </c>
      <c r="AX476" t="s">
        <v>129</v>
      </c>
      <c r="AY476" t="s">
        <v>727</v>
      </c>
      <c r="AZ476" t="s">
        <v>109</v>
      </c>
      <c r="BA476">
        <v>8</v>
      </c>
      <c r="BB476">
        <v>0.28000000000000003</v>
      </c>
      <c r="BC476">
        <v>2.4738868000000001E-3</v>
      </c>
      <c r="BD476">
        <v>1.4256942275279999E-4</v>
      </c>
      <c r="BE476">
        <v>2.6164562227527998E-3</v>
      </c>
      <c r="BF476">
        <f>IF(AK476&lt;BE476,1,0)</f>
        <v>0</v>
      </c>
      <c r="BG476">
        <f>IF(AK476&lt;BC476,1,0)</f>
        <v>0</v>
      </c>
      <c r="BH476">
        <f>VLOOKUP($B476,[1]Data_Peer_with_peerVars!$B$2:$Z$1050,20,FALSE)</f>
        <v>4</v>
      </c>
      <c r="BI476">
        <f>VLOOKUP($B476,[1]Data_Peer_with_peerVars!$B$2:$Z$1050,21,FALSE)</f>
        <v>2</v>
      </c>
      <c r="BJ476">
        <f>VLOOKUP($B476,[1]Data_Peer_with_peerVars!$B$2:$Z$1050,22,FALSE)</f>
        <v>0.5</v>
      </c>
      <c r="BK476">
        <f>VLOOKUP($B476,[1]Data_Peer_with_peerVars!$B$2:$Z$1050,23,FALSE)</f>
        <v>36</v>
      </c>
      <c r="BL476">
        <f>VLOOKUP($B476,[1]Data_Peer_with_peerVars!$B$2:$Z$1050,24,FALSE)</f>
        <v>27</v>
      </c>
      <c r="BM476">
        <f>VLOOKUP($B476,[1]Data_Peer_with_peerVars!$B$2:$Z$1050,25,FALSE)</f>
        <v>0.75</v>
      </c>
    </row>
    <row r="477" spans="1:65" x14ac:dyDescent="0.2">
      <c r="A477">
        <v>1</v>
      </c>
      <c r="B477" t="s">
        <v>762</v>
      </c>
      <c r="C477">
        <v>252</v>
      </c>
      <c r="D477" t="s">
        <v>68</v>
      </c>
      <c r="E477">
        <v>1</v>
      </c>
      <c r="F477">
        <v>317</v>
      </c>
      <c r="G477" t="s">
        <v>86</v>
      </c>
      <c r="H477" s="1">
        <v>7</v>
      </c>
      <c r="I477" t="s">
        <v>87</v>
      </c>
      <c r="J477" t="s">
        <v>124</v>
      </c>
      <c r="K477" t="s">
        <v>109</v>
      </c>
      <c r="L477">
        <v>1</v>
      </c>
      <c r="M477">
        <v>0</v>
      </c>
      <c r="N477">
        <v>0</v>
      </c>
      <c r="O477">
        <v>0</v>
      </c>
      <c r="P477">
        <v>0</v>
      </c>
      <c r="Q477">
        <v>0</v>
      </c>
      <c r="R477">
        <v>0</v>
      </c>
      <c r="S477">
        <v>0</v>
      </c>
      <c r="T477">
        <v>0</v>
      </c>
      <c r="U477">
        <v>0</v>
      </c>
      <c r="V477">
        <f t="shared" si="194"/>
        <v>0</v>
      </c>
      <c r="W477">
        <f t="shared" si="197"/>
        <v>0</v>
      </c>
      <c r="X477">
        <f t="shared" si="199"/>
        <v>0</v>
      </c>
      <c r="Y477">
        <f t="shared" si="200"/>
        <v>0</v>
      </c>
      <c r="Z477" t="s">
        <v>103</v>
      </c>
      <c r="AA477" s="5" t="s">
        <v>103</v>
      </c>
      <c r="AB477" s="5" t="s">
        <v>103</v>
      </c>
      <c r="AC477" t="s">
        <v>74</v>
      </c>
      <c r="AD477" t="s">
        <v>76</v>
      </c>
      <c r="AE477" s="5" t="s">
        <v>763</v>
      </c>
      <c r="AF477" t="s">
        <v>101</v>
      </c>
      <c r="AG477" t="s">
        <v>75</v>
      </c>
      <c r="AH477">
        <f t="shared" si="206"/>
        <v>8.0866225E-2</v>
      </c>
      <c r="AI477">
        <f t="shared" si="207"/>
        <v>8.0866225E-2</v>
      </c>
      <c r="AJ477">
        <f t="shared" si="196"/>
        <v>8.0866225E-2</v>
      </c>
      <c r="AK477">
        <v>8.0866225E-2</v>
      </c>
      <c r="AL477">
        <v>0.11393443</v>
      </c>
      <c r="AM477">
        <v>0.119989015</v>
      </c>
      <c r="AN477">
        <v>0.12561575999999999</v>
      </c>
      <c r="AO477">
        <v>91.913377499999996</v>
      </c>
      <c r="AP477">
        <v>88.606556999999995</v>
      </c>
      <c r="AQ477">
        <v>88.001098499999998</v>
      </c>
      <c r="AR477">
        <v>87.438423999999998</v>
      </c>
      <c r="AS477" t="b">
        <v>0</v>
      </c>
      <c r="AT477" t="b">
        <v>0</v>
      </c>
      <c r="AU477" t="s">
        <v>77</v>
      </c>
      <c r="AV477" t="s">
        <v>108</v>
      </c>
      <c r="AW477" t="s">
        <v>79</v>
      </c>
      <c r="AX477" t="s">
        <v>129</v>
      </c>
      <c r="AY477" t="s">
        <v>727</v>
      </c>
      <c r="AZ477" t="s">
        <v>109</v>
      </c>
      <c r="BA477">
        <v>10</v>
      </c>
      <c r="BB477">
        <v>0.35</v>
      </c>
      <c r="BC477">
        <v>2.4738868000000001E-3</v>
      </c>
      <c r="BD477">
        <v>1.4256942275279999E-4</v>
      </c>
      <c r="BE477">
        <v>2.6164562227527998E-3</v>
      </c>
      <c r="BF477">
        <f>IF(AK477&lt;BE477,1,0)</f>
        <v>0</v>
      </c>
      <c r="BG477">
        <f>IF(AK477&lt;BC477,1,0)</f>
        <v>0</v>
      </c>
      <c r="BH477">
        <f>VLOOKUP($B477,[1]Data_Peer_with_peerVars!$B$2:$Z$1050,20,FALSE)</f>
        <v>4</v>
      </c>
      <c r="BI477">
        <f>VLOOKUP($B477,[1]Data_Peer_with_peerVars!$B$2:$Z$1050,21,FALSE)</f>
        <v>2</v>
      </c>
      <c r="BJ477">
        <f>VLOOKUP($B477,[1]Data_Peer_with_peerVars!$B$2:$Z$1050,22,FALSE)</f>
        <v>0.5</v>
      </c>
      <c r="BK477">
        <f>VLOOKUP($B477,[1]Data_Peer_with_peerVars!$B$2:$Z$1050,23,FALSE)</f>
        <v>36</v>
      </c>
      <c r="BL477">
        <f>VLOOKUP($B477,[1]Data_Peer_with_peerVars!$B$2:$Z$1050,24,FALSE)</f>
        <v>27</v>
      </c>
      <c r="BM477">
        <f>VLOOKUP($B477,[1]Data_Peer_with_peerVars!$B$2:$Z$1050,25,FALSE)</f>
        <v>0.75</v>
      </c>
    </row>
    <row r="478" spans="1:65" x14ac:dyDescent="0.2">
      <c r="A478">
        <v>1</v>
      </c>
      <c r="B478" t="s">
        <v>764</v>
      </c>
      <c r="C478">
        <v>253</v>
      </c>
      <c r="D478" t="s">
        <v>68</v>
      </c>
      <c r="E478">
        <v>1</v>
      </c>
      <c r="F478">
        <v>318</v>
      </c>
      <c r="G478" t="s">
        <v>86</v>
      </c>
      <c r="H478" s="1">
        <v>0</v>
      </c>
      <c r="I478" t="s">
        <v>87</v>
      </c>
      <c r="J478" t="s">
        <v>124</v>
      </c>
      <c r="K478" t="s">
        <v>109</v>
      </c>
      <c r="L478">
        <v>1</v>
      </c>
      <c r="M478">
        <v>0</v>
      </c>
      <c r="N478">
        <v>0</v>
      </c>
      <c r="O478">
        <v>0</v>
      </c>
      <c r="P478">
        <v>0</v>
      </c>
      <c r="Q478">
        <v>0</v>
      </c>
      <c r="R478">
        <v>0</v>
      </c>
      <c r="S478">
        <v>0</v>
      </c>
      <c r="T478">
        <v>0</v>
      </c>
      <c r="U478">
        <v>1</v>
      </c>
      <c r="V478">
        <f t="shared" si="194"/>
        <v>1</v>
      </c>
      <c r="W478">
        <v>1</v>
      </c>
      <c r="X478">
        <v>1</v>
      </c>
      <c r="Y478">
        <v>1</v>
      </c>
      <c r="Z478" t="s">
        <v>73</v>
      </c>
      <c r="AA478" s="5" t="s">
        <v>73</v>
      </c>
      <c r="AB478" s="5" t="s">
        <v>765</v>
      </c>
      <c r="AC478" t="s">
        <v>73</v>
      </c>
      <c r="AD478" t="s">
        <v>75</v>
      </c>
      <c r="AE478" s="5" t="s">
        <v>75</v>
      </c>
      <c r="AF478" t="s">
        <v>94</v>
      </c>
      <c r="AG478" t="s">
        <v>107</v>
      </c>
      <c r="AH478">
        <f t="shared" si="206"/>
        <v>2.4017468E-2</v>
      </c>
      <c r="AI478">
        <f t="shared" si="207"/>
        <v>2.4017468E-2</v>
      </c>
      <c r="AJ478">
        <f t="shared" si="196"/>
        <v>2.4017468E-2</v>
      </c>
      <c r="AK478">
        <v>2.4017468E-2</v>
      </c>
      <c r="AL478">
        <v>0.12164383400000001</v>
      </c>
      <c r="AM478">
        <v>0.13203936999999999</v>
      </c>
      <c r="AN478">
        <v>0.13850794999999999</v>
      </c>
      <c r="AO478">
        <v>97.598253200000002</v>
      </c>
      <c r="AP478">
        <v>87.835616599999994</v>
      </c>
      <c r="AQ478">
        <v>86.796063000000004</v>
      </c>
      <c r="AR478">
        <v>86.149204999999995</v>
      </c>
      <c r="AS478" t="b">
        <v>1</v>
      </c>
      <c r="AT478" t="b">
        <v>0</v>
      </c>
      <c r="AU478" t="s">
        <v>77</v>
      </c>
      <c r="AV478" t="s">
        <v>78</v>
      </c>
      <c r="AW478" t="s">
        <v>79</v>
      </c>
      <c r="AX478" t="s">
        <v>129</v>
      </c>
      <c r="AY478" t="s">
        <v>766</v>
      </c>
      <c r="AZ478" t="s">
        <v>109</v>
      </c>
      <c r="BA478">
        <v>2</v>
      </c>
      <c r="BB478">
        <v>0.7</v>
      </c>
      <c r="BC478">
        <v>4.1163553999999996E-3</v>
      </c>
      <c r="BD478">
        <v>1.4279989108178799E-4</v>
      </c>
      <c r="BE478">
        <v>4.2591552910817903E-3</v>
      </c>
      <c r="BF478">
        <f>IF(AK478&lt;BE478,1,0)</f>
        <v>0</v>
      </c>
      <c r="BG478">
        <f>IF(AK478&lt;BC478,1,0)</f>
        <v>0</v>
      </c>
      <c r="BH478">
        <f>VLOOKUP($B478,[1]Data_Peer_with_peerVars!$B$2:$Z$1050,20,FALSE)</f>
        <v>6</v>
      </c>
      <c r="BI478">
        <f>VLOOKUP($B478,[1]Data_Peer_with_peerVars!$B$2:$Z$1050,21,FALSE)</f>
        <v>2</v>
      </c>
      <c r="BJ478">
        <f>VLOOKUP($B478,[1]Data_Peer_with_peerVars!$B$2:$Z$1050,22,FALSE)</f>
        <v>0.33333333300000001</v>
      </c>
      <c r="BK478">
        <f>VLOOKUP($B478,[1]Data_Peer_with_peerVars!$B$2:$Z$1050,23,FALSE)</f>
        <v>38</v>
      </c>
      <c r="BL478">
        <f>VLOOKUP($B478,[1]Data_Peer_with_peerVars!$B$2:$Z$1050,24,FALSE)</f>
        <v>27</v>
      </c>
      <c r="BM478">
        <f>VLOOKUP($B478,[1]Data_Peer_with_peerVars!$B$2:$Z$1050,25,FALSE)</f>
        <v>0.71052631600000005</v>
      </c>
    </row>
    <row r="479" spans="1:65" x14ac:dyDescent="0.2">
      <c r="A479">
        <v>1</v>
      </c>
      <c r="B479" t="s">
        <v>767</v>
      </c>
      <c r="C479">
        <v>254</v>
      </c>
      <c r="D479" t="s">
        <v>68</v>
      </c>
      <c r="E479">
        <v>1</v>
      </c>
      <c r="F479">
        <v>361</v>
      </c>
      <c r="G479" t="s">
        <v>86</v>
      </c>
      <c r="H479" s="1">
        <v>7</v>
      </c>
      <c r="I479" t="s">
        <v>70</v>
      </c>
      <c r="J479" t="s">
        <v>71</v>
      </c>
      <c r="K479" t="s">
        <v>109</v>
      </c>
      <c r="L479">
        <v>1</v>
      </c>
      <c r="M479">
        <v>0</v>
      </c>
      <c r="N479">
        <v>1</v>
      </c>
      <c r="O479">
        <v>0</v>
      </c>
      <c r="P479">
        <v>1</v>
      </c>
      <c r="Q479">
        <v>6</v>
      </c>
      <c r="R479">
        <v>0</v>
      </c>
      <c r="S479">
        <v>0</v>
      </c>
      <c r="T479">
        <v>0</v>
      </c>
      <c r="U479">
        <v>0</v>
      </c>
      <c r="V479">
        <f t="shared" si="194"/>
        <v>1</v>
      </c>
      <c r="W479">
        <v>1</v>
      </c>
      <c r="X479">
        <v>1</v>
      </c>
      <c r="Y479">
        <v>1</v>
      </c>
      <c r="Z479" t="s">
        <v>73</v>
      </c>
      <c r="AA479" s="5" t="s">
        <v>73</v>
      </c>
      <c r="AB479" s="5" t="s">
        <v>73</v>
      </c>
      <c r="AC479" t="s">
        <v>73</v>
      </c>
      <c r="AD479" t="s">
        <v>94</v>
      </c>
      <c r="AE479" s="5" t="s">
        <v>94</v>
      </c>
      <c r="AF479" t="s">
        <v>75</v>
      </c>
      <c r="AG479" t="s">
        <v>95</v>
      </c>
      <c r="AH479">
        <f t="shared" si="206"/>
        <v>5.9432934999999999E-2</v>
      </c>
      <c r="AI479">
        <f t="shared" si="207"/>
        <v>5.9432934999999999E-2</v>
      </c>
      <c r="AJ479">
        <f t="shared" si="196"/>
        <v>5.9432934999999999E-2</v>
      </c>
      <c r="AK479">
        <v>5.9432934999999999E-2</v>
      </c>
      <c r="AL479">
        <v>0.12090611499999999</v>
      </c>
      <c r="AM479">
        <v>0.13047044999999999</v>
      </c>
      <c r="AN479">
        <v>0.14234972000000001</v>
      </c>
      <c r="AO479">
        <v>94.056706500000004</v>
      </c>
      <c r="AP479">
        <v>87.909388500000006</v>
      </c>
      <c r="AQ479">
        <v>86.952955000000003</v>
      </c>
      <c r="AR479">
        <v>85.765028000000001</v>
      </c>
      <c r="AS479" t="b">
        <v>1</v>
      </c>
      <c r="AT479" t="b">
        <v>0</v>
      </c>
      <c r="AU479" t="s">
        <v>77</v>
      </c>
      <c r="AV479" t="s">
        <v>78</v>
      </c>
      <c r="AW479" t="s">
        <v>79</v>
      </c>
      <c r="AX479" t="s">
        <v>129</v>
      </c>
      <c r="AY479" t="s">
        <v>727</v>
      </c>
      <c r="AZ479" t="s">
        <v>109</v>
      </c>
      <c r="BA479">
        <v>6</v>
      </c>
      <c r="BB479">
        <v>1</v>
      </c>
      <c r="BC479">
        <v>4.1163553999999996E-3</v>
      </c>
      <c r="BD479">
        <v>1.4279989108178799E-4</v>
      </c>
      <c r="BE479">
        <v>4.2591552910817903E-3</v>
      </c>
      <c r="BF479">
        <f>IF(AK479&lt;BE479,1,0)</f>
        <v>0</v>
      </c>
      <c r="BG479">
        <f>IF(AK479&lt;BC479,1,0)</f>
        <v>0</v>
      </c>
      <c r="BH479">
        <f>VLOOKUP($B479,[1]Data_Peer_with_peerVars!$B$2:$Z$1050,20,FALSE)</f>
        <v>6</v>
      </c>
      <c r="BI479">
        <f>VLOOKUP($B479,[1]Data_Peer_with_peerVars!$B$2:$Z$1050,21,FALSE)</f>
        <v>2</v>
      </c>
      <c r="BJ479">
        <f>VLOOKUP($B479,[1]Data_Peer_with_peerVars!$B$2:$Z$1050,22,FALSE)</f>
        <v>0.33333333300000001</v>
      </c>
      <c r="BK479">
        <f>VLOOKUP($B479,[1]Data_Peer_with_peerVars!$B$2:$Z$1050,23,FALSE)</f>
        <v>38</v>
      </c>
      <c r="BL479">
        <f>VLOOKUP($B479,[1]Data_Peer_with_peerVars!$B$2:$Z$1050,24,FALSE)</f>
        <v>27</v>
      </c>
      <c r="BM479">
        <f>VLOOKUP($B479,[1]Data_Peer_with_peerVars!$B$2:$Z$1050,25,FALSE)</f>
        <v>0.71052631600000005</v>
      </c>
    </row>
    <row r="480" spans="1:65" x14ac:dyDescent="0.2">
      <c r="A480">
        <v>1</v>
      </c>
      <c r="B480" t="s">
        <v>768</v>
      </c>
      <c r="C480">
        <v>255</v>
      </c>
      <c r="D480" t="s">
        <v>68</v>
      </c>
      <c r="E480">
        <v>0</v>
      </c>
      <c r="F480">
        <v>363</v>
      </c>
      <c r="G480" t="s">
        <v>97</v>
      </c>
      <c r="H480" s="1">
        <v>7</v>
      </c>
      <c r="I480" t="s">
        <v>70</v>
      </c>
      <c r="J480" t="s">
        <v>71</v>
      </c>
      <c r="K480" t="s">
        <v>109</v>
      </c>
      <c r="L480">
        <v>1</v>
      </c>
      <c r="M480">
        <v>0</v>
      </c>
      <c r="N480">
        <v>0</v>
      </c>
      <c r="O480">
        <v>0</v>
      </c>
      <c r="P480">
        <v>1</v>
      </c>
      <c r="Q480">
        <v>5</v>
      </c>
      <c r="R480">
        <v>0</v>
      </c>
      <c r="S480">
        <v>0</v>
      </c>
      <c r="T480">
        <v>0</v>
      </c>
      <c r="U480">
        <v>0</v>
      </c>
      <c r="V480">
        <f t="shared" si="194"/>
        <v>0</v>
      </c>
      <c r="W480">
        <f t="shared" si="197"/>
        <v>0</v>
      </c>
      <c r="X480">
        <f t="shared" si="199"/>
        <v>0</v>
      </c>
      <c r="Y480">
        <f t="shared" si="200"/>
        <v>0</v>
      </c>
      <c r="Z480" t="s">
        <v>89</v>
      </c>
      <c r="AA480" s="5" t="s">
        <v>268</v>
      </c>
      <c r="AB480" s="5" t="s">
        <v>268</v>
      </c>
      <c r="AC480" t="s">
        <v>73</v>
      </c>
      <c r="AD480" t="s">
        <v>94</v>
      </c>
      <c r="AE480" s="5" t="s">
        <v>94</v>
      </c>
      <c r="AF480" t="s">
        <v>75</v>
      </c>
      <c r="AG480" t="s">
        <v>95</v>
      </c>
      <c r="AH480">
        <f t="shared" ref="AH480:AH481" si="208">AI480</f>
        <v>6.9520175000000003E-2</v>
      </c>
      <c r="AI480">
        <f t="shared" ref="AI480:AI483" si="209">AJ480</f>
        <v>6.9520175000000003E-2</v>
      </c>
      <c r="AJ480">
        <f t="shared" si="196"/>
        <v>6.9520175000000003E-2</v>
      </c>
      <c r="AK480">
        <v>6.9520175000000003E-2</v>
      </c>
      <c r="AL480">
        <v>0.11790393</v>
      </c>
      <c r="AM480">
        <v>0.13019694000000001</v>
      </c>
      <c r="AN480">
        <v>0.14207649999999999</v>
      </c>
      <c r="AO480">
        <v>93.047982500000003</v>
      </c>
      <c r="AP480">
        <v>88.209607000000005</v>
      </c>
      <c r="AQ480">
        <v>86.980305999999999</v>
      </c>
      <c r="AR480">
        <v>85.792349999999999</v>
      </c>
      <c r="AS480" t="b">
        <v>0</v>
      </c>
      <c r="AT480" t="b">
        <v>0</v>
      </c>
      <c r="AU480" t="s">
        <v>92</v>
      </c>
      <c r="AV480" t="s">
        <v>92</v>
      </c>
      <c r="AW480" t="s">
        <v>79</v>
      </c>
      <c r="AX480" t="s">
        <v>129</v>
      </c>
      <c r="AY480" t="s">
        <v>727</v>
      </c>
      <c r="AZ480" t="s">
        <v>109</v>
      </c>
      <c r="BA480">
        <v>26</v>
      </c>
      <c r="BB480">
        <v>5</v>
      </c>
      <c r="BC480">
        <v>4.1163553999999996E-3</v>
      </c>
      <c r="BD480">
        <v>1.4279989108178799E-4</v>
      </c>
      <c r="BE480">
        <v>4.2591552910817903E-3</v>
      </c>
      <c r="BF480">
        <f>IF(AK480&lt;BE480,1,0)</f>
        <v>0</v>
      </c>
      <c r="BG480">
        <f>IF(AK480&lt;BC480,1,0)</f>
        <v>0</v>
      </c>
      <c r="BH480">
        <f>VLOOKUP($B480,[1]Data_Peer_with_peerVars!$B$2:$Z$1050,20,FALSE)</f>
        <v>5</v>
      </c>
      <c r="BI480">
        <f>VLOOKUP($B480,[1]Data_Peer_with_peerVars!$B$2:$Z$1050,21,FALSE)</f>
        <v>3</v>
      </c>
      <c r="BJ480">
        <f>VLOOKUP($B480,[1]Data_Peer_with_peerVars!$B$2:$Z$1050,22,FALSE)</f>
        <v>0.6</v>
      </c>
      <c r="BK480">
        <f>VLOOKUP($B480,[1]Data_Peer_with_peerVars!$B$2:$Z$1050,23,FALSE)</f>
        <v>39</v>
      </c>
      <c r="BL480">
        <f>VLOOKUP($B480,[1]Data_Peer_with_peerVars!$B$2:$Z$1050,24,FALSE)</f>
        <v>30</v>
      </c>
      <c r="BM480">
        <f>VLOOKUP($B480,[1]Data_Peer_with_peerVars!$B$2:$Z$1050,25,FALSE)</f>
        <v>0.76923076899999998</v>
      </c>
    </row>
    <row r="481" spans="1:65" x14ac:dyDescent="0.2">
      <c r="A481">
        <v>1</v>
      </c>
      <c r="B481" t="s">
        <v>769</v>
      </c>
      <c r="C481">
        <v>255</v>
      </c>
      <c r="D481" t="s">
        <v>68</v>
      </c>
      <c r="E481">
        <v>0</v>
      </c>
      <c r="F481">
        <v>363</v>
      </c>
      <c r="G481" t="s">
        <v>97</v>
      </c>
      <c r="H481" s="1">
        <v>7</v>
      </c>
      <c r="I481" t="s">
        <v>70</v>
      </c>
      <c r="J481" t="s">
        <v>71</v>
      </c>
      <c r="K481" t="s">
        <v>109</v>
      </c>
      <c r="L481">
        <v>1</v>
      </c>
      <c r="M481">
        <v>0</v>
      </c>
      <c r="N481">
        <v>0</v>
      </c>
      <c r="O481">
        <v>0</v>
      </c>
      <c r="P481">
        <v>1</v>
      </c>
      <c r="Q481">
        <v>5</v>
      </c>
      <c r="R481">
        <v>0</v>
      </c>
      <c r="S481">
        <v>0</v>
      </c>
      <c r="T481">
        <v>0</v>
      </c>
      <c r="U481">
        <v>0</v>
      </c>
      <c r="V481">
        <f t="shared" si="194"/>
        <v>0</v>
      </c>
      <c r="W481">
        <f t="shared" si="197"/>
        <v>0</v>
      </c>
      <c r="X481">
        <f t="shared" si="199"/>
        <v>0</v>
      </c>
      <c r="Y481">
        <f t="shared" si="200"/>
        <v>0</v>
      </c>
      <c r="Z481" t="s">
        <v>89</v>
      </c>
      <c r="AA481" s="5" t="s">
        <v>273</v>
      </c>
      <c r="AB481" s="5" t="s">
        <v>273</v>
      </c>
      <c r="AC481" t="s">
        <v>76</v>
      </c>
      <c r="AD481" t="s">
        <v>74</v>
      </c>
      <c r="AE481" s="5" t="s">
        <v>74</v>
      </c>
      <c r="AF481" t="s">
        <v>75</v>
      </c>
      <c r="AG481" t="s">
        <v>120</v>
      </c>
      <c r="AH481">
        <f t="shared" si="208"/>
        <v>7.1038249999999997E-2</v>
      </c>
      <c r="AI481">
        <f t="shared" si="209"/>
        <v>7.1038249999999997E-2</v>
      </c>
      <c r="AJ481">
        <f t="shared" si="196"/>
        <v>7.1038249999999997E-2</v>
      </c>
      <c r="AK481">
        <v>7.1038249999999997E-2</v>
      </c>
      <c r="AL481">
        <v>9.73136E-2</v>
      </c>
      <c r="AM481">
        <v>0.12068965</v>
      </c>
      <c r="AN481">
        <v>0.12295082</v>
      </c>
      <c r="AO481">
        <v>92.896174999999999</v>
      </c>
      <c r="AP481">
        <v>90.268640000000005</v>
      </c>
      <c r="AQ481">
        <v>87.931034999999994</v>
      </c>
      <c r="AR481">
        <v>87.704918000000006</v>
      </c>
      <c r="AS481" t="b">
        <v>0</v>
      </c>
      <c r="AT481" t="b">
        <v>0</v>
      </c>
      <c r="AU481" t="s">
        <v>92</v>
      </c>
      <c r="AV481" t="s">
        <v>92</v>
      </c>
      <c r="AW481" t="s">
        <v>79</v>
      </c>
      <c r="AX481" t="s">
        <v>129</v>
      </c>
      <c r="AY481" t="s">
        <v>727</v>
      </c>
      <c r="AZ481" t="s">
        <v>82</v>
      </c>
      <c r="BA481" t="s">
        <v>82</v>
      </c>
      <c r="BB481">
        <v>2</v>
      </c>
      <c r="BC481">
        <v>7.7070764999999999E-2</v>
      </c>
      <c r="BD481">
        <v>1.90190515067399E-3</v>
      </c>
      <c r="BE481">
        <v>7.8972670150673996E-2</v>
      </c>
      <c r="BF481">
        <f>IF(AK481&lt;BE481,1,0)</f>
        <v>1</v>
      </c>
      <c r="BG481">
        <f>IF(AK481&lt;BC481,1,0)</f>
        <v>1</v>
      </c>
      <c r="BH481">
        <f>VLOOKUP($B481,[1]Data_Peer_with_peerVars!$B$2:$Z$1050,20,FALSE)</f>
        <v>5</v>
      </c>
      <c r="BI481">
        <f>VLOOKUP($B481,[1]Data_Peer_with_peerVars!$B$2:$Z$1050,21,FALSE)</f>
        <v>3</v>
      </c>
      <c r="BJ481">
        <f>VLOOKUP($B481,[1]Data_Peer_with_peerVars!$B$2:$Z$1050,22,FALSE)</f>
        <v>0.6</v>
      </c>
      <c r="BK481">
        <f>VLOOKUP($B481,[1]Data_Peer_with_peerVars!$B$2:$Z$1050,23,FALSE)</f>
        <v>39</v>
      </c>
      <c r="BL481">
        <f>VLOOKUP($B481,[1]Data_Peer_with_peerVars!$B$2:$Z$1050,24,FALSE)</f>
        <v>30</v>
      </c>
      <c r="BM481">
        <f>VLOOKUP($B481,[1]Data_Peer_with_peerVars!$B$2:$Z$1050,25,FALSE)</f>
        <v>0.76923076899999998</v>
      </c>
    </row>
    <row r="482" spans="1:65" x14ac:dyDescent="0.2">
      <c r="A482">
        <v>1</v>
      </c>
      <c r="B482" t="s">
        <v>770</v>
      </c>
      <c r="C482">
        <v>256</v>
      </c>
      <c r="D482" t="s">
        <v>68</v>
      </c>
      <c r="E482">
        <v>1</v>
      </c>
      <c r="F482">
        <v>366</v>
      </c>
      <c r="G482" t="s">
        <v>69</v>
      </c>
      <c r="H482" s="1">
        <v>7</v>
      </c>
      <c r="I482" t="s">
        <v>87</v>
      </c>
      <c r="J482" t="s">
        <v>111</v>
      </c>
      <c r="K482" t="s">
        <v>109</v>
      </c>
      <c r="L482">
        <v>1</v>
      </c>
      <c r="M482">
        <v>0</v>
      </c>
      <c r="N482">
        <v>1</v>
      </c>
      <c r="O482">
        <v>0</v>
      </c>
      <c r="P482">
        <v>1</v>
      </c>
      <c r="Q482">
        <v>3</v>
      </c>
      <c r="R482">
        <v>0</v>
      </c>
      <c r="S482">
        <v>0</v>
      </c>
      <c r="T482">
        <v>0</v>
      </c>
      <c r="U482">
        <v>0</v>
      </c>
      <c r="V482">
        <f t="shared" si="194"/>
        <v>0</v>
      </c>
      <c r="W482">
        <f t="shared" si="197"/>
        <v>1</v>
      </c>
      <c r="X482">
        <v>1</v>
      </c>
      <c r="Y482">
        <v>1</v>
      </c>
      <c r="Z482" t="s">
        <v>76</v>
      </c>
      <c r="AA482" s="5" t="s">
        <v>76</v>
      </c>
      <c r="AB482" s="5" t="s">
        <v>76</v>
      </c>
      <c r="AC482" t="s">
        <v>74</v>
      </c>
      <c r="AD482" t="s">
        <v>76</v>
      </c>
      <c r="AE482" s="5" t="s">
        <v>76</v>
      </c>
      <c r="AF482" t="s">
        <v>120</v>
      </c>
      <c r="AG482" t="s">
        <v>75</v>
      </c>
      <c r="AH482">
        <f>AI482</f>
        <v>8.0830150000000003E-2</v>
      </c>
      <c r="AI482">
        <f t="shared" si="209"/>
        <v>8.0830150000000003E-2</v>
      </c>
      <c r="AJ482">
        <f>AL482</f>
        <v>8.0830150000000003E-2</v>
      </c>
      <c r="AK482">
        <v>0.08</v>
      </c>
      <c r="AL482">
        <v>8.0830150000000003E-2</v>
      </c>
      <c r="AM482">
        <v>0.11551065000000001</v>
      </c>
      <c r="AN482">
        <v>0.115700215</v>
      </c>
      <c r="AO482">
        <v>92</v>
      </c>
      <c r="AP482">
        <v>91.916984999999997</v>
      </c>
      <c r="AQ482">
        <v>88.448935000000006</v>
      </c>
      <c r="AR482">
        <v>88.429978500000004</v>
      </c>
      <c r="AS482" t="b">
        <v>0</v>
      </c>
      <c r="AT482" t="b">
        <v>1</v>
      </c>
      <c r="AU482" t="s">
        <v>77</v>
      </c>
      <c r="AV482" t="s">
        <v>77</v>
      </c>
      <c r="AW482" t="s">
        <v>79</v>
      </c>
      <c r="AX482" t="s">
        <v>129</v>
      </c>
      <c r="AY482" t="s">
        <v>727</v>
      </c>
      <c r="AZ482" t="s">
        <v>109</v>
      </c>
      <c r="BA482">
        <v>8</v>
      </c>
      <c r="BB482">
        <v>1.4</v>
      </c>
      <c r="BC482">
        <v>2.4738868000000001E-3</v>
      </c>
      <c r="BD482">
        <v>1.4256942275279999E-4</v>
      </c>
      <c r="BE482">
        <v>2.6164562227527998E-3</v>
      </c>
      <c r="BF482">
        <f>IF(AK482&lt;BE482,1,0)</f>
        <v>0</v>
      </c>
      <c r="BG482">
        <f>IF(AK482&lt;BC482,1,0)</f>
        <v>0</v>
      </c>
      <c r="BH482">
        <f>VLOOKUP($B482,[1]Data_Peer_with_peerVars!$B$2:$Z$1050,20,FALSE)</f>
        <v>9</v>
      </c>
      <c r="BI482">
        <f>VLOOKUP($B482,[1]Data_Peer_with_peerVars!$B$2:$Z$1050,21,FALSE)</f>
        <v>9</v>
      </c>
      <c r="BJ482">
        <f>VLOOKUP($B482,[1]Data_Peer_with_peerVars!$B$2:$Z$1050,22,FALSE)</f>
        <v>1</v>
      </c>
      <c r="BK482">
        <f>VLOOKUP($B482,[1]Data_Peer_with_peerVars!$B$2:$Z$1050,23,FALSE)</f>
        <v>45</v>
      </c>
      <c r="BL482">
        <f>VLOOKUP($B482,[1]Data_Peer_with_peerVars!$B$2:$Z$1050,24,FALSE)</f>
        <v>32</v>
      </c>
      <c r="BM482">
        <f>VLOOKUP($B482,[1]Data_Peer_with_peerVars!$B$2:$Z$1050,25,FALSE)</f>
        <v>0.71111111100000002</v>
      </c>
    </row>
    <row r="483" spans="1:65" x14ac:dyDescent="0.2">
      <c r="A483">
        <v>1</v>
      </c>
      <c r="B483" t="s">
        <v>771</v>
      </c>
      <c r="C483">
        <v>257</v>
      </c>
      <c r="D483" t="s">
        <v>68</v>
      </c>
      <c r="E483">
        <v>1</v>
      </c>
      <c r="F483">
        <v>367</v>
      </c>
      <c r="G483" t="s">
        <v>86</v>
      </c>
      <c r="H483" s="1">
        <v>0</v>
      </c>
      <c r="I483" t="s">
        <v>87</v>
      </c>
      <c r="J483" t="s">
        <v>124</v>
      </c>
      <c r="K483" t="s">
        <v>72</v>
      </c>
      <c r="L483">
        <v>1</v>
      </c>
      <c r="M483">
        <v>0</v>
      </c>
      <c r="N483">
        <v>1</v>
      </c>
      <c r="O483">
        <v>0</v>
      </c>
      <c r="P483">
        <v>0</v>
      </c>
      <c r="Q483">
        <v>0</v>
      </c>
      <c r="R483">
        <v>0</v>
      </c>
      <c r="S483">
        <v>0</v>
      </c>
      <c r="T483">
        <v>0</v>
      </c>
      <c r="U483">
        <v>0</v>
      </c>
      <c r="V483">
        <f t="shared" si="194"/>
        <v>0</v>
      </c>
      <c r="W483">
        <f t="shared" si="197"/>
        <v>0</v>
      </c>
      <c r="X483">
        <f t="shared" si="199"/>
        <v>0</v>
      </c>
      <c r="Y483">
        <f t="shared" si="200"/>
        <v>0</v>
      </c>
      <c r="Z483" t="s">
        <v>76</v>
      </c>
      <c r="AA483" s="5" t="s">
        <v>76</v>
      </c>
      <c r="AB483" s="5" t="s">
        <v>76</v>
      </c>
      <c r="AC483" t="s">
        <v>95</v>
      </c>
      <c r="AD483" t="s">
        <v>94</v>
      </c>
      <c r="AE483" s="5" t="s">
        <v>772</v>
      </c>
      <c r="AF483" t="s">
        <v>167</v>
      </c>
      <c r="AG483" t="s">
        <v>102</v>
      </c>
      <c r="AH483">
        <f>AI483</f>
        <v>0.16530054999999999</v>
      </c>
      <c r="AI483">
        <f t="shared" si="209"/>
        <v>0.16530054999999999</v>
      </c>
      <c r="AJ483">
        <f t="shared" si="196"/>
        <v>0.16530054999999999</v>
      </c>
      <c r="AK483">
        <v>0.16530054999999999</v>
      </c>
      <c r="AL483">
        <v>0.16621178</v>
      </c>
      <c r="AM483">
        <v>0.1709589</v>
      </c>
      <c r="AN483">
        <v>0.17311886000000001</v>
      </c>
      <c r="AO483">
        <v>83.469944999999996</v>
      </c>
      <c r="AP483">
        <v>83.378822</v>
      </c>
      <c r="AQ483">
        <v>82.904110000000003</v>
      </c>
      <c r="AR483">
        <v>82.688113999999999</v>
      </c>
      <c r="AS483" t="b">
        <v>0</v>
      </c>
      <c r="AT483" t="b">
        <v>0</v>
      </c>
      <c r="AU483" t="s">
        <v>108</v>
      </c>
      <c r="AV483" t="s">
        <v>108</v>
      </c>
      <c r="AW483" t="s">
        <v>79</v>
      </c>
      <c r="AX483" t="s">
        <v>129</v>
      </c>
      <c r="AY483" t="s">
        <v>727</v>
      </c>
      <c r="AZ483" t="s">
        <v>72</v>
      </c>
      <c r="BA483" t="s">
        <v>82</v>
      </c>
      <c r="BB483">
        <v>0.7</v>
      </c>
      <c r="BC483">
        <v>4.2676209999999999E-2</v>
      </c>
      <c r="BD483">
        <v>1.50718657428557E-3</v>
      </c>
      <c r="BE483">
        <v>4.4183396574285598E-2</v>
      </c>
      <c r="BF483">
        <f>IF(AK483&lt;BE483,1,0)</f>
        <v>0</v>
      </c>
      <c r="BG483">
        <f>IF(AK483&lt;BC483,1,0)</f>
        <v>0</v>
      </c>
      <c r="BH483">
        <f>VLOOKUP($B483,[1]Data_Peer_with_peerVars!$B$2:$Z$1050,20,FALSE)</f>
        <v>6</v>
      </c>
      <c r="BI483">
        <f>VLOOKUP($B483,[1]Data_Peer_with_peerVars!$B$2:$Z$1050,21,FALSE)</f>
        <v>4</v>
      </c>
      <c r="BJ483">
        <f>VLOOKUP($B483,[1]Data_Peer_with_peerVars!$B$2:$Z$1050,22,FALSE)</f>
        <v>0.66666666699999999</v>
      </c>
      <c r="BK483">
        <f>VLOOKUP($B483,[1]Data_Peer_with_peerVars!$B$2:$Z$1050,23,FALSE)</f>
        <v>40</v>
      </c>
      <c r="BL483">
        <f>VLOOKUP($B483,[1]Data_Peer_with_peerVars!$B$2:$Z$1050,24,FALSE)</f>
        <v>24</v>
      </c>
      <c r="BM483">
        <f>VLOOKUP($B483,[1]Data_Peer_with_peerVars!$B$2:$Z$1050,25,FALSE)</f>
        <v>0.6</v>
      </c>
    </row>
    <row r="484" spans="1:65" x14ac:dyDescent="0.2">
      <c r="A484">
        <v>1</v>
      </c>
      <c r="B484" t="s">
        <v>773</v>
      </c>
      <c r="C484">
        <v>258</v>
      </c>
      <c r="D484" t="s">
        <v>155</v>
      </c>
      <c r="E484">
        <v>0</v>
      </c>
      <c r="F484" s="14" t="s">
        <v>82</v>
      </c>
      <c r="G484" s="14" t="s">
        <v>82</v>
      </c>
      <c r="H484" s="1">
        <v>6.5</v>
      </c>
      <c r="I484" t="s">
        <v>87</v>
      </c>
      <c r="J484" t="s">
        <v>150</v>
      </c>
      <c r="K484" t="s">
        <v>109</v>
      </c>
      <c r="L484">
        <v>1</v>
      </c>
      <c r="M484">
        <v>1</v>
      </c>
      <c r="N484">
        <v>0</v>
      </c>
      <c r="O484">
        <v>0</v>
      </c>
      <c r="P484">
        <v>0</v>
      </c>
      <c r="Q484">
        <v>5</v>
      </c>
      <c r="R484">
        <v>0</v>
      </c>
      <c r="S484">
        <v>0</v>
      </c>
      <c r="T484">
        <v>1</v>
      </c>
      <c r="U484">
        <v>1</v>
      </c>
      <c r="V484">
        <f t="shared" si="194"/>
        <v>1</v>
      </c>
      <c r="W484">
        <v>1</v>
      </c>
      <c r="X484">
        <v>1</v>
      </c>
      <c r="Y484">
        <v>1</v>
      </c>
      <c r="Z484" t="s">
        <v>73</v>
      </c>
      <c r="AA484" s="5" t="s">
        <v>73</v>
      </c>
      <c r="AB484" s="5" t="s">
        <v>73</v>
      </c>
      <c r="AC484" t="s">
        <v>73</v>
      </c>
      <c r="AD484" t="s">
        <v>94</v>
      </c>
      <c r="AE484" s="5" t="s">
        <v>106</v>
      </c>
      <c r="AF484" t="s">
        <v>107</v>
      </c>
      <c r="AG484" t="s">
        <v>95</v>
      </c>
      <c r="AH484">
        <f>AI484</f>
        <v>3.8167940000000001E-3</v>
      </c>
      <c r="AI484">
        <f>AJ484</f>
        <v>3.8167940000000001E-3</v>
      </c>
      <c r="AJ484">
        <f t="shared" si="196"/>
        <v>3.8167940000000001E-3</v>
      </c>
      <c r="AK484">
        <v>3.8167940000000001E-3</v>
      </c>
      <c r="AL484">
        <v>0.13196722</v>
      </c>
      <c r="AM484">
        <v>0.13623904000000001</v>
      </c>
      <c r="AN484">
        <v>0.13894967999999999</v>
      </c>
      <c r="AO484">
        <v>99.618320600000004</v>
      </c>
      <c r="AP484">
        <v>86.803278000000006</v>
      </c>
      <c r="AQ484">
        <v>86.376096000000004</v>
      </c>
      <c r="AR484">
        <v>86.105031999999994</v>
      </c>
      <c r="AS484" t="b">
        <v>1</v>
      </c>
      <c r="AT484" t="b">
        <v>0</v>
      </c>
      <c r="AU484" t="s">
        <v>77</v>
      </c>
      <c r="AV484" t="s">
        <v>108</v>
      </c>
      <c r="AW484" t="s">
        <v>79</v>
      </c>
      <c r="AX484" t="s">
        <v>129</v>
      </c>
      <c r="AY484" t="s">
        <v>766</v>
      </c>
      <c r="AZ484" t="s">
        <v>109</v>
      </c>
      <c r="BA484">
        <v>6</v>
      </c>
      <c r="BB484">
        <v>1.4</v>
      </c>
      <c r="BC484">
        <v>4.1163553999999996E-3</v>
      </c>
      <c r="BD484">
        <v>1.4279989108178799E-4</v>
      </c>
      <c r="BE484">
        <v>4.2591552910817903E-3</v>
      </c>
      <c r="BF484">
        <f>IF(AK484&lt;BE484,1,0)</f>
        <v>1</v>
      </c>
      <c r="BG484">
        <f>IF(AK484&lt;BC484,1,0)</f>
        <v>1</v>
      </c>
    </row>
    <row r="485" spans="1:65" x14ac:dyDescent="0.2">
      <c r="A485">
        <v>1</v>
      </c>
      <c r="B485" t="s">
        <v>774</v>
      </c>
      <c r="C485">
        <v>259</v>
      </c>
      <c r="D485" t="s">
        <v>155</v>
      </c>
      <c r="E485">
        <v>0</v>
      </c>
      <c r="F485" s="14" t="s">
        <v>82</v>
      </c>
      <c r="G485" s="14" t="s">
        <v>82</v>
      </c>
      <c r="H485" s="1">
        <v>6</v>
      </c>
      <c r="I485" t="s">
        <v>87</v>
      </c>
      <c r="J485" t="s">
        <v>150</v>
      </c>
      <c r="K485" t="s">
        <v>109</v>
      </c>
      <c r="L485">
        <v>1</v>
      </c>
      <c r="M485">
        <v>1</v>
      </c>
      <c r="N485">
        <v>0</v>
      </c>
      <c r="O485">
        <v>0</v>
      </c>
      <c r="P485">
        <v>0</v>
      </c>
      <c r="Q485">
        <v>5</v>
      </c>
      <c r="R485">
        <v>0</v>
      </c>
      <c r="S485">
        <v>0</v>
      </c>
      <c r="T485">
        <v>0</v>
      </c>
      <c r="U485">
        <v>0</v>
      </c>
      <c r="V485">
        <f t="shared" si="194"/>
        <v>0</v>
      </c>
      <c r="W485">
        <f t="shared" si="197"/>
        <v>0</v>
      </c>
      <c r="X485">
        <f t="shared" si="199"/>
        <v>0</v>
      </c>
      <c r="Y485">
        <f t="shared" si="200"/>
        <v>0</v>
      </c>
      <c r="Z485" t="s">
        <v>137</v>
      </c>
      <c r="AA485" s="5" t="s">
        <v>137</v>
      </c>
      <c r="AB485" s="5" t="s">
        <v>775</v>
      </c>
      <c r="AC485" t="s">
        <v>94</v>
      </c>
      <c r="AD485" t="s">
        <v>102</v>
      </c>
      <c r="AE485" s="5" t="s">
        <v>102</v>
      </c>
      <c r="AF485" t="s">
        <v>99</v>
      </c>
      <c r="AG485" t="s">
        <v>167</v>
      </c>
      <c r="AH485">
        <f>AI485</f>
        <v>6.850436E-2</v>
      </c>
      <c r="AI485">
        <f>AJ485</f>
        <v>6.850436E-2</v>
      </c>
      <c r="AJ485">
        <f t="shared" si="196"/>
        <v>6.850436E-2</v>
      </c>
      <c r="AK485">
        <v>6.850436E-2</v>
      </c>
      <c r="AL485">
        <v>0.12677208000000001</v>
      </c>
      <c r="AM485">
        <v>0.13581267</v>
      </c>
      <c r="AN485">
        <v>0.13835616000000001</v>
      </c>
      <c r="AO485">
        <v>93.149563999999998</v>
      </c>
      <c r="AP485">
        <v>87.322792000000007</v>
      </c>
      <c r="AQ485">
        <v>86.418733000000003</v>
      </c>
      <c r="AR485">
        <v>86.164383999999998</v>
      </c>
      <c r="AS485" t="b">
        <v>0</v>
      </c>
      <c r="AT485" t="b">
        <v>0</v>
      </c>
      <c r="AU485" t="s">
        <v>77</v>
      </c>
      <c r="AV485" t="s">
        <v>78</v>
      </c>
      <c r="AW485" t="s">
        <v>79</v>
      </c>
      <c r="AX485" t="s">
        <v>129</v>
      </c>
      <c r="AY485" t="s">
        <v>129</v>
      </c>
      <c r="AZ485" t="s">
        <v>109</v>
      </c>
      <c r="BA485">
        <v>3</v>
      </c>
      <c r="BB485">
        <v>2.4</v>
      </c>
      <c r="BC485">
        <v>1.6447369E-2</v>
      </c>
      <c r="BD485">
        <v>4.2236161269162102E-4</v>
      </c>
      <c r="BE485">
        <v>1.6869730612691598E-2</v>
      </c>
      <c r="BF485">
        <f>IF(AK485&lt;BE485,1,0)</f>
        <v>0</v>
      </c>
      <c r="BG485">
        <f>IF(AK485&lt;BC485,1,0)</f>
        <v>0</v>
      </c>
      <c r="BH485">
        <f>VLOOKUP($B485,[1]Data_Peer_with_peerVars!$B$2:$Z$1050,20,FALSE)</f>
        <v>5</v>
      </c>
      <c r="BI485">
        <f>VLOOKUP($B485,[1]Data_Peer_with_peerVars!$B$2:$Z$1050,21,FALSE)</f>
        <v>4</v>
      </c>
      <c r="BJ485">
        <f>VLOOKUP($B485,[1]Data_Peer_with_peerVars!$B$2:$Z$1050,22,FALSE)</f>
        <v>0.8</v>
      </c>
      <c r="BK485">
        <f>VLOOKUP($B485,[1]Data_Peer_with_peerVars!$B$2:$Z$1050,23,FALSE)</f>
        <v>43</v>
      </c>
      <c r="BL485">
        <f>VLOOKUP($B485,[1]Data_Peer_with_peerVars!$B$2:$Z$1050,24,FALSE)</f>
        <v>33</v>
      </c>
      <c r="BM485">
        <f>VLOOKUP($B485,[1]Data_Peer_with_peerVars!$B$2:$Z$1050,25,FALSE)</f>
        <v>0.76744186000000003</v>
      </c>
    </row>
    <row r="486" spans="1:65" x14ac:dyDescent="0.2">
      <c r="A486">
        <v>1</v>
      </c>
      <c r="B486" t="s">
        <v>776</v>
      </c>
      <c r="C486">
        <v>260</v>
      </c>
      <c r="D486" t="s">
        <v>155</v>
      </c>
      <c r="E486">
        <v>0</v>
      </c>
      <c r="F486" s="14" t="s">
        <v>82</v>
      </c>
      <c r="G486" s="14" t="s">
        <v>82</v>
      </c>
      <c r="H486" s="1">
        <v>6</v>
      </c>
      <c r="M486">
        <v>1</v>
      </c>
      <c r="N486">
        <v>0</v>
      </c>
      <c r="R486">
        <v>0</v>
      </c>
      <c r="S486">
        <v>0</v>
      </c>
      <c r="T486">
        <v>0</v>
      </c>
      <c r="U486">
        <v>0</v>
      </c>
      <c r="V486">
        <f t="shared" si="194"/>
        <v>1</v>
      </c>
      <c r="W486">
        <v>1</v>
      </c>
      <c r="X486">
        <v>1</v>
      </c>
      <c r="Y486">
        <v>1</v>
      </c>
      <c r="Z486" t="s">
        <v>73</v>
      </c>
      <c r="AA486" s="5" t="s">
        <v>73</v>
      </c>
      <c r="AB486" s="5" t="s">
        <v>73</v>
      </c>
      <c r="AC486" t="s">
        <v>73</v>
      </c>
      <c r="AD486" t="s">
        <v>94</v>
      </c>
      <c r="AE486" s="5" t="s">
        <v>94</v>
      </c>
      <c r="AF486" t="s">
        <v>75</v>
      </c>
      <c r="AG486" t="s">
        <v>95</v>
      </c>
      <c r="AH486">
        <f t="shared" ref="AH486:AH489" si="210">AI486</f>
        <v>4.9073063E-2</v>
      </c>
      <c r="AI486">
        <f>AJ486</f>
        <v>4.9073063E-2</v>
      </c>
      <c r="AJ486">
        <f t="shared" si="196"/>
        <v>4.9073063E-2</v>
      </c>
      <c r="AK486">
        <v>4.9073063E-2</v>
      </c>
      <c r="AL486">
        <v>0.12172489</v>
      </c>
      <c r="AM486">
        <v>0.13320567999999999</v>
      </c>
      <c r="AN486">
        <v>0.14153004999999999</v>
      </c>
      <c r="AO486">
        <v>95.092693699999998</v>
      </c>
      <c r="AP486">
        <v>87.827511000000001</v>
      </c>
      <c r="AQ486">
        <v>86.679432000000006</v>
      </c>
      <c r="AR486">
        <v>85.846995000000007</v>
      </c>
      <c r="AS486" t="b">
        <v>1</v>
      </c>
      <c r="AT486" t="b">
        <v>0</v>
      </c>
      <c r="AU486" t="s">
        <v>77</v>
      </c>
      <c r="AV486" t="s">
        <v>78</v>
      </c>
      <c r="AW486" t="s">
        <v>79</v>
      </c>
      <c r="AX486" t="s">
        <v>80</v>
      </c>
      <c r="AY486" t="s">
        <v>604</v>
      </c>
      <c r="AZ486" t="s">
        <v>109</v>
      </c>
      <c r="BA486">
        <v>3</v>
      </c>
      <c r="BB486">
        <v>0.7</v>
      </c>
      <c r="BC486">
        <v>4.1163553999999996E-3</v>
      </c>
      <c r="BD486">
        <v>1.4279989108178799E-4</v>
      </c>
      <c r="BE486">
        <v>4.2591552910817903E-3</v>
      </c>
      <c r="BF486">
        <f>IF(AK486&lt;BE486,1,0)</f>
        <v>0</v>
      </c>
      <c r="BG486">
        <f>IF(AK486&lt;BC486,1,0)</f>
        <v>0</v>
      </c>
    </row>
    <row r="487" spans="1:65" x14ac:dyDescent="0.2">
      <c r="A487">
        <v>1</v>
      </c>
      <c r="B487" t="s">
        <v>777</v>
      </c>
      <c r="C487">
        <v>261</v>
      </c>
      <c r="D487" t="s">
        <v>155</v>
      </c>
      <c r="E487">
        <v>0</v>
      </c>
      <c r="F487" s="14" t="s">
        <v>82</v>
      </c>
      <c r="G487" s="14" t="s">
        <v>82</v>
      </c>
      <c r="H487" s="1">
        <v>7</v>
      </c>
      <c r="I487" t="s">
        <v>70</v>
      </c>
      <c r="J487" t="s">
        <v>71</v>
      </c>
      <c r="K487" t="s">
        <v>72</v>
      </c>
      <c r="L487">
        <v>1</v>
      </c>
      <c r="M487">
        <v>1</v>
      </c>
      <c r="N487">
        <v>0</v>
      </c>
      <c r="O487">
        <v>0</v>
      </c>
      <c r="P487">
        <v>0</v>
      </c>
      <c r="Q487">
        <v>6</v>
      </c>
      <c r="R487">
        <v>0</v>
      </c>
      <c r="S487">
        <v>0</v>
      </c>
      <c r="T487">
        <v>0</v>
      </c>
      <c r="U487">
        <v>0</v>
      </c>
      <c r="V487">
        <f t="shared" si="194"/>
        <v>0</v>
      </c>
      <c r="W487">
        <f t="shared" si="197"/>
        <v>1</v>
      </c>
      <c r="X487">
        <v>1</v>
      </c>
      <c r="Y487">
        <v>1</v>
      </c>
      <c r="Z487" t="s">
        <v>74</v>
      </c>
      <c r="AA487" s="5" t="s">
        <v>74</v>
      </c>
      <c r="AB487" s="5" t="s">
        <v>74</v>
      </c>
      <c r="AC487" t="s">
        <v>101</v>
      </c>
      <c r="AD487" t="s">
        <v>74</v>
      </c>
      <c r="AE487" s="5" t="s">
        <v>778</v>
      </c>
      <c r="AF487" t="s">
        <v>76</v>
      </c>
      <c r="AG487" t="s">
        <v>102</v>
      </c>
      <c r="AH487">
        <f t="shared" si="210"/>
        <v>0.111050025</v>
      </c>
      <c r="AI487">
        <f>AJ487</f>
        <v>0.111050025</v>
      </c>
      <c r="AJ487">
        <f>AL487</f>
        <v>0.111050025</v>
      </c>
      <c r="AK487">
        <v>0.10973597</v>
      </c>
      <c r="AL487">
        <v>0.111050025</v>
      </c>
      <c r="AM487">
        <v>0.12739724999999999</v>
      </c>
      <c r="AN487">
        <v>0.13293216999999999</v>
      </c>
      <c r="AO487">
        <v>89.026403000000002</v>
      </c>
      <c r="AP487">
        <v>88.894997500000002</v>
      </c>
      <c r="AQ487">
        <v>87.260274999999993</v>
      </c>
      <c r="AR487">
        <v>86.706783000000001</v>
      </c>
      <c r="AS487" t="b">
        <v>0</v>
      </c>
      <c r="AT487" t="b">
        <v>0</v>
      </c>
      <c r="AU487" t="s">
        <v>108</v>
      </c>
      <c r="AV487" t="s">
        <v>108</v>
      </c>
      <c r="AW487" t="s">
        <v>79</v>
      </c>
      <c r="AX487" t="s">
        <v>129</v>
      </c>
      <c r="AY487" t="s">
        <v>129</v>
      </c>
      <c r="AZ487" t="s">
        <v>72</v>
      </c>
      <c r="BA487" t="s">
        <v>82</v>
      </c>
      <c r="BB487">
        <v>1.05</v>
      </c>
      <c r="BC487">
        <v>1.4096186E-2</v>
      </c>
      <c r="BD487">
        <v>1.55088650053763E-3</v>
      </c>
      <c r="BE487">
        <v>1.5647072500537599E-2</v>
      </c>
      <c r="BF487">
        <f>IF(AK487&lt;BE487,1,0)</f>
        <v>0</v>
      </c>
      <c r="BG487">
        <f>IF(AK487&lt;BC487,1,0)</f>
        <v>0</v>
      </c>
      <c r="BH487">
        <f>VLOOKUP($B487,[1]Data_Peer_with_peerVars!$B$2:$Z$1050,20,FALSE)</f>
        <v>4</v>
      </c>
      <c r="BI487">
        <f>VLOOKUP($B487,[1]Data_Peer_with_peerVars!$B$2:$Z$1050,21,FALSE)</f>
        <v>2</v>
      </c>
      <c r="BJ487">
        <f>VLOOKUP($B487,[1]Data_Peer_with_peerVars!$B$2:$Z$1050,22,FALSE)</f>
        <v>0.5</v>
      </c>
      <c r="BK487">
        <f>VLOOKUP($B487,[1]Data_Peer_with_peerVars!$B$2:$Z$1050,23,FALSE)</f>
        <v>42</v>
      </c>
      <c r="BL487">
        <f>VLOOKUP($B487,[1]Data_Peer_with_peerVars!$B$2:$Z$1050,24,FALSE)</f>
        <v>31</v>
      </c>
      <c r="BM487">
        <f>VLOOKUP($B487,[1]Data_Peer_with_peerVars!$B$2:$Z$1050,25,FALSE)</f>
        <v>0.73809523799999999</v>
      </c>
    </row>
    <row r="488" spans="1:65" x14ac:dyDescent="0.2">
      <c r="A488">
        <v>1</v>
      </c>
      <c r="B488" t="s">
        <v>779</v>
      </c>
      <c r="C488">
        <v>261</v>
      </c>
      <c r="D488" t="s">
        <v>155</v>
      </c>
      <c r="E488">
        <v>0</v>
      </c>
      <c r="F488" s="14" t="s">
        <v>82</v>
      </c>
      <c r="G488" s="14" t="s">
        <v>82</v>
      </c>
      <c r="H488" s="1">
        <v>7</v>
      </c>
      <c r="I488" t="s">
        <v>70</v>
      </c>
      <c r="J488" t="s">
        <v>71</v>
      </c>
      <c r="K488" t="s">
        <v>72</v>
      </c>
      <c r="L488">
        <v>1</v>
      </c>
      <c r="M488">
        <v>1</v>
      </c>
      <c r="N488">
        <v>0</v>
      </c>
      <c r="O488">
        <v>0</v>
      </c>
      <c r="P488">
        <v>0</v>
      </c>
      <c r="Q488">
        <v>6</v>
      </c>
      <c r="R488">
        <v>0</v>
      </c>
      <c r="S488">
        <v>0</v>
      </c>
      <c r="T488">
        <v>0</v>
      </c>
      <c r="U488">
        <v>0</v>
      </c>
      <c r="V488">
        <f t="shared" si="194"/>
        <v>1</v>
      </c>
      <c r="W488">
        <v>1</v>
      </c>
      <c r="X488">
        <v>1</v>
      </c>
      <c r="Y488">
        <v>1</v>
      </c>
      <c r="Z488" t="s">
        <v>73</v>
      </c>
      <c r="AA488" s="5" t="s">
        <v>73</v>
      </c>
      <c r="AB488" s="5" t="s">
        <v>73</v>
      </c>
      <c r="AC488" t="s">
        <v>73</v>
      </c>
      <c r="AD488" t="s">
        <v>287</v>
      </c>
      <c r="AE488" s="5" t="s">
        <v>287</v>
      </c>
      <c r="AF488" t="s">
        <v>94</v>
      </c>
      <c r="AG488" t="s">
        <v>75</v>
      </c>
      <c r="AH488">
        <f t="shared" si="210"/>
        <v>0.12206445</v>
      </c>
      <c r="AI488">
        <f t="shared" ref="AI488:AI489" si="211">AJ488</f>
        <v>0.12206445</v>
      </c>
      <c r="AJ488">
        <f t="shared" si="196"/>
        <v>0.12206445</v>
      </c>
      <c r="AK488">
        <v>0.12206445</v>
      </c>
      <c r="AL488">
        <v>0.13415300999999999</v>
      </c>
      <c r="AM488">
        <v>0.14652815</v>
      </c>
      <c r="AN488">
        <v>0.14849316000000001</v>
      </c>
      <c r="AO488">
        <v>87.793554999999998</v>
      </c>
      <c r="AP488">
        <v>86.584699000000001</v>
      </c>
      <c r="AQ488">
        <v>85.347184999999996</v>
      </c>
      <c r="AR488">
        <v>85.150683999999998</v>
      </c>
      <c r="AS488" t="b">
        <v>1</v>
      </c>
      <c r="AT488" t="b">
        <v>0</v>
      </c>
      <c r="AU488" t="s">
        <v>78</v>
      </c>
      <c r="AV488" t="s">
        <v>78</v>
      </c>
      <c r="AW488" t="s">
        <v>79</v>
      </c>
      <c r="AX488" t="s">
        <v>129</v>
      </c>
      <c r="AY488" t="s">
        <v>129</v>
      </c>
      <c r="AZ488" t="s">
        <v>72</v>
      </c>
      <c r="BA488" t="s">
        <v>82</v>
      </c>
      <c r="BB488">
        <v>0.35</v>
      </c>
      <c r="BC488">
        <v>4.1163553999999996E-3</v>
      </c>
      <c r="BD488">
        <v>1.4279989108178799E-4</v>
      </c>
      <c r="BE488">
        <v>4.2591552910817903E-3</v>
      </c>
      <c r="BF488">
        <f>IF(AK488&lt;BE488,1,0)</f>
        <v>0</v>
      </c>
      <c r="BG488">
        <f>IF(AK488&lt;BC488,1,0)</f>
        <v>0</v>
      </c>
      <c r="BH488">
        <f>VLOOKUP($B488,[1]Data_Peer_with_peerVars!$B$2:$Z$1050,20,FALSE)</f>
        <v>4</v>
      </c>
      <c r="BI488">
        <f>VLOOKUP($B488,[1]Data_Peer_with_peerVars!$B$2:$Z$1050,21,FALSE)</f>
        <v>2</v>
      </c>
      <c r="BJ488">
        <f>VLOOKUP($B488,[1]Data_Peer_with_peerVars!$B$2:$Z$1050,22,FALSE)</f>
        <v>0.5</v>
      </c>
      <c r="BK488">
        <f>VLOOKUP($B488,[1]Data_Peer_with_peerVars!$B$2:$Z$1050,23,FALSE)</f>
        <v>42</v>
      </c>
      <c r="BL488">
        <f>VLOOKUP($B488,[1]Data_Peer_with_peerVars!$B$2:$Z$1050,24,FALSE)</f>
        <v>31</v>
      </c>
      <c r="BM488">
        <f>VLOOKUP($B488,[1]Data_Peer_with_peerVars!$B$2:$Z$1050,25,FALSE)</f>
        <v>0.73809523799999999</v>
      </c>
    </row>
    <row r="489" spans="1:65" x14ac:dyDescent="0.2">
      <c r="A489">
        <v>1</v>
      </c>
      <c r="B489" t="s">
        <v>780</v>
      </c>
      <c r="C489">
        <v>262</v>
      </c>
      <c r="D489" t="s">
        <v>155</v>
      </c>
      <c r="E489">
        <v>0</v>
      </c>
      <c r="F489" s="14" t="s">
        <v>82</v>
      </c>
      <c r="G489" s="14" t="s">
        <v>82</v>
      </c>
      <c r="H489" s="1">
        <v>7</v>
      </c>
      <c r="I489" t="s">
        <v>87</v>
      </c>
      <c r="J489" t="s">
        <v>111</v>
      </c>
      <c r="K489" t="s">
        <v>109</v>
      </c>
      <c r="L489">
        <v>1</v>
      </c>
      <c r="M489">
        <v>1</v>
      </c>
      <c r="N489">
        <v>0</v>
      </c>
      <c r="O489">
        <v>0</v>
      </c>
      <c r="P489">
        <v>1</v>
      </c>
      <c r="Q489">
        <v>11</v>
      </c>
      <c r="R489">
        <v>0</v>
      </c>
      <c r="S489">
        <v>0</v>
      </c>
      <c r="T489">
        <v>0</v>
      </c>
      <c r="U489">
        <v>0</v>
      </c>
      <c r="V489">
        <f t="shared" si="194"/>
        <v>1</v>
      </c>
      <c r="W489">
        <v>1</v>
      </c>
      <c r="X489">
        <v>1</v>
      </c>
      <c r="Y489">
        <v>1</v>
      </c>
      <c r="Z489" t="s">
        <v>76</v>
      </c>
      <c r="AA489" s="5" t="s">
        <v>76</v>
      </c>
      <c r="AB489" s="5" t="s">
        <v>76</v>
      </c>
      <c r="AC489" t="s">
        <v>76</v>
      </c>
      <c r="AD489" t="s">
        <v>74</v>
      </c>
      <c r="AE489" s="5" t="s">
        <v>729</v>
      </c>
      <c r="AF489" t="s">
        <v>94</v>
      </c>
      <c r="AG489" t="s">
        <v>120</v>
      </c>
      <c r="AH489">
        <f t="shared" si="210"/>
        <v>0.10846995</v>
      </c>
      <c r="AI489">
        <f t="shared" si="211"/>
        <v>0.10846995</v>
      </c>
      <c r="AJ489">
        <f t="shared" si="196"/>
        <v>0.10846995</v>
      </c>
      <c r="AK489">
        <v>0.10846995</v>
      </c>
      <c r="AL489">
        <v>0.10964912</v>
      </c>
      <c r="AM489">
        <v>0.11086838</v>
      </c>
      <c r="AN489">
        <v>0.13415300999999999</v>
      </c>
      <c r="AO489">
        <v>89.153004999999993</v>
      </c>
      <c r="AP489">
        <v>89.035088000000002</v>
      </c>
      <c r="AQ489">
        <v>88.913162</v>
      </c>
      <c r="AR489">
        <v>86.584699000000001</v>
      </c>
      <c r="AS489" t="b">
        <v>0</v>
      </c>
      <c r="AT489" t="b">
        <v>0</v>
      </c>
      <c r="AU489" t="s">
        <v>108</v>
      </c>
      <c r="AV489" t="s">
        <v>108</v>
      </c>
      <c r="AW489" t="s">
        <v>79</v>
      </c>
      <c r="AX489" t="s">
        <v>129</v>
      </c>
      <c r="AY489" t="s">
        <v>129</v>
      </c>
      <c r="AZ489" t="s">
        <v>109</v>
      </c>
      <c r="BA489">
        <v>12</v>
      </c>
      <c r="BB489">
        <v>2.1</v>
      </c>
      <c r="BC489">
        <v>7.7070764999999999E-2</v>
      </c>
      <c r="BD489">
        <v>1.90190515067399E-3</v>
      </c>
      <c r="BE489">
        <v>7.8972670150673996E-2</v>
      </c>
      <c r="BF489">
        <f>IF(AK489&lt;BE489,1,0)</f>
        <v>0</v>
      </c>
      <c r="BG489">
        <f>IF(AK489&lt;BC489,1,0)</f>
        <v>0</v>
      </c>
      <c r="BH489">
        <f>VLOOKUP($B489,[1]Data_Peer_with_peerVars!$B$2:$Z$1050,20,FALSE)</f>
        <v>9</v>
      </c>
      <c r="BI489">
        <f>VLOOKUP($B489,[1]Data_Peer_with_peerVars!$B$2:$Z$1050,21,FALSE)</f>
        <v>9</v>
      </c>
      <c r="BJ489">
        <f>VLOOKUP($B489,[1]Data_Peer_with_peerVars!$B$2:$Z$1050,22,FALSE)</f>
        <v>1</v>
      </c>
      <c r="BK489">
        <f>VLOOKUP($B489,[1]Data_Peer_with_peerVars!$B$2:$Z$1050,23,FALSE)</f>
        <v>45</v>
      </c>
      <c r="BL489">
        <f>VLOOKUP($B489,[1]Data_Peer_with_peerVars!$B$2:$Z$1050,24,FALSE)</f>
        <v>32</v>
      </c>
      <c r="BM489">
        <f>VLOOKUP($B489,[1]Data_Peer_with_peerVars!$B$2:$Z$1050,25,FALSE)</f>
        <v>0.71111111100000002</v>
      </c>
    </row>
    <row r="490" spans="1:65" x14ac:dyDescent="0.2">
      <c r="A490">
        <v>1</v>
      </c>
      <c r="B490" t="s">
        <v>781</v>
      </c>
      <c r="C490">
        <v>263</v>
      </c>
      <c r="D490" t="s">
        <v>68</v>
      </c>
      <c r="E490">
        <v>0</v>
      </c>
      <c r="F490">
        <v>466</v>
      </c>
      <c r="G490" t="s">
        <v>97</v>
      </c>
      <c r="H490" s="1">
        <v>6</v>
      </c>
      <c r="I490" t="s">
        <v>70</v>
      </c>
      <c r="J490" t="s">
        <v>301</v>
      </c>
      <c r="K490" t="s">
        <v>109</v>
      </c>
      <c r="L490">
        <v>1</v>
      </c>
      <c r="M490">
        <v>1</v>
      </c>
      <c r="N490">
        <v>0</v>
      </c>
      <c r="O490">
        <v>0</v>
      </c>
      <c r="P490">
        <v>0</v>
      </c>
      <c r="Q490">
        <v>0</v>
      </c>
      <c r="R490">
        <v>0</v>
      </c>
      <c r="S490">
        <v>0</v>
      </c>
      <c r="T490">
        <v>0</v>
      </c>
      <c r="U490">
        <v>0</v>
      </c>
      <c r="V490">
        <f t="shared" si="194"/>
        <v>0</v>
      </c>
      <c r="W490">
        <f t="shared" si="197"/>
        <v>0</v>
      </c>
      <c r="X490">
        <f t="shared" si="199"/>
        <v>0</v>
      </c>
      <c r="Y490">
        <f t="shared" si="200"/>
        <v>0</v>
      </c>
      <c r="Z490" t="s">
        <v>89</v>
      </c>
      <c r="AA490" s="5" t="s">
        <v>89</v>
      </c>
      <c r="AB490" s="5" t="s">
        <v>782</v>
      </c>
      <c r="AC490" t="s">
        <v>120</v>
      </c>
      <c r="AD490" t="s">
        <v>74</v>
      </c>
      <c r="AE490" s="5" t="s">
        <v>74</v>
      </c>
      <c r="AF490" t="s">
        <v>75</v>
      </c>
      <c r="AG490" t="s">
        <v>76</v>
      </c>
      <c r="AH490">
        <f t="shared" ref="AH490:AH491" si="212">AI490</f>
        <v>6.7722560000000001E-2</v>
      </c>
      <c r="AI490">
        <f t="shared" ref="AI490:AI491" si="213">AJ490</f>
        <v>6.7722560000000001E-2</v>
      </c>
      <c r="AJ490">
        <f t="shared" si="196"/>
        <v>6.7722560000000001E-2</v>
      </c>
      <c r="AK490">
        <v>6.7722560000000001E-2</v>
      </c>
      <c r="AL490">
        <v>8.6575343999999999E-2</v>
      </c>
      <c r="AM490">
        <v>9.4638949999999999E-2</v>
      </c>
      <c r="AN490">
        <v>0.10759148</v>
      </c>
      <c r="AO490">
        <v>93.227744000000001</v>
      </c>
      <c r="AP490">
        <v>91.342465599999997</v>
      </c>
      <c r="AQ490">
        <v>90.536105000000006</v>
      </c>
      <c r="AR490">
        <v>89.240852000000004</v>
      </c>
      <c r="AS490" t="b">
        <v>0</v>
      </c>
      <c r="AT490" t="b">
        <v>0</v>
      </c>
      <c r="AU490" t="s">
        <v>92</v>
      </c>
      <c r="AV490" t="s">
        <v>92</v>
      </c>
      <c r="AW490" t="s">
        <v>783</v>
      </c>
      <c r="AX490" t="s">
        <v>784</v>
      </c>
      <c r="AY490" t="s">
        <v>785</v>
      </c>
      <c r="AZ490" t="s">
        <v>109</v>
      </c>
      <c r="BA490">
        <v>4</v>
      </c>
      <c r="BB490">
        <v>0.3</v>
      </c>
      <c r="BC490">
        <v>4.6849314000000003E-2</v>
      </c>
      <c r="BD490">
        <v>4.5250577219970098E-3</v>
      </c>
      <c r="BE490">
        <v>5.1374371721996999E-2</v>
      </c>
      <c r="BF490">
        <f>IF(AK490&lt;BE490,1,0)</f>
        <v>0</v>
      </c>
      <c r="BG490">
        <f>IF(AK490&lt;BC490,1,0)</f>
        <v>0</v>
      </c>
      <c r="BH490">
        <f>VLOOKUP($B490,[1]Data_Peer_with_peerVars!$B$2:$Z$1050,20,FALSE)</f>
        <v>0</v>
      </c>
      <c r="BI490">
        <f>VLOOKUP($B490,[1]Data_Peer_with_peerVars!$B$2:$Z$1050,21,FALSE)</f>
        <v>0</v>
      </c>
      <c r="BJ490">
        <v>0</v>
      </c>
      <c r="BK490">
        <f>VLOOKUP($B490,[1]Data_Peer_with_peerVars!$B$2:$Z$1050,23,FALSE)</f>
        <v>5</v>
      </c>
      <c r="BL490">
        <f>VLOOKUP($B490,[1]Data_Peer_with_peerVars!$B$2:$Z$1050,24,FALSE)</f>
        <v>1</v>
      </c>
      <c r="BM490">
        <f>VLOOKUP($B490,[1]Data_Peer_with_peerVars!$B$2:$Z$1050,25,FALSE)</f>
        <v>0.2</v>
      </c>
    </row>
    <row r="491" spans="1:65" x14ac:dyDescent="0.2">
      <c r="A491">
        <v>1</v>
      </c>
      <c r="B491" t="s">
        <v>786</v>
      </c>
      <c r="C491">
        <v>263</v>
      </c>
      <c r="D491" t="s">
        <v>68</v>
      </c>
      <c r="E491">
        <v>0</v>
      </c>
      <c r="F491">
        <v>466</v>
      </c>
      <c r="G491" t="s">
        <v>97</v>
      </c>
      <c r="H491" s="1">
        <v>6</v>
      </c>
      <c r="I491" t="s">
        <v>70</v>
      </c>
      <c r="J491" t="s">
        <v>301</v>
      </c>
      <c r="K491" t="s">
        <v>109</v>
      </c>
      <c r="L491">
        <v>1</v>
      </c>
      <c r="M491">
        <v>1</v>
      </c>
      <c r="N491">
        <v>0</v>
      </c>
      <c r="O491">
        <v>0</v>
      </c>
      <c r="P491">
        <v>0</v>
      </c>
      <c r="Q491">
        <v>0</v>
      </c>
      <c r="R491">
        <v>0</v>
      </c>
      <c r="S491">
        <v>0</v>
      </c>
      <c r="T491">
        <v>0</v>
      </c>
      <c r="U491">
        <v>0</v>
      </c>
      <c r="V491">
        <f t="shared" si="194"/>
        <v>0</v>
      </c>
      <c r="W491">
        <f t="shared" si="197"/>
        <v>0</v>
      </c>
      <c r="X491">
        <f t="shared" si="199"/>
        <v>0</v>
      </c>
      <c r="Y491">
        <f t="shared" si="200"/>
        <v>0</v>
      </c>
      <c r="Z491" t="s">
        <v>89</v>
      </c>
      <c r="AA491" s="5" t="s">
        <v>89</v>
      </c>
      <c r="AB491" s="5" t="s">
        <v>787</v>
      </c>
      <c r="AC491" t="s">
        <v>73</v>
      </c>
      <c r="AD491" t="s">
        <v>91</v>
      </c>
      <c r="AE491" s="5" t="s">
        <v>91</v>
      </c>
      <c r="AF491" t="s">
        <v>94</v>
      </c>
      <c r="AG491" t="s">
        <v>137</v>
      </c>
      <c r="AH491">
        <f t="shared" si="212"/>
        <v>8.2378610000000005E-2</v>
      </c>
      <c r="AI491">
        <f t="shared" si="213"/>
        <v>8.2378610000000005E-2</v>
      </c>
      <c r="AJ491">
        <f t="shared" si="196"/>
        <v>8.2378610000000005E-2</v>
      </c>
      <c r="AK491">
        <v>8.2378610000000005E-2</v>
      </c>
      <c r="AL491">
        <v>8.9715530000000002E-2</v>
      </c>
      <c r="AM491">
        <v>0.13653741999999999</v>
      </c>
      <c r="AN491">
        <v>0.13954124000000001</v>
      </c>
      <c r="AO491">
        <v>91.762139000000005</v>
      </c>
      <c r="AP491">
        <v>91.028447</v>
      </c>
      <c r="AQ491">
        <v>86.346258000000006</v>
      </c>
      <c r="AR491">
        <v>86.045876000000007</v>
      </c>
      <c r="AS491" t="b">
        <v>0</v>
      </c>
      <c r="AT491" t="b">
        <v>0</v>
      </c>
      <c r="AU491" t="s">
        <v>92</v>
      </c>
      <c r="AV491" t="s">
        <v>92</v>
      </c>
      <c r="AW491" t="s">
        <v>783</v>
      </c>
      <c r="AX491" t="s">
        <v>784</v>
      </c>
      <c r="AY491" t="s">
        <v>785</v>
      </c>
      <c r="AZ491" t="s">
        <v>109</v>
      </c>
      <c r="BA491">
        <v>3</v>
      </c>
      <c r="BB491">
        <v>0.7</v>
      </c>
      <c r="BC491">
        <v>4.1163553999999996E-3</v>
      </c>
      <c r="BD491">
        <v>1.4279989108178799E-4</v>
      </c>
      <c r="BE491">
        <v>4.2591552910817903E-3</v>
      </c>
      <c r="BF491">
        <f>IF(AK491&lt;BE491,1,0)</f>
        <v>0</v>
      </c>
      <c r="BG491">
        <f>IF(AK491&lt;BC491,1,0)</f>
        <v>0</v>
      </c>
      <c r="BH491">
        <f>VLOOKUP($B491,[1]Data_Peer_with_peerVars!$B$2:$Z$1050,20,FALSE)</f>
        <v>0</v>
      </c>
      <c r="BI491">
        <f>VLOOKUP($B491,[1]Data_Peer_with_peerVars!$B$2:$Z$1050,21,FALSE)</f>
        <v>0</v>
      </c>
      <c r="BJ491">
        <v>0</v>
      </c>
      <c r="BK491">
        <f>VLOOKUP($B491,[1]Data_Peer_with_peerVars!$B$2:$Z$1050,23,FALSE)</f>
        <v>5</v>
      </c>
      <c r="BL491">
        <f>VLOOKUP($B491,[1]Data_Peer_with_peerVars!$B$2:$Z$1050,24,FALSE)</f>
        <v>1</v>
      </c>
      <c r="BM491">
        <f>VLOOKUP($B491,[1]Data_Peer_with_peerVars!$B$2:$Z$1050,25,FALSE)</f>
        <v>0.2</v>
      </c>
    </row>
    <row r="492" spans="1:65" x14ac:dyDescent="0.2">
      <c r="A492">
        <v>1</v>
      </c>
      <c r="B492" t="s">
        <v>788</v>
      </c>
      <c r="C492">
        <v>264</v>
      </c>
      <c r="D492" t="s">
        <v>68</v>
      </c>
      <c r="E492">
        <v>0</v>
      </c>
      <c r="F492">
        <v>467</v>
      </c>
      <c r="G492" t="s">
        <v>97</v>
      </c>
      <c r="H492" s="1">
        <v>7</v>
      </c>
      <c r="I492" t="s">
        <v>87</v>
      </c>
      <c r="J492" t="s">
        <v>150</v>
      </c>
      <c r="K492" t="s">
        <v>109</v>
      </c>
      <c r="L492">
        <v>2</v>
      </c>
      <c r="M492">
        <v>1</v>
      </c>
      <c r="N492">
        <v>1</v>
      </c>
      <c r="O492">
        <v>0</v>
      </c>
      <c r="P492">
        <v>0</v>
      </c>
      <c r="Q492">
        <v>1</v>
      </c>
      <c r="R492">
        <v>0</v>
      </c>
      <c r="S492">
        <v>0</v>
      </c>
      <c r="T492">
        <v>1</v>
      </c>
      <c r="U492">
        <v>1</v>
      </c>
      <c r="V492">
        <f t="shared" si="194"/>
        <v>1</v>
      </c>
      <c r="W492">
        <v>1</v>
      </c>
      <c r="X492">
        <v>1</v>
      </c>
      <c r="Y492">
        <v>1</v>
      </c>
      <c r="Z492" t="s">
        <v>73</v>
      </c>
      <c r="AA492" s="5" t="s">
        <v>73</v>
      </c>
      <c r="AB492" s="5" t="s">
        <v>73</v>
      </c>
      <c r="AC492" t="s">
        <v>73</v>
      </c>
      <c r="AD492" t="s">
        <v>94</v>
      </c>
      <c r="AE492" s="5" t="s">
        <v>106</v>
      </c>
      <c r="AF492" t="s">
        <v>107</v>
      </c>
      <c r="AG492" t="s">
        <v>95</v>
      </c>
      <c r="AH492">
        <f>AI492</f>
        <v>3.8167940000000001E-3</v>
      </c>
      <c r="AI492">
        <f>AJ492</f>
        <v>3.8167940000000001E-3</v>
      </c>
      <c r="AJ492">
        <f t="shared" si="196"/>
        <v>3.8167940000000001E-3</v>
      </c>
      <c r="AK492">
        <v>3.8167940000000001E-3</v>
      </c>
      <c r="AL492">
        <v>0.13196722</v>
      </c>
      <c r="AM492">
        <v>0.13623904000000001</v>
      </c>
      <c r="AN492">
        <v>0.13894967999999999</v>
      </c>
      <c r="AO492">
        <v>99.618320600000004</v>
      </c>
      <c r="AP492">
        <v>86.803278000000006</v>
      </c>
      <c r="AQ492">
        <v>86.376096000000004</v>
      </c>
      <c r="AR492">
        <v>86.105031999999994</v>
      </c>
      <c r="AS492" t="b">
        <v>1</v>
      </c>
      <c r="AT492" t="b">
        <v>0</v>
      </c>
      <c r="AU492" t="s">
        <v>77</v>
      </c>
      <c r="AV492" t="s">
        <v>108</v>
      </c>
      <c r="AW492" t="s">
        <v>783</v>
      </c>
      <c r="AX492" t="s">
        <v>784</v>
      </c>
      <c r="AY492" t="s">
        <v>785</v>
      </c>
      <c r="AZ492" t="s">
        <v>109</v>
      </c>
      <c r="BA492">
        <v>3</v>
      </c>
      <c r="BB492">
        <v>0.7</v>
      </c>
      <c r="BC492">
        <v>4.1163553999999996E-3</v>
      </c>
      <c r="BD492">
        <v>1.4279989108178799E-4</v>
      </c>
      <c r="BE492">
        <v>4.2591552910817903E-3</v>
      </c>
      <c r="BF492">
        <f>IF(AK492&lt;BE492,1,0)</f>
        <v>1</v>
      </c>
      <c r="BG492">
        <f>IF(AK492&lt;BC492,1,0)</f>
        <v>1</v>
      </c>
    </row>
    <row r="493" spans="1:65" x14ac:dyDescent="0.2">
      <c r="A493">
        <v>1</v>
      </c>
      <c r="B493" t="s">
        <v>789</v>
      </c>
      <c r="C493">
        <v>264</v>
      </c>
      <c r="D493" t="s">
        <v>68</v>
      </c>
      <c r="E493">
        <v>0</v>
      </c>
      <c r="F493">
        <v>467</v>
      </c>
      <c r="G493" t="s">
        <v>97</v>
      </c>
      <c r="H493" s="1">
        <v>7</v>
      </c>
      <c r="I493" t="s">
        <v>87</v>
      </c>
      <c r="J493" t="s">
        <v>150</v>
      </c>
      <c r="K493" t="s">
        <v>109</v>
      </c>
      <c r="L493">
        <v>2</v>
      </c>
      <c r="M493">
        <v>1</v>
      </c>
      <c r="N493">
        <v>1</v>
      </c>
      <c r="O493">
        <v>0</v>
      </c>
      <c r="P493">
        <v>0</v>
      </c>
      <c r="Q493">
        <v>1</v>
      </c>
      <c r="R493">
        <v>1</v>
      </c>
      <c r="S493">
        <v>1</v>
      </c>
      <c r="T493">
        <v>1</v>
      </c>
      <c r="U493">
        <v>1</v>
      </c>
      <c r="V493">
        <f t="shared" si="194"/>
        <v>0</v>
      </c>
      <c r="W493">
        <f t="shared" si="197"/>
        <v>0</v>
      </c>
      <c r="X493">
        <f t="shared" si="199"/>
        <v>0</v>
      </c>
      <c r="Y493">
        <f t="shared" si="200"/>
        <v>0</v>
      </c>
      <c r="Z493" t="s">
        <v>89</v>
      </c>
      <c r="AA493" s="5" t="s">
        <v>273</v>
      </c>
      <c r="AB493" s="5" t="s">
        <v>790</v>
      </c>
      <c r="AC493" t="s">
        <v>174</v>
      </c>
      <c r="AD493" t="s">
        <v>173</v>
      </c>
      <c r="AE493" s="5" t="s">
        <v>506</v>
      </c>
      <c r="AF493" t="s">
        <v>198</v>
      </c>
      <c r="AG493" t="s">
        <v>196</v>
      </c>
      <c r="AH493">
        <f t="shared" ref="AH493:AH494" si="214">AI493</f>
        <v>2.8415300000000001E-2</v>
      </c>
      <c r="AI493">
        <f t="shared" ref="AI493:AI494" si="215">AJ493</f>
        <v>2.8415300000000001E-2</v>
      </c>
      <c r="AJ493">
        <f t="shared" si="196"/>
        <v>2.8415300000000001E-2</v>
      </c>
      <c r="AK493">
        <v>2.8415300000000001E-2</v>
      </c>
      <c r="AL493">
        <v>3.4642662999999997E-2</v>
      </c>
      <c r="AM493">
        <v>3.8651316999999998E-2</v>
      </c>
      <c r="AN493">
        <v>4.0547945000000002E-2</v>
      </c>
      <c r="AO493">
        <v>97.158469999999994</v>
      </c>
      <c r="AP493">
        <v>96.535733699999994</v>
      </c>
      <c r="AQ493">
        <v>96.134868299999994</v>
      </c>
      <c r="AR493">
        <v>95.9452055</v>
      </c>
      <c r="AS493" t="b">
        <v>0</v>
      </c>
      <c r="AT493" t="b">
        <v>0</v>
      </c>
      <c r="AU493" t="s">
        <v>92</v>
      </c>
      <c r="AV493" t="s">
        <v>92</v>
      </c>
      <c r="AW493" t="s">
        <v>783</v>
      </c>
      <c r="AX493" t="s">
        <v>784</v>
      </c>
      <c r="AY493" t="s">
        <v>785</v>
      </c>
      <c r="AZ493" t="s">
        <v>72</v>
      </c>
      <c r="BA493" t="s">
        <v>82</v>
      </c>
      <c r="BB493">
        <v>0.7</v>
      </c>
      <c r="BC493">
        <v>6.6481995999999998E-3</v>
      </c>
      <c r="BD493">
        <v>2.8322716361753601E-4</v>
      </c>
      <c r="BE493">
        <v>6.9314267636175399E-3</v>
      </c>
      <c r="BF493">
        <f>IF(AK493&lt;BE493,1,0)</f>
        <v>0</v>
      </c>
      <c r="BG493">
        <f>IF(AK493&lt;BC493,1,0)</f>
        <v>0</v>
      </c>
    </row>
    <row r="494" spans="1:65" x14ac:dyDescent="0.2">
      <c r="A494">
        <v>1</v>
      </c>
      <c r="B494" t="s">
        <v>791</v>
      </c>
      <c r="C494">
        <v>265</v>
      </c>
      <c r="D494" t="s">
        <v>68</v>
      </c>
      <c r="E494">
        <v>0</v>
      </c>
      <c r="F494">
        <v>496</v>
      </c>
      <c r="G494" t="s">
        <v>97</v>
      </c>
      <c r="H494" s="1">
        <v>7</v>
      </c>
      <c r="I494" t="s">
        <v>87</v>
      </c>
      <c r="J494" t="s">
        <v>792</v>
      </c>
      <c r="K494" t="s">
        <v>109</v>
      </c>
      <c r="L494">
        <v>1</v>
      </c>
      <c r="M494">
        <v>1</v>
      </c>
      <c r="N494">
        <v>0</v>
      </c>
      <c r="O494">
        <v>0</v>
      </c>
      <c r="P494">
        <v>0</v>
      </c>
      <c r="Q494">
        <v>6</v>
      </c>
      <c r="R494">
        <v>0</v>
      </c>
      <c r="S494">
        <v>0</v>
      </c>
      <c r="T494">
        <v>0</v>
      </c>
      <c r="U494">
        <v>0</v>
      </c>
      <c r="V494">
        <f t="shared" si="194"/>
        <v>0</v>
      </c>
      <c r="W494">
        <f t="shared" si="197"/>
        <v>0</v>
      </c>
      <c r="X494">
        <f t="shared" si="199"/>
        <v>0</v>
      </c>
      <c r="Y494">
        <f t="shared" si="200"/>
        <v>0</v>
      </c>
      <c r="Z494" t="s">
        <v>89</v>
      </c>
      <c r="AA494" s="5" t="s">
        <v>89</v>
      </c>
      <c r="AB494" s="5" t="s">
        <v>793</v>
      </c>
      <c r="AC494" t="s">
        <v>120</v>
      </c>
      <c r="AD494" t="s">
        <v>167</v>
      </c>
      <c r="AE494" s="5" t="s">
        <v>468</v>
      </c>
      <c r="AF494" t="s">
        <v>102</v>
      </c>
      <c r="AG494" t="s">
        <v>74</v>
      </c>
      <c r="AH494">
        <f t="shared" si="214"/>
        <v>0.11932129399999999</v>
      </c>
      <c r="AI494">
        <f t="shared" si="215"/>
        <v>0.11932129399999999</v>
      </c>
      <c r="AJ494">
        <f t="shared" si="196"/>
        <v>0.11932129399999999</v>
      </c>
      <c r="AK494">
        <v>0.11932129399999999</v>
      </c>
      <c r="AL494">
        <v>0.12129528000000001</v>
      </c>
      <c r="AM494">
        <v>0.12786885000000001</v>
      </c>
      <c r="AN494">
        <v>0.1319254</v>
      </c>
      <c r="AO494">
        <v>88.067870600000006</v>
      </c>
      <c r="AP494">
        <v>87.870472000000007</v>
      </c>
      <c r="AQ494">
        <v>87.213115000000002</v>
      </c>
      <c r="AR494">
        <v>86.807460000000006</v>
      </c>
      <c r="AS494" t="b">
        <v>0</v>
      </c>
      <c r="AT494" t="b">
        <v>0</v>
      </c>
      <c r="AU494" t="s">
        <v>92</v>
      </c>
      <c r="AV494" t="s">
        <v>92</v>
      </c>
      <c r="AW494" t="s">
        <v>783</v>
      </c>
      <c r="AX494" t="s">
        <v>784</v>
      </c>
      <c r="AY494" t="s">
        <v>794</v>
      </c>
      <c r="AZ494" t="s">
        <v>109</v>
      </c>
      <c r="BA494">
        <v>2</v>
      </c>
      <c r="BB494">
        <v>0.112</v>
      </c>
      <c r="BC494">
        <v>4.6849314000000003E-2</v>
      </c>
      <c r="BD494">
        <v>4.5250577219970098E-3</v>
      </c>
      <c r="BE494">
        <v>5.1374371721996999E-2</v>
      </c>
      <c r="BF494">
        <f>IF(AK494&lt;BE494,1,0)</f>
        <v>0</v>
      </c>
      <c r="BG494">
        <f>IF(AK494&lt;BC494,1,0)</f>
        <v>0</v>
      </c>
      <c r="BH494">
        <f>VLOOKUP($B494,[1]Data_Peer_with_peerVars!$B$2:$Z$1050,20,FALSE)</f>
        <v>2</v>
      </c>
      <c r="BI494">
        <f>VLOOKUP($B494,[1]Data_Peer_with_peerVars!$B$2:$Z$1050,21,FALSE)</f>
        <v>2</v>
      </c>
      <c r="BJ494">
        <f>VLOOKUP($B494,[1]Data_Peer_with_peerVars!$B$2:$Z$1050,22,FALSE)</f>
        <v>1</v>
      </c>
      <c r="BK494">
        <f>VLOOKUP($B494,[1]Data_Peer_with_peerVars!$B$2:$Z$1050,23,FALSE)</f>
        <v>9</v>
      </c>
      <c r="BL494">
        <f>VLOOKUP($B494,[1]Data_Peer_with_peerVars!$B$2:$Z$1050,24,FALSE)</f>
        <v>3</v>
      </c>
      <c r="BM494">
        <f>VLOOKUP($B494,[1]Data_Peer_with_peerVars!$B$2:$Z$1050,25,FALSE)</f>
        <v>0.33333333300000001</v>
      </c>
    </row>
    <row r="495" spans="1:65" x14ac:dyDescent="0.2">
      <c r="A495">
        <v>1</v>
      </c>
      <c r="B495" t="s">
        <v>795</v>
      </c>
      <c r="C495">
        <v>266</v>
      </c>
      <c r="D495" t="s">
        <v>68</v>
      </c>
      <c r="E495">
        <v>0</v>
      </c>
      <c r="F495">
        <v>503</v>
      </c>
      <c r="G495" t="s">
        <v>97</v>
      </c>
      <c r="H495" s="1">
        <v>6</v>
      </c>
      <c r="I495" t="s">
        <v>70</v>
      </c>
      <c r="J495" t="s">
        <v>436</v>
      </c>
      <c r="K495" t="s">
        <v>72</v>
      </c>
      <c r="L495">
        <v>1</v>
      </c>
      <c r="M495">
        <v>0</v>
      </c>
      <c r="N495">
        <v>0</v>
      </c>
      <c r="O495">
        <v>0</v>
      </c>
      <c r="P495">
        <v>0</v>
      </c>
      <c r="Q495">
        <v>4</v>
      </c>
      <c r="R495">
        <v>0</v>
      </c>
      <c r="S495">
        <v>0</v>
      </c>
      <c r="T495">
        <v>0</v>
      </c>
      <c r="U495">
        <v>0</v>
      </c>
      <c r="V495">
        <f t="shared" si="194"/>
        <v>1</v>
      </c>
      <c r="W495">
        <v>1</v>
      </c>
      <c r="X495">
        <v>1</v>
      </c>
      <c r="Y495">
        <v>1</v>
      </c>
      <c r="Z495" t="s">
        <v>73</v>
      </c>
      <c r="AA495" s="5" t="s">
        <v>73</v>
      </c>
      <c r="AB495" s="5" t="s">
        <v>73</v>
      </c>
      <c r="AC495" t="s">
        <v>73</v>
      </c>
      <c r="AD495" t="s">
        <v>75</v>
      </c>
      <c r="AE495" s="5" t="s">
        <v>75</v>
      </c>
      <c r="AF495" t="s">
        <v>94</v>
      </c>
      <c r="AG495" t="s">
        <v>137</v>
      </c>
      <c r="AH495">
        <f>AI495</f>
        <v>5.7828694999999999E-2</v>
      </c>
      <c r="AI495">
        <f>AJ495</f>
        <v>5.7828694999999999E-2</v>
      </c>
      <c r="AJ495">
        <f t="shared" si="196"/>
        <v>5.7828694999999999E-2</v>
      </c>
      <c r="AK495">
        <v>5.7828694999999999E-2</v>
      </c>
      <c r="AL495">
        <v>0.13457331</v>
      </c>
      <c r="AM495">
        <v>0.13954124000000001</v>
      </c>
      <c r="AN495">
        <v>0.14391044</v>
      </c>
      <c r="AO495">
        <v>94.217130499999996</v>
      </c>
      <c r="AP495">
        <v>86.542669000000004</v>
      </c>
      <c r="AQ495">
        <v>86.045876000000007</v>
      </c>
      <c r="AR495">
        <v>85.608956000000006</v>
      </c>
      <c r="AS495" t="b">
        <v>1</v>
      </c>
      <c r="AT495" t="b">
        <v>0</v>
      </c>
      <c r="AU495" t="s">
        <v>77</v>
      </c>
      <c r="AV495" t="s">
        <v>78</v>
      </c>
      <c r="AW495" t="s">
        <v>783</v>
      </c>
      <c r="AX495" t="s">
        <v>784</v>
      </c>
      <c r="AY495" t="s">
        <v>796</v>
      </c>
      <c r="AZ495" t="s">
        <v>72</v>
      </c>
      <c r="BA495" t="s">
        <v>82</v>
      </c>
      <c r="BB495">
        <v>1</v>
      </c>
      <c r="BC495">
        <v>4.1163553999999996E-3</v>
      </c>
      <c r="BD495">
        <v>1.4279989108178799E-4</v>
      </c>
      <c r="BE495">
        <v>4.2591552910817903E-3</v>
      </c>
      <c r="BF495">
        <f>IF(AK495&lt;BE495,1,0)</f>
        <v>0</v>
      </c>
      <c r="BG495">
        <f>IF(AK495&lt;BC495,1,0)</f>
        <v>0</v>
      </c>
      <c r="BH495">
        <f>VLOOKUP($B495,[1]Data_Peer_with_peerVars!$B$2:$Z$1050,20,FALSE)</f>
        <v>2</v>
      </c>
      <c r="BI495">
        <f>VLOOKUP($B495,[1]Data_Peer_with_peerVars!$B$2:$Z$1050,21,FALSE)</f>
        <v>1</v>
      </c>
      <c r="BJ495">
        <f>VLOOKUP($B495,[1]Data_Peer_with_peerVars!$B$2:$Z$1050,22,FALSE)</f>
        <v>0.5</v>
      </c>
      <c r="BK495">
        <f>VLOOKUP($B495,[1]Data_Peer_with_peerVars!$B$2:$Z$1050,23,FALSE)</f>
        <v>7</v>
      </c>
      <c r="BL495">
        <f>VLOOKUP($B495,[1]Data_Peer_with_peerVars!$B$2:$Z$1050,24,FALSE)</f>
        <v>2</v>
      </c>
      <c r="BM495">
        <f>VLOOKUP($B495,[1]Data_Peer_with_peerVars!$B$2:$Z$1050,25,FALSE)</f>
        <v>0.28571428599999998</v>
      </c>
    </row>
    <row r="496" spans="1:65" x14ac:dyDescent="0.2">
      <c r="A496">
        <v>1</v>
      </c>
      <c r="B496" t="s">
        <v>797</v>
      </c>
      <c r="C496">
        <v>267</v>
      </c>
      <c r="D496" t="s">
        <v>68</v>
      </c>
      <c r="E496">
        <v>0</v>
      </c>
      <c r="F496">
        <v>486</v>
      </c>
      <c r="G496" t="s">
        <v>97</v>
      </c>
      <c r="H496" s="1">
        <v>6</v>
      </c>
      <c r="I496" t="s">
        <v>70</v>
      </c>
      <c r="J496" t="s">
        <v>71</v>
      </c>
      <c r="L496">
        <v>2</v>
      </c>
      <c r="M496">
        <v>0</v>
      </c>
      <c r="N496">
        <v>1</v>
      </c>
      <c r="O496">
        <v>1</v>
      </c>
      <c r="P496">
        <v>1</v>
      </c>
      <c r="Q496">
        <v>6</v>
      </c>
      <c r="R496">
        <v>0</v>
      </c>
      <c r="S496">
        <v>0</v>
      </c>
      <c r="T496">
        <v>0</v>
      </c>
      <c r="U496">
        <v>0</v>
      </c>
      <c r="V496">
        <f t="shared" si="194"/>
        <v>0</v>
      </c>
      <c r="W496">
        <f t="shared" si="197"/>
        <v>0</v>
      </c>
      <c r="X496">
        <f t="shared" si="199"/>
        <v>0</v>
      </c>
      <c r="Y496">
        <f t="shared" si="200"/>
        <v>0</v>
      </c>
      <c r="Z496" t="s">
        <v>89</v>
      </c>
      <c r="AA496" s="5" t="s">
        <v>89</v>
      </c>
      <c r="AB496" s="5" t="s">
        <v>798</v>
      </c>
      <c r="AC496" t="s">
        <v>74</v>
      </c>
      <c r="AD496" t="s">
        <v>76</v>
      </c>
      <c r="AE496" s="5" t="s">
        <v>76</v>
      </c>
      <c r="AF496" t="s">
        <v>75</v>
      </c>
      <c r="AG496" t="s">
        <v>84</v>
      </c>
      <c r="AH496">
        <f t="shared" ref="AH496:AH497" si="216">AI496</f>
        <v>5.4031814999999997E-2</v>
      </c>
      <c r="AI496">
        <f t="shared" ref="AI496:AI497" si="217">AJ496</f>
        <v>5.4031814999999997E-2</v>
      </c>
      <c r="AJ496">
        <f t="shared" si="196"/>
        <v>5.4031814999999997E-2</v>
      </c>
      <c r="AK496">
        <v>5.4031814999999997E-2</v>
      </c>
      <c r="AL496">
        <v>6.9474839999999996E-2</v>
      </c>
      <c r="AM496">
        <v>0.103504926</v>
      </c>
      <c r="AN496">
        <v>0.10549451</v>
      </c>
      <c r="AO496">
        <v>94.596818499999998</v>
      </c>
      <c r="AP496">
        <v>93.052515999999997</v>
      </c>
      <c r="AQ496">
        <v>89.649507400000005</v>
      </c>
      <c r="AR496">
        <v>89.450548999999995</v>
      </c>
      <c r="AS496" t="b">
        <v>0</v>
      </c>
      <c r="AT496" t="b">
        <v>0</v>
      </c>
      <c r="AU496" t="s">
        <v>92</v>
      </c>
      <c r="AV496" t="s">
        <v>92</v>
      </c>
      <c r="AW496" t="s">
        <v>783</v>
      </c>
      <c r="AX496" t="s">
        <v>784</v>
      </c>
      <c r="AY496" t="s">
        <v>214</v>
      </c>
      <c r="AZ496" t="s">
        <v>89</v>
      </c>
      <c r="BA496" t="s">
        <v>82</v>
      </c>
      <c r="BB496">
        <v>0.08</v>
      </c>
      <c r="BC496">
        <v>2.4738868000000001E-3</v>
      </c>
      <c r="BD496">
        <v>1.4256942275279999E-4</v>
      </c>
      <c r="BE496">
        <v>2.6164562227527998E-3</v>
      </c>
      <c r="BF496">
        <f>IF(AK496&lt;BE496,1,0)</f>
        <v>0</v>
      </c>
      <c r="BG496">
        <f>IF(AK496&lt;BC496,1,0)</f>
        <v>0</v>
      </c>
    </row>
    <row r="497" spans="1:65" x14ac:dyDescent="0.2">
      <c r="A497">
        <v>1</v>
      </c>
      <c r="B497" t="s">
        <v>799</v>
      </c>
      <c r="C497">
        <v>269</v>
      </c>
      <c r="D497" t="s">
        <v>68</v>
      </c>
      <c r="E497">
        <v>0</v>
      </c>
      <c r="F497">
        <v>493</v>
      </c>
      <c r="G497" t="s">
        <v>97</v>
      </c>
      <c r="H497" s="1">
        <v>7</v>
      </c>
      <c r="I497" t="s">
        <v>70</v>
      </c>
      <c r="J497" t="s">
        <v>301</v>
      </c>
      <c r="K497" t="s">
        <v>109</v>
      </c>
      <c r="L497">
        <v>2</v>
      </c>
      <c r="M497">
        <v>0</v>
      </c>
      <c r="N497">
        <v>0</v>
      </c>
      <c r="O497">
        <v>0</v>
      </c>
      <c r="P497">
        <v>0</v>
      </c>
      <c r="Q497">
        <v>3</v>
      </c>
      <c r="R497">
        <v>0</v>
      </c>
      <c r="S497">
        <v>0</v>
      </c>
      <c r="T497">
        <v>0</v>
      </c>
      <c r="U497">
        <v>0</v>
      </c>
      <c r="V497">
        <f t="shared" si="194"/>
        <v>0</v>
      </c>
      <c r="W497">
        <f t="shared" si="197"/>
        <v>0</v>
      </c>
      <c r="X497">
        <f t="shared" si="199"/>
        <v>0</v>
      </c>
      <c r="Y497">
        <f t="shared" si="200"/>
        <v>0</v>
      </c>
      <c r="Z497" t="s">
        <v>76</v>
      </c>
      <c r="AA497" s="5" t="s">
        <v>76</v>
      </c>
      <c r="AB497" s="5" t="s">
        <v>76</v>
      </c>
      <c r="AC497" t="s">
        <v>120</v>
      </c>
      <c r="AD497" t="s">
        <v>74</v>
      </c>
      <c r="AE497" s="5" t="s">
        <v>74</v>
      </c>
      <c r="AF497" t="s">
        <v>75</v>
      </c>
      <c r="AG497" t="s">
        <v>167</v>
      </c>
      <c r="AH497">
        <f t="shared" si="216"/>
        <v>4.480874E-2</v>
      </c>
      <c r="AI497">
        <f t="shared" si="217"/>
        <v>4.480874E-2</v>
      </c>
      <c r="AJ497">
        <f t="shared" si="196"/>
        <v>4.480874E-2</v>
      </c>
      <c r="AK497">
        <v>4.480874E-2</v>
      </c>
      <c r="AL497">
        <v>8.7123290000000006E-2</v>
      </c>
      <c r="AM497">
        <v>9.7427479999999997E-2</v>
      </c>
      <c r="AN497">
        <v>0.10718202</v>
      </c>
      <c r="AO497">
        <v>95.519126</v>
      </c>
      <c r="AP497">
        <v>91.287671000000003</v>
      </c>
      <c r="AQ497">
        <v>90.257251999999994</v>
      </c>
      <c r="AR497">
        <v>89.281797999999995</v>
      </c>
      <c r="AS497" t="b">
        <v>0</v>
      </c>
      <c r="AT497" t="b">
        <v>0</v>
      </c>
      <c r="AU497" t="s">
        <v>77</v>
      </c>
      <c r="AV497" t="s">
        <v>77</v>
      </c>
      <c r="AW497" t="s">
        <v>783</v>
      </c>
      <c r="AX497" t="s">
        <v>784</v>
      </c>
      <c r="AY497" t="s">
        <v>214</v>
      </c>
      <c r="AZ497" t="s">
        <v>109</v>
      </c>
      <c r="BA497">
        <v>2</v>
      </c>
      <c r="BB497">
        <v>0.7</v>
      </c>
      <c r="BC497">
        <v>4.6849314000000003E-2</v>
      </c>
      <c r="BD497">
        <v>4.5250577219970098E-3</v>
      </c>
      <c r="BE497">
        <v>5.1374371721996999E-2</v>
      </c>
      <c r="BF497">
        <f>IF(AK497&lt;BE497,1,0)</f>
        <v>1</v>
      </c>
      <c r="BG497">
        <f>IF(AK497&lt;BC497,1,0)</f>
        <v>1</v>
      </c>
      <c r="BH497">
        <f>VLOOKUP($B497,[1]Data_Peer_with_peerVars!$B$2:$Z$1050,20,FALSE)</f>
        <v>0</v>
      </c>
      <c r="BI497">
        <f>VLOOKUP($B497,[1]Data_Peer_with_peerVars!$B$2:$Z$1050,21,FALSE)</f>
        <v>0</v>
      </c>
      <c r="BJ497">
        <v>0</v>
      </c>
      <c r="BK497">
        <f>VLOOKUP($B497,[1]Data_Peer_with_peerVars!$B$2:$Z$1050,23,FALSE)</f>
        <v>1</v>
      </c>
      <c r="BL497">
        <f>VLOOKUP($B497,[1]Data_Peer_with_peerVars!$B$2:$Z$1050,24,FALSE)</f>
        <v>0</v>
      </c>
      <c r="BM497">
        <f>VLOOKUP($B497,[1]Data_Peer_with_peerVars!$B$2:$Z$1050,25,FALSE)</f>
        <v>0</v>
      </c>
    </row>
    <row r="498" spans="1:65" x14ac:dyDescent="0.2">
      <c r="A498">
        <v>1</v>
      </c>
      <c r="B498" t="s">
        <v>800</v>
      </c>
      <c r="C498">
        <v>269</v>
      </c>
      <c r="D498" t="s">
        <v>68</v>
      </c>
      <c r="E498">
        <v>0</v>
      </c>
      <c r="F498">
        <v>493</v>
      </c>
      <c r="G498" t="s">
        <v>97</v>
      </c>
      <c r="H498" s="1">
        <v>7</v>
      </c>
      <c r="I498" t="s">
        <v>70</v>
      </c>
      <c r="J498" t="s">
        <v>301</v>
      </c>
      <c r="K498" t="s">
        <v>109</v>
      </c>
      <c r="L498">
        <v>2</v>
      </c>
      <c r="M498">
        <v>0</v>
      </c>
      <c r="N498">
        <v>0</v>
      </c>
      <c r="O498">
        <v>0</v>
      </c>
      <c r="P498">
        <v>0</v>
      </c>
      <c r="Q498">
        <v>3</v>
      </c>
      <c r="R498">
        <v>0</v>
      </c>
      <c r="S498">
        <v>0</v>
      </c>
      <c r="T498">
        <v>0</v>
      </c>
      <c r="U498">
        <v>0</v>
      </c>
      <c r="V498">
        <f t="shared" si="194"/>
        <v>1</v>
      </c>
      <c r="W498">
        <v>1</v>
      </c>
      <c r="X498">
        <v>1</v>
      </c>
      <c r="Y498">
        <v>1</v>
      </c>
      <c r="Z498" t="s">
        <v>287</v>
      </c>
      <c r="AA498" s="5" t="s">
        <v>287</v>
      </c>
      <c r="AB498" s="5" t="s">
        <v>287</v>
      </c>
      <c r="AC498" t="s">
        <v>287</v>
      </c>
      <c r="AD498" t="s">
        <v>137</v>
      </c>
      <c r="AE498" s="5" t="s">
        <v>305</v>
      </c>
      <c r="AF498" t="s">
        <v>91</v>
      </c>
      <c r="AG498" t="s">
        <v>113</v>
      </c>
      <c r="AH498">
        <f t="shared" ref="AH498:AI500" si="218">AI498</f>
        <v>4.2646255000000001E-2</v>
      </c>
      <c r="AI498">
        <f t="shared" si="218"/>
        <v>4.2646255000000001E-2</v>
      </c>
      <c r="AJ498">
        <f t="shared" si="196"/>
        <v>4.2646255000000001E-2</v>
      </c>
      <c r="AK498">
        <v>4.2646255000000001E-2</v>
      </c>
      <c r="AL498">
        <v>0.1131766</v>
      </c>
      <c r="AM498">
        <v>0.12513690999999999</v>
      </c>
      <c r="AN498">
        <v>0.12706271</v>
      </c>
      <c r="AO498">
        <v>95.735374500000006</v>
      </c>
      <c r="AP498">
        <v>88.682339999999996</v>
      </c>
      <c r="AQ498">
        <v>87.486309000000006</v>
      </c>
      <c r="AR498">
        <v>87.293728999999999</v>
      </c>
      <c r="AS498" t="b">
        <v>1</v>
      </c>
      <c r="AT498" t="b">
        <v>0</v>
      </c>
      <c r="AU498" t="s">
        <v>77</v>
      </c>
      <c r="AV498" t="s">
        <v>108</v>
      </c>
      <c r="AW498" t="s">
        <v>783</v>
      </c>
      <c r="AX498" t="s">
        <v>784</v>
      </c>
      <c r="AY498" t="s">
        <v>214</v>
      </c>
      <c r="AZ498" t="s">
        <v>109</v>
      </c>
      <c r="BA498">
        <v>3</v>
      </c>
      <c r="BB498">
        <v>0.7</v>
      </c>
      <c r="BC498">
        <v>5.5106750000000003E-2</v>
      </c>
      <c r="BD498">
        <v>2.4361461616194298E-3</v>
      </c>
      <c r="BE498">
        <v>5.7542896161619402E-2</v>
      </c>
      <c r="BF498">
        <f>IF(AK498&lt;BE498,1,0)</f>
        <v>1</v>
      </c>
      <c r="BG498">
        <f>IF(AK498&lt;BC498,1,0)</f>
        <v>1</v>
      </c>
      <c r="BH498">
        <f>VLOOKUP($B498,[1]Data_Peer_with_peerVars!$B$2:$Z$1050,20,FALSE)</f>
        <v>0</v>
      </c>
      <c r="BI498">
        <f>VLOOKUP($B498,[1]Data_Peer_with_peerVars!$B$2:$Z$1050,21,FALSE)</f>
        <v>0</v>
      </c>
      <c r="BJ498">
        <v>0</v>
      </c>
      <c r="BK498">
        <f>VLOOKUP($B498,[1]Data_Peer_with_peerVars!$B$2:$Z$1050,23,FALSE)</f>
        <v>1</v>
      </c>
      <c r="BL498">
        <f>VLOOKUP($B498,[1]Data_Peer_with_peerVars!$B$2:$Z$1050,24,FALSE)</f>
        <v>0</v>
      </c>
      <c r="BM498">
        <f>VLOOKUP($B498,[1]Data_Peer_with_peerVars!$B$2:$Z$1050,25,FALSE)</f>
        <v>0</v>
      </c>
    </row>
    <row r="499" spans="1:65" x14ac:dyDescent="0.2">
      <c r="A499">
        <v>1</v>
      </c>
      <c r="B499" t="s">
        <v>801</v>
      </c>
      <c r="C499">
        <v>270</v>
      </c>
      <c r="D499" t="s">
        <v>68</v>
      </c>
      <c r="E499">
        <v>0</v>
      </c>
      <c r="F499">
        <v>495</v>
      </c>
      <c r="G499" t="s">
        <v>97</v>
      </c>
      <c r="H499" s="1">
        <v>7</v>
      </c>
      <c r="I499" t="s">
        <v>87</v>
      </c>
      <c r="J499" t="s">
        <v>111</v>
      </c>
      <c r="K499" t="s">
        <v>109</v>
      </c>
      <c r="L499">
        <v>1</v>
      </c>
      <c r="M499">
        <v>0</v>
      </c>
      <c r="N499">
        <v>1</v>
      </c>
      <c r="O499">
        <v>0</v>
      </c>
      <c r="P499">
        <v>0</v>
      </c>
      <c r="Q499">
        <v>7</v>
      </c>
      <c r="R499">
        <v>0</v>
      </c>
      <c r="S499">
        <v>0</v>
      </c>
      <c r="T499">
        <v>0</v>
      </c>
      <c r="U499">
        <v>0</v>
      </c>
      <c r="V499">
        <f t="shared" si="194"/>
        <v>0</v>
      </c>
      <c r="W499">
        <f t="shared" si="197"/>
        <v>0</v>
      </c>
      <c r="X499">
        <f t="shared" si="199"/>
        <v>0</v>
      </c>
      <c r="Y499">
        <f t="shared" si="200"/>
        <v>0</v>
      </c>
      <c r="Z499" t="s">
        <v>91</v>
      </c>
      <c r="AA499" s="5" t="s">
        <v>91</v>
      </c>
      <c r="AB499" s="5" t="s">
        <v>802</v>
      </c>
      <c r="AC499" t="s">
        <v>74</v>
      </c>
      <c r="AD499" t="s">
        <v>75</v>
      </c>
      <c r="AE499" s="5" t="s">
        <v>75</v>
      </c>
      <c r="AF499" t="s">
        <v>76</v>
      </c>
      <c r="AG499" t="s">
        <v>120</v>
      </c>
      <c r="AH499">
        <f t="shared" si="218"/>
        <v>8.5024685000000003E-2</v>
      </c>
      <c r="AI499">
        <f t="shared" si="218"/>
        <v>8.5024685000000003E-2</v>
      </c>
      <c r="AJ499">
        <f t="shared" si="196"/>
        <v>8.5024685000000003E-2</v>
      </c>
      <c r="AK499">
        <v>8.5024685000000003E-2</v>
      </c>
      <c r="AL499">
        <v>8.7897039999999996E-2</v>
      </c>
      <c r="AM499">
        <v>0.1012035</v>
      </c>
      <c r="AN499">
        <v>0.11290322</v>
      </c>
      <c r="AO499">
        <v>91.497531499999994</v>
      </c>
      <c r="AP499">
        <v>91.210296</v>
      </c>
      <c r="AQ499">
        <v>89.879649999999998</v>
      </c>
      <c r="AR499">
        <v>88.709677999999997</v>
      </c>
      <c r="AS499" t="b">
        <v>0</v>
      </c>
      <c r="AT499" t="b">
        <v>0</v>
      </c>
      <c r="AU499" t="s">
        <v>77</v>
      </c>
      <c r="AV499" t="s">
        <v>77</v>
      </c>
      <c r="AW499" t="s">
        <v>783</v>
      </c>
      <c r="AX499" t="s">
        <v>784</v>
      </c>
      <c r="AY499" t="s">
        <v>214</v>
      </c>
      <c r="AZ499" t="s">
        <v>109</v>
      </c>
      <c r="BA499">
        <v>3</v>
      </c>
      <c r="BB499">
        <v>0.98</v>
      </c>
      <c r="BC499">
        <v>2.4738868000000001E-3</v>
      </c>
      <c r="BD499">
        <v>1.4256942275279999E-4</v>
      </c>
      <c r="BE499">
        <v>2.6164562227527998E-3</v>
      </c>
      <c r="BF499">
        <f>IF(AK499&lt;BE499,1,0)</f>
        <v>0</v>
      </c>
      <c r="BG499">
        <f>IF(AK499&lt;BC499,1,0)</f>
        <v>0</v>
      </c>
      <c r="BH499">
        <f>VLOOKUP($B499,[1]Data_Peer_with_peerVars!$B$2:$Z$1050,20,FALSE)</f>
        <v>0</v>
      </c>
      <c r="BI499">
        <f>VLOOKUP($B499,[1]Data_Peer_with_peerVars!$B$2:$Z$1050,21,FALSE)</f>
        <v>0</v>
      </c>
      <c r="BJ499">
        <v>0</v>
      </c>
      <c r="BK499">
        <f>VLOOKUP($B499,[1]Data_Peer_with_peerVars!$B$2:$Z$1050,23,FALSE)</f>
        <v>2</v>
      </c>
      <c r="BL499">
        <f>VLOOKUP($B499,[1]Data_Peer_with_peerVars!$B$2:$Z$1050,24,FALSE)</f>
        <v>1</v>
      </c>
      <c r="BM499">
        <f>VLOOKUP($B499,[1]Data_Peer_with_peerVars!$B$2:$Z$1050,25,FALSE)</f>
        <v>0.5</v>
      </c>
    </row>
    <row r="500" spans="1:65" x14ac:dyDescent="0.2">
      <c r="A500">
        <v>1</v>
      </c>
      <c r="B500" t="s">
        <v>803</v>
      </c>
      <c r="C500">
        <v>273</v>
      </c>
      <c r="D500" t="s">
        <v>68</v>
      </c>
      <c r="E500">
        <v>1</v>
      </c>
      <c r="F500">
        <v>514</v>
      </c>
      <c r="G500" t="s">
        <v>86</v>
      </c>
      <c r="H500" s="1">
        <v>7</v>
      </c>
      <c r="I500" t="s">
        <v>70</v>
      </c>
      <c r="J500" t="s">
        <v>301</v>
      </c>
      <c r="K500" t="s">
        <v>109</v>
      </c>
      <c r="L500">
        <v>1</v>
      </c>
      <c r="M500">
        <v>0</v>
      </c>
      <c r="N500">
        <v>1</v>
      </c>
      <c r="O500">
        <v>0</v>
      </c>
      <c r="P500">
        <v>0</v>
      </c>
      <c r="Q500">
        <v>6</v>
      </c>
      <c r="R500">
        <v>0</v>
      </c>
      <c r="S500">
        <v>0</v>
      </c>
      <c r="T500">
        <v>1</v>
      </c>
      <c r="U500">
        <v>1</v>
      </c>
      <c r="V500">
        <f t="shared" si="194"/>
        <v>1</v>
      </c>
      <c r="W500">
        <v>1</v>
      </c>
      <c r="X500">
        <v>1</v>
      </c>
      <c r="Y500">
        <v>1</v>
      </c>
      <c r="Z500" t="s">
        <v>73</v>
      </c>
      <c r="AA500" s="5" t="s">
        <v>73</v>
      </c>
      <c r="AB500" s="5" t="s">
        <v>73</v>
      </c>
      <c r="AC500" t="s">
        <v>73</v>
      </c>
      <c r="AD500" t="s">
        <v>94</v>
      </c>
      <c r="AE500" s="5" t="s">
        <v>106</v>
      </c>
      <c r="AF500" t="s">
        <v>107</v>
      </c>
      <c r="AG500" t="s">
        <v>95</v>
      </c>
      <c r="AH500">
        <f t="shared" si="218"/>
        <v>4.0961225000000004E-3</v>
      </c>
      <c r="AI500">
        <f t="shared" si="218"/>
        <v>4.0961225000000004E-3</v>
      </c>
      <c r="AJ500">
        <f t="shared" si="196"/>
        <v>4.0961225000000004E-3</v>
      </c>
      <c r="AK500">
        <v>4.0961225000000004E-3</v>
      </c>
      <c r="AL500">
        <v>0.13163656000000001</v>
      </c>
      <c r="AM500">
        <v>0.13673805999999999</v>
      </c>
      <c r="AN500">
        <v>0.13890411</v>
      </c>
      <c r="AO500">
        <v>99.590387750000005</v>
      </c>
      <c r="AP500">
        <v>86.836343999999997</v>
      </c>
      <c r="AQ500">
        <v>86.326194000000001</v>
      </c>
      <c r="AR500">
        <v>86.109589</v>
      </c>
      <c r="AS500" t="b">
        <v>1</v>
      </c>
      <c r="AT500" t="b">
        <v>0</v>
      </c>
      <c r="AU500" t="s">
        <v>77</v>
      </c>
      <c r="AV500" t="s">
        <v>108</v>
      </c>
      <c r="AW500" t="s">
        <v>783</v>
      </c>
      <c r="AX500" t="s">
        <v>804</v>
      </c>
      <c r="AY500" t="s">
        <v>805</v>
      </c>
      <c r="AZ500" t="s">
        <v>109</v>
      </c>
      <c r="BA500">
        <v>0</v>
      </c>
      <c r="BB500">
        <v>11</v>
      </c>
      <c r="BC500">
        <v>4.1163553999999996E-3</v>
      </c>
      <c r="BD500">
        <v>1.4279989108178799E-4</v>
      </c>
      <c r="BE500">
        <v>4.2591552910817903E-3</v>
      </c>
      <c r="BF500">
        <f>IF(AK500&lt;BE500,1,0)</f>
        <v>1</v>
      </c>
      <c r="BG500">
        <f>IF(AK500&lt;BC500,1,0)</f>
        <v>1</v>
      </c>
      <c r="BH500">
        <f>VLOOKUP($B500,[1]Data_Peer_with_peerVars!$B$2:$Z$1050,20,FALSE)</f>
        <v>1</v>
      </c>
      <c r="BI500">
        <f>VLOOKUP($B500,[1]Data_Peer_with_peerVars!$B$2:$Z$1050,21,FALSE)</f>
        <v>1</v>
      </c>
      <c r="BJ500">
        <f>VLOOKUP($B500,[1]Data_Peer_with_peerVars!$B$2:$Z$1050,22,FALSE)</f>
        <v>1</v>
      </c>
      <c r="BK500">
        <f>VLOOKUP($B500,[1]Data_Peer_with_peerVars!$B$2:$Z$1050,23,FALSE)</f>
        <v>1</v>
      </c>
      <c r="BL500">
        <f>VLOOKUP($B500,[1]Data_Peer_with_peerVars!$B$2:$Z$1050,24,FALSE)</f>
        <v>1</v>
      </c>
      <c r="BM500">
        <f>VLOOKUP($B500,[1]Data_Peer_with_peerVars!$B$2:$Z$1050,25,FALSE)</f>
        <v>1</v>
      </c>
    </row>
    <row r="501" spans="1:65" x14ac:dyDescent="0.2">
      <c r="A501">
        <v>1</v>
      </c>
      <c r="B501" t="s">
        <v>806</v>
      </c>
      <c r="C501">
        <v>273</v>
      </c>
      <c r="D501" t="s">
        <v>68</v>
      </c>
      <c r="E501">
        <v>1</v>
      </c>
      <c r="F501">
        <v>514</v>
      </c>
      <c r="G501" t="s">
        <v>86</v>
      </c>
      <c r="H501" s="1">
        <v>7</v>
      </c>
      <c r="I501" t="s">
        <v>70</v>
      </c>
      <c r="J501" t="s">
        <v>301</v>
      </c>
      <c r="K501" t="s">
        <v>109</v>
      </c>
      <c r="L501">
        <v>1</v>
      </c>
      <c r="M501">
        <v>0</v>
      </c>
      <c r="N501">
        <v>1</v>
      </c>
      <c r="O501">
        <v>0</v>
      </c>
      <c r="P501">
        <v>0</v>
      </c>
      <c r="Q501">
        <v>6</v>
      </c>
      <c r="R501">
        <v>0</v>
      </c>
      <c r="S501">
        <v>0</v>
      </c>
      <c r="T501">
        <v>1</v>
      </c>
      <c r="U501">
        <v>1</v>
      </c>
      <c r="V501">
        <f t="shared" si="194"/>
        <v>0</v>
      </c>
      <c r="W501">
        <f t="shared" si="197"/>
        <v>0</v>
      </c>
      <c r="X501">
        <f t="shared" si="199"/>
        <v>0</v>
      </c>
      <c r="Y501">
        <f t="shared" si="200"/>
        <v>0</v>
      </c>
      <c r="Z501" t="s">
        <v>114</v>
      </c>
      <c r="AA501" s="5" t="s">
        <v>114</v>
      </c>
      <c r="AB501" s="5" t="s">
        <v>807</v>
      </c>
      <c r="AC501" t="s">
        <v>73</v>
      </c>
      <c r="AD501" t="s">
        <v>94</v>
      </c>
      <c r="AE501" s="5" t="s">
        <v>106</v>
      </c>
      <c r="AF501" t="s">
        <v>107</v>
      </c>
      <c r="AG501" t="s">
        <v>95</v>
      </c>
      <c r="AH501">
        <f t="shared" ref="AH501:AH504" si="219">AI501</f>
        <v>3.8167940000000001E-3</v>
      </c>
      <c r="AI501">
        <f t="shared" ref="AI501:AI504" si="220">AJ501</f>
        <v>3.8167940000000001E-3</v>
      </c>
      <c r="AJ501">
        <f t="shared" si="196"/>
        <v>3.8167940000000001E-3</v>
      </c>
      <c r="AK501">
        <v>3.8167940000000001E-3</v>
      </c>
      <c r="AL501">
        <v>0.13169399000000001</v>
      </c>
      <c r="AM501">
        <v>0.13760965</v>
      </c>
      <c r="AN501">
        <v>0.13949671</v>
      </c>
      <c r="AO501">
        <v>99.618320600000004</v>
      </c>
      <c r="AP501">
        <v>86.830601000000001</v>
      </c>
      <c r="AQ501">
        <v>86.239035000000001</v>
      </c>
      <c r="AR501">
        <v>86.050329000000005</v>
      </c>
      <c r="AS501" t="b">
        <v>0</v>
      </c>
      <c r="AT501" t="b">
        <v>0</v>
      </c>
      <c r="AU501" t="s">
        <v>92</v>
      </c>
      <c r="AV501" t="s">
        <v>92</v>
      </c>
      <c r="AW501" t="s">
        <v>783</v>
      </c>
      <c r="AX501" t="s">
        <v>804</v>
      </c>
      <c r="AY501" t="s">
        <v>805</v>
      </c>
      <c r="AZ501" t="s">
        <v>72</v>
      </c>
      <c r="BA501" t="s">
        <v>82</v>
      </c>
      <c r="BB501">
        <v>5</v>
      </c>
      <c r="BC501">
        <v>4.1163553999999996E-3</v>
      </c>
      <c r="BD501">
        <v>1.4279989108178799E-4</v>
      </c>
      <c r="BE501">
        <v>4.2591552910817903E-3</v>
      </c>
      <c r="BF501">
        <f>IF(AK501&lt;BE501,1,0)</f>
        <v>1</v>
      </c>
      <c r="BG501">
        <f>IF(AK501&lt;BC501,1,0)</f>
        <v>1</v>
      </c>
      <c r="BH501">
        <f>VLOOKUP($B501,[1]Data_Peer_with_peerVars!$B$2:$Z$1050,20,FALSE)</f>
        <v>1</v>
      </c>
      <c r="BI501">
        <f>VLOOKUP($B501,[1]Data_Peer_with_peerVars!$B$2:$Z$1050,21,FALSE)</f>
        <v>1</v>
      </c>
      <c r="BJ501">
        <f>VLOOKUP($B501,[1]Data_Peer_with_peerVars!$B$2:$Z$1050,22,FALSE)</f>
        <v>1</v>
      </c>
      <c r="BK501">
        <f>VLOOKUP($B501,[1]Data_Peer_with_peerVars!$B$2:$Z$1050,23,FALSE)</f>
        <v>1</v>
      </c>
      <c r="BL501">
        <f>VLOOKUP($B501,[1]Data_Peer_with_peerVars!$B$2:$Z$1050,24,FALSE)</f>
        <v>1</v>
      </c>
      <c r="BM501">
        <f>VLOOKUP($B501,[1]Data_Peer_with_peerVars!$B$2:$Z$1050,25,FALSE)</f>
        <v>1</v>
      </c>
    </row>
    <row r="502" spans="1:65" x14ac:dyDescent="0.2">
      <c r="A502">
        <v>1</v>
      </c>
      <c r="B502" t="s">
        <v>808</v>
      </c>
      <c r="C502">
        <v>273</v>
      </c>
      <c r="D502" t="s">
        <v>68</v>
      </c>
      <c r="E502">
        <v>1</v>
      </c>
      <c r="F502">
        <v>514</v>
      </c>
      <c r="G502" t="s">
        <v>86</v>
      </c>
      <c r="H502" s="1">
        <v>7</v>
      </c>
      <c r="I502" t="s">
        <v>70</v>
      </c>
      <c r="J502" t="s">
        <v>301</v>
      </c>
      <c r="K502" t="s">
        <v>109</v>
      </c>
      <c r="L502">
        <v>1</v>
      </c>
      <c r="M502">
        <v>0</v>
      </c>
      <c r="N502">
        <v>1</v>
      </c>
      <c r="O502">
        <v>0</v>
      </c>
      <c r="P502">
        <v>0</v>
      </c>
      <c r="Q502">
        <v>6</v>
      </c>
      <c r="R502">
        <v>0</v>
      </c>
      <c r="S502">
        <v>1</v>
      </c>
      <c r="T502">
        <v>1</v>
      </c>
      <c r="U502">
        <v>1</v>
      </c>
      <c r="V502">
        <f t="shared" si="194"/>
        <v>0</v>
      </c>
      <c r="W502">
        <f t="shared" si="197"/>
        <v>0</v>
      </c>
      <c r="X502">
        <f t="shared" si="199"/>
        <v>0</v>
      </c>
      <c r="Y502">
        <f t="shared" si="200"/>
        <v>0</v>
      </c>
      <c r="Z502" t="s">
        <v>76</v>
      </c>
      <c r="AA502" s="5" t="s">
        <v>76</v>
      </c>
      <c r="AB502" s="5" t="s">
        <v>76</v>
      </c>
      <c r="AC502" t="s">
        <v>114</v>
      </c>
      <c r="AD502" t="s">
        <v>107</v>
      </c>
      <c r="AE502" s="5" t="s">
        <v>107</v>
      </c>
      <c r="AF502" t="s">
        <v>113</v>
      </c>
      <c r="AG502" t="s">
        <v>95</v>
      </c>
      <c r="AH502">
        <f t="shared" si="219"/>
        <v>5.7228914999999998E-2</v>
      </c>
      <c r="AI502">
        <f t="shared" si="220"/>
        <v>5.7228914999999998E-2</v>
      </c>
      <c r="AJ502">
        <f t="shared" si="196"/>
        <v>5.7228914999999998E-2</v>
      </c>
      <c r="AK502">
        <v>5.7228914999999998E-2</v>
      </c>
      <c r="AL502">
        <v>0.13399231</v>
      </c>
      <c r="AM502">
        <v>0.14144193999999999</v>
      </c>
      <c r="AN502">
        <v>0.14191781000000001</v>
      </c>
      <c r="AO502">
        <v>94.277108499999997</v>
      </c>
      <c r="AP502">
        <v>86.600769</v>
      </c>
      <c r="AQ502">
        <v>85.855806000000001</v>
      </c>
      <c r="AR502">
        <v>85.808218999999994</v>
      </c>
      <c r="AS502" t="b">
        <v>0</v>
      </c>
      <c r="AT502" t="b">
        <v>0</v>
      </c>
      <c r="AU502" t="s">
        <v>77</v>
      </c>
      <c r="AV502" t="s">
        <v>78</v>
      </c>
      <c r="AW502" t="s">
        <v>783</v>
      </c>
      <c r="AX502" t="s">
        <v>804</v>
      </c>
      <c r="AY502" t="s">
        <v>805</v>
      </c>
      <c r="AZ502" t="s">
        <v>109</v>
      </c>
      <c r="BA502">
        <v>0</v>
      </c>
      <c r="BB502">
        <v>5</v>
      </c>
      <c r="BC502">
        <v>0.10657095</v>
      </c>
      <c r="BD502">
        <v>1.50860789700713E-2</v>
      </c>
      <c r="BE502">
        <v>0.121657028970071</v>
      </c>
      <c r="BF502">
        <f>IF(AK502&lt;BE502,1,0)</f>
        <v>1</v>
      </c>
      <c r="BG502">
        <f>IF(AK502&lt;BC502,1,0)</f>
        <v>1</v>
      </c>
      <c r="BH502">
        <f>VLOOKUP($B502,[1]Data_Peer_with_peerVars!$B$2:$Z$1050,20,FALSE)</f>
        <v>1</v>
      </c>
      <c r="BI502">
        <f>VLOOKUP($B502,[1]Data_Peer_with_peerVars!$B$2:$Z$1050,21,FALSE)</f>
        <v>1</v>
      </c>
      <c r="BJ502">
        <f>VLOOKUP($B502,[1]Data_Peer_with_peerVars!$B$2:$Z$1050,22,FALSE)</f>
        <v>1</v>
      </c>
      <c r="BK502">
        <f>VLOOKUP($B502,[1]Data_Peer_with_peerVars!$B$2:$Z$1050,23,FALSE)</f>
        <v>1</v>
      </c>
      <c r="BL502">
        <f>VLOOKUP($B502,[1]Data_Peer_with_peerVars!$B$2:$Z$1050,24,FALSE)</f>
        <v>1</v>
      </c>
      <c r="BM502">
        <f>VLOOKUP($B502,[1]Data_Peer_with_peerVars!$B$2:$Z$1050,25,FALSE)</f>
        <v>1</v>
      </c>
    </row>
    <row r="503" spans="1:65" x14ac:dyDescent="0.2">
      <c r="A503">
        <v>1</v>
      </c>
      <c r="B503" t="s">
        <v>809</v>
      </c>
      <c r="C503">
        <v>274</v>
      </c>
      <c r="D503" t="s">
        <v>68</v>
      </c>
      <c r="E503">
        <v>1</v>
      </c>
      <c r="F503">
        <v>557</v>
      </c>
      <c r="G503" t="s">
        <v>86</v>
      </c>
      <c r="H503" s="1">
        <v>7</v>
      </c>
      <c r="I503" t="s">
        <v>70</v>
      </c>
      <c r="J503" t="s">
        <v>301</v>
      </c>
      <c r="K503" t="s">
        <v>72</v>
      </c>
      <c r="L503">
        <v>1</v>
      </c>
      <c r="M503">
        <v>0</v>
      </c>
      <c r="N503">
        <v>0</v>
      </c>
      <c r="O503">
        <v>0</v>
      </c>
      <c r="P503">
        <v>0</v>
      </c>
      <c r="Q503">
        <v>6</v>
      </c>
      <c r="R503">
        <v>0</v>
      </c>
      <c r="S503">
        <v>0</v>
      </c>
      <c r="T503">
        <v>0</v>
      </c>
      <c r="U503">
        <v>0</v>
      </c>
      <c r="V503">
        <f t="shared" si="194"/>
        <v>1</v>
      </c>
      <c r="W503">
        <v>1</v>
      </c>
      <c r="X503">
        <v>1</v>
      </c>
      <c r="Y503">
        <v>1</v>
      </c>
      <c r="Z503" t="s">
        <v>75</v>
      </c>
      <c r="AA503" s="5" t="s">
        <v>75</v>
      </c>
      <c r="AB503" s="5" t="s">
        <v>75</v>
      </c>
      <c r="AC503" t="s">
        <v>75</v>
      </c>
      <c r="AD503" t="s">
        <v>120</v>
      </c>
      <c r="AE503" s="5" t="s">
        <v>810</v>
      </c>
      <c r="AF503" t="s">
        <v>74</v>
      </c>
      <c r="AG503" t="s">
        <v>167</v>
      </c>
      <c r="AH503">
        <f t="shared" si="219"/>
        <v>2.4644030000000001E-2</v>
      </c>
      <c r="AI503">
        <f t="shared" si="220"/>
        <v>2.4644030000000001E-2</v>
      </c>
      <c r="AJ503">
        <f t="shared" si="196"/>
        <v>2.4644030000000001E-2</v>
      </c>
      <c r="AK503">
        <v>2.4644030000000001E-2</v>
      </c>
      <c r="AL503">
        <v>9.7974820000000004E-2</v>
      </c>
      <c r="AM503">
        <v>9.8243689999999995E-2</v>
      </c>
      <c r="AN503">
        <v>0.108456895</v>
      </c>
      <c r="AO503">
        <v>97.535596999999996</v>
      </c>
      <c r="AP503">
        <v>90.202517999999998</v>
      </c>
      <c r="AQ503">
        <v>90.175630999999996</v>
      </c>
      <c r="AR503">
        <v>89.154310499999994</v>
      </c>
      <c r="AS503" t="b">
        <v>1</v>
      </c>
      <c r="AT503" t="b">
        <v>0</v>
      </c>
      <c r="AU503" t="s">
        <v>77</v>
      </c>
      <c r="AV503" t="s">
        <v>108</v>
      </c>
      <c r="AW503" t="s">
        <v>783</v>
      </c>
      <c r="AX503" t="s">
        <v>784</v>
      </c>
      <c r="AY503" t="s">
        <v>796</v>
      </c>
      <c r="AZ503" t="s">
        <v>72</v>
      </c>
      <c r="BA503" t="s">
        <v>82</v>
      </c>
      <c r="BB503">
        <v>0.04</v>
      </c>
      <c r="BC503">
        <v>2.3038946000000001E-2</v>
      </c>
      <c r="BD503">
        <v>2.6184719377746E-3</v>
      </c>
      <c r="BE503">
        <v>2.5657417937774599E-2</v>
      </c>
      <c r="BF503">
        <f>IF(AK503&lt;BE503,1,0)</f>
        <v>1</v>
      </c>
      <c r="BG503">
        <f>IF(AK503&lt;BC503,1,0)</f>
        <v>0</v>
      </c>
      <c r="BH503">
        <f>VLOOKUP($B503,[1]Data_Peer_with_peerVars!$B$2:$Z$1050,20,FALSE)</f>
        <v>3</v>
      </c>
      <c r="BI503">
        <f>VLOOKUP($B503,[1]Data_Peer_with_peerVars!$B$2:$Z$1050,21,FALSE)</f>
        <v>1</v>
      </c>
      <c r="BJ503">
        <f>VLOOKUP($B503,[1]Data_Peer_with_peerVars!$B$2:$Z$1050,22,FALSE)</f>
        <v>0.33333333300000001</v>
      </c>
      <c r="BK503">
        <f>VLOOKUP($B503,[1]Data_Peer_with_peerVars!$B$2:$Z$1050,23,FALSE)</f>
        <v>7</v>
      </c>
      <c r="BL503">
        <f>VLOOKUP($B503,[1]Data_Peer_with_peerVars!$B$2:$Z$1050,24,FALSE)</f>
        <v>2</v>
      </c>
      <c r="BM503">
        <f>VLOOKUP($B503,[1]Data_Peer_with_peerVars!$B$2:$Z$1050,25,FALSE)</f>
        <v>0.28571428599999998</v>
      </c>
    </row>
    <row r="504" spans="1:65" x14ac:dyDescent="0.2">
      <c r="A504">
        <v>1</v>
      </c>
      <c r="B504" t="s">
        <v>811</v>
      </c>
      <c r="C504">
        <v>275</v>
      </c>
      <c r="D504" t="s">
        <v>68</v>
      </c>
      <c r="E504">
        <v>1</v>
      </c>
      <c r="F504">
        <v>558</v>
      </c>
      <c r="G504" t="s">
        <v>86</v>
      </c>
      <c r="H504" s="1">
        <v>5.5</v>
      </c>
      <c r="I504" t="s">
        <v>70</v>
      </c>
      <c r="J504" t="s">
        <v>301</v>
      </c>
      <c r="K504" t="s">
        <v>109</v>
      </c>
      <c r="L504">
        <v>1</v>
      </c>
      <c r="M504">
        <v>0</v>
      </c>
      <c r="N504">
        <v>1</v>
      </c>
      <c r="O504">
        <v>1</v>
      </c>
      <c r="P504">
        <v>0</v>
      </c>
      <c r="Q504">
        <v>6</v>
      </c>
      <c r="R504">
        <v>0</v>
      </c>
      <c r="S504">
        <v>0</v>
      </c>
      <c r="T504">
        <v>1</v>
      </c>
      <c r="U504">
        <v>1</v>
      </c>
      <c r="V504">
        <f t="shared" si="194"/>
        <v>1</v>
      </c>
      <c r="W504">
        <v>1</v>
      </c>
      <c r="X504">
        <v>1</v>
      </c>
      <c r="Y504">
        <v>1</v>
      </c>
      <c r="Z504" t="s">
        <v>73</v>
      </c>
      <c r="AA504" s="5" t="s">
        <v>73</v>
      </c>
      <c r="AB504" s="5" t="s">
        <v>73</v>
      </c>
      <c r="AC504" t="s">
        <v>73</v>
      </c>
      <c r="AD504" t="s">
        <v>94</v>
      </c>
      <c r="AE504" s="5" t="s">
        <v>106</v>
      </c>
      <c r="AF504" t="s">
        <v>107</v>
      </c>
      <c r="AG504" t="s">
        <v>95</v>
      </c>
      <c r="AH504">
        <f t="shared" si="219"/>
        <v>3.8188760000000001E-3</v>
      </c>
      <c r="AI504">
        <f t="shared" si="220"/>
        <v>3.8188760000000001E-3</v>
      </c>
      <c r="AJ504">
        <f t="shared" si="196"/>
        <v>3.8188760000000001E-3</v>
      </c>
      <c r="AK504">
        <v>3.8188760000000001E-3</v>
      </c>
      <c r="AL504">
        <v>0.13121923999999999</v>
      </c>
      <c r="AM504">
        <v>0.13631377</v>
      </c>
      <c r="AN504">
        <v>0.13847838000000001</v>
      </c>
      <c r="AO504">
        <v>99.618112400000001</v>
      </c>
      <c r="AP504">
        <v>86.878075999999993</v>
      </c>
      <c r="AQ504">
        <v>86.368622999999999</v>
      </c>
      <c r="AR504">
        <v>86.152162000000004</v>
      </c>
      <c r="AS504" t="b">
        <v>1</v>
      </c>
      <c r="AT504" t="b">
        <v>0</v>
      </c>
      <c r="AU504" t="s">
        <v>77</v>
      </c>
      <c r="AV504" t="s">
        <v>108</v>
      </c>
      <c r="AW504" t="s">
        <v>783</v>
      </c>
      <c r="AX504" t="s">
        <v>812</v>
      </c>
      <c r="AY504" t="s">
        <v>813</v>
      </c>
      <c r="AZ504" t="s">
        <v>109</v>
      </c>
      <c r="BA504">
        <v>1</v>
      </c>
      <c r="BB504">
        <v>3</v>
      </c>
      <c r="BC504">
        <v>4.1163553999999996E-3</v>
      </c>
      <c r="BD504">
        <v>1.4279989108178799E-4</v>
      </c>
      <c r="BE504">
        <v>4.2591552910817903E-3</v>
      </c>
      <c r="BF504">
        <f>IF(AK504&lt;BE504,1,0)</f>
        <v>1</v>
      </c>
      <c r="BG504">
        <f>IF(AK504&lt;BC504,1,0)</f>
        <v>1</v>
      </c>
    </row>
    <row r="505" spans="1:65" x14ac:dyDescent="0.2">
      <c r="A505">
        <v>1</v>
      </c>
      <c r="B505" t="s">
        <v>814</v>
      </c>
      <c r="C505">
        <v>276</v>
      </c>
      <c r="D505" t="s">
        <v>68</v>
      </c>
      <c r="E505">
        <v>1</v>
      </c>
      <c r="F505">
        <v>574</v>
      </c>
      <c r="G505" t="s">
        <v>86</v>
      </c>
      <c r="H505" s="1">
        <v>7</v>
      </c>
      <c r="I505" t="s">
        <v>70</v>
      </c>
      <c r="J505" t="s">
        <v>301</v>
      </c>
      <c r="K505" t="s">
        <v>109</v>
      </c>
      <c r="L505">
        <v>1</v>
      </c>
      <c r="M505">
        <v>0</v>
      </c>
      <c r="N505">
        <v>1</v>
      </c>
      <c r="O505">
        <v>0</v>
      </c>
      <c r="P505">
        <v>0</v>
      </c>
      <c r="Q505">
        <v>6</v>
      </c>
      <c r="R505">
        <v>0</v>
      </c>
      <c r="S505">
        <v>0</v>
      </c>
      <c r="T505">
        <v>1</v>
      </c>
      <c r="U505">
        <v>1</v>
      </c>
      <c r="V505">
        <f t="shared" si="194"/>
        <v>0</v>
      </c>
      <c r="W505">
        <f t="shared" si="197"/>
        <v>0</v>
      </c>
      <c r="X505">
        <f t="shared" si="199"/>
        <v>0</v>
      </c>
      <c r="Y505">
        <f t="shared" si="200"/>
        <v>0</v>
      </c>
      <c r="Z505" t="s">
        <v>76</v>
      </c>
      <c r="AA505" s="5" t="s">
        <v>76</v>
      </c>
      <c r="AB505" s="5" t="s">
        <v>76</v>
      </c>
      <c r="AC505" t="s">
        <v>73</v>
      </c>
      <c r="AD505" t="s">
        <v>94</v>
      </c>
      <c r="AE505" s="5" t="s">
        <v>106</v>
      </c>
      <c r="AF505" t="s">
        <v>107</v>
      </c>
      <c r="AG505" t="s">
        <v>95</v>
      </c>
      <c r="AH505">
        <f t="shared" ref="AH505:AH509" si="221">AI505</f>
        <v>4.0894219999999997E-3</v>
      </c>
      <c r="AI505">
        <f t="shared" ref="AI505:AI507" si="222">AJ505</f>
        <v>4.0894219999999997E-3</v>
      </c>
      <c r="AJ505">
        <f t="shared" si="196"/>
        <v>4.0894219999999997E-3</v>
      </c>
      <c r="AK505">
        <v>4.0894219999999997E-3</v>
      </c>
      <c r="AL505">
        <v>0.13196722</v>
      </c>
      <c r="AM505">
        <v>0.13651315999999999</v>
      </c>
      <c r="AN505">
        <v>0.13894967999999999</v>
      </c>
      <c r="AO505">
        <v>99.591057800000002</v>
      </c>
      <c r="AP505">
        <v>86.803278000000006</v>
      </c>
      <c r="AQ505">
        <v>86.348684000000006</v>
      </c>
      <c r="AR505">
        <v>86.105031999999994</v>
      </c>
      <c r="AS505" t="b">
        <v>0</v>
      </c>
      <c r="AT505" t="b">
        <v>0</v>
      </c>
      <c r="AU505" t="s">
        <v>77</v>
      </c>
      <c r="AV505" t="s">
        <v>108</v>
      </c>
      <c r="AW505" t="s">
        <v>783</v>
      </c>
      <c r="AX505" t="s">
        <v>784</v>
      </c>
      <c r="AY505" t="s">
        <v>812</v>
      </c>
      <c r="AZ505" t="s">
        <v>109</v>
      </c>
      <c r="BA505">
        <v>1</v>
      </c>
      <c r="BB505">
        <v>5</v>
      </c>
      <c r="BC505">
        <v>4.1163553999999996E-3</v>
      </c>
      <c r="BD505">
        <v>1.4279989108178799E-4</v>
      </c>
      <c r="BE505">
        <v>4.2591552910817903E-3</v>
      </c>
      <c r="BF505">
        <f>IF(AK505&lt;BE505,1,0)</f>
        <v>1</v>
      </c>
      <c r="BG505">
        <f>IF(AK505&lt;BC505,1,0)</f>
        <v>1</v>
      </c>
      <c r="BH505">
        <f>VLOOKUP($B505,[1]Data_Peer_with_peerVars!$B$2:$Z$1050,20,FALSE)</f>
        <v>1</v>
      </c>
      <c r="BI505">
        <f>VLOOKUP($B505,[1]Data_Peer_with_peerVars!$B$2:$Z$1050,21,FALSE)</f>
        <v>0</v>
      </c>
      <c r="BJ505">
        <f>VLOOKUP($B505,[1]Data_Peer_with_peerVars!$B$2:$Z$1050,22,FALSE)</f>
        <v>0</v>
      </c>
      <c r="BK505">
        <f>VLOOKUP($B505,[1]Data_Peer_with_peerVars!$B$2:$Z$1050,23,FALSE)</f>
        <v>3</v>
      </c>
      <c r="BL505">
        <f>VLOOKUP($B505,[1]Data_Peer_with_peerVars!$B$2:$Z$1050,24,FALSE)</f>
        <v>0</v>
      </c>
      <c r="BM505">
        <f>VLOOKUP($B505,[1]Data_Peer_with_peerVars!$B$2:$Z$1050,25,FALSE)</f>
        <v>0</v>
      </c>
    </row>
    <row r="506" spans="1:65" x14ac:dyDescent="0.2">
      <c r="A506">
        <v>1</v>
      </c>
      <c r="B506" t="s">
        <v>815</v>
      </c>
      <c r="C506">
        <v>276</v>
      </c>
      <c r="D506" t="s">
        <v>68</v>
      </c>
      <c r="E506">
        <v>1</v>
      </c>
      <c r="F506">
        <v>574</v>
      </c>
      <c r="G506" t="s">
        <v>86</v>
      </c>
      <c r="H506" s="1">
        <v>7</v>
      </c>
      <c r="I506" t="s">
        <v>70</v>
      </c>
      <c r="J506" t="s">
        <v>301</v>
      </c>
      <c r="K506" t="s">
        <v>109</v>
      </c>
      <c r="L506">
        <v>1</v>
      </c>
      <c r="M506">
        <v>0</v>
      </c>
      <c r="N506">
        <v>1</v>
      </c>
      <c r="O506">
        <v>0</v>
      </c>
      <c r="P506">
        <v>0</v>
      </c>
      <c r="Q506">
        <v>6</v>
      </c>
      <c r="R506">
        <v>0</v>
      </c>
      <c r="S506">
        <v>1</v>
      </c>
      <c r="T506">
        <v>1</v>
      </c>
      <c r="U506">
        <v>1</v>
      </c>
      <c r="V506">
        <f t="shared" si="194"/>
        <v>0</v>
      </c>
      <c r="W506">
        <f t="shared" si="197"/>
        <v>0</v>
      </c>
      <c r="X506">
        <f t="shared" si="199"/>
        <v>0</v>
      </c>
      <c r="Y506">
        <f t="shared" si="200"/>
        <v>0</v>
      </c>
      <c r="Z506" t="s">
        <v>73</v>
      </c>
      <c r="AA506" s="5" t="s">
        <v>73</v>
      </c>
      <c r="AB506" s="5" t="s">
        <v>73</v>
      </c>
      <c r="AC506" t="s">
        <v>114</v>
      </c>
      <c r="AD506" t="s">
        <v>107</v>
      </c>
      <c r="AE506" s="5" t="s">
        <v>107</v>
      </c>
      <c r="AF506" t="s">
        <v>95</v>
      </c>
      <c r="AG506" t="s">
        <v>74</v>
      </c>
      <c r="AH506">
        <f t="shared" si="221"/>
        <v>5.780822E-2</v>
      </c>
      <c r="AI506">
        <f t="shared" si="222"/>
        <v>5.780822E-2</v>
      </c>
      <c r="AJ506">
        <f t="shared" si="196"/>
        <v>5.780822E-2</v>
      </c>
      <c r="AK506">
        <v>5.780822E-2</v>
      </c>
      <c r="AL506">
        <v>0.13461539</v>
      </c>
      <c r="AM506">
        <v>0.14172149000000001</v>
      </c>
      <c r="AN506">
        <v>0.1434066</v>
      </c>
      <c r="AO506">
        <v>94.219177999999999</v>
      </c>
      <c r="AP506">
        <v>86.538460999999998</v>
      </c>
      <c r="AQ506">
        <v>85.827850999999995</v>
      </c>
      <c r="AR506">
        <v>85.65934</v>
      </c>
      <c r="AS506" t="b">
        <v>0</v>
      </c>
      <c r="AT506" t="b">
        <v>0</v>
      </c>
      <c r="AU506" t="s">
        <v>77</v>
      </c>
      <c r="AV506" t="s">
        <v>78</v>
      </c>
      <c r="AW506" t="s">
        <v>783</v>
      </c>
      <c r="AX506" t="s">
        <v>784</v>
      </c>
      <c r="AY506" t="s">
        <v>812</v>
      </c>
      <c r="AZ506" t="s">
        <v>109</v>
      </c>
      <c r="BA506">
        <v>3</v>
      </c>
      <c r="BB506">
        <v>15</v>
      </c>
      <c r="BC506">
        <v>0.10657095</v>
      </c>
      <c r="BD506">
        <v>1.50860789700713E-2</v>
      </c>
      <c r="BE506">
        <v>0.121657028970071</v>
      </c>
      <c r="BF506">
        <f>IF(AK506&lt;BE506,1,0)</f>
        <v>1</v>
      </c>
      <c r="BG506">
        <f>IF(AK506&lt;BC506,1,0)</f>
        <v>1</v>
      </c>
      <c r="BH506">
        <f>VLOOKUP($B506,[1]Data_Peer_with_peerVars!$B$2:$Z$1050,20,FALSE)</f>
        <v>1</v>
      </c>
      <c r="BI506">
        <f>VLOOKUP($B506,[1]Data_Peer_with_peerVars!$B$2:$Z$1050,21,FALSE)</f>
        <v>0</v>
      </c>
      <c r="BJ506">
        <f>VLOOKUP($B506,[1]Data_Peer_with_peerVars!$B$2:$Z$1050,22,FALSE)</f>
        <v>0</v>
      </c>
      <c r="BK506">
        <f>VLOOKUP($B506,[1]Data_Peer_with_peerVars!$B$2:$Z$1050,23,FALSE)</f>
        <v>3</v>
      </c>
      <c r="BL506">
        <f>VLOOKUP($B506,[1]Data_Peer_with_peerVars!$B$2:$Z$1050,24,FALSE)</f>
        <v>0</v>
      </c>
      <c r="BM506">
        <f>VLOOKUP($B506,[1]Data_Peer_with_peerVars!$B$2:$Z$1050,25,FALSE)</f>
        <v>0</v>
      </c>
    </row>
    <row r="507" spans="1:65" x14ac:dyDescent="0.2">
      <c r="A507">
        <v>1</v>
      </c>
      <c r="B507" t="s">
        <v>816</v>
      </c>
      <c r="C507">
        <v>277</v>
      </c>
      <c r="D507" t="s">
        <v>68</v>
      </c>
      <c r="E507">
        <v>1</v>
      </c>
      <c r="F507">
        <v>579</v>
      </c>
      <c r="G507" t="s">
        <v>86</v>
      </c>
      <c r="H507" s="1">
        <v>5</v>
      </c>
      <c r="I507" t="s">
        <v>70</v>
      </c>
      <c r="J507" t="s">
        <v>301</v>
      </c>
      <c r="K507" t="s">
        <v>109</v>
      </c>
      <c r="L507">
        <v>1</v>
      </c>
      <c r="M507">
        <v>0</v>
      </c>
      <c r="N507">
        <v>1</v>
      </c>
      <c r="O507">
        <v>0</v>
      </c>
      <c r="P507">
        <v>0</v>
      </c>
      <c r="Q507">
        <v>11</v>
      </c>
      <c r="R507">
        <v>0</v>
      </c>
      <c r="S507">
        <v>0</v>
      </c>
      <c r="T507">
        <v>0</v>
      </c>
      <c r="U507">
        <v>0</v>
      </c>
      <c r="V507">
        <f t="shared" si="194"/>
        <v>0</v>
      </c>
      <c r="W507">
        <f t="shared" si="197"/>
        <v>0</v>
      </c>
      <c r="X507">
        <f t="shared" si="199"/>
        <v>0</v>
      </c>
      <c r="Y507">
        <f t="shared" si="200"/>
        <v>0</v>
      </c>
      <c r="Z507" t="s">
        <v>73</v>
      </c>
      <c r="AA507" s="5" t="s">
        <v>73</v>
      </c>
      <c r="AB507" s="5" t="s">
        <v>73</v>
      </c>
      <c r="AC507" t="s">
        <v>75</v>
      </c>
      <c r="AD507" t="s">
        <v>74</v>
      </c>
      <c r="AE507" s="5" t="s">
        <v>817</v>
      </c>
      <c r="AF507" t="s">
        <v>120</v>
      </c>
      <c r="AG507" t="s">
        <v>167</v>
      </c>
      <c r="AH507">
        <f t="shared" si="221"/>
        <v>2.5177886999999999E-2</v>
      </c>
      <c r="AI507">
        <f t="shared" si="222"/>
        <v>2.5177886999999999E-2</v>
      </c>
      <c r="AJ507">
        <f t="shared" si="196"/>
        <v>2.5177886999999999E-2</v>
      </c>
      <c r="AK507">
        <v>2.5177886999999999E-2</v>
      </c>
      <c r="AL507">
        <v>9.1607240000000006E-2</v>
      </c>
      <c r="AM507">
        <v>9.7921220000000003E-2</v>
      </c>
      <c r="AN507">
        <v>0.108397365</v>
      </c>
      <c r="AO507">
        <v>97.482211300000003</v>
      </c>
      <c r="AP507">
        <v>90.839275999999998</v>
      </c>
      <c r="AQ507">
        <v>90.207877999999994</v>
      </c>
      <c r="AR507">
        <v>89.160263499999999</v>
      </c>
      <c r="AS507" t="b">
        <v>0</v>
      </c>
      <c r="AT507" t="b">
        <v>0</v>
      </c>
      <c r="AU507" t="s">
        <v>77</v>
      </c>
      <c r="AV507" t="s">
        <v>108</v>
      </c>
      <c r="AW507" t="s">
        <v>783</v>
      </c>
      <c r="AX507" t="s">
        <v>812</v>
      </c>
      <c r="AY507" t="s">
        <v>818</v>
      </c>
      <c r="AZ507" t="s">
        <v>109</v>
      </c>
      <c r="BA507">
        <v>3</v>
      </c>
      <c r="BB507">
        <v>3.5</v>
      </c>
      <c r="BC507">
        <v>2.3038946000000001E-2</v>
      </c>
      <c r="BD507">
        <v>2.6184719377746E-3</v>
      </c>
      <c r="BE507">
        <v>2.5657417937774599E-2</v>
      </c>
      <c r="BF507">
        <f>IF(AK507&lt;BE507,1,0)</f>
        <v>1</v>
      </c>
      <c r="BG507">
        <f>IF(AK507&lt;BC507,1,0)</f>
        <v>0</v>
      </c>
      <c r="BH507">
        <f>VLOOKUP($B507,[1]Data_Peer_with_peerVars!$B$2:$Z$1050,20,FALSE)</f>
        <v>2</v>
      </c>
      <c r="BI507">
        <f>VLOOKUP($B507,[1]Data_Peer_with_peerVars!$B$2:$Z$1050,21,FALSE)</f>
        <v>0</v>
      </c>
      <c r="BJ507">
        <f>VLOOKUP($B507,[1]Data_Peer_with_peerVars!$B$2:$Z$1050,22,FALSE)</f>
        <v>0</v>
      </c>
      <c r="BK507">
        <f>VLOOKUP($B507,[1]Data_Peer_with_peerVars!$B$2:$Z$1050,23,FALSE)</f>
        <v>4</v>
      </c>
      <c r="BL507">
        <f>VLOOKUP($B507,[1]Data_Peer_with_peerVars!$B$2:$Z$1050,24,FALSE)</f>
        <v>0</v>
      </c>
      <c r="BM507">
        <f>VLOOKUP($B507,[1]Data_Peer_with_peerVars!$B$2:$Z$1050,25,FALSE)</f>
        <v>0</v>
      </c>
    </row>
    <row r="508" spans="1:65" x14ac:dyDescent="0.2">
      <c r="A508">
        <v>1</v>
      </c>
      <c r="B508" t="s">
        <v>819</v>
      </c>
      <c r="C508">
        <v>278</v>
      </c>
      <c r="D508" t="s">
        <v>68</v>
      </c>
      <c r="E508">
        <v>0</v>
      </c>
      <c r="F508">
        <v>562</v>
      </c>
      <c r="G508" t="s">
        <v>97</v>
      </c>
      <c r="H508" s="1">
        <v>7</v>
      </c>
      <c r="I508" t="s">
        <v>87</v>
      </c>
      <c r="J508" t="s">
        <v>820</v>
      </c>
      <c r="K508" t="s">
        <v>72</v>
      </c>
      <c r="L508">
        <v>1</v>
      </c>
      <c r="M508">
        <v>1</v>
      </c>
      <c r="N508">
        <v>0</v>
      </c>
      <c r="O508">
        <v>1</v>
      </c>
      <c r="P508">
        <v>0</v>
      </c>
      <c r="Q508">
        <v>3</v>
      </c>
      <c r="R508">
        <v>0</v>
      </c>
      <c r="S508">
        <v>0</v>
      </c>
      <c r="T508">
        <v>1</v>
      </c>
      <c r="U508">
        <v>1</v>
      </c>
      <c r="V508">
        <f t="shared" si="194"/>
        <v>1</v>
      </c>
      <c r="W508">
        <v>1</v>
      </c>
      <c r="X508">
        <v>1</v>
      </c>
      <c r="Y508">
        <v>1</v>
      </c>
      <c r="Z508" t="s">
        <v>73</v>
      </c>
      <c r="AA508" s="5" t="s">
        <v>73</v>
      </c>
      <c r="AB508" s="5" t="s">
        <v>73</v>
      </c>
      <c r="AC508" t="s">
        <v>73</v>
      </c>
      <c r="AD508" t="s">
        <v>94</v>
      </c>
      <c r="AE508" s="5" t="s">
        <v>106</v>
      </c>
      <c r="AF508" t="s">
        <v>107</v>
      </c>
      <c r="AG508" t="s">
        <v>95</v>
      </c>
      <c r="AH508">
        <f t="shared" si="221"/>
        <v>3.8167940000000001E-3</v>
      </c>
      <c r="AI508">
        <f>AJ508</f>
        <v>3.8167940000000001E-3</v>
      </c>
      <c r="AJ508">
        <f t="shared" si="196"/>
        <v>3.8167940000000001E-3</v>
      </c>
      <c r="AK508">
        <v>3.8167940000000001E-3</v>
      </c>
      <c r="AL508">
        <v>0.13169399000000001</v>
      </c>
      <c r="AM508">
        <v>0.13623904000000001</v>
      </c>
      <c r="AN508">
        <v>0.13867615</v>
      </c>
      <c r="AO508">
        <v>99.618320600000004</v>
      </c>
      <c r="AP508">
        <v>86.830601000000001</v>
      </c>
      <c r="AQ508">
        <v>86.376096000000004</v>
      </c>
      <c r="AR508">
        <v>86.132384999999999</v>
      </c>
      <c r="AS508" t="b">
        <v>1</v>
      </c>
      <c r="AT508" t="b">
        <v>0</v>
      </c>
      <c r="AU508" t="s">
        <v>77</v>
      </c>
      <c r="AV508" t="s">
        <v>108</v>
      </c>
      <c r="AW508" t="s">
        <v>783</v>
      </c>
      <c r="AX508" t="s">
        <v>784</v>
      </c>
      <c r="AY508" t="s">
        <v>821</v>
      </c>
      <c r="AZ508" t="s">
        <v>72</v>
      </c>
      <c r="BA508" t="s">
        <v>82</v>
      </c>
      <c r="BB508">
        <v>0.7</v>
      </c>
      <c r="BC508">
        <v>4.1163553999999996E-3</v>
      </c>
      <c r="BD508">
        <v>1.4279989108178799E-4</v>
      </c>
      <c r="BE508">
        <v>4.2591552910817903E-3</v>
      </c>
      <c r="BF508">
        <f>IF(AK508&lt;BE508,1,0)</f>
        <v>1</v>
      </c>
      <c r="BG508">
        <f>IF(AK508&lt;BC508,1,0)</f>
        <v>1</v>
      </c>
      <c r="BH508">
        <f>VLOOKUP($B508,[1]Data_Peer_with_peerVars!$B$2:$Z$1050,20,FALSE)</f>
        <v>1</v>
      </c>
      <c r="BI508">
        <f>VLOOKUP($B508,[1]Data_Peer_with_peerVars!$B$2:$Z$1050,21,FALSE)</f>
        <v>0</v>
      </c>
      <c r="BJ508">
        <f>VLOOKUP($B508,[1]Data_Peer_with_peerVars!$B$2:$Z$1050,22,FALSE)</f>
        <v>0</v>
      </c>
      <c r="BK508">
        <f>VLOOKUP($B508,[1]Data_Peer_with_peerVars!$B$2:$Z$1050,23,FALSE)</f>
        <v>9</v>
      </c>
      <c r="BL508">
        <f>VLOOKUP($B508,[1]Data_Peer_with_peerVars!$B$2:$Z$1050,24,FALSE)</f>
        <v>2</v>
      </c>
      <c r="BM508">
        <f>VLOOKUP($B508,[1]Data_Peer_with_peerVars!$B$2:$Z$1050,25,FALSE)</f>
        <v>0.222222222</v>
      </c>
    </row>
    <row r="509" spans="1:65" x14ac:dyDescent="0.2">
      <c r="A509">
        <v>1</v>
      </c>
      <c r="B509" t="s">
        <v>822</v>
      </c>
      <c r="C509">
        <v>279</v>
      </c>
      <c r="D509" t="s">
        <v>68</v>
      </c>
      <c r="E509">
        <v>0</v>
      </c>
      <c r="F509">
        <v>462</v>
      </c>
      <c r="G509" t="s">
        <v>97</v>
      </c>
      <c r="H509" s="1">
        <v>5.5</v>
      </c>
      <c r="I509" t="s">
        <v>87</v>
      </c>
      <c r="J509" t="s">
        <v>820</v>
      </c>
      <c r="K509" t="s">
        <v>72</v>
      </c>
      <c r="L509">
        <v>1</v>
      </c>
      <c r="M509">
        <v>0</v>
      </c>
      <c r="N509">
        <v>0</v>
      </c>
      <c r="O509">
        <v>0</v>
      </c>
      <c r="P509">
        <v>0</v>
      </c>
      <c r="Q509">
        <v>3</v>
      </c>
      <c r="R509">
        <v>0</v>
      </c>
      <c r="S509">
        <v>0</v>
      </c>
      <c r="T509">
        <v>0</v>
      </c>
      <c r="U509">
        <v>0</v>
      </c>
      <c r="V509">
        <f t="shared" si="194"/>
        <v>0</v>
      </c>
      <c r="W509">
        <f t="shared" si="197"/>
        <v>0</v>
      </c>
      <c r="X509">
        <f t="shared" si="199"/>
        <v>1</v>
      </c>
      <c r="Y509">
        <v>1</v>
      </c>
      <c r="Z509" t="s">
        <v>76</v>
      </c>
      <c r="AA509" s="5" t="s">
        <v>76</v>
      </c>
      <c r="AB509" s="5" t="s">
        <v>76</v>
      </c>
      <c r="AC509" t="s">
        <v>74</v>
      </c>
      <c r="AD509" t="s">
        <v>75</v>
      </c>
      <c r="AE509" s="5" t="s">
        <v>584</v>
      </c>
      <c r="AF509" t="s">
        <v>76</v>
      </c>
      <c r="AG509" t="s">
        <v>120</v>
      </c>
      <c r="AH509">
        <f t="shared" si="221"/>
        <v>9.0784420000000005E-2</v>
      </c>
      <c r="AI509">
        <f>AM509</f>
        <v>9.0784420000000005E-2</v>
      </c>
      <c r="AJ509">
        <f t="shared" si="196"/>
        <v>1.6190998000000002E-2</v>
      </c>
      <c r="AK509">
        <v>1.6190998000000002E-2</v>
      </c>
      <c r="AL509">
        <v>8.9413054000000006E-2</v>
      </c>
      <c r="AM509">
        <v>9.0784420000000005E-2</v>
      </c>
      <c r="AN509">
        <v>9.2004379999999997E-2</v>
      </c>
      <c r="AO509">
        <v>98.380900199999999</v>
      </c>
      <c r="AP509">
        <v>91.058694599999995</v>
      </c>
      <c r="AQ509">
        <v>90.921558000000005</v>
      </c>
      <c r="AR509">
        <v>90.799561999999995</v>
      </c>
      <c r="AS509" t="b">
        <v>0</v>
      </c>
      <c r="AT509" t="b">
        <v>0</v>
      </c>
      <c r="AU509" t="s">
        <v>77</v>
      </c>
      <c r="AV509" t="s">
        <v>108</v>
      </c>
      <c r="AW509" t="s">
        <v>783</v>
      </c>
      <c r="AX509" t="s">
        <v>784</v>
      </c>
      <c r="AY509" t="s">
        <v>823</v>
      </c>
      <c r="AZ509" t="s">
        <v>72</v>
      </c>
      <c r="BA509" t="s">
        <v>82</v>
      </c>
      <c r="BB509">
        <v>0.98</v>
      </c>
      <c r="BC509">
        <v>2.4738868000000001E-3</v>
      </c>
      <c r="BD509">
        <v>1.4256942275279999E-4</v>
      </c>
      <c r="BE509">
        <v>2.6164562227527998E-3</v>
      </c>
      <c r="BF509">
        <f>IF(AK509&lt;BE509,1,0)</f>
        <v>0</v>
      </c>
      <c r="BG509">
        <f>IF(AK509&lt;BC509,1,0)</f>
        <v>0</v>
      </c>
      <c r="BH509">
        <f>VLOOKUP($B509,[1]Data_Peer_with_peerVars!$B$2:$Z$1050,20,FALSE)</f>
        <v>0</v>
      </c>
      <c r="BI509">
        <f>VLOOKUP($B509,[1]Data_Peer_with_peerVars!$B$2:$Z$1050,21,FALSE)</f>
        <v>0</v>
      </c>
      <c r="BJ509">
        <v>0</v>
      </c>
      <c r="BK509">
        <f>VLOOKUP($B509,[1]Data_Peer_with_peerVars!$B$2:$Z$1050,23,FALSE)</f>
        <v>6</v>
      </c>
      <c r="BL509">
        <f>VLOOKUP($B509,[1]Data_Peer_with_peerVars!$B$2:$Z$1050,24,FALSE)</f>
        <v>3</v>
      </c>
      <c r="BM509">
        <f>VLOOKUP($B509,[1]Data_Peer_with_peerVars!$B$2:$Z$1050,25,FALSE)</f>
        <v>0.5</v>
      </c>
    </row>
    <row r="510" spans="1:65" x14ac:dyDescent="0.2">
      <c r="A510">
        <v>1</v>
      </c>
      <c r="B510" t="s">
        <v>824</v>
      </c>
      <c r="C510">
        <v>279</v>
      </c>
      <c r="D510" t="s">
        <v>68</v>
      </c>
      <c r="E510">
        <v>0</v>
      </c>
      <c r="F510">
        <v>462</v>
      </c>
      <c r="G510" t="s">
        <v>97</v>
      </c>
      <c r="H510" s="1">
        <v>5.5</v>
      </c>
      <c r="I510" t="s">
        <v>87</v>
      </c>
      <c r="J510" t="s">
        <v>820</v>
      </c>
      <c r="K510" t="s">
        <v>72</v>
      </c>
      <c r="L510">
        <v>1</v>
      </c>
      <c r="M510">
        <v>0</v>
      </c>
      <c r="N510">
        <v>0</v>
      </c>
      <c r="O510">
        <v>0</v>
      </c>
      <c r="P510">
        <v>0</v>
      </c>
      <c r="Q510">
        <v>3</v>
      </c>
      <c r="R510">
        <v>0</v>
      </c>
      <c r="S510">
        <v>0</v>
      </c>
      <c r="T510">
        <v>0</v>
      </c>
      <c r="U510">
        <v>0</v>
      </c>
      <c r="V510">
        <f t="shared" si="194"/>
        <v>0</v>
      </c>
      <c r="W510">
        <f t="shared" si="197"/>
        <v>0</v>
      </c>
      <c r="X510">
        <f t="shared" si="199"/>
        <v>0</v>
      </c>
      <c r="Y510">
        <f t="shared" si="200"/>
        <v>1</v>
      </c>
      <c r="Z510" t="s">
        <v>91</v>
      </c>
      <c r="AA510" s="5" t="s">
        <v>91</v>
      </c>
      <c r="AB510" s="5" t="s">
        <v>802</v>
      </c>
      <c r="AC510" t="s">
        <v>137</v>
      </c>
      <c r="AD510" t="s">
        <v>287</v>
      </c>
      <c r="AE510" s="5" t="s">
        <v>287</v>
      </c>
      <c r="AF510" t="s">
        <v>113</v>
      </c>
      <c r="AG510" t="s">
        <v>91</v>
      </c>
      <c r="AH510">
        <f t="shared" ref="AH510:AH511" si="223">AN510</f>
        <v>0.1358666</v>
      </c>
      <c r="AI510">
        <f t="shared" ref="AI510:AI511" si="224">AJ510</f>
        <v>6.5502179999999993E-2</v>
      </c>
      <c r="AJ510">
        <f t="shared" si="196"/>
        <v>6.5502179999999993E-2</v>
      </c>
      <c r="AK510">
        <v>6.5502179999999993E-2</v>
      </c>
      <c r="AL510">
        <v>0.118176855</v>
      </c>
      <c r="AM510">
        <v>0.12191104</v>
      </c>
      <c r="AN510">
        <v>0.1358666</v>
      </c>
      <c r="AO510">
        <v>93.449781999999999</v>
      </c>
      <c r="AP510">
        <v>88.182314500000004</v>
      </c>
      <c r="AQ510">
        <v>87.808896000000004</v>
      </c>
      <c r="AR510">
        <v>86.413340000000005</v>
      </c>
      <c r="AS510" t="b">
        <v>0</v>
      </c>
      <c r="AT510" t="b">
        <v>0</v>
      </c>
      <c r="AU510" t="s">
        <v>77</v>
      </c>
      <c r="AV510" t="s">
        <v>78</v>
      </c>
      <c r="AW510" t="s">
        <v>783</v>
      </c>
      <c r="AX510" t="s">
        <v>784</v>
      </c>
      <c r="AY510" t="s">
        <v>823</v>
      </c>
      <c r="AZ510" t="s">
        <v>109</v>
      </c>
      <c r="BA510">
        <v>3</v>
      </c>
      <c r="BB510">
        <v>1.68</v>
      </c>
      <c r="BC510">
        <v>5.4824560000000001E-2</v>
      </c>
      <c r="BD510">
        <v>2.68252196314279E-2</v>
      </c>
      <c r="BE510">
        <v>8.1649779631427902E-2</v>
      </c>
      <c r="BF510">
        <f>IF(AK510&lt;BE510,1,0)</f>
        <v>1</v>
      </c>
      <c r="BG510">
        <f>IF(AK510&lt;BC510,1,0)</f>
        <v>0</v>
      </c>
      <c r="BH510">
        <f>VLOOKUP($B510,[1]Data_Peer_with_peerVars!$B$2:$Z$1050,20,FALSE)</f>
        <v>0</v>
      </c>
      <c r="BI510">
        <f>VLOOKUP($B510,[1]Data_Peer_with_peerVars!$B$2:$Z$1050,21,FALSE)</f>
        <v>0</v>
      </c>
      <c r="BJ510">
        <v>0</v>
      </c>
      <c r="BK510">
        <f>VLOOKUP($B510,[1]Data_Peer_with_peerVars!$B$2:$Z$1050,23,FALSE)</f>
        <v>6</v>
      </c>
      <c r="BL510">
        <f>VLOOKUP($B510,[1]Data_Peer_with_peerVars!$B$2:$Z$1050,24,FALSE)</f>
        <v>3</v>
      </c>
      <c r="BM510">
        <f>VLOOKUP($B510,[1]Data_Peer_with_peerVars!$B$2:$Z$1050,25,FALSE)</f>
        <v>0.5</v>
      </c>
    </row>
    <row r="511" spans="1:65" x14ac:dyDescent="0.2">
      <c r="A511">
        <v>1</v>
      </c>
      <c r="B511" t="s">
        <v>825</v>
      </c>
      <c r="C511">
        <v>280</v>
      </c>
      <c r="D511" t="s">
        <v>68</v>
      </c>
      <c r="E511">
        <v>0</v>
      </c>
      <c r="F511">
        <v>559</v>
      </c>
      <c r="G511" t="s">
        <v>119</v>
      </c>
      <c r="H511" s="1">
        <v>0</v>
      </c>
      <c r="I511" t="s">
        <v>70</v>
      </c>
      <c r="J511" t="s">
        <v>301</v>
      </c>
      <c r="K511" t="s">
        <v>109</v>
      </c>
      <c r="L511">
        <v>1</v>
      </c>
      <c r="M511">
        <v>0</v>
      </c>
      <c r="N511">
        <v>0</v>
      </c>
      <c r="O511">
        <v>0</v>
      </c>
      <c r="P511">
        <v>0</v>
      </c>
      <c r="Q511">
        <v>0</v>
      </c>
      <c r="R511">
        <v>0</v>
      </c>
      <c r="S511">
        <v>0</v>
      </c>
      <c r="T511">
        <v>0</v>
      </c>
      <c r="U511">
        <v>0</v>
      </c>
      <c r="V511">
        <f t="shared" si="194"/>
        <v>0</v>
      </c>
      <c r="W511">
        <f t="shared" si="197"/>
        <v>0</v>
      </c>
      <c r="X511">
        <f t="shared" si="199"/>
        <v>0</v>
      </c>
      <c r="Y511">
        <f t="shared" si="200"/>
        <v>1</v>
      </c>
      <c r="Z511" t="s">
        <v>76</v>
      </c>
      <c r="AA511" s="5" t="s">
        <v>76</v>
      </c>
      <c r="AB511" s="5" t="s">
        <v>76</v>
      </c>
      <c r="AC511" t="s">
        <v>74</v>
      </c>
      <c r="AD511" t="s">
        <v>75</v>
      </c>
      <c r="AE511" s="5" t="s">
        <v>75</v>
      </c>
      <c r="AF511" t="s">
        <v>120</v>
      </c>
      <c r="AG511" t="s">
        <v>76</v>
      </c>
      <c r="AH511">
        <f t="shared" si="223"/>
        <v>9.2227699999999996E-2</v>
      </c>
      <c r="AI511">
        <f t="shared" si="224"/>
        <v>1.0416666999999999E-2</v>
      </c>
      <c r="AJ511">
        <f t="shared" si="196"/>
        <v>1.0416666999999999E-2</v>
      </c>
      <c r="AK511">
        <v>1.0416666999999999E-2</v>
      </c>
      <c r="AL511">
        <v>8.6527930000000003E-2</v>
      </c>
      <c r="AM511">
        <v>8.9393109999999998E-2</v>
      </c>
      <c r="AN511">
        <v>9.2227699999999996E-2</v>
      </c>
      <c r="AO511">
        <v>98.958333300000007</v>
      </c>
      <c r="AP511">
        <v>91.347206999999997</v>
      </c>
      <c r="AQ511">
        <v>91.060688999999996</v>
      </c>
      <c r="AR511">
        <v>90.777230000000003</v>
      </c>
      <c r="AS511" t="b">
        <v>0</v>
      </c>
      <c r="AT511" t="b">
        <v>0</v>
      </c>
      <c r="AU511" t="s">
        <v>77</v>
      </c>
      <c r="AV511" t="s">
        <v>77</v>
      </c>
      <c r="AW511" t="s">
        <v>783</v>
      </c>
      <c r="AX511" t="s">
        <v>784</v>
      </c>
      <c r="AY511" t="s">
        <v>784</v>
      </c>
      <c r="AZ511" t="s">
        <v>109</v>
      </c>
      <c r="BA511">
        <v>8</v>
      </c>
      <c r="BB511">
        <v>0.17499999999999899</v>
      </c>
      <c r="BC511">
        <v>2.4738868000000001E-3</v>
      </c>
      <c r="BD511">
        <v>1.4256942275279999E-4</v>
      </c>
      <c r="BE511">
        <v>2.6164562227527998E-3</v>
      </c>
      <c r="BF511">
        <f>IF(AK511&lt;BE511,1,0)</f>
        <v>0</v>
      </c>
      <c r="BG511">
        <f>IF(AK511&lt;BC511,1,0)</f>
        <v>0</v>
      </c>
      <c r="BH511">
        <f>VLOOKUP($B511,[1]Data_Peer_with_peerVars!$B$2:$Z$1050,20,FALSE)</f>
        <v>2</v>
      </c>
      <c r="BI511">
        <f>VLOOKUP($B511,[1]Data_Peer_with_peerVars!$B$2:$Z$1050,21,FALSE)</f>
        <v>2</v>
      </c>
      <c r="BJ511">
        <f>VLOOKUP($B511,[1]Data_Peer_with_peerVars!$B$2:$Z$1050,22,FALSE)</f>
        <v>1</v>
      </c>
      <c r="BK511">
        <f>VLOOKUP($B511,[1]Data_Peer_with_peerVars!$B$2:$Z$1050,23,FALSE)</f>
        <v>7</v>
      </c>
      <c r="BL511">
        <f>VLOOKUP($B511,[1]Data_Peer_with_peerVars!$B$2:$Z$1050,24,FALSE)</f>
        <v>3</v>
      </c>
      <c r="BM511">
        <f>VLOOKUP($B511,[1]Data_Peer_with_peerVars!$B$2:$Z$1050,25,FALSE)</f>
        <v>0.428571429</v>
      </c>
    </row>
    <row r="512" spans="1:65" x14ac:dyDescent="0.2">
      <c r="A512">
        <v>1</v>
      </c>
      <c r="B512" t="s">
        <v>826</v>
      </c>
      <c r="C512">
        <v>281</v>
      </c>
      <c r="D512" t="s">
        <v>68</v>
      </c>
      <c r="E512">
        <v>0</v>
      </c>
      <c r="F512">
        <v>580</v>
      </c>
      <c r="G512" t="s">
        <v>97</v>
      </c>
      <c r="H512" s="1">
        <v>6</v>
      </c>
      <c r="I512" t="s">
        <v>70</v>
      </c>
      <c r="J512" t="s">
        <v>301</v>
      </c>
      <c r="K512" t="s">
        <v>72</v>
      </c>
      <c r="L512">
        <v>1</v>
      </c>
      <c r="M512">
        <v>0</v>
      </c>
      <c r="N512">
        <v>1</v>
      </c>
      <c r="O512">
        <v>0</v>
      </c>
      <c r="P512">
        <v>0</v>
      </c>
      <c r="Q512">
        <v>0</v>
      </c>
      <c r="R512">
        <v>0</v>
      </c>
      <c r="S512">
        <v>0</v>
      </c>
      <c r="T512">
        <v>0</v>
      </c>
      <c r="U512">
        <v>0</v>
      </c>
      <c r="V512">
        <f t="shared" si="194"/>
        <v>0</v>
      </c>
      <c r="W512">
        <f t="shared" si="197"/>
        <v>0</v>
      </c>
      <c r="X512">
        <f t="shared" si="199"/>
        <v>1</v>
      </c>
      <c r="Y512">
        <v>1</v>
      </c>
      <c r="Z512" t="s">
        <v>120</v>
      </c>
      <c r="AA512" s="5" t="s">
        <v>120</v>
      </c>
      <c r="AB512" s="5" t="s">
        <v>827</v>
      </c>
      <c r="AC512" t="s">
        <v>75</v>
      </c>
      <c r="AD512" t="s">
        <v>74</v>
      </c>
      <c r="AE512" s="5" t="s">
        <v>817</v>
      </c>
      <c r="AF512" t="s">
        <v>120</v>
      </c>
      <c r="AG512" t="s">
        <v>167</v>
      </c>
      <c r="AH512">
        <f t="shared" ref="AH512:AH517" si="225">AI512</f>
        <v>9.7267759999999995E-2</v>
      </c>
      <c r="AI512">
        <f>AM512</f>
        <v>9.7267759999999995E-2</v>
      </c>
      <c r="AJ512">
        <f t="shared" si="196"/>
        <v>2.3522977E-2</v>
      </c>
      <c r="AK512">
        <v>2.3522977E-2</v>
      </c>
      <c r="AL512">
        <v>9.6765353999999998E-2</v>
      </c>
      <c r="AM512">
        <v>9.7267759999999995E-2</v>
      </c>
      <c r="AN512">
        <v>0.10773025999999999</v>
      </c>
      <c r="AO512">
        <v>97.647702300000006</v>
      </c>
      <c r="AP512">
        <v>90.323464599999994</v>
      </c>
      <c r="AQ512">
        <v>90.273223999999999</v>
      </c>
      <c r="AR512">
        <v>89.226973999999998</v>
      </c>
      <c r="AS512" t="b">
        <v>0</v>
      </c>
      <c r="AT512" t="b">
        <v>0</v>
      </c>
      <c r="AU512" t="s">
        <v>77</v>
      </c>
      <c r="AV512" t="s">
        <v>108</v>
      </c>
      <c r="AW512" t="s">
        <v>783</v>
      </c>
      <c r="AX512" t="s">
        <v>784</v>
      </c>
      <c r="AY512" t="s">
        <v>823</v>
      </c>
      <c r="AZ512" t="s">
        <v>72</v>
      </c>
      <c r="BA512" t="s">
        <v>82</v>
      </c>
      <c r="BB512">
        <v>0.7</v>
      </c>
      <c r="BC512">
        <v>2.3038946000000001E-2</v>
      </c>
      <c r="BD512">
        <v>2.6184719377746E-3</v>
      </c>
      <c r="BE512">
        <v>2.5657417937774599E-2</v>
      </c>
      <c r="BF512">
        <f>IF(AK512&lt;BE512,1,0)</f>
        <v>1</v>
      </c>
      <c r="BG512">
        <f>IF(AK512&lt;BC512,1,0)</f>
        <v>0</v>
      </c>
      <c r="BH512">
        <f>VLOOKUP($B512,[1]Data_Peer_with_peerVars!$B$2:$Z$1050,20,FALSE)</f>
        <v>0</v>
      </c>
      <c r="BI512">
        <f>VLOOKUP($B512,[1]Data_Peer_with_peerVars!$B$2:$Z$1050,21,FALSE)</f>
        <v>0</v>
      </c>
      <c r="BJ512">
        <v>0</v>
      </c>
      <c r="BK512">
        <f>VLOOKUP($B512,[1]Data_Peer_with_peerVars!$B$2:$Z$1050,23,FALSE)</f>
        <v>7</v>
      </c>
      <c r="BL512">
        <f>VLOOKUP($B512,[1]Data_Peer_with_peerVars!$B$2:$Z$1050,24,FALSE)</f>
        <v>3</v>
      </c>
      <c r="BM512">
        <f>VLOOKUP($B512,[1]Data_Peer_with_peerVars!$B$2:$Z$1050,25,FALSE)</f>
        <v>0.428571429</v>
      </c>
    </row>
    <row r="513" spans="1:65" x14ac:dyDescent="0.2">
      <c r="A513">
        <v>1</v>
      </c>
      <c r="B513" t="s">
        <v>828</v>
      </c>
      <c r="C513">
        <v>282</v>
      </c>
      <c r="D513" t="s">
        <v>155</v>
      </c>
      <c r="E513">
        <v>0</v>
      </c>
      <c r="F513" s="14" t="s">
        <v>82</v>
      </c>
      <c r="G513" s="14" t="s">
        <v>82</v>
      </c>
      <c r="H513" s="1">
        <v>7</v>
      </c>
      <c r="I513" t="s">
        <v>87</v>
      </c>
      <c r="J513" t="s">
        <v>792</v>
      </c>
      <c r="K513" t="s">
        <v>109</v>
      </c>
      <c r="L513">
        <v>1</v>
      </c>
      <c r="M513">
        <v>1</v>
      </c>
      <c r="N513">
        <v>0</v>
      </c>
      <c r="O513">
        <v>0</v>
      </c>
      <c r="P513">
        <v>0</v>
      </c>
      <c r="Q513">
        <v>9</v>
      </c>
      <c r="R513">
        <v>0</v>
      </c>
      <c r="S513">
        <v>0</v>
      </c>
      <c r="T513">
        <v>0</v>
      </c>
      <c r="U513">
        <v>0</v>
      </c>
      <c r="V513">
        <v>1</v>
      </c>
      <c r="W513">
        <v>1</v>
      </c>
      <c r="X513">
        <v>1</v>
      </c>
      <c r="Y513">
        <v>1</v>
      </c>
      <c r="Z513" t="s">
        <v>98</v>
      </c>
      <c r="AA513" s="5" t="s">
        <v>829</v>
      </c>
      <c r="AB513" s="5" t="s">
        <v>829</v>
      </c>
      <c r="AC513" t="s">
        <v>99</v>
      </c>
      <c r="AD513" t="s">
        <v>101</v>
      </c>
      <c r="AE513" s="5" t="s">
        <v>101</v>
      </c>
      <c r="AF513" t="s">
        <v>103</v>
      </c>
      <c r="AG513" t="s">
        <v>102</v>
      </c>
      <c r="AH513">
        <f t="shared" si="225"/>
        <v>7.3675500000000005E-2</v>
      </c>
      <c r="AI513">
        <f t="shared" ref="AI513:AI515" si="226">AJ513</f>
        <v>7.3675500000000005E-2</v>
      </c>
      <c r="AJ513">
        <f t="shared" si="196"/>
        <v>7.3675500000000005E-2</v>
      </c>
      <c r="AK513">
        <v>7.3675500000000005E-2</v>
      </c>
      <c r="AL513">
        <v>7.9482949999999997E-2</v>
      </c>
      <c r="AM513">
        <v>0.11347322</v>
      </c>
      <c r="AN513">
        <v>0.124452956</v>
      </c>
      <c r="AO513">
        <v>92.632450000000006</v>
      </c>
      <c r="AP513">
        <v>92.051704999999998</v>
      </c>
      <c r="AQ513">
        <v>88.652677999999995</v>
      </c>
      <c r="AR513">
        <v>87.554704400000006</v>
      </c>
      <c r="AS513" t="b">
        <v>0</v>
      </c>
      <c r="AT513" t="b">
        <v>0</v>
      </c>
      <c r="AU513" t="s">
        <v>77</v>
      </c>
      <c r="AV513" t="s">
        <v>77</v>
      </c>
      <c r="AW513" t="s">
        <v>783</v>
      </c>
      <c r="AX513" t="s">
        <v>804</v>
      </c>
      <c r="AY513" t="s">
        <v>805</v>
      </c>
      <c r="AZ513" t="s">
        <v>109</v>
      </c>
      <c r="BA513">
        <v>10</v>
      </c>
      <c r="BB513">
        <v>0.98</v>
      </c>
      <c r="BC513">
        <v>2.4711695999999998E-2</v>
      </c>
      <c r="BD513">
        <v>1.72884756304863E-3</v>
      </c>
      <c r="BE513">
        <v>2.6440543563048601E-2</v>
      </c>
      <c r="BF513">
        <f>IF(AK513&lt;BE513,1,0)</f>
        <v>0</v>
      </c>
      <c r="BG513">
        <f>IF(AK513&lt;BC513,1,0)</f>
        <v>0</v>
      </c>
      <c r="BH513">
        <f>VLOOKUP($B513,[1]Data_Peer_with_peerVars!$B$2:$Z$1050,20,FALSE)</f>
        <v>3</v>
      </c>
      <c r="BI513">
        <f>VLOOKUP($B513,[1]Data_Peer_with_peerVars!$B$2:$Z$1050,21,FALSE)</f>
        <v>1</v>
      </c>
      <c r="BJ513">
        <f>VLOOKUP($B513,[1]Data_Peer_with_peerVars!$B$2:$Z$1050,22,FALSE)</f>
        <v>0.33333333300000001</v>
      </c>
      <c r="BK513">
        <f>VLOOKUP($B513,[1]Data_Peer_with_peerVars!$B$2:$Z$1050,23,FALSE)</f>
        <v>3</v>
      </c>
      <c r="BL513">
        <f>VLOOKUP($B513,[1]Data_Peer_with_peerVars!$B$2:$Z$1050,24,FALSE)</f>
        <v>1</v>
      </c>
      <c r="BM513">
        <f>VLOOKUP($B513,[1]Data_Peer_with_peerVars!$B$2:$Z$1050,25,FALSE)</f>
        <v>0.33333333300000001</v>
      </c>
    </row>
    <row r="514" spans="1:65" x14ac:dyDescent="0.2">
      <c r="A514">
        <v>1</v>
      </c>
      <c r="B514" t="s">
        <v>830</v>
      </c>
      <c r="C514">
        <v>285</v>
      </c>
      <c r="D514" t="s">
        <v>68</v>
      </c>
      <c r="E514">
        <v>1</v>
      </c>
      <c r="F514">
        <v>51</v>
      </c>
      <c r="G514" t="s">
        <v>69</v>
      </c>
      <c r="H514" s="1">
        <v>7</v>
      </c>
      <c r="I514" t="s">
        <v>87</v>
      </c>
      <c r="J514" t="s">
        <v>88</v>
      </c>
      <c r="K514" t="s">
        <v>109</v>
      </c>
      <c r="L514">
        <v>1</v>
      </c>
      <c r="M514">
        <v>1</v>
      </c>
      <c r="N514">
        <v>0</v>
      </c>
      <c r="O514">
        <v>0</v>
      </c>
      <c r="P514">
        <v>0</v>
      </c>
      <c r="Q514">
        <v>9</v>
      </c>
      <c r="R514">
        <v>0</v>
      </c>
      <c r="S514">
        <v>0</v>
      </c>
      <c r="T514">
        <v>0</v>
      </c>
      <c r="U514">
        <v>0</v>
      </c>
      <c r="V514">
        <f t="shared" si="194"/>
        <v>1</v>
      </c>
      <c r="W514">
        <v>1</v>
      </c>
      <c r="X514">
        <v>1</v>
      </c>
      <c r="Y514">
        <v>1</v>
      </c>
      <c r="Z514" t="s">
        <v>76</v>
      </c>
      <c r="AA514" s="5" t="s">
        <v>76</v>
      </c>
      <c r="AB514" s="5" t="s">
        <v>76</v>
      </c>
      <c r="AC514" t="s">
        <v>76</v>
      </c>
      <c r="AD514" t="s">
        <v>74</v>
      </c>
      <c r="AE514" s="5" t="s">
        <v>74</v>
      </c>
      <c r="AF514" t="s">
        <v>75</v>
      </c>
      <c r="AG514" t="s">
        <v>120</v>
      </c>
      <c r="AH514">
        <f t="shared" si="225"/>
        <v>7.7996715999999994E-2</v>
      </c>
      <c r="AI514">
        <f t="shared" si="226"/>
        <v>7.7996715999999994E-2</v>
      </c>
      <c r="AJ514">
        <f t="shared" si="196"/>
        <v>7.7996715999999994E-2</v>
      </c>
      <c r="AK514">
        <v>7.7996715999999994E-2</v>
      </c>
      <c r="AL514">
        <v>9.2755210000000005E-2</v>
      </c>
      <c r="AM514">
        <v>0.11561644</v>
      </c>
      <c r="AN514">
        <v>0.11603722</v>
      </c>
      <c r="AO514">
        <v>92.200328400000004</v>
      </c>
      <c r="AP514">
        <v>90.724479000000002</v>
      </c>
      <c r="AQ514">
        <v>88.438355999999999</v>
      </c>
      <c r="AR514">
        <v>88.396277999999995</v>
      </c>
      <c r="AS514" t="b">
        <v>1</v>
      </c>
      <c r="AT514" t="b">
        <v>0</v>
      </c>
      <c r="AU514" t="s">
        <v>77</v>
      </c>
      <c r="AV514" t="s">
        <v>77</v>
      </c>
      <c r="AW514" t="s">
        <v>783</v>
      </c>
      <c r="AX514" t="s">
        <v>812</v>
      </c>
      <c r="AY514" t="s">
        <v>831</v>
      </c>
      <c r="AZ514" t="s">
        <v>109</v>
      </c>
      <c r="BA514">
        <v>6</v>
      </c>
      <c r="BB514">
        <v>1.5</v>
      </c>
      <c r="BC514">
        <v>7.7070764999999999E-2</v>
      </c>
      <c r="BD514">
        <v>1.90190515067399E-3</v>
      </c>
      <c r="BE514">
        <v>7.8972670150673996E-2</v>
      </c>
      <c r="BF514">
        <f>IF(AK514&lt;BE514,1,0)</f>
        <v>1</v>
      </c>
      <c r="BG514">
        <f>IF(AK514&lt;BC514,1,0)</f>
        <v>0</v>
      </c>
      <c r="BH514">
        <f>VLOOKUP($B514,[1]Data_Peer_with_peerVars!$B$2:$Z$1050,20,FALSE)</f>
        <v>2</v>
      </c>
      <c r="BI514">
        <f>VLOOKUP($B514,[1]Data_Peer_with_peerVars!$B$2:$Z$1050,21,FALSE)</f>
        <v>1</v>
      </c>
      <c r="BJ514">
        <f>VLOOKUP($B514,[1]Data_Peer_with_peerVars!$B$2:$Z$1050,22,FALSE)</f>
        <v>0.5</v>
      </c>
      <c r="BK514">
        <f>VLOOKUP($B514,[1]Data_Peer_with_peerVars!$B$2:$Z$1050,23,FALSE)</f>
        <v>37</v>
      </c>
      <c r="BL514">
        <f>VLOOKUP($B514,[1]Data_Peer_with_peerVars!$B$2:$Z$1050,24,FALSE)</f>
        <v>20</v>
      </c>
      <c r="BM514">
        <f>VLOOKUP($B514,[1]Data_Peer_with_peerVars!$B$2:$Z$1050,25,FALSE)</f>
        <v>0.54054054100000004</v>
      </c>
    </row>
    <row r="515" spans="1:65" x14ac:dyDescent="0.2">
      <c r="A515">
        <v>1</v>
      </c>
      <c r="B515" t="s">
        <v>832</v>
      </c>
      <c r="C515">
        <v>285</v>
      </c>
      <c r="D515" t="s">
        <v>68</v>
      </c>
      <c r="E515">
        <v>1</v>
      </c>
      <c r="F515">
        <v>51</v>
      </c>
      <c r="G515" t="s">
        <v>69</v>
      </c>
      <c r="H515" s="1">
        <v>7</v>
      </c>
      <c r="I515" t="s">
        <v>87</v>
      </c>
      <c r="J515" t="s">
        <v>88</v>
      </c>
      <c r="K515" t="s">
        <v>109</v>
      </c>
      <c r="L515">
        <v>1</v>
      </c>
      <c r="M515">
        <v>1</v>
      </c>
      <c r="N515">
        <v>0</v>
      </c>
      <c r="O515">
        <v>0</v>
      </c>
      <c r="P515">
        <v>0</v>
      </c>
      <c r="Q515">
        <v>9</v>
      </c>
      <c r="R515">
        <v>0</v>
      </c>
      <c r="S515">
        <v>0</v>
      </c>
      <c r="T515">
        <v>0</v>
      </c>
      <c r="U515">
        <v>0</v>
      </c>
      <c r="V515">
        <f t="shared" ref="V515:V578" si="227">IF(Z515=AC515,1,0)</f>
        <v>1</v>
      </c>
      <c r="W515">
        <v>1</v>
      </c>
      <c r="X515">
        <v>1</v>
      </c>
      <c r="Y515">
        <v>1</v>
      </c>
      <c r="Z515" t="s">
        <v>91</v>
      </c>
      <c r="AA515" s="5" t="s">
        <v>91</v>
      </c>
      <c r="AB515" s="5" t="s">
        <v>91</v>
      </c>
      <c r="AC515" t="s">
        <v>91</v>
      </c>
      <c r="AD515" t="s">
        <v>287</v>
      </c>
      <c r="AE515" s="5" t="s">
        <v>287</v>
      </c>
      <c r="AF515" t="s">
        <v>137</v>
      </c>
      <c r="AG515" t="s">
        <v>113</v>
      </c>
      <c r="AH515">
        <f t="shared" si="225"/>
        <v>0.10706462</v>
      </c>
      <c r="AI515">
        <f t="shared" si="226"/>
        <v>0.10706462</v>
      </c>
      <c r="AJ515">
        <f t="shared" ref="AJ515:AJ578" si="228">AK515</f>
        <v>0.10706462</v>
      </c>
      <c r="AK515">
        <v>0.10706462</v>
      </c>
      <c r="AL515">
        <v>0.11591034</v>
      </c>
      <c r="AM515">
        <v>0.12465829</v>
      </c>
      <c r="AN515">
        <v>0.1415613</v>
      </c>
      <c r="AO515">
        <v>89.293537999999998</v>
      </c>
      <c r="AP515">
        <v>88.408966000000007</v>
      </c>
      <c r="AQ515">
        <v>87.534171000000001</v>
      </c>
      <c r="AR515">
        <v>85.843869999999995</v>
      </c>
      <c r="AS515" t="b">
        <v>1</v>
      </c>
      <c r="AT515" t="b">
        <v>0</v>
      </c>
      <c r="AU515" t="s">
        <v>78</v>
      </c>
      <c r="AV515" t="s">
        <v>78</v>
      </c>
      <c r="AW515" t="s">
        <v>783</v>
      </c>
      <c r="AX515" t="s">
        <v>812</v>
      </c>
      <c r="AY515" t="s">
        <v>831</v>
      </c>
      <c r="AZ515" t="s">
        <v>72</v>
      </c>
      <c r="BA515" t="s">
        <v>82</v>
      </c>
      <c r="BB515">
        <v>3</v>
      </c>
      <c r="BC515">
        <v>9.0659339999999995E-3</v>
      </c>
      <c r="BD515">
        <v>2.76583658862385E-3</v>
      </c>
      <c r="BE515">
        <v>1.1831770588623799E-2</v>
      </c>
      <c r="BF515">
        <f>IF(AK515&lt;BE515,1,0)</f>
        <v>0</v>
      </c>
      <c r="BG515">
        <f>IF(AK515&lt;BC515,1,0)</f>
        <v>0</v>
      </c>
      <c r="BH515">
        <f>VLOOKUP($B515,[1]Data_Peer_with_peerVars!$B$2:$Z$1050,20,FALSE)</f>
        <v>2</v>
      </c>
      <c r="BI515">
        <f>VLOOKUP($B515,[1]Data_Peer_with_peerVars!$B$2:$Z$1050,21,FALSE)</f>
        <v>1</v>
      </c>
      <c r="BJ515">
        <f>VLOOKUP($B515,[1]Data_Peer_with_peerVars!$B$2:$Z$1050,22,FALSE)</f>
        <v>0.5</v>
      </c>
      <c r="BK515">
        <f>VLOOKUP($B515,[1]Data_Peer_with_peerVars!$B$2:$Z$1050,23,FALSE)</f>
        <v>37</v>
      </c>
      <c r="BL515">
        <f>VLOOKUP($B515,[1]Data_Peer_with_peerVars!$B$2:$Z$1050,24,FALSE)</f>
        <v>20</v>
      </c>
      <c r="BM515">
        <f>VLOOKUP($B515,[1]Data_Peer_with_peerVars!$B$2:$Z$1050,25,FALSE)</f>
        <v>0.54054054100000004</v>
      </c>
    </row>
    <row r="516" spans="1:65" x14ac:dyDescent="0.2">
      <c r="A516">
        <v>1</v>
      </c>
      <c r="B516" t="s">
        <v>833</v>
      </c>
      <c r="C516">
        <v>286</v>
      </c>
      <c r="D516" t="s">
        <v>68</v>
      </c>
      <c r="E516">
        <v>1</v>
      </c>
      <c r="F516">
        <v>52</v>
      </c>
      <c r="G516" t="s">
        <v>69</v>
      </c>
      <c r="H516" s="1">
        <v>7</v>
      </c>
      <c r="J516" t="s">
        <v>82</v>
      </c>
      <c r="L516">
        <v>1</v>
      </c>
      <c r="M516">
        <v>0</v>
      </c>
      <c r="N516">
        <v>1</v>
      </c>
      <c r="O516">
        <v>0</v>
      </c>
      <c r="P516">
        <v>0</v>
      </c>
      <c r="Q516">
        <v>3</v>
      </c>
      <c r="R516">
        <v>1</v>
      </c>
      <c r="S516">
        <v>1</v>
      </c>
      <c r="T516">
        <v>1</v>
      </c>
      <c r="U516">
        <v>1</v>
      </c>
      <c r="V516">
        <f t="shared" si="227"/>
        <v>0</v>
      </c>
      <c r="W516">
        <f t="shared" ref="W516:W578" si="229">IF(Z516=AD516,1,0)</f>
        <v>1</v>
      </c>
      <c r="X516">
        <v>1</v>
      </c>
      <c r="Y516">
        <v>1</v>
      </c>
      <c r="Z516" t="s">
        <v>76</v>
      </c>
      <c r="AA516" s="5" t="s">
        <v>76</v>
      </c>
      <c r="AB516" s="5" t="s">
        <v>76</v>
      </c>
      <c r="AC516" t="s">
        <v>107</v>
      </c>
      <c r="AD516" t="s">
        <v>76</v>
      </c>
      <c r="AE516" s="5" t="s">
        <v>834</v>
      </c>
      <c r="AF516" t="s">
        <v>120</v>
      </c>
      <c r="AG516" t="s">
        <v>74</v>
      </c>
      <c r="AH516">
        <f t="shared" si="225"/>
        <v>0.12575178000000001</v>
      </c>
      <c r="AI516">
        <f>AJ516</f>
        <v>0.12575178000000001</v>
      </c>
      <c r="AJ516">
        <f>AL516</f>
        <v>0.12575178000000001</v>
      </c>
      <c r="AK516">
        <v>0.12554824000000001</v>
      </c>
      <c r="AL516">
        <v>0.12575178000000001</v>
      </c>
      <c r="AM516">
        <v>0.13285948</v>
      </c>
      <c r="AN516">
        <v>0.13302248999999999</v>
      </c>
      <c r="AO516">
        <v>87.445176000000004</v>
      </c>
      <c r="AP516">
        <v>87.424822000000006</v>
      </c>
      <c r="AQ516">
        <v>86.714051999999995</v>
      </c>
      <c r="AR516">
        <v>86.697750999999997</v>
      </c>
      <c r="AS516" t="b">
        <v>0</v>
      </c>
      <c r="AT516" t="b">
        <v>0</v>
      </c>
      <c r="AU516" t="s">
        <v>108</v>
      </c>
      <c r="AV516" t="s">
        <v>108</v>
      </c>
      <c r="AW516" t="s">
        <v>783</v>
      </c>
      <c r="AX516" t="s">
        <v>812</v>
      </c>
      <c r="AY516" t="s">
        <v>831</v>
      </c>
      <c r="AZ516" t="s">
        <v>82</v>
      </c>
      <c r="BA516" t="s">
        <v>82</v>
      </c>
      <c r="BB516">
        <v>0.7</v>
      </c>
      <c r="BC516">
        <v>2.6475456000000001E-2</v>
      </c>
      <c r="BD516">
        <v>8.8330364056477401E-3</v>
      </c>
      <c r="BE516">
        <v>3.53084924056477E-2</v>
      </c>
      <c r="BF516">
        <f>IF(AK516&lt;BE516,1,0)</f>
        <v>0</v>
      </c>
      <c r="BG516">
        <f>IF(AK516&lt;BC516,1,0)</f>
        <v>0</v>
      </c>
      <c r="BH516">
        <f>VLOOKUP($B516,[1]Data_Peer_with_peerVars!$B$2:$Z$1050,20,FALSE)</f>
        <v>2</v>
      </c>
      <c r="BI516">
        <f>VLOOKUP($B516,[1]Data_Peer_with_peerVars!$B$2:$Z$1050,21,FALSE)</f>
        <v>1</v>
      </c>
      <c r="BJ516">
        <f>VLOOKUP($B516,[1]Data_Peer_with_peerVars!$B$2:$Z$1050,22,FALSE)</f>
        <v>0.5</v>
      </c>
      <c r="BK516">
        <f>VLOOKUP($B516,[1]Data_Peer_with_peerVars!$B$2:$Z$1050,23,FALSE)</f>
        <v>14</v>
      </c>
      <c r="BL516">
        <f>VLOOKUP($B516,[1]Data_Peer_with_peerVars!$B$2:$Z$1050,24,FALSE)</f>
        <v>9</v>
      </c>
      <c r="BM516">
        <f>VLOOKUP($B516,[1]Data_Peer_with_peerVars!$B$2:$Z$1050,25,FALSE)</f>
        <v>0.64285714299999996</v>
      </c>
    </row>
    <row r="517" spans="1:65" x14ac:dyDescent="0.2">
      <c r="A517">
        <v>1</v>
      </c>
      <c r="B517" t="s">
        <v>835</v>
      </c>
      <c r="C517">
        <v>286</v>
      </c>
      <c r="D517" t="s">
        <v>68</v>
      </c>
      <c r="E517">
        <v>1</v>
      </c>
      <c r="F517">
        <v>52</v>
      </c>
      <c r="G517" t="s">
        <v>69</v>
      </c>
      <c r="H517" s="1">
        <v>7</v>
      </c>
      <c r="J517" t="s">
        <v>82</v>
      </c>
      <c r="L517">
        <v>1</v>
      </c>
      <c r="M517">
        <v>0</v>
      </c>
      <c r="N517">
        <v>1</v>
      </c>
      <c r="O517">
        <v>0</v>
      </c>
      <c r="P517">
        <v>0</v>
      </c>
      <c r="Q517">
        <v>3</v>
      </c>
      <c r="R517">
        <v>0</v>
      </c>
      <c r="S517">
        <v>0</v>
      </c>
      <c r="T517">
        <v>0</v>
      </c>
      <c r="U517">
        <v>0</v>
      </c>
      <c r="V517">
        <f t="shared" si="227"/>
        <v>1</v>
      </c>
      <c r="W517">
        <v>1</v>
      </c>
      <c r="X517">
        <v>1</v>
      </c>
      <c r="Y517">
        <v>1</v>
      </c>
      <c r="Z517" t="s">
        <v>75</v>
      </c>
      <c r="AA517" s="5" t="s">
        <v>75</v>
      </c>
      <c r="AB517" s="5" t="s">
        <v>75</v>
      </c>
      <c r="AC517" t="s">
        <v>75</v>
      </c>
      <c r="AD517" t="s">
        <v>120</v>
      </c>
      <c r="AE517" s="5" t="s">
        <v>810</v>
      </c>
      <c r="AF517" t="s">
        <v>74</v>
      </c>
      <c r="AG517" t="s">
        <v>167</v>
      </c>
      <c r="AH517">
        <f t="shared" si="225"/>
        <v>2.6013142999999999E-2</v>
      </c>
      <c r="AI517">
        <f>AJ517</f>
        <v>2.6013142999999999E-2</v>
      </c>
      <c r="AJ517">
        <f t="shared" si="228"/>
        <v>2.6013142999999999E-2</v>
      </c>
      <c r="AK517">
        <v>2.6013142999999999E-2</v>
      </c>
      <c r="AL517">
        <v>9.9015320000000004E-2</v>
      </c>
      <c r="AM517">
        <v>9.9615805000000002E-2</v>
      </c>
      <c r="AN517">
        <v>0.109769486</v>
      </c>
      <c r="AO517">
        <v>97.398685700000001</v>
      </c>
      <c r="AP517">
        <v>90.098467999999997</v>
      </c>
      <c r="AQ517">
        <v>90.038419500000003</v>
      </c>
      <c r="AR517">
        <v>89.0230514</v>
      </c>
      <c r="AS517" t="b">
        <v>1</v>
      </c>
      <c r="AT517" t="b">
        <v>0</v>
      </c>
      <c r="AU517" t="s">
        <v>77</v>
      </c>
      <c r="AV517" t="s">
        <v>108</v>
      </c>
      <c r="AW517" t="s">
        <v>783</v>
      </c>
      <c r="AX517" t="s">
        <v>812</v>
      </c>
      <c r="AY517" t="s">
        <v>831</v>
      </c>
      <c r="AZ517" t="s">
        <v>72</v>
      </c>
      <c r="BA517" t="s">
        <v>82</v>
      </c>
      <c r="BB517">
        <v>1</v>
      </c>
      <c r="BC517">
        <v>2.3038946000000001E-2</v>
      </c>
      <c r="BD517">
        <v>2.6184719377746E-3</v>
      </c>
      <c r="BE517">
        <v>2.5657417937774599E-2</v>
      </c>
      <c r="BF517">
        <f>IF(AK517&lt;BE517,1,0)</f>
        <v>0</v>
      </c>
      <c r="BG517">
        <f>IF(AK517&lt;BC517,1,0)</f>
        <v>0</v>
      </c>
      <c r="BH517">
        <f>VLOOKUP($B517,[1]Data_Peer_with_peerVars!$B$2:$Z$1050,20,FALSE)</f>
        <v>2</v>
      </c>
      <c r="BI517">
        <f>VLOOKUP($B517,[1]Data_Peer_with_peerVars!$B$2:$Z$1050,21,FALSE)</f>
        <v>1</v>
      </c>
      <c r="BJ517">
        <f>VLOOKUP($B517,[1]Data_Peer_with_peerVars!$B$2:$Z$1050,22,FALSE)</f>
        <v>0.5</v>
      </c>
      <c r="BK517">
        <f>VLOOKUP($B517,[1]Data_Peer_with_peerVars!$B$2:$Z$1050,23,FALSE)</f>
        <v>14</v>
      </c>
      <c r="BL517">
        <f>VLOOKUP($B517,[1]Data_Peer_with_peerVars!$B$2:$Z$1050,24,FALSE)</f>
        <v>9</v>
      </c>
      <c r="BM517">
        <f>VLOOKUP($B517,[1]Data_Peer_with_peerVars!$B$2:$Z$1050,25,FALSE)</f>
        <v>0.64285714299999996</v>
      </c>
    </row>
    <row r="518" spans="1:65" x14ac:dyDescent="0.2">
      <c r="A518">
        <v>1</v>
      </c>
      <c r="B518" t="s">
        <v>836</v>
      </c>
      <c r="C518">
        <v>287</v>
      </c>
      <c r="D518" t="s">
        <v>68</v>
      </c>
      <c r="E518">
        <v>1</v>
      </c>
      <c r="F518">
        <v>75</v>
      </c>
      <c r="G518" t="s">
        <v>86</v>
      </c>
      <c r="H518" s="1">
        <v>5.5</v>
      </c>
      <c r="I518" t="s">
        <v>87</v>
      </c>
      <c r="J518" t="s">
        <v>111</v>
      </c>
      <c r="K518" t="s">
        <v>109</v>
      </c>
      <c r="L518">
        <v>2</v>
      </c>
      <c r="M518">
        <v>1</v>
      </c>
      <c r="N518">
        <v>1</v>
      </c>
      <c r="O518">
        <v>1</v>
      </c>
      <c r="P518">
        <v>0</v>
      </c>
      <c r="Q518">
        <v>9</v>
      </c>
      <c r="R518">
        <v>0</v>
      </c>
      <c r="S518">
        <v>0</v>
      </c>
      <c r="T518">
        <v>0</v>
      </c>
      <c r="U518">
        <v>0</v>
      </c>
      <c r="V518">
        <f t="shared" si="227"/>
        <v>0</v>
      </c>
      <c r="W518">
        <f t="shared" si="229"/>
        <v>0</v>
      </c>
      <c r="X518">
        <f t="shared" ref="X518:X579" si="230">IF(Z518=AF518,1,0)</f>
        <v>0</v>
      </c>
      <c r="Y518">
        <f t="shared" ref="Y518:Y578" si="231">IF(Z518=AG518,1,0)</f>
        <v>0</v>
      </c>
      <c r="Z518" t="s">
        <v>89</v>
      </c>
      <c r="AA518" s="5" t="s">
        <v>89</v>
      </c>
      <c r="AB518" s="5" t="s">
        <v>577</v>
      </c>
      <c r="AC518" t="s">
        <v>287</v>
      </c>
      <c r="AD518" t="s">
        <v>137</v>
      </c>
      <c r="AE518" s="5" t="s">
        <v>137</v>
      </c>
      <c r="AF518" t="s">
        <v>113</v>
      </c>
      <c r="AG518" t="s">
        <v>91</v>
      </c>
      <c r="AH518">
        <f t="shared" ref="AH518:AH521" si="232">AI518</f>
        <v>7.2447860000000003E-2</v>
      </c>
      <c r="AI518">
        <f t="shared" ref="AI518:AI521" si="233">AJ518</f>
        <v>7.2447860000000003E-2</v>
      </c>
      <c r="AJ518">
        <f t="shared" si="228"/>
        <v>7.2447860000000003E-2</v>
      </c>
      <c r="AK518">
        <v>7.2447860000000003E-2</v>
      </c>
      <c r="AL518">
        <v>9.5172789999999993E-2</v>
      </c>
      <c r="AM518">
        <v>0.12465527</v>
      </c>
      <c r="AN518">
        <v>0.12781748000000001</v>
      </c>
      <c r="AO518">
        <v>92.755213999999995</v>
      </c>
      <c r="AP518">
        <v>90.482720999999998</v>
      </c>
      <c r="AQ518">
        <v>87.534473000000006</v>
      </c>
      <c r="AR518">
        <v>87.218252000000007</v>
      </c>
      <c r="AS518" t="b">
        <v>0</v>
      </c>
      <c r="AT518" t="b">
        <v>0</v>
      </c>
      <c r="AU518" t="s">
        <v>92</v>
      </c>
      <c r="AV518" t="s">
        <v>92</v>
      </c>
      <c r="AW518" t="s">
        <v>783</v>
      </c>
      <c r="AX518" t="s">
        <v>812</v>
      </c>
      <c r="AY518" t="s">
        <v>831</v>
      </c>
      <c r="AZ518" t="s">
        <v>109</v>
      </c>
      <c r="BA518">
        <v>2</v>
      </c>
      <c r="BB518">
        <v>3</v>
      </c>
      <c r="BC518">
        <v>5.5106750000000003E-2</v>
      </c>
      <c r="BD518">
        <v>2.4361461616194298E-3</v>
      </c>
      <c r="BE518">
        <v>5.7542896161619402E-2</v>
      </c>
      <c r="BF518">
        <f>IF(AK518&lt;BE518,1,0)</f>
        <v>0</v>
      </c>
      <c r="BG518">
        <f>IF(AK518&lt;BC518,1,0)</f>
        <v>0</v>
      </c>
      <c r="BH518">
        <f>VLOOKUP($B518,[1]Data_Peer_with_peerVars!$B$2:$Z$1050,20,FALSE)</f>
        <v>3</v>
      </c>
      <c r="BI518">
        <f>VLOOKUP($B518,[1]Data_Peer_with_peerVars!$B$2:$Z$1050,21,FALSE)</f>
        <v>2</v>
      </c>
      <c r="BJ518">
        <f>VLOOKUP($B518,[1]Data_Peer_with_peerVars!$B$2:$Z$1050,22,FALSE)</f>
        <v>0.66666666699999999</v>
      </c>
      <c r="BK518">
        <f>VLOOKUP($B518,[1]Data_Peer_with_peerVars!$B$2:$Z$1050,23,FALSE)</f>
        <v>58</v>
      </c>
      <c r="BL518">
        <f>VLOOKUP($B518,[1]Data_Peer_with_peerVars!$B$2:$Z$1050,24,FALSE)</f>
        <v>31</v>
      </c>
      <c r="BM518">
        <f>VLOOKUP($B518,[1]Data_Peer_with_peerVars!$B$2:$Z$1050,25,FALSE)</f>
        <v>0.53448275899999997</v>
      </c>
    </row>
    <row r="519" spans="1:65" x14ac:dyDescent="0.2">
      <c r="A519">
        <v>1</v>
      </c>
      <c r="B519" t="s">
        <v>837</v>
      </c>
      <c r="C519">
        <v>288</v>
      </c>
      <c r="D519" t="s">
        <v>68</v>
      </c>
      <c r="E519">
        <v>1</v>
      </c>
      <c r="F519">
        <v>78</v>
      </c>
      <c r="G519" t="s">
        <v>86</v>
      </c>
      <c r="H519" s="1">
        <v>7</v>
      </c>
      <c r="I519" t="s">
        <v>87</v>
      </c>
      <c r="J519" t="s">
        <v>111</v>
      </c>
      <c r="K519" t="s">
        <v>109</v>
      </c>
      <c r="L519">
        <v>1</v>
      </c>
      <c r="M519">
        <v>0</v>
      </c>
      <c r="N519">
        <v>1</v>
      </c>
      <c r="O519">
        <v>0</v>
      </c>
      <c r="P519">
        <v>0</v>
      </c>
      <c r="Q519">
        <v>6</v>
      </c>
      <c r="R519">
        <v>1</v>
      </c>
      <c r="S519">
        <v>1</v>
      </c>
      <c r="T519">
        <v>1</v>
      </c>
      <c r="U519">
        <v>1</v>
      </c>
      <c r="V519">
        <f t="shared" si="227"/>
        <v>0</v>
      </c>
      <c r="W519">
        <f t="shared" si="229"/>
        <v>0</v>
      </c>
      <c r="X519">
        <f t="shared" si="230"/>
        <v>0</v>
      </c>
      <c r="Y519">
        <f t="shared" si="231"/>
        <v>0</v>
      </c>
      <c r="Z519" t="s">
        <v>177</v>
      </c>
      <c r="AA519" s="5" t="s">
        <v>838</v>
      </c>
      <c r="AB519" s="5" t="s">
        <v>839</v>
      </c>
      <c r="AC519" t="s">
        <v>107</v>
      </c>
      <c r="AD519" t="s">
        <v>95</v>
      </c>
      <c r="AE519" s="5" t="s">
        <v>95</v>
      </c>
      <c r="AF519" t="s">
        <v>173</v>
      </c>
      <c r="AG519" t="s">
        <v>174</v>
      </c>
      <c r="AH519">
        <f t="shared" si="232"/>
        <v>8.8544550000000007E-3</v>
      </c>
      <c r="AI519">
        <f t="shared" si="233"/>
        <v>8.8544550000000007E-3</v>
      </c>
      <c r="AJ519">
        <f t="shared" si="228"/>
        <v>8.8544550000000007E-3</v>
      </c>
      <c r="AK519">
        <v>8.8544550000000007E-3</v>
      </c>
      <c r="AL519">
        <v>7.6411960000000001E-2</v>
      </c>
      <c r="AM519">
        <v>9.3042515000000006E-2</v>
      </c>
      <c r="AN519">
        <v>9.6899230000000003E-2</v>
      </c>
      <c r="AO519">
        <v>99.114554499999997</v>
      </c>
      <c r="AP519">
        <v>92.358804000000006</v>
      </c>
      <c r="AQ519">
        <v>90.695748499999993</v>
      </c>
      <c r="AR519">
        <v>90.310077000000007</v>
      </c>
      <c r="AS519" t="b">
        <v>0</v>
      </c>
      <c r="AT519" t="b">
        <v>0</v>
      </c>
      <c r="AU519" t="s">
        <v>77</v>
      </c>
      <c r="AV519" t="s">
        <v>77</v>
      </c>
      <c r="AW519" t="s">
        <v>783</v>
      </c>
      <c r="AX519" t="s">
        <v>812</v>
      </c>
      <c r="AY519" t="s">
        <v>831</v>
      </c>
      <c r="AZ519" t="s">
        <v>109</v>
      </c>
      <c r="BA519">
        <v>2</v>
      </c>
      <c r="BB519">
        <v>1</v>
      </c>
      <c r="BC519">
        <v>2.6475456000000001E-2</v>
      </c>
      <c r="BD519">
        <v>8.8330364056477401E-3</v>
      </c>
      <c r="BE519">
        <v>3.53084924056477E-2</v>
      </c>
      <c r="BF519">
        <f>IF(AK519&lt;BE519,1,0)</f>
        <v>1</v>
      </c>
      <c r="BG519">
        <f>IF(AK519&lt;BC519,1,0)</f>
        <v>1</v>
      </c>
      <c r="BH519">
        <f>VLOOKUP($B519,[1]Data_Peer_with_peerVars!$B$2:$Z$1050,20,FALSE)</f>
        <v>2</v>
      </c>
      <c r="BI519">
        <f>VLOOKUP($B519,[1]Data_Peer_with_peerVars!$B$2:$Z$1050,21,FALSE)</f>
        <v>2</v>
      </c>
      <c r="BJ519">
        <f>VLOOKUP($B519,[1]Data_Peer_with_peerVars!$B$2:$Z$1050,22,FALSE)</f>
        <v>1</v>
      </c>
      <c r="BK519">
        <f>VLOOKUP($B519,[1]Data_Peer_with_peerVars!$B$2:$Z$1050,23,FALSE)</f>
        <v>42</v>
      </c>
      <c r="BL519">
        <f>VLOOKUP($B519,[1]Data_Peer_with_peerVars!$B$2:$Z$1050,24,FALSE)</f>
        <v>23</v>
      </c>
      <c r="BM519">
        <f>VLOOKUP($B519,[1]Data_Peer_with_peerVars!$B$2:$Z$1050,25,FALSE)</f>
        <v>0.54761904800000005</v>
      </c>
    </row>
    <row r="520" spans="1:65" x14ac:dyDescent="0.2">
      <c r="A520">
        <v>1</v>
      </c>
      <c r="B520" t="s">
        <v>840</v>
      </c>
      <c r="C520">
        <v>288</v>
      </c>
      <c r="D520" t="s">
        <v>68</v>
      </c>
      <c r="E520">
        <v>1</v>
      </c>
      <c r="F520">
        <v>78</v>
      </c>
      <c r="G520" t="s">
        <v>86</v>
      </c>
      <c r="H520" s="1">
        <v>7</v>
      </c>
      <c r="I520" t="s">
        <v>87</v>
      </c>
      <c r="J520" t="s">
        <v>111</v>
      </c>
      <c r="K520" t="s">
        <v>109</v>
      </c>
      <c r="L520">
        <v>1</v>
      </c>
      <c r="M520">
        <v>0</v>
      </c>
      <c r="N520">
        <v>1</v>
      </c>
      <c r="O520">
        <v>0</v>
      </c>
      <c r="P520">
        <v>0</v>
      </c>
      <c r="Q520">
        <v>6</v>
      </c>
      <c r="R520">
        <v>0</v>
      </c>
      <c r="S520">
        <v>0</v>
      </c>
      <c r="T520">
        <v>1</v>
      </c>
      <c r="U520">
        <v>1</v>
      </c>
      <c r="V520">
        <f t="shared" si="227"/>
        <v>1</v>
      </c>
      <c r="W520">
        <v>1</v>
      </c>
      <c r="X520">
        <v>1</v>
      </c>
      <c r="Y520">
        <v>1</v>
      </c>
      <c r="Z520" t="s">
        <v>73</v>
      </c>
      <c r="AA520" s="5" t="s">
        <v>73</v>
      </c>
      <c r="AB520" s="5" t="s">
        <v>73</v>
      </c>
      <c r="AC520" t="s">
        <v>73</v>
      </c>
      <c r="AD520" t="s">
        <v>94</v>
      </c>
      <c r="AE520" s="5" t="s">
        <v>106</v>
      </c>
      <c r="AF520" t="s">
        <v>107</v>
      </c>
      <c r="AG520" t="s">
        <v>95</v>
      </c>
      <c r="AH520">
        <f t="shared" si="232"/>
        <v>4.0961225000000004E-3</v>
      </c>
      <c r="AI520">
        <f t="shared" si="233"/>
        <v>4.0961225000000004E-3</v>
      </c>
      <c r="AJ520">
        <f t="shared" si="228"/>
        <v>4.0961225000000004E-3</v>
      </c>
      <c r="AK520">
        <v>4.0961225000000004E-3</v>
      </c>
      <c r="AL520">
        <v>0.13163656000000001</v>
      </c>
      <c r="AM520">
        <v>0.13673805999999999</v>
      </c>
      <c r="AN520">
        <v>0.13917808000000001</v>
      </c>
      <c r="AO520">
        <v>99.590387750000005</v>
      </c>
      <c r="AP520">
        <v>86.836343999999997</v>
      </c>
      <c r="AQ520">
        <v>86.326194000000001</v>
      </c>
      <c r="AR520">
        <v>86.082192000000006</v>
      </c>
      <c r="AS520" t="b">
        <v>1</v>
      </c>
      <c r="AT520" t="b">
        <v>0</v>
      </c>
      <c r="AU520" t="s">
        <v>77</v>
      </c>
      <c r="AV520" t="s">
        <v>108</v>
      </c>
      <c r="AW520" t="s">
        <v>783</v>
      </c>
      <c r="AX520" t="s">
        <v>812</v>
      </c>
      <c r="AY520" t="s">
        <v>831</v>
      </c>
      <c r="AZ520" t="s">
        <v>109</v>
      </c>
      <c r="BA520">
        <v>2</v>
      </c>
      <c r="BB520">
        <v>1</v>
      </c>
      <c r="BC520">
        <v>4.1163553999999996E-3</v>
      </c>
      <c r="BD520">
        <v>1.4279989108178799E-4</v>
      </c>
      <c r="BE520">
        <v>4.2591552910817903E-3</v>
      </c>
      <c r="BF520">
        <f>IF(AK520&lt;BE520,1,0)</f>
        <v>1</v>
      </c>
      <c r="BG520">
        <f>IF(AK520&lt;BC520,1,0)</f>
        <v>1</v>
      </c>
      <c r="BH520">
        <f>VLOOKUP($B520,[1]Data_Peer_with_peerVars!$B$2:$Z$1050,20,FALSE)</f>
        <v>2</v>
      </c>
      <c r="BI520">
        <f>VLOOKUP($B520,[1]Data_Peer_with_peerVars!$B$2:$Z$1050,21,FALSE)</f>
        <v>2</v>
      </c>
      <c r="BJ520">
        <f>VLOOKUP($B520,[1]Data_Peer_with_peerVars!$B$2:$Z$1050,22,FALSE)</f>
        <v>1</v>
      </c>
      <c r="BK520">
        <f>VLOOKUP($B520,[1]Data_Peer_with_peerVars!$B$2:$Z$1050,23,FALSE)</f>
        <v>42</v>
      </c>
      <c r="BL520">
        <f>VLOOKUP($B520,[1]Data_Peer_with_peerVars!$B$2:$Z$1050,24,FALSE)</f>
        <v>23</v>
      </c>
      <c r="BM520">
        <f>VLOOKUP($B520,[1]Data_Peer_with_peerVars!$B$2:$Z$1050,25,FALSE)</f>
        <v>0.54761904800000005</v>
      </c>
    </row>
    <row r="521" spans="1:65" x14ac:dyDescent="0.2">
      <c r="A521">
        <v>1</v>
      </c>
      <c r="B521" t="s">
        <v>841</v>
      </c>
      <c r="C521">
        <v>289</v>
      </c>
      <c r="D521" t="s">
        <v>68</v>
      </c>
      <c r="E521">
        <v>0</v>
      </c>
      <c r="F521">
        <v>50</v>
      </c>
      <c r="G521" t="s">
        <v>97</v>
      </c>
      <c r="H521" s="1">
        <v>7</v>
      </c>
      <c r="I521" t="s">
        <v>87</v>
      </c>
      <c r="J521" t="s">
        <v>111</v>
      </c>
      <c r="K521" t="s">
        <v>109</v>
      </c>
      <c r="L521">
        <v>1</v>
      </c>
      <c r="M521">
        <v>1</v>
      </c>
      <c r="N521">
        <v>1</v>
      </c>
      <c r="O521">
        <v>0</v>
      </c>
      <c r="P521">
        <v>0</v>
      </c>
      <c r="Q521">
        <v>2</v>
      </c>
      <c r="R521">
        <v>0</v>
      </c>
      <c r="S521">
        <v>0</v>
      </c>
      <c r="T521">
        <v>0</v>
      </c>
      <c r="U521">
        <v>0</v>
      </c>
      <c r="V521">
        <f t="shared" si="227"/>
        <v>1</v>
      </c>
      <c r="W521">
        <v>1</v>
      </c>
      <c r="X521">
        <v>1</v>
      </c>
      <c r="Y521">
        <v>1</v>
      </c>
      <c r="Z521" t="s">
        <v>76</v>
      </c>
      <c r="AA521" s="5" t="s">
        <v>76</v>
      </c>
      <c r="AB521" s="5" t="s">
        <v>76</v>
      </c>
      <c r="AC521" t="s">
        <v>76</v>
      </c>
      <c r="AD521" t="s">
        <v>74</v>
      </c>
      <c r="AE521" s="5" t="s">
        <v>74</v>
      </c>
      <c r="AF521" t="s">
        <v>120</v>
      </c>
      <c r="AG521" t="s">
        <v>75</v>
      </c>
      <c r="AH521">
        <f t="shared" si="232"/>
        <v>8.7383939999999993E-2</v>
      </c>
      <c r="AI521">
        <f t="shared" si="233"/>
        <v>8.7383939999999993E-2</v>
      </c>
      <c r="AJ521">
        <f t="shared" si="228"/>
        <v>8.7383939999999993E-2</v>
      </c>
      <c r="AK521">
        <v>8.7383939999999993E-2</v>
      </c>
      <c r="AL521">
        <v>0.10547945</v>
      </c>
      <c r="AM521">
        <v>0.12643364000000001</v>
      </c>
      <c r="AN521">
        <v>0.12800875</v>
      </c>
      <c r="AO521">
        <v>91.261606</v>
      </c>
      <c r="AP521">
        <v>89.452055000000001</v>
      </c>
      <c r="AQ521">
        <v>87.356635999999995</v>
      </c>
      <c r="AR521">
        <v>87.199124999999995</v>
      </c>
      <c r="AS521" t="b">
        <v>1</v>
      </c>
      <c r="AT521" t="b">
        <v>0</v>
      </c>
      <c r="AU521" t="s">
        <v>77</v>
      </c>
      <c r="AV521" t="s">
        <v>78</v>
      </c>
      <c r="AW521" t="s">
        <v>783</v>
      </c>
      <c r="AX521" t="s">
        <v>812</v>
      </c>
      <c r="AY521" t="s">
        <v>831</v>
      </c>
      <c r="AZ521" t="s">
        <v>109</v>
      </c>
      <c r="BA521">
        <v>5</v>
      </c>
      <c r="BB521">
        <v>0.7</v>
      </c>
      <c r="BC521">
        <v>7.7070764999999999E-2</v>
      </c>
      <c r="BD521">
        <v>1.90190515067399E-3</v>
      </c>
      <c r="BE521">
        <v>7.8972670150673996E-2</v>
      </c>
      <c r="BF521">
        <f>IF(AK521&lt;BE521,1,0)</f>
        <v>0</v>
      </c>
      <c r="BG521">
        <f>IF(AK521&lt;BC521,1,0)</f>
        <v>0</v>
      </c>
      <c r="BH521">
        <f>VLOOKUP($B521,[1]Data_Peer_with_peerVars!$B$2:$Z$1050,20,FALSE)</f>
        <v>0</v>
      </c>
      <c r="BI521">
        <f>VLOOKUP($B521,[1]Data_Peer_with_peerVars!$B$2:$Z$1050,21,FALSE)</f>
        <v>0</v>
      </c>
      <c r="BJ521">
        <v>0</v>
      </c>
      <c r="BK521">
        <f>VLOOKUP($B521,[1]Data_Peer_with_peerVars!$B$2:$Z$1050,23,FALSE)</f>
        <v>40</v>
      </c>
      <c r="BL521">
        <f>VLOOKUP($B521,[1]Data_Peer_with_peerVars!$B$2:$Z$1050,24,FALSE)</f>
        <v>22</v>
      </c>
      <c r="BM521">
        <f>VLOOKUP($B521,[1]Data_Peer_with_peerVars!$B$2:$Z$1050,25,FALSE)</f>
        <v>0.55000000000000004</v>
      </c>
    </row>
    <row r="522" spans="1:65" x14ac:dyDescent="0.2">
      <c r="A522">
        <v>1</v>
      </c>
      <c r="B522" t="s">
        <v>842</v>
      </c>
      <c r="C522">
        <v>289</v>
      </c>
      <c r="D522" t="s">
        <v>68</v>
      </c>
      <c r="E522">
        <v>0</v>
      </c>
      <c r="F522">
        <v>50</v>
      </c>
      <c r="G522" t="s">
        <v>97</v>
      </c>
      <c r="H522" s="1">
        <v>7</v>
      </c>
      <c r="I522" t="s">
        <v>87</v>
      </c>
      <c r="J522" t="s">
        <v>111</v>
      </c>
      <c r="K522" t="s">
        <v>109</v>
      </c>
      <c r="L522">
        <v>1</v>
      </c>
      <c r="M522">
        <v>1</v>
      </c>
      <c r="N522">
        <v>1</v>
      </c>
      <c r="O522">
        <v>0</v>
      </c>
      <c r="P522">
        <v>0</v>
      </c>
      <c r="Q522">
        <v>2</v>
      </c>
      <c r="R522">
        <v>0</v>
      </c>
      <c r="S522">
        <v>0</v>
      </c>
      <c r="T522">
        <v>0</v>
      </c>
      <c r="U522">
        <v>0</v>
      </c>
      <c r="V522">
        <f t="shared" si="227"/>
        <v>0</v>
      </c>
      <c r="W522">
        <f t="shared" si="229"/>
        <v>0</v>
      </c>
      <c r="X522">
        <f t="shared" si="230"/>
        <v>0</v>
      </c>
      <c r="Y522">
        <f t="shared" si="231"/>
        <v>0</v>
      </c>
      <c r="Z522" t="s">
        <v>73</v>
      </c>
      <c r="AA522" s="5" t="s">
        <v>73</v>
      </c>
      <c r="AB522" s="5" t="s">
        <v>73</v>
      </c>
      <c r="AC522" t="s">
        <v>91</v>
      </c>
      <c r="AD522" t="s">
        <v>287</v>
      </c>
      <c r="AE522" s="5" t="s">
        <v>287</v>
      </c>
      <c r="AF522" t="s">
        <v>137</v>
      </c>
      <c r="AG522" t="s">
        <v>75</v>
      </c>
      <c r="AH522">
        <f>AI522</f>
        <v>3.5538546999999997E-2</v>
      </c>
      <c r="AI522">
        <f>AJ522</f>
        <v>3.5538546999999997E-2</v>
      </c>
      <c r="AJ522">
        <f t="shared" si="228"/>
        <v>3.5538546999999997E-2</v>
      </c>
      <c r="AK522">
        <v>3.5538546999999997E-2</v>
      </c>
      <c r="AL522">
        <v>0.10431458</v>
      </c>
      <c r="AM522">
        <v>0.12036026</v>
      </c>
      <c r="AN522">
        <v>0.12972085</v>
      </c>
      <c r="AO522">
        <v>96.446145299999998</v>
      </c>
      <c r="AP522">
        <v>89.568541999999994</v>
      </c>
      <c r="AQ522">
        <v>87.963973999999993</v>
      </c>
      <c r="AR522">
        <v>87.027914999999993</v>
      </c>
      <c r="AS522" t="b">
        <v>0</v>
      </c>
      <c r="AT522" t="b">
        <v>0</v>
      </c>
      <c r="AU522" t="s">
        <v>77</v>
      </c>
      <c r="AV522" t="s">
        <v>77</v>
      </c>
      <c r="AW522" t="s">
        <v>783</v>
      </c>
      <c r="AX522" t="s">
        <v>812</v>
      </c>
      <c r="AY522" t="s">
        <v>831</v>
      </c>
      <c r="AZ522" t="s">
        <v>109</v>
      </c>
      <c r="BA522">
        <v>5</v>
      </c>
      <c r="BB522">
        <v>2</v>
      </c>
      <c r="BC522">
        <v>9.0659339999999995E-3</v>
      </c>
      <c r="BD522">
        <v>2.76583658862385E-3</v>
      </c>
      <c r="BE522">
        <v>1.1831770588623799E-2</v>
      </c>
      <c r="BF522">
        <f>IF(AK522&lt;BE522,1,0)</f>
        <v>0</v>
      </c>
      <c r="BG522">
        <f>IF(AK522&lt;BC522,1,0)</f>
        <v>0</v>
      </c>
      <c r="BH522">
        <f>VLOOKUP($B522,[1]Data_Peer_with_peerVars!$B$2:$Z$1050,20,FALSE)</f>
        <v>0</v>
      </c>
      <c r="BI522">
        <f>VLOOKUP($B522,[1]Data_Peer_with_peerVars!$B$2:$Z$1050,21,FALSE)</f>
        <v>0</v>
      </c>
      <c r="BJ522">
        <v>0</v>
      </c>
      <c r="BK522">
        <f>VLOOKUP($B522,[1]Data_Peer_with_peerVars!$B$2:$Z$1050,23,FALSE)</f>
        <v>40</v>
      </c>
      <c r="BL522">
        <f>VLOOKUP($B522,[1]Data_Peer_with_peerVars!$B$2:$Z$1050,24,FALSE)</f>
        <v>22</v>
      </c>
      <c r="BM522">
        <f>VLOOKUP($B522,[1]Data_Peer_with_peerVars!$B$2:$Z$1050,25,FALSE)</f>
        <v>0.55000000000000004</v>
      </c>
    </row>
    <row r="523" spans="1:65" x14ac:dyDescent="0.2">
      <c r="A523">
        <v>1</v>
      </c>
      <c r="B523" t="s">
        <v>843</v>
      </c>
      <c r="C523">
        <v>290</v>
      </c>
      <c r="D523" t="s">
        <v>68</v>
      </c>
      <c r="E523">
        <v>1</v>
      </c>
      <c r="F523">
        <v>55</v>
      </c>
      <c r="G523" t="s">
        <v>86</v>
      </c>
      <c r="H523" s="1">
        <v>7</v>
      </c>
      <c r="I523" t="s">
        <v>87</v>
      </c>
      <c r="J523" t="s">
        <v>88</v>
      </c>
      <c r="K523" t="s">
        <v>109</v>
      </c>
      <c r="L523">
        <v>1</v>
      </c>
      <c r="M523">
        <v>0</v>
      </c>
      <c r="N523">
        <v>1</v>
      </c>
      <c r="O523">
        <v>0</v>
      </c>
      <c r="P523">
        <v>0</v>
      </c>
      <c r="Q523">
        <v>8</v>
      </c>
      <c r="R523">
        <v>0</v>
      </c>
      <c r="S523">
        <v>0</v>
      </c>
      <c r="T523">
        <v>1</v>
      </c>
      <c r="U523">
        <v>1</v>
      </c>
      <c r="V523">
        <f t="shared" si="227"/>
        <v>1</v>
      </c>
      <c r="W523">
        <v>1</v>
      </c>
      <c r="X523">
        <v>1</v>
      </c>
      <c r="Y523">
        <v>1</v>
      </c>
      <c r="Z523" t="s">
        <v>73</v>
      </c>
      <c r="AA523" s="5" t="s">
        <v>73</v>
      </c>
      <c r="AB523" s="5" t="s">
        <v>73</v>
      </c>
      <c r="AC523" t="s">
        <v>73</v>
      </c>
      <c r="AD523" t="s">
        <v>94</v>
      </c>
      <c r="AE523" s="5" t="s">
        <v>106</v>
      </c>
      <c r="AF523" t="s">
        <v>107</v>
      </c>
      <c r="AG523" t="s">
        <v>95</v>
      </c>
      <c r="AH523">
        <f>AI523</f>
        <v>7.3649752999999998E-3</v>
      </c>
      <c r="AI523">
        <f>AJ523</f>
        <v>7.3649752999999998E-3</v>
      </c>
      <c r="AJ523">
        <f t="shared" si="228"/>
        <v>7.3649752999999998E-3</v>
      </c>
      <c r="AK523">
        <v>7.3649752999999998E-3</v>
      </c>
      <c r="AL523">
        <v>0.13149261000000001</v>
      </c>
      <c r="AM523">
        <v>0.13631377</v>
      </c>
      <c r="AN523">
        <v>0.13765736000000001</v>
      </c>
      <c r="AO523">
        <v>99.263502470000006</v>
      </c>
      <c r="AP523">
        <v>86.850739000000004</v>
      </c>
      <c r="AQ523">
        <v>86.368622999999999</v>
      </c>
      <c r="AR523">
        <v>86.234263999999996</v>
      </c>
      <c r="AS523" t="b">
        <v>1</v>
      </c>
      <c r="AT523" t="b">
        <v>0</v>
      </c>
      <c r="AU523" t="s">
        <v>77</v>
      </c>
      <c r="AV523" t="s">
        <v>108</v>
      </c>
      <c r="AW523" t="s">
        <v>783</v>
      </c>
      <c r="AX523" t="s">
        <v>812</v>
      </c>
      <c r="AY523" t="s">
        <v>831</v>
      </c>
      <c r="AZ523" t="s">
        <v>109</v>
      </c>
      <c r="BA523">
        <v>4</v>
      </c>
      <c r="BB523">
        <v>3.5</v>
      </c>
      <c r="BC523">
        <v>4.1163553999999996E-3</v>
      </c>
      <c r="BD523">
        <v>1.4279989108178799E-4</v>
      </c>
      <c r="BE523">
        <v>4.2591552910817903E-3</v>
      </c>
      <c r="BF523">
        <f>IF(AK523&lt;BE523,1,0)</f>
        <v>0</v>
      </c>
      <c r="BG523">
        <f>IF(AK523&lt;BC523,1,0)</f>
        <v>0</v>
      </c>
      <c r="BH523">
        <f>VLOOKUP($B523,[1]Data_Peer_with_peerVars!$B$2:$Z$1050,20,FALSE)</f>
        <v>15</v>
      </c>
      <c r="BI523">
        <f>VLOOKUP($B523,[1]Data_Peer_with_peerVars!$B$2:$Z$1050,21,FALSE)</f>
        <v>6</v>
      </c>
      <c r="BJ523">
        <f>VLOOKUP($B523,[1]Data_Peer_with_peerVars!$B$2:$Z$1050,22,FALSE)</f>
        <v>0.4</v>
      </c>
      <c r="BK523">
        <f>VLOOKUP($B523,[1]Data_Peer_with_peerVars!$B$2:$Z$1050,23,FALSE)</f>
        <v>67</v>
      </c>
      <c r="BL523">
        <f>VLOOKUP($B523,[1]Data_Peer_with_peerVars!$B$2:$Z$1050,24,FALSE)</f>
        <v>36</v>
      </c>
      <c r="BM523">
        <f>VLOOKUP($B523,[1]Data_Peer_with_peerVars!$B$2:$Z$1050,25,FALSE)</f>
        <v>0.53731343300000001</v>
      </c>
    </row>
    <row r="524" spans="1:65" x14ac:dyDescent="0.2">
      <c r="A524">
        <v>1</v>
      </c>
      <c r="B524" t="s">
        <v>844</v>
      </c>
      <c r="C524">
        <v>290</v>
      </c>
      <c r="D524" t="s">
        <v>68</v>
      </c>
      <c r="E524">
        <v>1</v>
      </c>
      <c r="F524">
        <v>55</v>
      </c>
      <c r="G524" t="s">
        <v>86</v>
      </c>
      <c r="H524" s="1">
        <v>7</v>
      </c>
      <c r="I524" t="s">
        <v>87</v>
      </c>
      <c r="J524" t="s">
        <v>88</v>
      </c>
      <c r="K524" t="s">
        <v>109</v>
      </c>
      <c r="L524">
        <v>1</v>
      </c>
      <c r="M524">
        <v>0</v>
      </c>
      <c r="N524">
        <v>1</v>
      </c>
      <c r="O524">
        <v>0</v>
      </c>
      <c r="P524">
        <v>0</v>
      </c>
      <c r="Q524">
        <v>8</v>
      </c>
      <c r="R524">
        <v>0</v>
      </c>
      <c r="S524">
        <v>0</v>
      </c>
      <c r="T524">
        <v>0</v>
      </c>
      <c r="U524">
        <v>0</v>
      </c>
      <c r="V524">
        <f t="shared" si="227"/>
        <v>0</v>
      </c>
      <c r="W524">
        <f t="shared" si="229"/>
        <v>0</v>
      </c>
      <c r="X524">
        <f t="shared" si="230"/>
        <v>0</v>
      </c>
      <c r="Y524">
        <f t="shared" si="231"/>
        <v>0</v>
      </c>
      <c r="Z524" t="s">
        <v>170</v>
      </c>
      <c r="AA524" s="5" t="s">
        <v>170</v>
      </c>
      <c r="AB524" s="5" t="s">
        <v>845</v>
      </c>
      <c r="AC524" t="s">
        <v>101</v>
      </c>
      <c r="AD524" t="s">
        <v>99</v>
      </c>
      <c r="AE524" s="5" t="s">
        <v>99</v>
      </c>
      <c r="AF524" t="s">
        <v>103</v>
      </c>
      <c r="AG524" t="s">
        <v>102</v>
      </c>
      <c r="AH524">
        <f>AI524</f>
        <v>5.4091159999999999E-2</v>
      </c>
      <c r="AI524">
        <f t="shared" ref="AI524:AI525" si="234">AJ524</f>
        <v>5.4091159999999999E-2</v>
      </c>
      <c r="AJ524">
        <f t="shared" si="228"/>
        <v>5.4091159999999999E-2</v>
      </c>
      <c r="AK524">
        <v>5.4091159999999999E-2</v>
      </c>
      <c r="AL524">
        <v>8.3838940000000001E-2</v>
      </c>
      <c r="AM524">
        <v>9.9007170000000005E-2</v>
      </c>
      <c r="AN524">
        <v>0.12752594</v>
      </c>
      <c r="AO524">
        <v>94.590884000000003</v>
      </c>
      <c r="AP524">
        <v>91.616106000000002</v>
      </c>
      <c r="AQ524">
        <v>90.099283</v>
      </c>
      <c r="AR524">
        <v>87.247405999999998</v>
      </c>
      <c r="AS524" t="b">
        <v>0</v>
      </c>
      <c r="AT524" t="b">
        <v>0</v>
      </c>
      <c r="AU524" t="s">
        <v>92</v>
      </c>
      <c r="AV524" t="s">
        <v>92</v>
      </c>
      <c r="AW524" t="s">
        <v>783</v>
      </c>
      <c r="AX524" t="s">
        <v>812</v>
      </c>
      <c r="AY524" t="s">
        <v>831</v>
      </c>
      <c r="AZ524" t="s">
        <v>72</v>
      </c>
      <c r="BA524" t="s">
        <v>82</v>
      </c>
      <c r="BB524">
        <v>0.7</v>
      </c>
      <c r="BC524">
        <v>1.4096186E-2</v>
      </c>
      <c r="BD524">
        <v>1.55088650053763E-3</v>
      </c>
      <c r="BE524">
        <v>1.5647072500537599E-2</v>
      </c>
      <c r="BF524">
        <f>IF(AK524&lt;BE524,1,0)</f>
        <v>0</v>
      </c>
      <c r="BG524">
        <f>IF(AK524&lt;BC524,1,0)</f>
        <v>0</v>
      </c>
      <c r="BH524">
        <f>VLOOKUP($B524,[1]Data_Peer_with_peerVars!$B$2:$Z$1050,20,FALSE)</f>
        <v>15</v>
      </c>
      <c r="BI524">
        <f>VLOOKUP($B524,[1]Data_Peer_with_peerVars!$B$2:$Z$1050,21,FALSE)</f>
        <v>6</v>
      </c>
      <c r="BJ524">
        <f>VLOOKUP($B524,[1]Data_Peer_with_peerVars!$B$2:$Z$1050,22,FALSE)</f>
        <v>0.4</v>
      </c>
      <c r="BK524">
        <f>VLOOKUP($B524,[1]Data_Peer_with_peerVars!$B$2:$Z$1050,23,FALSE)</f>
        <v>67</v>
      </c>
      <c r="BL524">
        <f>VLOOKUP($B524,[1]Data_Peer_with_peerVars!$B$2:$Z$1050,24,FALSE)</f>
        <v>36</v>
      </c>
      <c r="BM524">
        <f>VLOOKUP($B524,[1]Data_Peer_with_peerVars!$B$2:$Z$1050,25,FALSE)</f>
        <v>0.53731343300000001</v>
      </c>
    </row>
    <row r="525" spans="1:65" x14ac:dyDescent="0.2">
      <c r="A525">
        <v>1</v>
      </c>
      <c r="B525" t="s">
        <v>846</v>
      </c>
      <c r="C525">
        <v>291</v>
      </c>
      <c r="D525" t="s">
        <v>68</v>
      </c>
      <c r="E525">
        <v>1</v>
      </c>
      <c r="F525">
        <v>77</v>
      </c>
      <c r="G525" t="s">
        <v>69</v>
      </c>
      <c r="H525" s="1">
        <v>7</v>
      </c>
      <c r="I525" t="s">
        <v>87</v>
      </c>
      <c r="J525" t="s">
        <v>111</v>
      </c>
      <c r="K525" t="s">
        <v>109</v>
      </c>
      <c r="L525">
        <v>1</v>
      </c>
      <c r="M525">
        <v>1</v>
      </c>
      <c r="N525">
        <v>1</v>
      </c>
      <c r="O525">
        <v>0</v>
      </c>
      <c r="P525">
        <v>0</v>
      </c>
      <c r="Q525">
        <v>6</v>
      </c>
      <c r="R525">
        <v>0</v>
      </c>
      <c r="S525">
        <v>0</v>
      </c>
      <c r="T525">
        <v>0</v>
      </c>
      <c r="U525">
        <v>0</v>
      </c>
      <c r="V525">
        <f t="shared" si="227"/>
        <v>0</v>
      </c>
      <c r="W525">
        <f t="shared" si="229"/>
        <v>1</v>
      </c>
      <c r="X525">
        <v>1</v>
      </c>
      <c r="Y525">
        <v>1</v>
      </c>
      <c r="Z525" t="s">
        <v>76</v>
      </c>
      <c r="AA525" s="5" t="s">
        <v>76</v>
      </c>
      <c r="AB525" s="5" t="s">
        <v>76</v>
      </c>
      <c r="AC525" t="s">
        <v>74</v>
      </c>
      <c r="AD525" t="s">
        <v>76</v>
      </c>
      <c r="AE525" s="5" t="s">
        <v>241</v>
      </c>
      <c r="AF525" t="s">
        <v>120</v>
      </c>
      <c r="AG525" t="s">
        <v>95</v>
      </c>
      <c r="AH525">
        <f t="shared" ref="AH525:AH526" si="235">AI525</f>
        <v>0.12595628</v>
      </c>
      <c r="AI525">
        <f t="shared" si="234"/>
        <v>0.12595628</v>
      </c>
      <c r="AJ525">
        <f>AL525</f>
        <v>0.12595628</v>
      </c>
      <c r="AK525">
        <v>0.12527411999999999</v>
      </c>
      <c r="AL525">
        <v>0.12595628</v>
      </c>
      <c r="AM525">
        <v>0.13087431999999999</v>
      </c>
      <c r="AN525">
        <v>0.13285948</v>
      </c>
      <c r="AO525">
        <v>87.472588000000002</v>
      </c>
      <c r="AP525">
        <v>87.404371999999995</v>
      </c>
      <c r="AQ525">
        <v>86.912567999999993</v>
      </c>
      <c r="AR525">
        <v>86.714051999999995</v>
      </c>
      <c r="AS525" t="b">
        <v>0</v>
      </c>
      <c r="AT525" t="b">
        <v>0</v>
      </c>
      <c r="AU525" t="s">
        <v>108</v>
      </c>
      <c r="AV525" t="s">
        <v>108</v>
      </c>
      <c r="AW525" t="s">
        <v>783</v>
      </c>
      <c r="AX525" t="s">
        <v>812</v>
      </c>
      <c r="AY525" t="s">
        <v>831</v>
      </c>
      <c r="AZ525" t="s">
        <v>109</v>
      </c>
      <c r="BA525">
        <v>8</v>
      </c>
      <c r="BB525">
        <v>2</v>
      </c>
      <c r="BC525">
        <v>2.4738868000000001E-3</v>
      </c>
      <c r="BD525">
        <v>1.4256942275279999E-4</v>
      </c>
      <c r="BE525">
        <v>2.6164562227527998E-3</v>
      </c>
      <c r="BF525">
        <f>IF(AK525&lt;BE525,1,0)</f>
        <v>0</v>
      </c>
      <c r="BG525">
        <f>IF(AK525&lt;BC525,1,0)</f>
        <v>0</v>
      </c>
      <c r="BH525">
        <f>VLOOKUP($B525,[1]Data_Peer_with_peerVars!$B$2:$Z$1050,20,FALSE)</f>
        <v>0</v>
      </c>
      <c r="BI525">
        <f>VLOOKUP($B525,[1]Data_Peer_with_peerVars!$B$2:$Z$1050,21,FALSE)</f>
        <v>0</v>
      </c>
      <c r="BJ525">
        <v>0</v>
      </c>
      <c r="BK525">
        <f>VLOOKUP($B525,[1]Data_Peer_with_peerVars!$B$2:$Z$1050,23,FALSE)</f>
        <v>40</v>
      </c>
      <c r="BL525">
        <f>VLOOKUP($B525,[1]Data_Peer_with_peerVars!$B$2:$Z$1050,24,FALSE)</f>
        <v>21</v>
      </c>
      <c r="BM525">
        <f>VLOOKUP($B525,[1]Data_Peer_with_peerVars!$B$2:$Z$1050,25,FALSE)</f>
        <v>0.52500000000000002</v>
      </c>
    </row>
    <row r="526" spans="1:65" x14ac:dyDescent="0.2">
      <c r="A526">
        <v>1</v>
      </c>
      <c r="B526" t="s">
        <v>847</v>
      </c>
      <c r="C526">
        <v>291</v>
      </c>
      <c r="D526" t="s">
        <v>68</v>
      </c>
      <c r="E526">
        <v>1</v>
      </c>
      <c r="F526">
        <v>77</v>
      </c>
      <c r="G526" t="s">
        <v>69</v>
      </c>
      <c r="H526" s="1">
        <v>7</v>
      </c>
      <c r="I526" t="s">
        <v>87</v>
      </c>
      <c r="J526" t="s">
        <v>111</v>
      </c>
      <c r="K526" t="s">
        <v>109</v>
      </c>
      <c r="L526">
        <v>1</v>
      </c>
      <c r="M526">
        <v>1</v>
      </c>
      <c r="N526">
        <v>1</v>
      </c>
      <c r="O526">
        <v>0</v>
      </c>
      <c r="P526">
        <v>0</v>
      </c>
      <c r="Q526">
        <v>6</v>
      </c>
      <c r="R526">
        <v>0</v>
      </c>
      <c r="S526">
        <v>0</v>
      </c>
      <c r="T526">
        <v>0</v>
      </c>
      <c r="U526">
        <v>0</v>
      </c>
      <c r="V526">
        <f t="shared" si="227"/>
        <v>1</v>
      </c>
      <c r="W526">
        <v>1</v>
      </c>
      <c r="X526">
        <v>1</v>
      </c>
      <c r="Y526">
        <v>1</v>
      </c>
      <c r="Z526" t="s">
        <v>91</v>
      </c>
      <c r="AA526" s="5" t="s">
        <v>91</v>
      </c>
      <c r="AB526" s="5" t="s">
        <v>91</v>
      </c>
      <c r="AC526" t="s">
        <v>91</v>
      </c>
      <c r="AD526" t="s">
        <v>287</v>
      </c>
      <c r="AE526" s="5" t="s">
        <v>287</v>
      </c>
      <c r="AF526" t="s">
        <v>137</v>
      </c>
      <c r="AG526" t="s">
        <v>113</v>
      </c>
      <c r="AH526">
        <f t="shared" si="235"/>
        <v>7.0803720000000001E-2</v>
      </c>
      <c r="AI526">
        <f>AJ526</f>
        <v>7.0803720000000001E-2</v>
      </c>
      <c r="AJ526">
        <f t="shared" si="228"/>
        <v>7.0803720000000001E-2</v>
      </c>
      <c r="AK526">
        <v>7.0803720000000001E-2</v>
      </c>
      <c r="AL526">
        <v>8.5698689999999994E-2</v>
      </c>
      <c r="AM526">
        <v>0.12527293</v>
      </c>
      <c r="AN526">
        <v>0.13563976</v>
      </c>
      <c r="AO526">
        <v>92.919628000000003</v>
      </c>
      <c r="AP526">
        <v>91.430131000000003</v>
      </c>
      <c r="AQ526">
        <v>87.472707</v>
      </c>
      <c r="AR526">
        <v>86.436024000000003</v>
      </c>
      <c r="AS526" t="b">
        <v>1</v>
      </c>
      <c r="AT526" t="b">
        <v>0</v>
      </c>
      <c r="AU526" t="s">
        <v>77</v>
      </c>
      <c r="AV526" t="s">
        <v>77</v>
      </c>
      <c r="AW526" t="s">
        <v>783</v>
      </c>
      <c r="AX526" t="s">
        <v>812</v>
      </c>
      <c r="AY526" t="s">
        <v>831</v>
      </c>
      <c r="AZ526" t="s">
        <v>109</v>
      </c>
      <c r="BA526">
        <v>8</v>
      </c>
      <c r="BB526">
        <v>2</v>
      </c>
      <c r="BC526">
        <v>9.0659339999999995E-3</v>
      </c>
      <c r="BD526">
        <v>2.76583658862385E-3</v>
      </c>
      <c r="BE526">
        <v>1.1831770588623799E-2</v>
      </c>
      <c r="BF526">
        <f>IF(AK526&lt;BE526,1,0)</f>
        <v>0</v>
      </c>
      <c r="BG526">
        <f>IF(AK526&lt;BC526,1,0)</f>
        <v>0</v>
      </c>
      <c r="BH526">
        <f>VLOOKUP($B526,[1]Data_Peer_with_peerVars!$B$2:$Z$1050,20,FALSE)</f>
        <v>0</v>
      </c>
      <c r="BI526">
        <f>VLOOKUP($B526,[1]Data_Peer_with_peerVars!$B$2:$Z$1050,21,FALSE)</f>
        <v>0</v>
      </c>
      <c r="BJ526">
        <v>0</v>
      </c>
      <c r="BK526">
        <f>VLOOKUP($B526,[1]Data_Peer_with_peerVars!$B$2:$Z$1050,23,FALSE)</f>
        <v>40</v>
      </c>
      <c r="BL526">
        <f>VLOOKUP($B526,[1]Data_Peer_with_peerVars!$B$2:$Z$1050,24,FALSE)</f>
        <v>21</v>
      </c>
      <c r="BM526">
        <f>VLOOKUP($B526,[1]Data_Peer_with_peerVars!$B$2:$Z$1050,25,FALSE)</f>
        <v>0.52500000000000002</v>
      </c>
    </row>
    <row r="527" spans="1:65" x14ac:dyDescent="0.2">
      <c r="A527">
        <v>1</v>
      </c>
      <c r="B527" t="s">
        <v>848</v>
      </c>
      <c r="C527">
        <v>292</v>
      </c>
      <c r="D527" t="s">
        <v>68</v>
      </c>
      <c r="E527">
        <v>1</v>
      </c>
      <c r="F527">
        <v>49</v>
      </c>
      <c r="G527" t="s">
        <v>86</v>
      </c>
      <c r="H527" s="1">
        <v>7</v>
      </c>
      <c r="I527" t="s">
        <v>70</v>
      </c>
      <c r="J527" t="s">
        <v>436</v>
      </c>
      <c r="K527" t="s">
        <v>72</v>
      </c>
      <c r="L527">
        <v>1</v>
      </c>
      <c r="M527">
        <v>1</v>
      </c>
      <c r="N527">
        <v>1</v>
      </c>
      <c r="O527">
        <v>1</v>
      </c>
      <c r="P527">
        <v>0</v>
      </c>
      <c r="Q527">
        <v>9</v>
      </c>
      <c r="R527">
        <v>0</v>
      </c>
      <c r="S527">
        <v>0</v>
      </c>
      <c r="T527">
        <v>0</v>
      </c>
      <c r="U527">
        <v>0</v>
      </c>
      <c r="V527">
        <f t="shared" si="227"/>
        <v>0</v>
      </c>
      <c r="W527">
        <f t="shared" si="229"/>
        <v>0</v>
      </c>
      <c r="X527">
        <f t="shared" si="230"/>
        <v>0</v>
      </c>
      <c r="Y527">
        <f t="shared" si="231"/>
        <v>0</v>
      </c>
      <c r="Z527" t="s">
        <v>91</v>
      </c>
      <c r="AA527" s="5" t="s">
        <v>91</v>
      </c>
      <c r="AB527" s="5" t="s">
        <v>91</v>
      </c>
      <c r="AC527" t="s">
        <v>120</v>
      </c>
      <c r="AD527" t="s">
        <v>75</v>
      </c>
      <c r="AE527" s="5" t="s">
        <v>75</v>
      </c>
      <c r="AF527" t="s">
        <v>74</v>
      </c>
      <c r="AG527" t="s">
        <v>167</v>
      </c>
      <c r="AH527">
        <f>AI527</f>
        <v>2.6502732000000001E-2</v>
      </c>
      <c r="AI527">
        <f t="shared" ref="AI527:AI538" si="236">AJ527</f>
        <v>2.6502732000000001E-2</v>
      </c>
      <c r="AJ527">
        <f t="shared" si="228"/>
        <v>2.6502732000000001E-2</v>
      </c>
      <c r="AK527">
        <v>2.6502732000000001E-2</v>
      </c>
      <c r="AL527">
        <v>8.0733440000000004E-2</v>
      </c>
      <c r="AM527">
        <v>8.7445179999999997E-2</v>
      </c>
      <c r="AN527">
        <v>0.100603074</v>
      </c>
      <c r="AO527">
        <v>97.349726799999999</v>
      </c>
      <c r="AP527">
        <v>91.926655999999994</v>
      </c>
      <c r="AQ527">
        <v>91.255482000000001</v>
      </c>
      <c r="AR527">
        <v>89.939692600000001</v>
      </c>
      <c r="AS527" t="b">
        <v>0</v>
      </c>
      <c r="AT527" t="b">
        <v>0</v>
      </c>
      <c r="AU527" t="s">
        <v>77</v>
      </c>
      <c r="AV527" t="s">
        <v>77</v>
      </c>
      <c r="AW527" t="s">
        <v>783</v>
      </c>
      <c r="AX527" t="s">
        <v>812</v>
      </c>
      <c r="AY527" t="s">
        <v>849</v>
      </c>
      <c r="AZ527" t="s">
        <v>72</v>
      </c>
      <c r="BA527" t="s">
        <v>82</v>
      </c>
      <c r="BB527">
        <v>1</v>
      </c>
      <c r="BC527">
        <v>4.6849314000000003E-2</v>
      </c>
      <c r="BD527">
        <v>4.5250577219970098E-3</v>
      </c>
      <c r="BE527">
        <v>5.1374371721996999E-2</v>
      </c>
      <c r="BF527">
        <f>IF(AK527&lt;BE527,1,0)</f>
        <v>1</v>
      </c>
      <c r="BG527">
        <f>IF(AK527&lt;BC527,1,0)</f>
        <v>1</v>
      </c>
      <c r="BH527">
        <f>VLOOKUP($B527,[1]Data_Peer_with_peerVars!$B$2:$Z$1050,20,FALSE)</f>
        <v>16</v>
      </c>
      <c r="BI527">
        <f>VLOOKUP($B527,[1]Data_Peer_with_peerVars!$B$2:$Z$1050,21,FALSE)</f>
        <v>7</v>
      </c>
      <c r="BJ527">
        <f>VLOOKUP($B527,[1]Data_Peer_with_peerVars!$B$2:$Z$1050,22,FALSE)</f>
        <v>0.4375</v>
      </c>
      <c r="BK527">
        <f>VLOOKUP($B527,[1]Data_Peer_with_peerVars!$B$2:$Z$1050,23,FALSE)</f>
        <v>65</v>
      </c>
      <c r="BL527">
        <f>VLOOKUP($B527,[1]Data_Peer_with_peerVars!$B$2:$Z$1050,24,FALSE)</f>
        <v>34</v>
      </c>
      <c r="BM527">
        <f>VLOOKUP($B527,[1]Data_Peer_with_peerVars!$B$2:$Z$1050,25,FALSE)</f>
        <v>0.52307692299999997</v>
      </c>
    </row>
    <row r="528" spans="1:65" x14ac:dyDescent="0.2">
      <c r="A528">
        <v>1</v>
      </c>
      <c r="B528" t="s">
        <v>850</v>
      </c>
      <c r="C528">
        <v>293</v>
      </c>
      <c r="D528" t="s">
        <v>68</v>
      </c>
      <c r="E528">
        <v>1</v>
      </c>
      <c r="F528">
        <v>53</v>
      </c>
      <c r="G528" t="s">
        <v>69</v>
      </c>
      <c r="H528" s="1">
        <v>7</v>
      </c>
      <c r="I528" t="s">
        <v>70</v>
      </c>
      <c r="J528" t="s">
        <v>436</v>
      </c>
      <c r="K528" t="s">
        <v>72</v>
      </c>
      <c r="L528">
        <v>1</v>
      </c>
      <c r="M528">
        <v>1</v>
      </c>
      <c r="N528">
        <v>1</v>
      </c>
      <c r="O528">
        <v>0</v>
      </c>
      <c r="P528">
        <v>0</v>
      </c>
      <c r="Q528">
        <v>6</v>
      </c>
      <c r="R528">
        <v>0</v>
      </c>
      <c r="S528">
        <v>0</v>
      </c>
      <c r="T528">
        <v>0</v>
      </c>
      <c r="U528">
        <v>0</v>
      </c>
      <c r="V528">
        <f t="shared" si="227"/>
        <v>0</v>
      </c>
      <c r="W528">
        <f t="shared" si="229"/>
        <v>1</v>
      </c>
      <c r="X528">
        <v>1</v>
      </c>
      <c r="Y528">
        <v>1</v>
      </c>
      <c r="Z528" t="s">
        <v>76</v>
      </c>
      <c r="AA528" s="5" t="s">
        <v>76</v>
      </c>
      <c r="AB528" s="5" t="s">
        <v>76</v>
      </c>
      <c r="AC528" t="s">
        <v>74</v>
      </c>
      <c r="AD528" t="s">
        <v>76</v>
      </c>
      <c r="AE528" s="5" t="s">
        <v>76</v>
      </c>
      <c r="AF528" t="s">
        <v>75</v>
      </c>
      <c r="AG528" t="s">
        <v>120</v>
      </c>
      <c r="AH528">
        <f>AI528</f>
        <v>8.3925639999999996E-2</v>
      </c>
      <c r="AI528">
        <f t="shared" si="236"/>
        <v>8.3925639999999996E-2</v>
      </c>
      <c r="AJ528">
        <f>AL528</f>
        <v>8.3925639999999996E-2</v>
      </c>
      <c r="AK528">
        <v>5.704882E-2</v>
      </c>
      <c r="AL528">
        <v>8.3925639999999996E-2</v>
      </c>
      <c r="AM528">
        <v>0.10788609</v>
      </c>
      <c r="AN528">
        <v>0.11153636</v>
      </c>
      <c r="AO528">
        <v>94.295118000000002</v>
      </c>
      <c r="AP528">
        <v>91.607436000000007</v>
      </c>
      <c r="AQ528">
        <v>89.211391000000006</v>
      </c>
      <c r="AR528">
        <v>88.846363999999994</v>
      </c>
      <c r="AS528" t="b">
        <v>0</v>
      </c>
      <c r="AT528" t="b">
        <v>1</v>
      </c>
      <c r="AU528" t="s">
        <v>77</v>
      </c>
      <c r="AV528" t="s">
        <v>77</v>
      </c>
      <c r="AW528" t="s">
        <v>783</v>
      </c>
      <c r="AX528" t="s">
        <v>812</v>
      </c>
      <c r="AY528" t="s">
        <v>849</v>
      </c>
      <c r="AZ528" t="s">
        <v>72</v>
      </c>
      <c r="BA528" t="s">
        <v>82</v>
      </c>
      <c r="BB528">
        <v>1</v>
      </c>
      <c r="BC528">
        <v>2.4738868000000001E-3</v>
      </c>
      <c r="BD528">
        <v>1.4256942275279999E-4</v>
      </c>
      <c r="BE528">
        <v>2.6164562227527998E-3</v>
      </c>
      <c r="BF528">
        <f>IF(AK528&lt;BE528,1,0)</f>
        <v>0</v>
      </c>
      <c r="BG528">
        <f>IF(AK528&lt;BC528,1,0)</f>
        <v>0</v>
      </c>
      <c r="BH528">
        <f>VLOOKUP($B528,[1]Data_Peer_with_peerVars!$B$2:$Z$1050,20,FALSE)</f>
        <v>6</v>
      </c>
      <c r="BI528">
        <f>VLOOKUP($B528,[1]Data_Peer_with_peerVars!$B$2:$Z$1050,21,FALSE)</f>
        <v>3</v>
      </c>
      <c r="BJ528">
        <f>VLOOKUP($B528,[1]Data_Peer_with_peerVars!$B$2:$Z$1050,22,FALSE)</f>
        <v>0.5</v>
      </c>
      <c r="BK528">
        <f>VLOOKUP($B528,[1]Data_Peer_with_peerVars!$B$2:$Z$1050,23,FALSE)</f>
        <v>36</v>
      </c>
      <c r="BL528">
        <f>VLOOKUP($B528,[1]Data_Peer_with_peerVars!$B$2:$Z$1050,24,FALSE)</f>
        <v>17</v>
      </c>
      <c r="BM528">
        <f>VLOOKUP($B528,[1]Data_Peer_with_peerVars!$B$2:$Z$1050,25,FALSE)</f>
        <v>0.47222222200000002</v>
      </c>
    </row>
    <row r="529" spans="1:65" x14ac:dyDescent="0.2">
      <c r="A529">
        <v>1</v>
      </c>
      <c r="B529" t="s">
        <v>851</v>
      </c>
      <c r="C529">
        <v>294</v>
      </c>
      <c r="D529" t="s">
        <v>68</v>
      </c>
      <c r="E529">
        <v>1</v>
      </c>
      <c r="F529">
        <v>54</v>
      </c>
      <c r="G529" t="s">
        <v>86</v>
      </c>
      <c r="H529" s="1">
        <v>7</v>
      </c>
      <c r="I529" t="s">
        <v>70</v>
      </c>
      <c r="J529" t="s">
        <v>436</v>
      </c>
      <c r="K529" t="s">
        <v>72</v>
      </c>
      <c r="L529">
        <v>1</v>
      </c>
      <c r="M529">
        <v>1</v>
      </c>
      <c r="N529">
        <v>1</v>
      </c>
      <c r="O529">
        <v>0</v>
      </c>
      <c r="P529">
        <v>0</v>
      </c>
      <c r="Q529">
        <v>6</v>
      </c>
      <c r="R529">
        <v>0</v>
      </c>
      <c r="S529">
        <v>0</v>
      </c>
      <c r="T529">
        <v>1</v>
      </c>
      <c r="U529">
        <v>1</v>
      </c>
      <c r="V529">
        <f t="shared" si="227"/>
        <v>0</v>
      </c>
      <c r="W529">
        <f t="shared" si="229"/>
        <v>0</v>
      </c>
      <c r="X529">
        <f t="shared" si="230"/>
        <v>0</v>
      </c>
      <c r="Y529">
        <f t="shared" si="231"/>
        <v>0</v>
      </c>
      <c r="Z529" t="s">
        <v>91</v>
      </c>
      <c r="AA529" s="5" t="s">
        <v>91</v>
      </c>
      <c r="AB529" s="5" t="s">
        <v>91</v>
      </c>
      <c r="AC529" t="s">
        <v>73</v>
      </c>
      <c r="AD529" t="s">
        <v>94</v>
      </c>
      <c r="AE529" s="5" t="s">
        <v>106</v>
      </c>
      <c r="AF529" t="s">
        <v>107</v>
      </c>
      <c r="AG529" t="s">
        <v>95</v>
      </c>
      <c r="AH529">
        <f t="shared" ref="AH529:AH531" si="237">AI529</f>
        <v>4.3620500000000001E-3</v>
      </c>
      <c r="AI529">
        <f t="shared" si="236"/>
        <v>4.3620500000000001E-3</v>
      </c>
      <c r="AJ529">
        <f t="shared" si="228"/>
        <v>4.3620500000000001E-3</v>
      </c>
      <c r="AK529">
        <v>4.3620500000000001E-3</v>
      </c>
      <c r="AL529">
        <v>0.13142076</v>
      </c>
      <c r="AM529">
        <v>0.13596491999999999</v>
      </c>
      <c r="AN529">
        <v>0.1381291</v>
      </c>
      <c r="AO529">
        <v>99.563794999999999</v>
      </c>
      <c r="AP529">
        <v>86.857923999999997</v>
      </c>
      <c r="AQ529">
        <v>86.403508000000002</v>
      </c>
      <c r="AR529">
        <v>86.187089999999998</v>
      </c>
      <c r="AS529" t="b">
        <v>0</v>
      </c>
      <c r="AT529" t="b">
        <v>0</v>
      </c>
      <c r="AU529" t="s">
        <v>77</v>
      </c>
      <c r="AV529" t="s">
        <v>108</v>
      </c>
      <c r="AW529" t="s">
        <v>783</v>
      </c>
      <c r="AX529" t="s">
        <v>812</v>
      </c>
      <c r="AY529" t="s">
        <v>849</v>
      </c>
      <c r="AZ529" t="s">
        <v>72</v>
      </c>
      <c r="BA529" t="s">
        <v>82</v>
      </c>
      <c r="BB529">
        <v>1</v>
      </c>
      <c r="BC529">
        <v>4.1163553999999996E-3</v>
      </c>
      <c r="BD529">
        <v>1.4279989108178799E-4</v>
      </c>
      <c r="BE529">
        <v>4.2591552910817903E-3</v>
      </c>
      <c r="BF529">
        <f>IF(AK529&lt;BE529,1,0)</f>
        <v>0</v>
      </c>
      <c r="BG529">
        <f>IF(AK529&lt;BC529,1,0)</f>
        <v>0</v>
      </c>
      <c r="BH529">
        <f>VLOOKUP($B529,[1]Data_Peer_with_peerVars!$B$2:$Z$1050,20,FALSE)</f>
        <v>5</v>
      </c>
      <c r="BI529">
        <f>VLOOKUP($B529,[1]Data_Peer_with_peerVars!$B$2:$Z$1050,21,FALSE)</f>
        <v>4</v>
      </c>
      <c r="BJ529">
        <f>VLOOKUP($B529,[1]Data_Peer_with_peerVars!$B$2:$Z$1050,22,FALSE)</f>
        <v>0.8</v>
      </c>
      <c r="BK529">
        <f>VLOOKUP($B529,[1]Data_Peer_with_peerVars!$B$2:$Z$1050,23,FALSE)</f>
        <v>44</v>
      </c>
      <c r="BL529">
        <f>VLOOKUP($B529,[1]Data_Peer_with_peerVars!$B$2:$Z$1050,24,FALSE)</f>
        <v>23</v>
      </c>
      <c r="BM529">
        <f>VLOOKUP($B529,[1]Data_Peer_with_peerVars!$B$2:$Z$1050,25,FALSE)</f>
        <v>0.52272727299999999</v>
      </c>
    </row>
    <row r="530" spans="1:65" x14ac:dyDescent="0.2">
      <c r="A530">
        <v>1</v>
      </c>
      <c r="B530" t="s">
        <v>852</v>
      </c>
      <c r="C530">
        <v>294</v>
      </c>
      <c r="D530" t="s">
        <v>68</v>
      </c>
      <c r="E530">
        <v>1</v>
      </c>
      <c r="F530">
        <v>54</v>
      </c>
      <c r="G530" t="s">
        <v>86</v>
      </c>
      <c r="H530" s="1">
        <v>7</v>
      </c>
      <c r="I530" t="s">
        <v>70</v>
      </c>
      <c r="J530" t="s">
        <v>436</v>
      </c>
      <c r="K530" t="s">
        <v>72</v>
      </c>
      <c r="L530">
        <v>1</v>
      </c>
      <c r="M530">
        <v>1</v>
      </c>
      <c r="N530">
        <v>1</v>
      </c>
      <c r="O530">
        <v>0</v>
      </c>
      <c r="P530">
        <v>0</v>
      </c>
      <c r="Q530">
        <v>6</v>
      </c>
      <c r="R530">
        <v>1</v>
      </c>
      <c r="S530">
        <v>1</v>
      </c>
      <c r="T530">
        <v>1</v>
      </c>
      <c r="U530">
        <v>1</v>
      </c>
      <c r="V530">
        <f t="shared" si="227"/>
        <v>0</v>
      </c>
      <c r="W530">
        <f t="shared" si="229"/>
        <v>0</v>
      </c>
      <c r="X530">
        <f t="shared" si="230"/>
        <v>0</v>
      </c>
      <c r="Y530">
        <f t="shared" si="231"/>
        <v>0</v>
      </c>
      <c r="Z530" t="s">
        <v>177</v>
      </c>
      <c r="AA530" s="5" t="s">
        <v>838</v>
      </c>
      <c r="AB530" s="5" t="s">
        <v>839</v>
      </c>
      <c r="AC530" t="s">
        <v>107</v>
      </c>
      <c r="AD530" t="s">
        <v>95</v>
      </c>
      <c r="AE530" s="5" t="s">
        <v>95</v>
      </c>
      <c r="AF530" t="s">
        <v>173</v>
      </c>
      <c r="AG530" t="s">
        <v>174</v>
      </c>
      <c r="AH530">
        <f t="shared" si="237"/>
        <v>8.7719300000000007E-3</v>
      </c>
      <c r="AI530">
        <f t="shared" si="236"/>
        <v>8.7719300000000007E-3</v>
      </c>
      <c r="AJ530">
        <f t="shared" si="228"/>
        <v>8.7719300000000007E-3</v>
      </c>
      <c r="AK530">
        <v>8.7719300000000007E-3</v>
      </c>
      <c r="AL530">
        <v>7.6522216000000004E-2</v>
      </c>
      <c r="AM530">
        <v>9.3048714000000005E-2</v>
      </c>
      <c r="AN530">
        <v>9.7039476E-2</v>
      </c>
      <c r="AO530">
        <v>99.122806999999995</v>
      </c>
      <c r="AP530">
        <v>92.347778399999996</v>
      </c>
      <c r="AQ530">
        <v>90.695128600000004</v>
      </c>
      <c r="AR530">
        <v>90.296052399999994</v>
      </c>
      <c r="AS530" t="b">
        <v>0</v>
      </c>
      <c r="AT530" t="b">
        <v>0</v>
      </c>
      <c r="AU530" t="s">
        <v>77</v>
      </c>
      <c r="AV530" t="s">
        <v>77</v>
      </c>
      <c r="AW530" t="s">
        <v>783</v>
      </c>
      <c r="AX530" t="s">
        <v>812</v>
      </c>
      <c r="AY530" t="s">
        <v>849</v>
      </c>
      <c r="AZ530" t="s">
        <v>109</v>
      </c>
      <c r="BA530">
        <v>2</v>
      </c>
      <c r="BB530">
        <v>0.7</v>
      </c>
      <c r="BC530">
        <v>2.6475456000000001E-2</v>
      </c>
      <c r="BD530">
        <v>8.8330364056477401E-3</v>
      </c>
      <c r="BE530">
        <v>3.53084924056477E-2</v>
      </c>
      <c r="BF530">
        <f>IF(AK530&lt;BE530,1,0)</f>
        <v>1</v>
      </c>
      <c r="BG530">
        <f>IF(AK530&lt;BC530,1,0)</f>
        <v>1</v>
      </c>
      <c r="BH530">
        <f>VLOOKUP($B530,[1]Data_Peer_with_peerVars!$B$2:$Z$1050,20,FALSE)</f>
        <v>5</v>
      </c>
      <c r="BI530">
        <f>VLOOKUP($B530,[1]Data_Peer_with_peerVars!$B$2:$Z$1050,21,FALSE)</f>
        <v>4</v>
      </c>
      <c r="BJ530">
        <f>VLOOKUP($B530,[1]Data_Peer_with_peerVars!$B$2:$Z$1050,22,FALSE)</f>
        <v>0.8</v>
      </c>
      <c r="BK530">
        <f>VLOOKUP($B530,[1]Data_Peer_with_peerVars!$B$2:$Z$1050,23,FALSE)</f>
        <v>44</v>
      </c>
      <c r="BL530">
        <f>VLOOKUP($B530,[1]Data_Peer_with_peerVars!$B$2:$Z$1050,24,FALSE)</f>
        <v>23</v>
      </c>
      <c r="BM530">
        <f>VLOOKUP($B530,[1]Data_Peer_with_peerVars!$B$2:$Z$1050,25,FALSE)</f>
        <v>0.52272727299999999</v>
      </c>
    </row>
    <row r="531" spans="1:65" x14ac:dyDescent="0.2">
      <c r="A531">
        <v>1</v>
      </c>
      <c r="B531" t="s">
        <v>853</v>
      </c>
      <c r="C531">
        <v>295</v>
      </c>
      <c r="D531" t="s">
        <v>68</v>
      </c>
      <c r="E531">
        <v>0</v>
      </c>
      <c r="F531">
        <v>74</v>
      </c>
      <c r="G531" t="s">
        <v>97</v>
      </c>
      <c r="H531" s="1">
        <v>7</v>
      </c>
      <c r="I531" t="s">
        <v>87</v>
      </c>
      <c r="J531" t="s">
        <v>111</v>
      </c>
      <c r="K531" t="s">
        <v>109</v>
      </c>
      <c r="L531">
        <v>1</v>
      </c>
      <c r="M531">
        <v>1</v>
      </c>
      <c r="N531">
        <v>1</v>
      </c>
      <c r="O531">
        <v>0</v>
      </c>
      <c r="P531">
        <v>0</v>
      </c>
      <c r="Q531">
        <v>6</v>
      </c>
      <c r="R531">
        <v>0</v>
      </c>
      <c r="S531">
        <v>0</v>
      </c>
      <c r="T531">
        <v>1</v>
      </c>
      <c r="U531">
        <v>1</v>
      </c>
      <c r="V531">
        <f t="shared" si="227"/>
        <v>0</v>
      </c>
      <c r="W531">
        <f t="shared" si="229"/>
        <v>0</v>
      </c>
      <c r="X531">
        <f t="shared" si="230"/>
        <v>0</v>
      </c>
      <c r="Y531">
        <f t="shared" si="231"/>
        <v>0</v>
      </c>
      <c r="Z531" t="s">
        <v>170</v>
      </c>
      <c r="AA531" s="5" t="s">
        <v>170</v>
      </c>
      <c r="AB531" s="5" t="s">
        <v>854</v>
      </c>
      <c r="AC531" t="s">
        <v>95</v>
      </c>
      <c r="AD531" t="s">
        <v>94</v>
      </c>
      <c r="AE531" s="5" t="s">
        <v>94</v>
      </c>
      <c r="AF531" t="s">
        <v>173</v>
      </c>
      <c r="AG531" t="s">
        <v>107</v>
      </c>
      <c r="AH531">
        <f t="shared" si="237"/>
        <v>6.6942150000000006E-2</v>
      </c>
      <c r="AI531">
        <f t="shared" si="236"/>
        <v>6.6942150000000006E-2</v>
      </c>
      <c r="AJ531">
        <f t="shared" si="228"/>
        <v>6.6942150000000006E-2</v>
      </c>
      <c r="AK531">
        <v>6.6942150000000006E-2</v>
      </c>
      <c r="AL531">
        <v>7.3747930000000003E-2</v>
      </c>
      <c r="AM531">
        <v>8.7410665999999998E-2</v>
      </c>
      <c r="AN531">
        <v>8.8901160000000007E-2</v>
      </c>
      <c r="AO531">
        <v>93.305785</v>
      </c>
      <c r="AP531">
        <v>92.625207000000003</v>
      </c>
      <c r="AQ531">
        <v>91.258933400000004</v>
      </c>
      <c r="AR531">
        <v>91.109883999999994</v>
      </c>
      <c r="AS531" t="b">
        <v>0</v>
      </c>
      <c r="AT531" t="b">
        <v>0</v>
      </c>
      <c r="AU531" t="s">
        <v>92</v>
      </c>
      <c r="AV531" t="s">
        <v>92</v>
      </c>
      <c r="AW531" t="s">
        <v>783</v>
      </c>
      <c r="AX531" t="s">
        <v>812</v>
      </c>
      <c r="AY531" t="s">
        <v>855</v>
      </c>
      <c r="AZ531" t="s">
        <v>109</v>
      </c>
      <c r="BA531">
        <v>2</v>
      </c>
      <c r="BB531">
        <v>1</v>
      </c>
      <c r="BC531">
        <v>4.2676209999999999E-2</v>
      </c>
      <c r="BD531">
        <v>1.50718657428557E-3</v>
      </c>
      <c r="BE531">
        <v>4.4183396574285598E-2</v>
      </c>
      <c r="BF531">
        <f>IF(AK531&lt;BE531,1,0)</f>
        <v>0</v>
      </c>
      <c r="BG531">
        <f>IF(AK531&lt;BC531,1,0)</f>
        <v>0</v>
      </c>
      <c r="BH531">
        <f>VLOOKUP($B531,[1]Data_Peer_with_peerVars!$B$2:$Z$1050,20,FALSE)</f>
        <v>6</v>
      </c>
      <c r="BI531">
        <f>VLOOKUP($B531,[1]Data_Peer_with_peerVars!$B$2:$Z$1050,21,FALSE)</f>
        <v>4</v>
      </c>
      <c r="BJ531">
        <f>VLOOKUP($B531,[1]Data_Peer_with_peerVars!$B$2:$Z$1050,22,FALSE)</f>
        <v>0.66666666699999999</v>
      </c>
      <c r="BK531">
        <f>VLOOKUP($B531,[1]Data_Peer_with_peerVars!$B$2:$Z$1050,23,FALSE)</f>
        <v>42</v>
      </c>
      <c r="BL531">
        <f>VLOOKUP($B531,[1]Data_Peer_with_peerVars!$B$2:$Z$1050,24,FALSE)</f>
        <v>22</v>
      </c>
      <c r="BM531">
        <f>VLOOKUP($B531,[1]Data_Peer_with_peerVars!$B$2:$Z$1050,25,FALSE)</f>
        <v>0.52380952400000003</v>
      </c>
    </row>
    <row r="532" spans="1:65" x14ac:dyDescent="0.2">
      <c r="A532">
        <v>1</v>
      </c>
      <c r="B532" t="s">
        <v>856</v>
      </c>
      <c r="C532">
        <v>296</v>
      </c>
      <c r="D532" t="s">
        <v>68</v>
      </c>
      <c r="E532">
        <v>1</v>
      </c>
      <c r="F532">
        <v>805</v>
      </c>
      <c r="G532" t="s">
        <v>69</v>
      </c>
      <c r="H532" s="1">
        <v>6</v>
      </c>
      <c r="I532" t="s">
        <v>70</v>
      </c>
      <c r="J532" t="s">
        <v>436</v>
      </c>
      <c r="K532" t="s">
        <v>72</v>
      </c>
      <c r="L532">
        <v>1</v>
      </c>
      <c r="M532">
        <v>0</v>
      </c>
      <c r="N532">
        <v>1</v>
      </c>
      <c r="O532">
        <v>0</v>
      </c>
      <c r="P532">
        <v>0</v>
      </c>
      <c r="Q532">
        <v>8</v>
      </c>
      <c r="R532">
        <v>0</v>
      </c>
      <c r="S532">
        <v>0</v>
      </c>
      <c r="T532">
        <v>0</v>
      </c>
      <c r="U532">
        <v>0</v>
      </c>
      <c r="V532">
        <f t="shared" si="227"/>
        <v>0</v>
      </c>
      <c r="W532">
        <f t="shared" si="229"/>
        <v>1</v>
      </c>
      <c r="X532">
        <v>1</v>
      </c>
      <c r="Y532">
        <v>1</v>
      </c>
      <c r="Z532" t="s">
        <v>76</v>
      </c>
      <c r="AA532" s="5" t="s">
        <v>76</v>
      </c>
      <c r="AB532" s="5" t="s">
        <v>76</v>
      </c>
      <c r="AC532" t="s">
        <v>74</v>
      </c>
      <c r="AD532" t="s">
        <v>76</v>
      </c>
      <c r="AE532" s="5" t="s">
        <v>76</v>
      </c>
      <c r="AF532" t="s">
        <v>75</v>
      </c>
      <c r="AG532" t="s">
        <v>120</v>
      </c>
      <c r="AH532">
        <f>AI532</f>
        <v>8.2330410000000007E-2</v>
      </c>
      <c r="AI532">
        <f t="shared" si="236"/>
        <v>8.2330410000000007E-2</v>
      </c>
      <c r="AJ532">
        <f>AL532</f>
        <v>8.2330410000000007E-2</v>
      </c>
      <c r="AK532">
        <v>7.9582879999999995E-2</v>
      </c>
      <c r="AL532">
        <v>8.2330410000000007E-2</v>
      </c>
      <c r="AM532">
        <v>0.11232876999999999</v>
      </c>
      <c r="AN532">
        <v>0.11323851</v>
      </c>
      <c r="AO532">
        <v>92.041712000000004</v>
      </c>
      <c r="AP532">
        <v>91.766959</v>
      </c>
      <c r="AQ532">
        <v>88.767122999999998</v>
      </c>
      <c r="AR532">
        <v>88.676148999999995</v>
      </c>
      <c r="AS532" t="b">
        <v>0</v>
      </c>
      <c r="AT532" t="b">
        <v>1</v>
      </c>
      <c r="AU532" t="s">
        <v>77</v>
      </c>
      <c r="AV532" t="s">
        <v>77</v>
      </c>
      <c r="AW532" t="s">
        <v>783</v>
      </c>
      <c r="AX532" t="s">
        <v>812</v>
      </c>
      <c r="AY532" t="s">
        <v>857</v>
      </c>
      <c r="AZ532" t="s">
        <v>72</v>
      </c>
      <c r="BA532" t="s">
        <v>82</v>
      </c>
      <c r="BB532">
        <v>1</v>
      </c>
      <c r="BC532">
        <v>2.4738868000000001E-3</v>
      </c>
      <c r="BD532">
        <v>1.4256942275279999E-4</v>
      </c>
      <c r="BE532">
        <v>2.6164562227527998E-3</v>
      </c>
      <c r="BF532">
        <f>IF(AK532&lt;BE532,1,0)</f>
        <v>0</v>
      </c>
      <c r="BG532">
        <f>IF(AK532&lt;BC532,1,0)</f>
        <v>0</v>
      </c>
      <c r="BH532">
        <f>VLOOKUP($B532,[1]Data_Peer_with_peerVars!$B$2:$Z$1050,20,FALSE)</f>
        <v>6</v>
      </c>
      <c r="BI532">
        <f>VLOOKUP($B532,[1]Data_Peer_with_peerVars!$B$2:$Z$1050,21,FALSE)</f>
        <v>3</v>
      </c>
      <c r="BJ532">
        <f>VLOOKUP($B532,[1]Data_Peer_with_peerVars!$B$2:$Z$1050,22,FALSE)</f>
        <v>0.5</v>
      </c>
      <c r="BK532">
        <f>VLOOKUP($B532,[1]Data_Peer_with_peerVars!$B$2:$Z$1050,23,FALSE)</f>
        <v>36</v>
      </c>
      <c r="BL532">
        <f>VLOOKUP($B532,[1]Data_Peer_with_peerVars!$B$2:$Z$1050,24,FALSE)</f>
        <v>17</v>
      </c>
      <c r="BM532">
        <f>VLOOKUP($B532,[1]Data_Peer_with_peerVars!$B$2:$Z$1050,25,FALSE)</f>
        <v>0.47222222200000002</v>
      </c>
    </row>
    <row r="533" spans="1:65" x14ac:dyDescent="0.2">
      <c r="A533">
        <v>1</v>
      </c>
      <c r="B533" t="s">
        <v>858</v>
      </c>
      <c r="C533">
        <v>297</v>
      </c>
      <c r="D533" t="s">
        <v>68</v>
      </c>
      <c r="E533">
        <v>0</v>
      </c>
      <c r="F533">
        <v>56</v>
      </c>
      <c r="G533" t="s">
        <v>97</v>
      </c>
      <c r="H533" s="1">
        <v>7</v>
      </c>
      <c r="I533" t="s">
        <v>70</v>
      </c>
      <c r="J533" t="s">
        <v>436</v>
      </c>
      <c r="K533" t="s">
        <v>109</v>
      </c>
      <c r="L533">
        <v>1</v>
      </c>
      <c r="M533">
        <v>1</v>
      </c>
      <c r="N533">
        <v>1</v>
      </c>
      <c r="O533">
        <v>0</v>
      </c>
      <c r="P533">
        <v>0</v>
      </c>
      <c r="Q533">
        <v>6</v>
      </c>
      <c r="R533">
        <v>0</v>
      </c>
      <c r="S533">
        <v>0</v>
      </c>
      <c r="T533">
        <v>0</v>
      </c>
      <c r="U533">
        <v>0</v>
      </c>
      <c r="V533">
        <f t="shared" si="227"/>
        <v>0</v>
      </c>
      <c r="W533">
        <f t="shared" si="229"/>
        <v>0</v>
      </c>
      <c r="X533">
        <f t="shared" si="230"/>
        <v>0</v>
      </c>
      <c r="Y533">
        <f t="shared" si="231"/>
        <v>0</v>
      </c>
      <c r="Z533" t="s">
        <v>76</v>
      </c>
      <c r="AA533" s="5" t="s">
        <v>76</v>
      </c>
      <c r="AB533" s="5" t="s">
        <v>76</v>
      </c>
      <c r="AC533" t="s">
        <v>91</v>
      </c>
      <c r="AD533" t="s">
        <v>287</v>
      </c>
      <c r="AE533" s="5" t="s">
        <v>287</v>
      </c>
      <c r="AF533" t="s">
        <v>137</v>
      </c>
      <c r="AG533" t="s">
        <v>84</v>
      </c>
      <c r="AH533">
        <f t="shared" ref="AH533:AH538" si="238">AI533</f>
        <v>3.5538545000000001E-3</v>
      </c>
      <c r="AI533">
        <f t="shared" si="236"/>
        <v>3.5538545000000001E-3</v>
      </c>
      <c r="AJ533">
        <f t="shared" si="228"/>
        <v>3.5538545000000001E-3</v>
      </c>
      <c r="AK533">
        <v>3.5538545000000001E-3</v>
      </c>
      <c r="AL533">
        <v>0.12103825</v>
      </c>
      <c r="AM533">
        <v>0.12998361999999999</v>
      </c>
      <c r="AN533">
        <v>0.13324175999999999</v>
      </c>
      <c r="AO533">
        <v>99.64461455</v>
      </c>
      <c r="AP533">
        <v>87.896174999999999</v>
      </c>
      <c r="AQ533">
        <v>87.001638</v>
      </c>
      <c r="AR533">
        <v>86.675824000000006</v>
      </c>
      <c r="AS533" t="b">
        <v>0</v>
      </c>
      <c r="AT533" t="b">
        <v>0</v>
      </c>
      <c r="AU533" t="s">
        <v>77</v>
      </c>
      <c r="AV533" t="s">
        <v>78</v>
      </c>
      <c r="AW533" t="s">
        <v>783</v>
      </c>
      <c r="AX533" t="s">
        <v>812</v>
      </c>
      <c r="AY533" t="s">
        <v>855</v>
      </c>
      <c r="AZ533" t="s">
        <v>109</v>
      </c>
      <c r="BA533">
        <v>3</v>
      </c>
      <c r="BB533">
        <v>1</v>
      </c>
      <c r="BC533">
        <v>9.0659339999999995E-3</v>
      </c>
      <c r="BD533">
        <v>2.76583658862385E-3</v>
      </c>
      <c r="BE533">
        <v>1.1831770588623799E-2</v>
      </c>
      <c r="BF533">
        <f>IF(AK533&lt;BE533,1,0)</f>
        <v>1</v>
      </c>
      <c r="BG533">
        <f>IF(AK533&lt;BC533,1,0)</f>
        <v>1</v>
      </c>
      <c r="BH533">
        <f>VLOOKUP($B533,[1]Data_Peer_with_peerVars!$B$2:$Z$1050,20,FALSE)</f>
        <v>3</v>
      </c>
      <c r="BI533">
        <f>VLOOKUP($B533,[1]Data_Peer_with_peerVars!$B$2:$Z$1050,21,FALSE)</f>
        <v>2</v>
      </c>
      <c r="BJ533">
        <f>VLOOKUP($B533,[1]Data_Peer_with_peerVars!$B$2:$Z$1050,22,FALSE)</f>
        <v>0.66666666699999999</v>
      </c>
      <c r="BK533">
        <f>VLOOKUP($B533,[1]Data_Peer_with_peerVars!$B$2:$Z$1050,23,FALSE)</f>
        <v>34</v>
      </c>
      <c r="BL533">
        <f>VLOOKUP($B533,[1]Data_Peer_with_peerVars!$B$2:$Z$1050,24,FALSE)</f>
        <v>18</v>
      </c>
      <c r="BM533">
        <f>VLOOKUP($B533,[1]Data_Peer_with_peerVars!$B$2:$Z$1050,25,FALSE)</f>
        <v>0.52941176499999998</v>
      </c>
    </row>
    <row r="534" spans="1:65" x14ac:dyDescent="0.2">
      <c r="A534">
        <v>1</v>
      </c>
      <c r="B534" t="s">
        <v>859</v>
      </c>
      <c r="C534">
        <v>297</v>
      </c>
      <c r="D534" t="s">
        <v>68</v>
      </c>
      <c r="E534">
        <v>0</v>
      </c>
      <c r="F534">
        <v>56</v>
      </c>
      <c r="G534" t="s">
        <v>97</v>
      </c>
      <c r="H534" s="1">
        <v>7</v>
      </c>
      <c r="I534" t="s">
        <v>70</v>
      </c>
      <c r="J534" t="s">
        <v>436</v>
      </c>
      <c r="K534" t="s">
        <v>109</v>
      </c>
      <c r="L534">
        <v>1</v>
      </c>
      <c r="M534">
        <v>1</v>
      </c>
      <c r="N534">
        <v>1</v>
      </c>
      <c r="O534">
        <v>0</v>
      </c>
      <c r="P534">
        <v>0</v>
      </c>
      <c r="Q534">
        <v>6</v>
      </c>
      <c r="R534">
        <v>0</v>
      </c>
      <c r="S534">
        <v>0</v>
      </c>
      <c r="T534">
        <v>0</v>
      </c>
      <c r="U534">
        <v>0</v>
      </c>
      <c r="V534">
        <f t="shared" si="227"/>
        <v>0</v>
      </c>
      <c r="W534">
        <f t="shared" si="229"/>
        <v>0</v>
      </c>
      <c r="X534">
        <f t="shared" si="230"/>
        <v>0</v>
      </c>
      <c r="Y534">
        <f t="shared" si="231"/>
        <v>0</v>
      </c>
      <c r="Z534" t="s">
        <v>76</v>
      </c>
      <c r="AA534" s="5" t="s">
        <v>76</v>
      </c>
      <c r="AB534" s="5" t="s">
        <v>76</v>
      </c>
      <c r="AC534" t="s">
        <v>73</v>
      </c>
      <c r="AD534" t="s">
        <v>91</v>
      </c>
      <c r="AE534" s="5" t="s">
        <v>91</v>
      </c>
      <c r="AF534" t="s">
        <v>94</v>
      </c>
      <c r="AG534" t="s">
        <v>137</v>
      </c>
      <c r="AH534">
        <f t="shared" si="238"/>
        <v>8.1014729999999993E-2</v>
      </c>
      <c r="AI534">
        <f t="shared" si="236"/>
        <v>8.1014729999999993E-2</v>
      </c>
      <c r="AJ534">
        <f t="shared" si="228"/>
        <v>8.1014729999999993E-2</v>
      </c>
      <c r="AK534">
        <v>8.1014729999999993E-2</v>
      </c>
      <c r="AL534">
        <v>8.3150979999999999E-2</v>
      </c>
      <c r="AM534">
        <v>0.13599126</v>
      </c>
      <c r="AN534">
        <v>0.14199890000000001</v>
      </c>
      <c r="AO534">
        <v>91.898527000000001</v>
      </c>
      <c r="AP534">
        <v>91.684901999999994</v>
      </c>
      <c r="AQ534">
        <v>86.400874000000002</v>
      </c>
      <c r="AR534">
        <v>85.800110000000004</v>
      </c>
      <c r="AS534" t="b">
        <v>0</v>
      </c>
      <c r="AT534" t="b">
        <v>0</v>
      </c>
      <c r="AU534" t="s">
        <v>77</v>
      </c>
      <c r="AV534" t="s">
        <v>77</v>
      </c>
      <c r="AW534" t="s">
        <v>783</v>
      </c>
      <c r="AX534" t="s">
        <v>812</v>
      </c>
      <c r="AY534" t="s">
        <v>855</v>
      </c>
      <c r="AZ534" t="s">
        <v>109</v>
      </c>
      <c r="BA534">
        <v>3</v>
      </c>
      <c r="BB534">
        <v>1</v>
      </c>
      <c r="BC534">
        <v>4.1163553999999996E-3</v>
      </c>
      <c r="BD534">
        <v>1.4279989108178799E-4</v>
      </c>
      <c r="BE534">
        <v>4.2591552910817903E-3</v>
      </c>
      <c r="BF534">
        <f>IF(AK534&lt;BE534,1,0)</f>
        <v>0</v>
      </c>
      <c r="BG534">
        <f>IF(AK534&lt;BC534,1,0)</f>
        <v>0</v>
      </c>
      <c r="BH534">
        <f>VLOOKUP($B534,[1]Data_Peer_with_peerVars!$B$2:$Z$1050,20,FALSE)</f>
        <v>3</v>
      </c>
      <c r="BI534">
        <f>VLOOKUP($B534,[1]Data_Peer_with_peerVars!$B$2:$Z$1050,21,FALSE)</f>
        <v>2</v>
      </c>
      <c r="BJ534">
        <f>VLOOKUP($B534,[1]Data_Peer_with_peerVars!$B$2:$Z$1050,22,FALSE)</f>
        <v>0.66666666699999999</v>
      </c>
      <c r="BK534">
        <f>VLOOKUP($B534,[1]Data_Peer_with_peerVars!$B$2:$Z$1050,23,FALSE)</f>
        <v>34</v>
      </c>
      <c r="BL534">
        <f>VLOOKUP($B534,[1]Data_Peer_with_peerVars!$B$2:$Z$1050,24,FALSE)</f>
        <v>18</v>
      </c>
      <c r="BM534">
        <f>VLOOKUP($B534,[1]Data_Peer_with_peerVars!$B$2:$Z$1050,25,FALSE)</f>
        <v>0.52941176499999998</v>
      </c>
    </row>
    <row r="535" spans="1:65" x14ac:dyDescent="0.2">
      <c r="A535">
        <v>1</v>
      </c>
      <c r="B535" t="s">
        <v>860</v>
      </c>
      <c r="C535">
        <v>298</v>
      </c>
      <c r="D535" t="s">
        <v>68</v>
      </c>
      <c r="E535">
        <v>1</v>
      </c>
      <c r="F535">
        <v>76</v>
      </c>
      <c r="G535" t="s">
        <v>86</v>
      </c>
      <c r="H535" s="1">
        <v>7</v>
      </c>
      <c r="I535" t="s">
        <v>87</v>
      </c>
      <c r="J535" t="s">
        <v>150</v>
      </c>
      <c r="K535" t="s">
        <v>72</v>
      </c>
      <c r="L535">
        <v>1</v>
      </c>
      <c r="M535">
        <v>1</v>
      </c>
      <c r="N535">
        <v>1</v>
      </c>
      <c r="O535">
        <v>0</v>
      </c>
      <c r="P535">
        <v>0</v>
      </c>
      <c r="Q535">
        <v>6</v>
      </c>
      <c r="R535">
        <v>0</v>
      </c>
      <c r="S535">
        <v>0</v>
      </c>
      <c r="T535">
        <v>0</v>
      </c>
      <c r="U535">
        <v>0</v>
      </c>
      <c r="V535">
        <f t="shared" si="227"/>
        <v>0</v>
      </c>
      <c r="W535">
        <f t="shared" si="229"/>
        <v>0</v>
      </c>
      <c r="X535">
        <f t="shared" si="230"/>
        <v>0</v>
      </c>
      <c r="Y535">
        <f t="shared" si="231"/>
        <v>0</v>
      </c>
      <c r="Z535" t="s">
        <v>76</v>
      </c>
      <c r="AA535" s="5" t="s">
        <v>76</v>
      </c>
      <c r="AB535" s="5" t="s">
        <v>76</v>
      </c>
      <c r="AC535" t="s">
        <v>101</v>
      </c>
      <c r="AD535" t="s">
        <v>99</v>
      </c>
      <c r="AE535" s="5" t="s">
        <v>99</v>
      </c>
      <c r="AF535" t="s">
        <v>103</v>
      </c>
      <c r="AG535" t="s">
        <v>102</v>
      </c>
      <c r="AH535">
        <f t="shared" si="238"/>
        <v>5.9308069999999997E-2</v>
      </c>
      <c r="AI535">
        <f t="shared" si="236"/>
        <v>5.9308069999999997E-2</v>
      </c>
      <c r="AJ535">
        <f t="shared" si="228"/>
        <v>5.9308069999999997E-2</v>
      </c>
      <c r="AK535">
        <v>5.9308069999999997E-2</v>
      </c>
      <c r="AL535">
        <v>8.1125825999999998E-2</v>
      </c>
      <c r="AM535">
        <v>9.8125690000000002E-2</v>
      </c>
      <c r="AN535">
        <v>0.12670671999999999</v>
      </c>
      <c r="AO535">
        <v>94.069192999999999</v>
      </c>
      <c r="AP535">
        <v>91.887417400000004</v>
      </c>
      <c r="AQ535">
        <v>90.187431000000004</v>
      </c>
      <c r="AR535">
        <v>87.329328000000004</v>
      </c>
      <c r="AS535" t="b">
        <v>0</v>
      </c>
      <c r="AT535" t="b">
        <v>0</v>
      </c>
      <c r="AU535" t="s">
        <v>77</v>
      </c>
      <c r="AV535" t="s">
        <v>77</v>
      </c>
      <c r="AW535" t="s">
        <v>783</v>
      </c>
      <c r="AX535" t="s">
        <v>812</v>
      </c>
      <c r="AY535" t="s">
        <v>855</v>
      </c>
      <c r="AZ535" t="s">
        <v>72</v>
      </c>
      <c r="BA535" t="s">
        <v>82</v>
      </c>
      <c r="BB535">
        <v>0.125</v>
      </c>
      <c r="BC535">
        <v>1.4096186E-2</v>
      </c>
      <c r="BD535">
        <v>1.55088650053763E-3</v>
      </c>
      <c r="BE535">
        <v>1.5647072500537599E-2</v>
      </c>
      <c r="BF535">
        <f>IF(AK535&lt;BE535,1,0)</f>
        <v>0</v>
      </c>
      <c r="BG535">
        <f>IF(AK535&lt;BC535,1,0)</f>
        <v>0</v>
      </c>
      <c r="BH535">
        <f>VLOOKUP($B535,[1]Data_Peer_with_peerVars!$B$2:$Z$1050,20,FALSE)</f>
        <v>15</v>
      </c>
      <c r="BI535">
        <f>VLOOKUP($B535,[1]Data_Peer_with_peerVars!$B$2:$Z$1050,21,FALSE)</f>
        <v>6</v>
      </c>
      <c r="BJ535">
        <f>VLOOKUP($B535,[1]Data_Peer_with_peerVars!$B$2:$Z$1050,22,FALSE)</f>
        <v>0.4</v>
      </c>
      <c r="BK535">
        <f>VLOOKUP($B535,[1]Data_Peer_with_peerVars!$B$2:$Z$1050,23,FALSE)</f>
        <v>64</v>
      </c>
      <c r="BL535">
        <f>VLOOKUP($B535,[1]Data_Peer_with_peerVars!$B$2:$Z$1050,24,FALSE)</f>
        <v>33</v>
      </c>
      <c r="BM535">
        <f>VLOOKUP($B535,[1]Data_Peer_with_peerVars!$B$2:$Z$1050,25,FALSE)</f>
        <v>0.515625</v>
      </c>
    </row>
    <row r="536" spans="1:65" x14ac:dyDescent="0.2">
      <c r="A536">
        <v>1</v>
      </c>
      <c r="B536" t="s">
        <v>861</v>
      </c>
      <c r="C536">
        <v>298</v>
      </c>
      <c r="D536" t="s">
        <v>68</v>
      </c>
      <c r="E536">
        <v>1</v>
      </c>
      <c r="F536">
        <v>76</v>
      </c>
      <c r="G536" t="s">
        <v>86</v>
      </c>
      <c r="H536" s="1">
        <v>7</v>
      </c>
      <c r="I536" t="s">
        <v>87</v>
      </c>
      <c r="J536" t="s">
        <v>150</v>
      </c>
      <c r="K536" t="s">
        <v>72</v>
      </c>
      <c r="L536">
        <v>1</v>
      </c>
      <c r="M536">
        <v>1</v>
      </c>
      <c r="N536">
        <v>1</v>
      </c>
      <c r="O536">
        <v>0</v>
      </c>
      <c r="P536">
        <v>0</v>
      </c>
      <c r="Q536">
        <v>6</v>
      </c>
      <c r="R536">
        <v>0</v>
      </c>
      <c r="S536">
        <v>0</v>
      </c>
      <c r="T536">
        <v>0</v>
      </c>
      <c r="U536">
        <v>0</v>
      </c>
      <c r="V536">
        <f t="shared" si="227"/>
        <v>1</v>
      </c>
      <c r="W536">
        <v>1</v>
      </c>
      <c r="X536">
        <v>1</v>
      </c>
      <c r="Y536">
        <v>1</v>
      </c>
      <c r="Z536" t="s">
        <v>91</v>
      </c>
      <c r="AA536" s="5" t="s">
        <v>91</v>
      </c>
      <c r="AB536" s="5" t="s">
        <v>91</v>
      </c>
      <c r="AC536" t="s">
        <v>91</v>
      </c>
      <c r="AD536" t="s">
        <v>287</v>
      </c>
      <c r="AE536" s="5" t="s">
        <v>287</v>
      </c>
      <c r="AF536" t="s">
        <v>137</v>
      </c>
      <c r="AG536" t="s">
        <v>84</v>
      </c>
      <c r="AH536">
        <f t="shared" si="238"/>
        <v>1.2301804499999999E-2</v>
      </c>
      <c r="AI536">
        <f t="shared" si="236"/>
        <v>1.2301804499999999E-2</v>
      </c>
      <c r="AJ536">
        <f t="shared" si="228"/>
        <v>1.2301804499999999E-2</v>
      </c>
      <c r="AK536">
        <v>1.2301804499999999E-2</v>
      </c>
      <c r="AL536">
        <v>0.11693989</v>
      </c>
      <c r="AM536">
        <v>0.13271436</v>
      </c>
      <c r="AN536">
        <v>0.13406593999999999</v>
      </c>
      <c r="AO536">
        <v>98.769819549999994</v>
      </c>
      <c r="AP536">
        <v>88.306010999999998</v>
      </c>
      <c r="AQ536">
        <v>86.728564000000006</v>
      </c>
      <c r="AR536">
        <v>86.593406000000002</v>
      </c>
      <c r="AS536" t="b">
        <v>1</v>
      </c>
      <c r="AT536" t="b">
        <v>0</v>
      </c>
      <c r="AU536" t="s">
        <v>77</v>
      </c>
      <c r="AV536" t="s">
        <v>78</v>
      </c>
      <c r="AW536" t="s">
        <v>783</v>
      </c>
      <c r="AX536" t="s">
        <v>812</v>
      </c>
      <c r="AY536" t="s">
        <v>855</v>
      </c>
      <c r="AZ536" t="s">
        <v>109</v>
      </c>
      <c r="BA536">
        <v>20</v>
      </c>
      <c r="BB536">
        <v>0.35</v>
      </c>
      <c r="BC536">
        <v>9.0659339999999995E-3</v>
      </c>
      <c r="BD536">
        <v>2.76583658862385E-3</v>
      </c>
      <c r="BE536">
        <v>1.1831770588623799E-2</v>
      </c>
      <c r="BF536">
        <f>IF(AK536&lt;BE536,1,0)</f>
        <v>0</v>
      </c>
      <c r="BG536">
        <f>IF(AK536&lt;BC536,1,0)</f>
        <v>0</v>
      </c>
      <c r="BH536">
        <f>VLOOKUP($B536,[1]Data_Peer_with_peerVars!$B$2:$Z$1050,20,FALSE)</f>
        <v>15</v>
      </c>
      <c r="BI536">
        <f>VLOOKUP($B536,[1]Data_Peer_with_peerVars!$B$2:$Z$1050,21,FALSE)</f>
        <v>6</v>
      </c>
      <c r="BJ536">
        <f>VLOOKUP($B536,[1]Data_Peer_with_peerVars!$B$2:$Z$1050,22,FALSE)</f>
        <v>0.4</v>
      </c>
      <c r="BK536">
        <f>VLOOKUP($B536,[1]Data_Peer_with_peerVars!$B$2:$Z$1050,23,FALSE)</f>
        <v>64</v>
      </c>
      <c r="BL536">
        <f>VLOOKUP($B536,[1]Data_Peer_with_peerVars!$B$2:$Z$1050,24,FALSE)</f>
        <v>33</v>
      </c>
      <c r="BM536">
        <f>VLOOKUP($B536,[1]Data_Peer_with_peerVars!$B$2:$Z$1050,25,FALSE)</f>
        <v>0.515625</v>
      </c>
    </row>
    <row r="537" spans="1:65" x14ac:dyDescent="0.2">
      <c r="A537">
        <v>1</v>
      </c>
      <c r="B537" t="s">
        <v>862</v>
      </c>
      <c r="C537">
        <v>299</v>
      </c>
      <c r="D537" t="s">
        <v>68</v>
      </c>
      <c r="E537">
        <v>0</v>
      </c>
      <c r="F537">
        <v>149</v>
      </c>
      <c r="G537" t="s">
        <v>119</v>
      </c>
      <c r="H537" s="1">
        <v>7</v>
      </c>
      <c r="I537" t="s">
        <v>87</v>
      </c>
      <c r="J537" t="s">
        <v>150</v>
      </c>
      <c r="K537" t="s">
        <v>109</v>
      </c>
      <c r="L537">
        <v>2</v>
      </c>
      <c r="M537">
        <v>1</v>
      </c>
      <c r="N537">
        <v>0</v>
      </c>
      <c r="O537">
        <v>0</v>
      </c>
      <c r="P537">
        <v>0</v>
      </c>
      <c r="Q537">
        <v>6</v>
      </c>
      <c r="R537">
        <v>0</v>
      </c>
      <c r="S537">
        <v>0</v>
      </c>
      <c r="T537">
        <v>0</v>
      </c>
      <c r="U537">
        <v>0</v>
      </c>
      <c r="V537">
        <f t="shared" si="227"/>
        <v>1</v>
      </c>
      <c r="W537">
        <v>1</v>
      </c>
      <c r="X537">
        <v>1</v>
      </c>
      <c r="Y537">
        <v>1</v>
      </c>
      <c r="Z537" t="s">
        <v>76</v>
      </c>
      <c r="AA537" s="5" t="s">
        <v>76</v>
      </c>
      <c r="AB537" s="5" t="s">
        <v>76</v>
      </c>
      <c r="AC537" t="s">
        <v>76</v>
      </c>
      <c r="AD537" t="s">
        <v>74</v>
      </c>
      <c r="AE537" s="5" t="s">
        <v>74</v>
      </c>
      <c r="AF537" t="s">
        <v>120</v>
      </c>
      <c r="AG537" t="s">
        <v>75</v>
      </c>
      <c r="AH537">
        <f t="shared" si="238"/>
        <v>7.4316939999999998E-2</v>
      </c>
      <c r="AI537">
        <f t="shared" si="236"/>
        <v>7.4316939999999998E-2</v>
      </c>
      <c r="AJ537">
        <f t="shared" si="228"/>
        <v>7.4316939999999998E-2</v>
      </c>
      <c r="AK537">
        <v>7.4316939999999998E-2</v>
      </c>
      <c r="AL537">
        <v>9.5668859999999994E-2</v>
      </c>
      <c r="AM537">
        <v>0.12131148</v>
      </c>
      <c r="AN537">
        <v>0.123426385</v>
      </c>
      <c r="AO537">
        <v>92.568306000000007</v>
      </c>
      <c r="AP537">
        <v>90.433114000000003</v>
      </c>
      <c r="AQ537">
        <v>87.868852000000004</v>
      </c>
      <c r="AR537">
        <v>87.657361499999993</v>
      </c>
      <c r="AS537" t="b">
        <v>1</v>
      </c>
      <c r="AT537" t="b">
        <v>0</v>
      </c>
      <c r="AU537" t="s">
        <v>77</v>
      </c>
      <c r="AV537" t="s">
        <v>77</v>
      </c>
      <c r="AW537" t="s">
        <v>783</v>
      </c>
      <c r="AX537" t="s">
        <v>812</v>
      </c>
      <c r="AY537" t="s">
        <v>863</v>
      </c>
      <c r="AZ537" t="s">
        <v>109</v>
      </c>
      <c r="BA537">
        <v>3</v>
      </c>
      <c r="BB537">
        <v>0.5</v>
      </c>
      <c r="BC537">
        <v>7.7070764999999999E-2</v>
      </c>
      <c r="BD537">
        <v>1.90190515067399E-3</v>
      </c>
      <c r="BE537">
        <v>7.8972670150673996E-2</v>
      </c>
      <c r="BF537">
        <f>IF(AK537&lt;BE537,1,0)</f>
        <v>1</v>
      </c>
      <c r="BG537">
        <f>IF(AK537&lt;BC537,1,0)</f>
        <v>1</v>
      </c>
      <c r="BH537">
        <f>VLOOKUP($B537,[1]Data_Peer_with_peerVars!$B$2:$Z$1050,20,FALSE)</f>
        <v>4</v>
      </c>
      <c r="BI537">
        <f>VLOOKUP($B537,[1]Data_Peer_with_peerVars!$B$2:$Z$1050,21,FALSE)</f>
        <v>1</v>
      </c>
      <c r="BJ537">
        <f>VLOOKUP($B537,[1]Data_Peer_with_peerVars!$B$2:$Z$1050,22,FALSE)</f>
        <v>0.25</v>
      </c>
      <c r="BK537">
        <f>VLOOKUP($B537,[1]Data_Peer_with_peerVars!$B$2:$Z$1050,23,FALSE)</f>
        <v>55</v>
      </c>
      <c r="BL537">
        <f>VLOOKUP($B537,[1]Data_Peer_with_peerVars!$B$2:$Z$1050,24,FALSE)</f>
        <v>21</v>
      </c>
      <c r="BM537">
        <f>VLOOKUP($B537,[1]Data_Peer_with_peerVars!$B$2:$Z$1050,25,FALSE)</f>
        <v>0.38181818200000001</v>
      </c>
    </row>
    <row r="538" spans="1:65" x14ac:dyDescent="0.2">
      <c r="A538">
        <v>1</v>
      </c>
      <c r="B538" t="s">
        <v>864</v>
      </c>
      <c r="C538">
        <v>299</v>
      </c>
      <c r="D538" t="s">
        <v>68</v>
      </c>
      <c r="E538">
        <v>0</v>
      </c>
      <c r="F538">
        <v>149</v>
      </c>
      <c r="G538" t="s">
        <v>119</v>
      </c>
      <c r="H538" s="1">
        <v>7</v>
      </c>
      <c r="I538" t="s">
        <v>87</v>
      </c>
      <c r="J538" t="s">
        <v>150</v>
      </c>
      <c r="K538" t="s">
        <v>109</v>
      </c>
      <c r="L538">
        <v>2</v>
      </c>
      <c r="M538">
        <v>1</v>
      </c>
      <c r="N538">
        <v>0</v>
      </c>
      <c r="O538">
        <v>0</v>
      </c>
      <c r="P538">
        <v>0</v>
      </c>
      <c r="Q538">
        <v>6</v>
      </c>
      <c r="R538">
        <v>0</v>
      </c>
      <c r="S538">
        <v>0</v>
      </c>
      <c r="T538">
        <v>0</v>
      </c>
      <c r="U538">
        <v>0</v>
      </c>
      <c r="V538">
        <f t="shared" si="227"/>
        <v>1</v>
      </c>
      <c r="W538">
        <v>1</v>
      </c>
      <c r="X538">
        <v>1</v>
      </c>
      <c r="Y538">
        <v>1</v>
      </c>
      <c r="Z538" t="s">
        <v>91</v>
      </c>
      <c r="AA538" s="5" t="s">
        <v>91</v>
      </c>
      <c r="AB538" s="5" t="s">
        <v>91</v>
      </c>
      <c r="AC538" t="s">
        <v>91</v>
      </c>
      <c r="AD538" t="s">
        <v>287</v>
      </c>
      <c r="AE538" s="5" t="s">
        <v>287</v>
      </c>
      <c r="AF538" t="s">
        <v>137</v>
      </c>
      <c r="AG538" t="s">
        <v>84</v>
      </c>
      <c r="AH538">
        <f t="shared" si="238"/>
        <v>1.0661564E-2</v>
      </c>
      <c r="AI538">
        <f t="shared" si="236"/>
        <v>1.0661564E-2</v>
      </c>
      <c r="AJ538">
        <f t="shared" si="228"/>
        <v>1.0661564E-2</v>
      </c>
      <c r="AK538">
        <v>1.0661564E-2</v>
      </c>
      <c r="AL538">
        <v>0.11721311500000001</v>
      </c>
      <c r="AM538">
        <v>0.12868853</v>
      </c>
      <c r="AN538">
        <v>0.13379120999999999</v>
      </c>
      <c r="AO538">
        <v>98.933843600000003</v>
      </c>
      <c r="AP538">
        <v>88.278688500000001</v>
      </c>
      <c r="AQ538">
        <v>87.131146999999999</v>
      </c>
      <c r="AR538">
        <v>86.620879000000002</v>
      </c>
      <c r="AS538" t="b">
        <v>1</v>
      </c>
      <c r="AT538" t="b">
        <v>0</v>
      </c>
      <c r="AU538" t="s">
        <v>77</v>
      </c>
      <c r="AV538" t="s">
        <v>78</v>
      </c>
      <c r="AW538" t="s">
        <v>783</v>
      </c>
      <c r="AX538" t="s">
        <v>812</v>
      </c>
      <c r="AY538" t="s">
        <v>863</v>
      </c>
      <c r="AZ538" t="s">
        <v>109</v>
      </c>
      <c r="BA538">
        <v>2</v>
      </c>
      <c r="BB538">
        <v>1</v>
      </c>
      <c r="BC538">
        <v>9.0659339999999995E-3</v>
      </c>
      <c r="BD538">
        <v>2.76583658862385E-3</v>
      </c>
      <c r="BE538">
        <v>1.1831770588623799E-2</v>
      </c>
      <c r="BF538">
        <f>IF(AK538&lt;BE538,1,0)</f>
        <v>1</v>
      </c>
      <c r="BG538">
        <f>IF(AK538&lt;BC538,1,0)</f>
        <v>0</v>
      </c>
      <c r="BH538">
        <f>VLOOKUP($B538,[1]Data_Peer_with_peerVars!$B$2:$Z$1050,20,FALSE)</f>
        <v>4</v>
      </c>
      <c r="BI538">
        <f>VLOOKUP($B538,[1]Data_Peer_with_peerVars!$B$2:$Z$1050,21,FALSE)</f>
        <v>1</v>
      </c>
      <c r="BJ538">
        <f>VLOOKUP($B538,[1]Data_Peer_with_peerVars!$B$2:$Z$1050,22,FALSE)</f>
        <v>0.25</v>
      </c>
      <c r="BK538">
        <f>VLOOKUP($B538,[1]Data_Peer_with_peerVars!$B$2:$Z$1050,23,FALSE)</f>
        <v>55</v>
      </c>
      <c r="BL538">
        <f>VLOOKUP($B538,[1]Data_Peer_with_peerVars!$B$2:$Z$1050,24,FALSE)</f>
        <v>21</v>
      </c>
      <c r="BM538">
        <f>VLOOKUP($B538,[1]Data_Peer_with_peerVars!$B$2:$Z$1050,25,FALSE)</f>
        <v>0.38181818200000001</v>
      </c>
    </row>
    <row r="539" spans="1:65" x14ac:dyDescent="0.2">
      <c r="A539">
        <v>1</v>
      </c>
      <c r="B539" t="s">
        <v>865</v>
      </c>
      <c r="C539">
        <v>300</v>
      </c>
      <c r="D539" t="s">
        <v>68</v>
      </c>
      <c r="E539">
        <v>0</v>
      </c>
      <c r="F539">
        <v>174</v>
      </c>
      <c r="G539" t="s">
        <v>119</v>
      </c>
      <c r="H539" s="1">
        <v>7</v>
      </c>
      <c r="I539" t="s">
        <v>87</v>
      </c>
      <c r="J539" t="s">
        <v>88</v>
      </c>
      <c r="K539" t="s">
        <v>72</v>
      </c>
      <c r="L539">
        <v>1</v>
      </c>
      <c r="M539">
        <v>1</v>
      </c>
      <c r="N539">
        <v>0</v>
      </c>
      <c r="O539">
        <v>0</v>
      </c>
      <c r="P539">
        <v>0</v>
      </c>
      <c r="Q539">
        <v>6</v>
      </c>
      <c r="R539">
        <v>0</v>
      </c>
      <c r="S539">
        <v>0</v>
      </c>
      <c r="T539">
        <v>0</v>
      </c>
      <c r="U539">
        <v>0</v>
      </c>
      <c r="V539">
        <f t="shared" si="227"/>
        <v>0</v>
      </c>
      <c r="W539">
        <f t="shared" si="229"/>
        <v>0</v>
      </c>
      <c r="X539">
        <f t="shared" si="230"/>
        <v>0</v>
      </c>
      <c r="Y539">
        <f t="shared" si="231"/>
        <v>0</v>
      </c>
      <c r="Z539" t="s">
        <v>73</v>
      </c>
      <c r="AA539" s="5" t="s">
        <v>73</v>
      </c>
      <c r="AB539" s="5" t="s">
        <v>73</v>
      </c>
      <c r="AC539" t="s">
        <v>91</v>
      </c>
      <c r="AD539" t="s">
        <v>287</v>
      </c>
      <c r="AE539" s="5" t="s">
        <v>287</v>
      </c>
      <c r="AF539" t="s">
        <v>137</v>
      </c>
      <c r="AG539" t="s">
        <v>84</v>
      </c>
      <c r="AH539">
        <f t="shared" ref="AH539:AH542" si="239">AI539</f>
        <v>3.5557987E-3</v>
      </c>
      <c r="AI539">
        <f t="shared" ref="AI539:AI544" si="240">AJ539</f>
        <v>3.5557987E-3</v>
      </c>
      <c r="AJ539">
        <f t="shared" si="228"/>
        <v>3.5557987E-3</v>
      </c>
      <c r="AK539">
        <v>3.5557987E-3</v>
      </c>
      <c r="AL539">
        <v>0.12165117</v>
      </c>
      <c r="AM539">
        <v>0.12998361999999999</v>
      </c>
      <c r="AN539">
        <v>0.13331501000000001</v>
      </c>
      <c r="AO539">
        <v>99.64442013</v>
      </c>
      <c r="AP539">
        <v>87.834883000000005</v>
      </c>
      <c r="AQ539">
        <v>87.001638</v>
      </c>
      <c r="AR539">
        <v>86.668498999999997</v>
      </c>
      <c r="AS539" t="b">
        <v>0</v>
      </c>
      <c r="AT539" t="b">
        <v>0</v>
      </c>
      <c r="AU539" t="s">
        <v>77</v>
      </c>
      <c r="AV539" t="s">
        <v>78</v>
      </c>
      <c r="AW539" t="s">
        <v>783</v>
      </c>
      <c r="AX539" t="s">
        <v>812</v>
      </c>
      <c r="AY539" t="s">
        <v>805</v>
      </c>
      <c r="AZ539" t="s">
        <v>72</v>
      </c>
      <c r="BA539" t="s">
        <v>82</v>
      </c>
      <c r="BB539">
        <v>1</v>
      </c>
      <c r="BC539">
        <v>9.0659339999999995E-3</v>
      </c>
      <c r="BD539">
        <v>2.76583658862385E-3</v>
      </c>
      <c r="BE539">
        <v>1.1831770588623799E-2</v>
      </c>
      <c r="BF539">
        <f>IF(AK539&lt;BE539,1,0)</f>
        <v>1</v>
      </c>
      <c r="BG539">
        <f>IF(AK539&lt;BC539,1,0)</f>
        <v>1</v>
      </c>
      <c r="BH539">
        <f>VLOOKUP($B539,[1]Data_Peer_with_peerVars!$B$2:$Z$1050,20,FALSE)</f>
        <v>2</v>
      </c>
      <c r="BI539">
        <f>VLOOKUP($B539,[1]Data_Peer_with_peerVars!$B$2:$Z$1050,21,FALSE)</f>
        <v>1</v>
      </c>
      <c r="BJ539">
        <f>VLOOKUP($B539,[1]Data_Peer_with_peerVars!$B$2:$Z$1050,22,FALSE)</f>
        <v>0.5</v>
      </c>
      <c r="BK539">
        <f>VLOOKUP($B539,[1]Data_Peer_with_peerVars!$B$2:$Z$1050,23,FALSE)</f>
        <v>24</v>
      </c>
      <c r="BL539">
        <f>VLOOKUP($B539,[1]Data_Peer_with_peerVars!$B$2:$Z$1050,24,FALSE)</f>
        <v>9</v>
      </c>
      <c r="BM539">
        <f>VLOOKUP($B539,[1]Data_Peer_with_peerVars!$B$2:$Z$1050,25,FALSE)</f>
        <v>0.375</v>
      </c>
    </row>
    <row r="540" spans="1:65" x14ac:dyDescent="0.2">
      <c r="A540">
        <v>1</v>
      </c>
      <c r="B540" t="s">
        <v>866</v>
      </c>
      <c r="C540">
        <v>301</v>
      </c>
      <c r="D540" t="s">
        <v>68</v>
      </c>
      <c r="E540">
        <v>0</v>
      </c>
      <c r="F540">
        <v>175</v>
      </c>
      <c r="G540" t="s">
        <v>119</v>
      </c>
      <c r="H540" s="1">
        <v>7</v>
      </c>
      <c r="I540" t="s">
        <v>87</v>
      </c>
      <c r="J540" t="s">
        <v>88</v>
      </c>
      <c r="K540" t="s">
        <v>72</v>
      </c>
      <c r="L540">
        <v>1</v>
      </c>
      <c r="M540">
        <v>1</v>
      </c>
      <c r="N540">
        <v>0</v>
      </c>
      <c r="O540">
        <v>0</v>
      </c>
      <c r="P540">
        <v>0</v>
      </c>
      <c r="Q540">
        <v>6</v>
      </c>
      <c r="R540">
        <v>0</v>
      </c>
      <c r="S540">
        <v>0</v>
      </c>
      <c r="T540">
        <v>0</v>
      </c>
      <c r="U540">
        <v>0</v>
      </c>
      <c r="V540">
        <f t="shared" si="227"/>
        <v>0</v>
      </c>
      <c r="W540">
        <f t="shared" si="229"/>
        <v>0</v>
      </c>
      <c r="X540">
        <f t="shared" si="230"/>
        <v>0</v>
      </c>
      <c r="Y540">
        <f t="shared" si="231"/>
        <v>0</v>
      </c>
      <c r="Z540" t="s">
        <v>98</v>
      </c>
      <c r="AA540" s="5" t="s">
        <v>170</v>
      </c>
      <c r="AB540" s="5" t="s">
        <v>867</v>
      </c>
      <c r="AC540" t="s">
        <v>91</v>
      </c>
      <c r="AD540" t="s">
        <v>137</v>
      </c>
      <c r="AE540" s="5" t="s">
        <v>137</v>
      </c>
      <c r="AF540" t="s">
        <v>287</v>
      </c>
      <c r="AG540" t="s">
        <v>113</v>
      </c>
      <c r="AH540">
        <f t="shared" si="239"/>
        <v>0.1038819</v>
      </c>
      <c r="AI540">
        <f t="shared" si="240"/>
        <v>0.1038819</v>
      </c>
      <c r="AJ540">
        <f t="shared" si="228"/>
        <v>0.1038819</v>
      </c>
      <c r="AK540">
        <v>0.1038819</v>
      </c>
      <c r="AL540">
        <v>0.11708515</v>
      </c>
      <c r="AM540">
        <v>0.13291484000000001</v>
      </c>
      <c r="AN540">
        <v>0.1331686</v>
      </c>
      <c r="AO540">
        <v>89.611810000000006</v>
      </c>
      <c r="AP540">
        <v>88.291484999999994</v>
      </c>
      <c r="AQ540">
        <v>86.708516000000003</v>
      </c>
      <c r="AR540">
        <v>86.683139999999995</v>
      </c>
      <c r="AS540" t="b">
        <v>0</v>
      </c>
      <c r="AT540" t="b">
        <v>0</v>
      </c>
      <c r="AU540" t="s">
        <v>92</v>
      </c>
      <c r="AV540" t="s">
        <v>92</v>
      </c>
      <c r="AW540" t="s">
        <v>783</v>
      </c>
      <c r="AX540" t="s">
        <v>812</v>
      </c>
      <c r="AY540" t="s">
        <v>868</v>
      </c>
      <c r="AZ540" t="s">
        <v>72</v>
      </c>
      <c r="BA540" t="s">
        <v>82</v>
      </c>
      <c r="BB540">
        <v>1</v>
      </c>
      <c r="BC540">
        <v>9.0659339999999995E-3</v>
      </c>
      <c r="BD540">
        <v>2.76583658862385E-3</v>
      </c>
      <c r="BE540">
        <v>1.1831770588623799E-2</v>
      </c>
      <c r="BF540">
        <f>IF(AK540&lt;BE540,1,0)</f>
        <v>0</v>
      </c>
      <c r="BG540">
        <f>IF(AK540&lt;BC540,1,0)</f>
        <v>0</v>
      </c>
      <c r="BH540">
        <f>VLOOKUP($B540,[1]Data_Peer_with_peerVars!$B$2:$Z$1050,20,FALSE)</f>
        <v>2</v>
      </c>
      <c r="BI540">
        <f>VLOOKUP($B540,[1]Data_Peer_with_peerVars!$B$2:$Z$1050,21,FALSE)</f>
        <v>2</v>
      </c>
      <c r="BJ540">
        <f>VLOOKUP($B540,[1]Data_Peer_with_peerVars!$B$2:$Z$1050,22,FALSE)</f>
        <v>1</v>
      </c>
      <c r="BK540">
        <f>VLOOKUP($B540,[1]Data_Peer_with_peerVars!$B$2:$Z$1050,23,FALSE)</f>
        <v>42</v>
      </c>
      <c r="BL540">
        <f>VLOOKUP($B540,[1]Data_Peer_with_peerVars!$B$2:$Z$1050,24,FALSE)</f>
        <v>18</v>
      </c>
      <c r="BM540">
        <f>VLOOKUP($B540,[1]Data_Peer_with_peerVars!$B$2:$Z$1050,25,FALSE)</f>
        <v>0.428571429</v>
      </c>
    </row>
    <row r="541" spans="1:65" x14ac:dyDescent="0.2">
      <c r="A541">
        <v>1</v>
      </c>
      <c r="B541" t="s">
        <v>869</v>
      </c>
      <c r="C541">
        <v>302</v>
      </c>
      <c r="D541" t="s">
        <v>68</v>
      </c>
      <c r="E541">
        <v>0</v>
      </c>
      <c r="F541">
        <v>179</v>
      </c>
      <c r="G541" t="s">
        <v>119</v>
      </c>
      <c r="H541" s="1">
        <v>7</v>
      </c>
      <c r="I541" t="s">
        <v>70</v>
      </c>
      <c r="J541" t="s">
        <v>436</v>
      </c>
      <c r="K541" t="s">
        <v>72</v>
      </c>
      <c r="L541">
        <v>1</v>
      </c>
      <c r="M541">
        <v>0</v>
      </c>
      <c r="N541">
        <v>0</v>
      </c>
      <c r="O541">
        <v>0</v>
      </c>
      <c r="P541">
        <v>0</v>
      </c>
      <c r="Q541">
        <v>6</v>
      </c>
      <c r="R541">
        <v>0</v>
      </c>
      <c r="S541">
        <v>0</v>
      </c>
      <c r="T541">
        <v>0</v>
      </c>
      <c r="U541">
        <v>0</v>
      </c>
      <c r="V541">
        <f t="shared" si="227"/>
        <v>0</v>
      </c>
      <c r="W541">
        <f t="shared" si="229"/>
        <v>1</v>
      </c>
      <c r="X541">
        <v>1</v>
      </c>
      <c r="Y541">
        <v>1</v>
      </c>
      <c r="Z541" t="s">
        <v>287</v>
      </c>
      <c r="AA541" s="5" t="s">
        <v>287</v>
      </c>
      <c r="AB541" s="5" t="s">
        <v>287</v>
      </c>
      <c r="AC541" t="s">
        <v>91</v>
      </c>
      <c r="AD541" t="s">
        <v>287</v>
      </c>
      <c r="AE541" s="5" t="s">
        <v>287</v>
      </c>
      <c r="AF541" t="s">
        <v>137</v>
      </c>
      <c r="AG541" t="s">
        <v>84</v>
      </c>
      <c r="AH541">
        <f t="shared" si="239"/>
        <v>0.12076503</v>
      </c>
      <c r="AI541">
        <f t="shared" si="240"/>
        <v>0.12076503</v>
      </c>
      <c r="AJ541">
        <f t="shared" ref="AJ541:AJ542" si="241">AL541</f>
        <v>0.12076503</v>
      </c>
      <c r="AK541">
        <v>3.280481E-3</v>
      </c>
      <c r="AL541">
        <v>0.12076503</v>
      </c>
      <c r="AM541">
        <v>0.12916440000000001</v>
      </c>
      <c r="AN541">
        <v>0.13351648999999999</v>
      </c>
      <c r="AO541">
        <v>99.671951899999996</v>
      </c>
      <c r="AP541">
        <v>87.923496999999998</v>
      </c>
      <c r="AQ541">
        <v>87.083560000000006</v>
      </c>
      <c r="AR541">
        <v>86.648351000000005</v>
      </c>
      <c r="AS541" t="b">
        <v>0</v>
      </c>
      <c r="AT541" t="b">
        <v>1</v>
      </c>
      <c r="AU541" t="s">
        <v>77</v>
      </c>
      <c r="AV541" t="s">
        <v>78</v>
      </c>
      <c r="AW541" t="s">
        <v>783</v>
      </c>
      <c r="AX541" t="s">
        <v>812</v>
      </c>
      <c r="AY541" t="s">
        <v>805</v>
      </c>
      <c r="AZ541" t="s">
        <v>72</v>
      </c>
      <c r="BA541" t="s">
        <v>82</v>
      </c>
      <c r="BB541">
        <v>0.7</v>
      </c>
      <c r="BC541">
        <v>9.0659339999999995E-3</v>
      </c>
      <c r="BD541">
        <v>2.76583658862385E-3</v>
      </c>
      <c r="BE541">
        <v>1.1831770588623799E-2</v>
      </c>
      <c r="BF541">
        <f>IF(AK541&lt;BE541,1,0)</f>
        <v>1</v>
      </c>
      <c r="BG541">
        <f>IF(AK541&lt;BC541,1,0)</f>
        <v>1</v>
      </c>
      <c r="BH541">
        <f>VLOOKUP($B541,[1]Data_Peer_with_peerVars!$B$2:$Z$1050,20,FALSE)</f>
        <v>4</v>
      </c>
      <c r="BI541">
        <f>VLOOKUP($B541,[1]Data_Peer_with_peerVars!$B$2:$Z$1050,21,FALSE)</f>
        <v>1</v>
      </c>
      <c r="BJ541">
        <f>VLOOKUP($B541,[1]Data_Peer_with_peerVars!$B$2:$Z$1050,22,FALSE)</f>
        <v>0.25</v>
      </c>
      <c r="BK541">
        <f>VLOOKUP($B541,[1]Data_Peer_with_peerVars!$B$2:$Z$1050,23,FALSE)</f>
        <v>40</v>
      </c>
      <c r="BL541">
        <f>VLOOKUP($B541,[1]Data_Peer_with_peerVars!$B$2:$Z$1050,24,FALSE)</f>
        <v>15</v>
      </c>
      <c r="BM541">
        <f>VLOOKUP($B541,[1]Data_Peer_with_peerVars!$B$2:$Z$1050,25,FALSE)</f>
        <v>0.375</v>
      </c>
    </row>
    <row r="542" spans="1:65" x14ac:dyDescent="0.2">
      <c r="A542">
        <v>1</v>
      </c>
      <c r="B542" t="s">
        <v>870</v>
      </c>
      <c r="C542">
        <v>303</v>
      </c>
      <c r="D542" t="s">
        <v>68</v>
      </c>
      <c r="E542">
        <v>0</v>
      </c>
      <c r="F542">
        <v>180</v>
      </c>
      <c r="G542" t="s">
        <v>119</v>
      </c>
      <c r="H542" s="1">
        <v>7</v>
      </c>
      <c r="I542" t="s">
        <v>87</v>
      </c>
      <c r="J542" t="s">
        <v>111</v>
      </c>
      <c r="K542" t="s">
        <v>109</v>
      </c>
      <c r="L542">
        <v>1</v>
      </c>
      <c r="M542">
        <v>1</v>
      </c>
      <c r="N542">
        <v>0</v>
      </c>
      <c r="O542">
        <v>0</v>
      </c>
      <c r="P542">
        <v>0</v>
      </c>
      <c r="Q542">
        <v>2</v>
      </c>
      <c r="R542">
        <v>0</v>
      </c>
      <c r="S542">
        <v>0</v>
      </c>
      <c r="T542">
        <v>0</v>
      </c>
      <c r="U542">
        <v>0</v>
      </c>
      <c r="V542">
        <f t="shared" si="227"/>
        <v>0</v>
      </c>
      <c r="W542">
        <f t="shared" si="229"/>
        <v>1</v>
      </c>
      <c r="X542">
        <v>1</v>
      </c>
      <c r="Y542">
        <v>1</v>
      </c>
      <c r="Z542" t="s">
        <v>91</v>
      </c>
      <c r="AA542" s="5" t="s">
        <v>91</v>
      </c>
      <c r="AB542" s="5" t="s">
        <v>91</v>
      </c>
      <c r="AC542" t="s">
        <v>75</v>
      </c>
      <c r="AD542" t="s">
        <v>91</v>
      </c>
      <c r="AE542" s="5" t="s">
        <v>871</v>
      </c>
      <c r="AF542" t="s">
        <v>137</v>
      </c>
      <c r="AG542" t="s">
        <v>287</v>
      </c>
      <c r="AH542">
        <f t="shared" si="239"/>
        <v>0.12554704999999999</v>
      </c>
      <c r="AI542">
        <f t="shared" si="240"/>
        <v>0.12554704999999999</v>
      </c>
      <c r="AJ542">
        <f t="shared" si="241"/>
        <v>0.12554704999999999</v>
      </c>
      <c r="AK542">
        <v>0.11384784000000001</v>
      </c>
      <c r="AL542">
        <v>0.12554704999999999</v>
      </c>
      <c r="AM542">
        <v>0.1269798</v>
      </c>
      <c r="AN542">
        <v>0.13762972000000001</v>
      </c>
      <c r="AO542">
        <v>88.615216000000004</v>
      </c>
      <c r="AP542">
        <v>87.445295000000002</v>
      </c>
      <c r="AQ542">
        <v>87.302019999999999</v>
      </c>
      <c r="AR542">
        <v>86.237027999999995</v>
      </c>
      <c r="AS542" t="b">
        <v>0</v>
      </c>
      <c r="AT542" t="b">
        <v>0</v>
      </c>
      <c r="AU542" t="s">
        <v>78</v>
      </c>
      <c r="AV542" t="s">
        <v>108</v>
      </c>
      <c r="AW542" t="s">
        <v>783</v>
      </c>
      <c r="AX542" t="s">
        <v>812</v>
      </c>
      <c r="AY542" t="s">
        <v>805</v>
      </c>
      <c r="AZ542" t="s">
        <v>109</v>
      </c>
      <c r="BA542">
        <v>10</v>
      </c>
      <c r="BB542">
        <v>0.7</v>
      </c>
      <c r="BC542">
        <v>2.3038946000000001E-2</v>
      </c>
      <c r="BD542">
        <v>2.6184719377746E-3</v>
      </c>
      <c r="BE542">
        <v>2.5657417937774599E-2</v>
      </c>
      <c r="BF542">
        <f>IF(AK542&lt;BE542,1,0)</f>
        <v>0</v>
      </c>
      <c r="BG542">
        <f>IF(AK542&lt;BC542,1,0)</f>
        <v>0</v>
      </c>
      <c r="BH542">
        <f>VLOOKUP($B542,[1]Data_Peer_with_peerVars!$B$2:$Z$1050,20,FALSE)</f>
        <v>2</v>
      </c>
      <c r="BI542">
        <f>VLOOKUP($B542,[1]Data_Peer_with_peerVars!$B$2:$Z$1050,21,FALSE)</f>
        <v>1</v>
      </c>
      <c r="BJ542">
        <f>VLOOKUP($B542,[1]Data_Peer_with_peerVars!$B$2:$Z$1050,22,FALSE)</f>
        <v>0.5</v>
      </c>
      <c r="BK542">
        <f>VLOOKUP($B542,[1]Data_Peer_with_peerVars!$B$2:$Z$1050,23,FALSE)</f>
        <v>47</v>
      </c>
      <c r="BL542">
        <f>VLOOKUP($B542,[1]Data_Peer_with_peerVars!$B$2:$Z$1050,24,FALSE)</f>
        <v>17</v>
      </c>
      <c r="BM542">
        <f>VLOOKUP($B542,[1]Data_Peer_with_peerVars!$B$2:$Z$1050,25,FALSE)</f>
        <v>0.36170212800000001</v>
      </c>
    </row>
    <row r="543" spans="1:65" x14ac:dyDescent="0.2">
      <c r="A543">
        <v>1</v>
      </c>
      <c r="B543" t="s">
        <v>872</v>
      </c>
      <c r="C543">
        <v>304</v>
      </c>
      <c r="D543" t="s">
        <v>68</v>
      </c>
      <c r="E543">
        <v>0</v>
      </c>
      <c r="F543">
        <v>181</v>
      </c>
      <c r="G543" t="s">
        <v>119</v>
      </c>
      <c r="H543" s="1">
        <v>7</v>
      </c>
      <c r="I543" t="s">
        <v>70</v>
      </c>
      <c r="J543" t="s">
        <v>436</v>
      </c>
      <c r="K543" t="s">
        <v>72</v>
      </c>
      <c r="L543">
        <v>1</v>
      </c>
      <c r="M543">
        <v>1</v>
      </c>
      <c r="N543">
        <v>0</v>
      </c>
      <c r="O543">
        <v>0</v>
      </c>
      <c r="P543">
        <v>0</v>
      </c>
      <c r="Q543">
        <v>6</v>
      </c>
      <c r="R543">
        <v>0</v>
      </c>
      <c r="S543">
        <v>0</v>
      </c>
      <c r="T543">
        <v>0</v>
      </c>
      <c r="U543">
        <v>0</v>
      </c>
      <c r="V543">
        <f t="shared" si="227"/>
        <v>0</v>
      </c>
      <c r="W543">
        <f t="shared" si="229"/>
        <v>0</v>
      </c>
      <c r="X543">
        <f t="shared" si="230"/>
        <v>0</v>
      </c>
      <c r="Y543">
        <f t="shared" si="231"/>
        <v>0</v>
      </c>
      <c r="Z543" t="s">
        <v>73</v>
      </c>
      <c r="AA543" s="5" t="s">
        <v>73</v>
      </c>
      <c r="AB543" s="5" t="s">
        <v>73</v>
      </c>
      <c r="AC543" t="s">
        <v>287</v>
      </c>
      <c r="AD543" t="s">
        <v>137</v>
      </c>
      <c r="AE543" s="5" t="s">
        <v>137</v>
      </c>
      <c r="AF543" t="s">
        <v>113</v>
      </c>
      <c r="AG543" t="s">
        <v>91</v>
      </c>
      <c r="AH543">
        <f t="shared" ref="AH543:AH544" si="242">AI543</f>
        <v>5.4794519999999999E-2</v>
      </c>
      <c r="AI543">
        <f t="shared" si="240"/>
        <v>5.4794519999999999E-2</v>
      </c>
      <c r="AJ543">
        <f t="shared" si="228"/>
        <v>5.4794519999999999E-2</v>
      </c>
      <c r="AK543">
        <v>5.4794519999999999E-2</v>
      </c>
      <c r="AL543">
        <v>0.10131435</v>
      </c>
      <c r="AM543">
        <v>0.1214876</v>
      </c>
      <c r="AN543">
        <v>0.12835984</v>
      </c>
      <c r="AO543">
        <v>94.520548000000005</v>
      </c>
      <c r="AP543">
        <v>89.868565000000004</v>
      </c>
      <c r="AQ543">
        <v>87.851240000000004</v>
      </c>
      <c r="AR543">
        <v>87.164016000000004</v>
      </c>
      <c r="AS543" t="b">
        <v>0</v>
      </c>
      <c r="AT543" t="b">
        <v>0</v>
      </c>
      <c r="AU543" t="s">
        <v>77</v>
      </c>
      <c r="AV543" t="s">
        <v>78</v>
      </c>
      <c r="AW543" t="s">
        <v>783</v>
      </c>
      <c r="AX543" t="s">
        <v>812</v>
      </c>
      <c r="AY543" t="s">
        <v>868</v>
      </c>
      <c r="AZ543" t="s">
        <v>72</v>
      </c>
      <c r="BA543" t="s">
        <v>82</v>
      </c>
      <c r="BB543">
        <v>1.4</v>
      </c>
      <c r="BC543">
        <v>5.5106750000000003E-2</v>
      </c>
      <c r="BD543">
        <v>2.4361461616194298E-3</v>
      </c>
      <c r="BE543">
        <v>5.7542896161619402E-2</v>
      </c>
      <c r="BF543">
        <f>IF(AK543&lt;BE543,1,0)</f>
        <v>1</v>
      </c>
      <c r="BG543">
        <f>IF(AK543&lt;BC543,1,0)</f>
        <v>1</v>
      </c>
      <c r="BH543">
        <f>VLOOKUP($B543,[1]Data_Peer_with_peerVars!$B$2:$Z$1050,20,FALSE)</f>
        <v>2</v>
      </c>
      <c r="BI543">
        <f>VLOOKUP($B543,[1]Data_Peer_with_peerVars!$B$2:$Z$1050,21,FALSE)</f>
        <v>0</v>
      </c>
      <c r="BJ543">
        <f>VLOOKUP($B543,[1]Data_Peer_with_peerVars!$B$2:$Z$1050,22,FALSE)</f>
        <v>0</v>
      </c>
      <c r="BK543">
        <f>VLOOKUP($B543,[1]Data_Peer_with_peerVars!$B$2:$Z$1050,23,FALSE)</f>
        <v>25</v>
      </c>
      <c r="BL543">
        <f>VLOOKUP($B543,[1]Data_Peer_with_peerVars!$B$2:$Z$1050,24,FALSE)</f>
        <v>10</v>
      </c>
      <c r="BM543">
        <f>VLOOKUP($B543,[1]Data_Peer_with_peerVars!$B$2:$Z$1050,25,FALSE)</f>
        <v>0.4</v>
      </c>
    </row>
    <row r="544" spans="1:65" x14ac:dyDescent="0.2">
      <c r="A544">
        <v>1</v>
      </c>
      <c r="B544" t="s">
        <v>873</v>
      </c>
      <c r="C544">
        <v>305</v>
      </c>
      <c r="D544" t="s">
        <v>68</v>
      </c>
      <c r="E544">
        <v>0</v>
      </c>
      <c r="F544">
        <v>182</v>
      </c>
      <c r="G544" t="s">
        <v>119</v>
      </c>
      <c r="H544" s="1">
        <v>7</v>
      </c>
      <c r="I544" t="s">
        <v>87</v>
      </c>
      <c r="J544" t="s">
        <v>111</v>
      </c>
      <c r="K544" t="s">
        <v>109</v>
      </c>
      <c r="L544">
        <v>1</v>
      </c>
      <c r="M544">
        <v>1</v>
      </c>
      <c r="N544">
        <v>0</v>
      </c>
      <c r="O544">
        <v>0</v>
      </c>
      <c r="P544">
        <v>0</v>
      </c>
      <c r="Q544">
        <v>5</v>
      </c>
      <c r="R544">
        <v>0</v>
      </c>
      <c r="S544">
        <v>0</v>
      </c>
      <c r="T544">
        <v>0</v>
      </c>
      <c r="U544">
        <v>0</v>
      </c>
      <c r="V544">
        <f t="shared" si="227"/>
        <v>0</v>
      </c>
      <c r="W544">
        <f t="shared" si="229"/>
        <v>0</v>
      </c>
      <c r="X544">
        <f t="shared" si="230"/>
        <v>0</v>
      </c>
      <c r="Y544">
        <f t="shared" si="231"/>
        <v>0</v>
      </c>
      <c r="Z544" t="s">
        <v>170</v>
      </c>
      <c r="AA544" s="5" t="s">
        <v>170</v>
      </c>
      <c r="AB544" s="5" t="s">
        <v>874</v>
      </c>
      <c r="AC544" t="s">
        <v>103</v>
      </c>
      <c r="AD544" t="s">
        <v>137</v>
      </c>
      <c r="AE544" s="5" t="s">
        <v>336</v>
      </c>
      <c r="AF544" t="s">
        <v>99</v>
      </c>
      <c r="AG544" t="s">
        <v>101</v>
      </c>
      <c r="AH544">
        <f t="shared" si="242"/>
        <v>0.12506887</v>
      </c>
      <c r="AI544">
        <f t="shared" si="240"/>
        <v>0.12506887</v>
      </c>
      <c r="AJ544">
        <f t="shared" si="228"/>
        <v>0.12506887</v>
      </c>
      <c r="AK544">
        <v>0.12506887</v>
      </c>
      <c r="AL544">
        <v>0.12861823999999999</v>
      </c>
      <c r="AM544">
        <v>0.14167585999999999</v>
      </c>
      <c r="AN544">
        <v>0.14203297000000001</v>
      </c>
      <c r="AO544">
        <v>87.493112999999994</v>
      </c>
      <c r="AP544">
        <v>87.138176000000001</v>
      </c>
      <c r="AQ544">
        <v>85.832414</v>
      </c>
      <c r="AR544">
        <v>85.796702999999994</v>
      </c>
      <c r="AS544" t="b">
        <v>0</v>
      </c>
      <c r="AT544" t="b">
        <v>0</v>
      </c>
      <c r="AU544" t="s">
        <v>92</v>
      </c>
      <c r="AV544" t="s">
        <v>92</v>
      </c>
      <c r="AW544" t="s">
        <v>783</v>
      </c>
      <c r="AX544" t="s">
        <v>812</v>
      </c>
      <c r="AY544" t="s">
        <v>805</v>
      </c>
      <c r="AZ544" t="s">
        <v>109</v>
      </c>
      <c r="BA544">
        <v>9</v>
      </c>
      <c r="BB544">
        <v>1</v>
      </c>
      <c r="BC544">
        <v>1.8406593999999998E-2</v>
      </c>
      <c r="BD544">
        <v>3.30705390234067E-4</v>
      </c>
      <c r="BE544">
        <v>1.8737299390234101E-2</v>
      </c>
      <c r="BF544">
        <f>IF(AK544&lt;BE544,1,0)</f>
        <v>0</v>
      </c>
      <c r="BG544">
        <f>IF(AK544&lt;BC544,1,0)</f>
        <v>0</v>
      </c>
      <c r="BH544">
        <f>VLOOKUP($B544,[1]Data_Peer_with_peerVars!$B$2:$Z$1050,20,FALSE)</f>
        <v>2</v>
      </c>
      <c r="BI544">
        <f>VLOOKUP($B544,[1]Data_Peer_with_peerVars!$B$2:$Z$1050,21,FALSE)</f>
        <v>1</v>
      </c>
      <c r="BJ544">
        <f>VLOOKUP($B544,[1]Data_Peer_with_peerVars!$B$2:$Z$1050,22,FALSE)</f>
        <v>0.5</v>
      </c>
      <c r="BK544">
        <f>VLOOKUP($B544,[1]Data_Peer_with_peerVars!$B$2:$Z$1050,23,FALSE)</f>
        <v>24</v>
      </c>
      <c r="BL544">
        <f>VLOOKUP($B544,[1]Data_Peer_with_peerVars!$B$2:$Z$1050,24,FALSE)</f>
        <v>9</v>
      </c>
      <c r="BM544">
        <f>VLOOKUP($B544,[1]Data_Peer_with_peerVars!$B$2:$Z$1050,25,FALSE)</f>
        <v>0.375</v>
      </c>
    </row>
    <row r="545" spans="1:65" x14ac:dyDescent="0.2">
      <c r="A545">
        <v>1</v>
      </c>
      <c r="B545" t="s">
        <v>875</v>
      </c>
      <c r="C545">
        <v>306</v>
      </c>
      <c r="D545" t="s">
        <v>68</v>
      </c>
      <c r="E545">
        <v>1</v>
      </c>
      <c r="F545">
        <v>281</v>
      </c>
      <c r="G545" t="s">
        <v>86</v>
      </c>
      <c r="H545" s="1">
        <v>7</v>
      </c>
      <c r="I545" t="s">
        <v>87</v>
      </c>
      <c r="J545" t="s">
        <v>111</v>
      </c>
      <c r="K545" t="s">
        <v>109</v>
      </c>
      <c r="L545">
        <v>1</v>
      </c>
      <c r="M545">
        <v>0</v>
      </c>
      <c r="N545">
        <v>1</v>
      </c>
      <c r="O545">
        <v>0</v>
      </c>
      <c r="P545">
        <v>0</v>
      </c>
      <c r="Q545">
        <v>6</v>
      </c>
      <c r="R545">
        <v>0</v>
      </c>
      <c r="S545">
        <v>0</v>
      </c>
      <c r="T545">
        <v>0</v>
      </c>
      <c r="U545">
        <v>0</v>
      </c>
      <c r="V545">
        <f t="shared" si="227"/>
        <v>1</v>
      </c>
      <c r="W545">
        <v>1</v>
      </c>
      <c r="X545">
        <v>1</v>
      </c>
      <c r="Y545">
        <v>1</v>
      </c>
      <c r="Z545" t="s">
        <v>101</v>
      </c>
      <c r="AA545" s="5" t="s">
        <v>876</v>
      </c>
      <c r="AB545" s="5" t="s">
        <v>877</v>
      </c>
      <c r="AC545" t="s">
        <v>101</v>
      </c>
      <c r="AD545" t="s">
        <v>99</v>
      </c>
      <c r="AE545" s="5" t="s">
        <v>99</v>
      </c>
      <c r="AF545" t="s">
        <v>103</v>
      </c>
      <c r="AG545" t="s">
        <v>102</v>
      </c>
      <c r="AH545">
        <f>AI545</f>
        <v>9.555189E-2</v>
      </c>
      <c r="AI545">
        <f>AJ545</f>
        <v>9.555189E-2</v>
      </c>
      <c r="AJ545">
        <f t="shared" si="228"/>
        <v>9.555189E-2</v>
      </c>
      <c r="AK545">
        <v>9.555189E-2</v>
      </c>
      <c r="AL545">
        <v>0.11224489999999999</v>
      </c>
      <c r="AM545">
        <v>0.11983471</v>
      </c>
      <c r="AN545">
        <v>0.12772924999999999</v>
      </c>
      <c r="AO545">
        <v>90.444811000000001</v>
      </c>
      <c r="AP545">
        <v>88.775509999999997</v>
      </c>
      <c r="AQ545">
        <v>88.016529000000006</v>
      </c>
      <c r="AR545">
        <v>87.227074999999999</v>
      </c>
      <c r="AS545" t="b">
        <v>0</v>
      </c>
      <c r="AT545" t="b">
        <v>0</v>
      </c>
      <c r="AU545" t="s">
        <v>92</v>
      </c>
      <c r="AV545" t="s">
        <v>92</v>
      </c>
      <c r="AW545" t="s">
        <v>783</v>
      </c>
      <c r="AX545" t="s">
        <v>812</v>
      </c>
      <c r="AY545" t="s">
        <v>270</v>
      </c>
      <c r="AZ545" t="s">
        <v>109</v>
      </c>
      <c r="BA545">
        <v>2</v>
      </c>
      <c r="BB545">
        <v>1</v>
      </c>
      <c r="BC545">
        <v>1.4096186E-2</v>
      </c>
      <c r="BD545">
        <v>1.55088650053763E-3</v>
      </c>
      <c r="BE545">
        <v>1.5647072500537599E-2</v>
      </c>
      <c r="BF545">
        <f>IF(AK545&lt;BE545,1,0)</f>
        <v>0</v>
      </c>
      <c r="BG545">
        <f>IF(AK545&lt;BC545,1,0)</f>
        <v>0</v>
      </c>
      <c r="BH545">
        <f>VLOOKUP($B545,[1]Data_Peer_with_peerVars!$B$2:$Z$1050,20,FALSE)</f>
        <v>1</v>
      </c>
      <c r="BI545">
        <f>VLOOKUP($B545,[1]Data_Peer_with_peerVars!$B$2:$Z$1050,21,FALSE)</f>
        <v>1</v>
      </c>
      <c r="BJ545">
        <f>VLOOKUP($B545,[1]Data_Peer_with_peerVars!$B$2:$Z$1050,22,FALSE)</f>
        <v>1</v>
      </c>
      <c r="BK545">
        <f>VLOOKUP($B545,[1]Data_Peer_with_peerVars!$B$2:$Z$1050,23,FALSE)</f>
        <v>25</v>
      </c>
      <c r="BL545">
        <f>VLOOKUP($B545,[1]Data_Peer_with_peerVars!$B$2:$Z$1050,24,FALSE)</f>
        <v>8</v>
      </c>
      <c r="BM545">
        <f>VLOOKUP($B545,[1]Data_Peer_with_peerVars!$B$2:$Z$1050,25,FALSE)</f>
        <v>0.32</v>
      </c>
    </row>
    <row r="546" spans="1:65" x14ac:dyDescent="0.2">
      <c r="A546">
        <v>1</v>
      </c>
      <c r="B546" t="s">
        <v>878</v>
      </c>
      <c r="C546">
        <v>307</v>
      </c>
      <c r="D546" t="s">
        <v>68</v>
      </c>
      <c r="E546">
        <v>0</v>
      </c>
      <c r="F546">
        <v>282</v>
      </c>
      <c r="G546" t="s">
        <v>97</v>
      </c>
      <c r="H546" s="1">
        <v>7</v>
      </c>
      <c r="I546" t="s">
        <v>70</v>
      </c>
      <c r="J546" t="s">
        <v>436</v>
      </c>
      <c r="K546" t="s">
        <v>72</v>
      </c>
      <c r="L546">
        <v>1</v>
      </c>
      <c r="M546">
        <v>1</v>
      </c>
      <c r="N546">
        <v>1</v>
      </c>
      <c r="O546">
        <v>0</v>
      </c>
      <c r="P546">
        <v>0</v>
      </c>
      <c r="Q546">
        <v>10</v>
      </c>
      <c r="R546">
        <v>0</v>
      </c>
      <c r="S546">
        <v>0</v>
      </c>
      <c r="T546">
        <v>1</v>
      </c>
      <c r="U546">
        <v>1</v>
      </c>
      <c r="V546">
        <f t="shared" si="227"/>
        <v>0</v>
      </c>
      <c r="W546">
        <f t="shared" si="229"/>
        <v>0</v>
      </c>
      <c r="X546">
        <f t="shared" si="230"/>
        <v>0</v>
      </c>
      <c r="Y546">
        <f t="shared" si="231"/>
        <v>0</v>
      </c>
      <c r="Z546" t="s">
        <v>91</v>
      </c>
      <c r="AA546" s="5" t="s">
        <v>91</v>
      </c>
      <c r="AB546" s="5" t="s">
        <v>91</v>
      </c>
      <c r="AC546" t="s">
        <v>73</v>
      </c>
      <c r="AD546" t="s">
        <v>94</v>
      </c>
      <c r="AE546" s="5" t="s">
        <v>106</v>
      </c>
      <c r="AF546" t="s">
        <v>107</v>
      </c>
      <c r="AG546" t="s">
        <v>95</v>
      </c>
      <c r="AH546">
        <f t="shared" ref="AH546:AH551" si="243">AI546</f>
        <v>4.0983603999999998E-3</v>
      </c>
      <c r="AI546">
        <f t="shared" ref="AI546:AI551" si="244">AJ546</f>
        <v>4.0983603999999998E-3</v>
      </c>
      <c r="AJ546">
        <f t="shared" si="228"/>
        <v>4.0983603999999998E-3</v>
      </c>
      <c r="AK546">
        <v>4.0983603999999998E-3</v>
      </c>
      <c r="AL546">
        <v>0.13163656000000001</v>
      </c>
      <c r="AM546">
        <v>0.13611417000000001</v>
      </c>
      <c r="AN546">
        <v>0.13863014000000001</v>
      </c>
      <c r="AO546">
        <v>99.590163959999998</v>
      </c>
      <c r="AP546">
        <v>86.836343999999997</v>
      </c>
      <c r="AQ546">
        <v>86.388582999999997</v>
      </c>
      <c r="AR546">
        <v>86.136985999999993</v>
      </c>
      <c r="AS546" t="b">
        <v>0</v>
      </c>
      <c r="AT546" t="b">
        <v>0</v>
      </c>
      <c r="AU546" t="s">
        <v>77</v>
      </c>
      <c r="AV546" t="s">
        <v>108</v>
      </c>
      <c r="AW546" t="s">
        <v>783</v>
      </c>
      <c r="AX546" t="s">
        <v>812</v>
      </c>
      <c r="AY546" t="s">
        <v>270</v>
      </c>
      <c r="AZ546" t="s">
        <v>72</v>
      </c>
      <c r="BA546" t="s">
        <v>82</v>
      </c>
      <c r="BB546">
        <v>0.7</v>
      </c>
      <c r="BC546">
        <v>4.1163553999999996E-3</v>
      </c>
      <c r="BD546">
        <v>1.4279989108178799E-4</v>
      </c>
      <c r="BE546">
        <v>4.2591552910817903E-3</v>
      </c>
      <c r="BF546">
        <f>IF(AK546&lt;BE546,1,0)</f>
        <v>1</v>
      </c>
      <c r="BG546">
        <f>IF(AK546&lt;BC546,1,0)</f>
        <v>1</v>
      </c>
      <c r="BH546">
        <f>VLOOKUP($B546,[1]Data_Peer_with_peerVars!$B$2:$Z$1050,20,FALSE)</f>
        <v>0</v>
      </c>
      <c r="BI546">
        <f>VLOOKUP($B546,[1]Data_Peer_with_peerVars!$B$2:$Z$1050,21,FALSE)</f>
        <v>0</v>
      </c>
      <c r="BJ546">
        <v>0</v>
      </c>
      <c r="BK546">
        <f>VLOOKUP($B546,[1]Data_Peer_with_peerVars!$B$2:$Z$1050,23,FALSE)</f>
        <v>17</v>
      </c>
      <c r="BL546">
        <f>VLOOKUP($B546,[1]Data_Peer_with_peerVars!$B$2:$Z$1050,24,FALSE)</f>
        <v>7</v>
      </c>
      <c r="BM546">
        <f>VLOOKUP($B546,[1]Data_Peer_with_peerVars!$B$2:$Z$1050,25,FALSE)</f>
        <v>0.41176470599999998</v>
      </c>
    </row>
    <row r="547" spans="1:65" x14ac:dyDescent="0.2">
      <c r="A547">
        <v>1</v>
      </c>
      <c r="B547" t="s">
        <v>879</v>
      </c>
      <c r="C547">
        <v>308</v>
      </c>
      <c r="D547" t="s">
        <v>68</v>
      </c>
      <c r="E547">
        <v>1</v>
      </c>
      <c r="F547">
        <v>33</v>
      </c>
      <c r="G547" t="s">
        <v>69</v>
      </c>
      <c r="H547" s="1">
        <v>7</v>
      </c>
      <c r="I547" t="s">
        <v>87</v>
      </c>
      <c r="J547" t="s">
        <v>111</v>
      </c>
      <c r="K547" t="s">
        <v>109</v>
      </c>
      <c r="L547">
        <v>1</v>
      </c>
      <c r="M547">
        <v>0</v>
      </c>
      <c r="N547">
        <v>1</v>
      </c>
      <c r="O547">
        <v>0</v>
      </c>
      <c r="P547">
        <v>0</v>
      </c>
      <c r="Q547">
        <v>0</v>
      </c>
      <c r="R547">
        <v>0</v>
      </c>
      <c r="S547">
        <v>0</v>
      </c>
      <c r="T547">
        <v>0</v>
      </c>
      <c r="U547">
        <v>0</v>
      </c>
      <c r="V547">
        <f t="shared" si="227"/>
        <v>0</v>
      </c>
      <c r="W547">
        <f t="shared" si="229"/>
        <v>0</v>
      </c>
      <c r="X547">
        <f t="shared" si="230"/>
        <v>0</v>
      </c>
      <c r="Y547">
        <f t="shared" si="231"/>
        <v>0</v>
      </c>
      <c r="Z547" t="s">
        <v>76</v>
      </c>
      <c r="AA547" s="5" t="s">
        <v>76</v>
      </c>
      <c r="AB547" s="5" t="s">
        <v>76</v>
      </c>
      <c r="AC547" t="s">
        <v>120</v>
      </c>
      <c r="AD547" t="s">
        <v>74</v>
      </c>
      <c r="AE547" s="5" t="s">
        <v>74</v>
      </c>
      <c r="AF547" t="s">
        <v>75</v>
      </c>
      <c r="AG547" t="s">
        <v>167</v>
      </c>
      <c r="AH547">
        <f t="shared" si="243"/>
        <v>5.6557375999999999E-2</v>
      </c>
      <c r="AI547">
        <f t="shared" si="244"/>
        <v>5.6557375999999999E-2</v>
      </c>
      <c r="AJ547">
        <f t="shared" si="228"/>
        <v>5.6557375999999999E-2</v>
      </c>
      <c r="AK547">
        <v>5.6557375999999999E-2</v>
      </c>
      <c r="AL547">
        <v>9.8410084999999994E-2</v>
      </c>
      <c r="AM547">
        <v>0.1012589</v>
      </c>
      <c r="AN547">
        <v>0.10910088</v>
      </c>
      <c r="AO547">
        <v>94.344262400000005</v>
      </c>
      <c r="AP547">
        <v>90.158991499999999</v>
      </c>
      <c r="AQ547">
        <v>89.874110000000002</v>
      </c>
      <c r="AR547">
        <v>89.089911999999998</v>
      </c>
      <c r="AS547" t="b">
        <v>0</v>
      </c>
      <c r="AT547" t="b">
        <v>0</v>
      </c>
      <c r="AU547" t="s">
        <v>77</v>
      </c>
      <c r="AV547" t="s">
        <v>77</v>
      </c>
      <c r="AW547" t="s">
        <v>783</v>
      </c>
      <c r="AX547" t="s">
        <v>812</v>
      </c>
      <c r="AY547" t="s">
        <v>270</v>
      </c>
      <c r="AZ547" t="s">
        <v>109</v>
      </c>
      <c r="BA547">
        <v>4</v>
      </c>
      <c r="BB547">
        <v>1.4</v>
      </c>
      <c r="BC547">
        <v>4.6849314000000003E-2</v>
      </c>
      <c r="BD547">
        <v>4.5250577219970098E-3</v>
      </c>
      <c r="BE547">
        <v>5.1374371721996999E-2</v>
      </c>
      <c r="BF547">
        <f>IF(AK547&lt;BE547,1,0)</f>
        <v>0</v>
      </c>
      <c r="BG547">
        <f>IF(AK547&lt;BC547,1,0)</f>
        <v>0</v>
      </c>
      <c r="BH547">
        <f>VLOOKUP($B547,[1]Data_Peer_with_peerVars!$B$2:$Z$1050,20,FALSE)</f>
        <v>0</v>
      </c>
      <c r="BI547">
        <f>VLOOKUP($B547,[1]Data_Peer_with_peerVars!$B$2:$Z$1050,21,FALSE)</f>
        <v>0</v>
      </c>
      <c r="BJ547">
        <v>0</v>
      </c>
      <c r="BK547">
        <f>VLOOKUP($B547,[1]Data_Peer_with_peerVars!$B$2:$Z$1050,23,FALSE)</f>
        <v>22</v>
      </c>
      <c r="BL547">
        <f>VLOOKUP($B547,[1]Data_Peer_with_peerVars!$B$2:$Z$1050,24,FALSE)</f>
        <v>9</v>
      </c>
      <c r="BM547">
        <f>VLOOKUP($B547,[1]Data_Peer_with_peerVars!$B$2:$Z$1050,25,FALSE)</f>
        <v>0.409090909</v>
      </c>
    </row>
    <row r="548" spans="1:65" x14ac:dyDescent="0.2">
      <c r="A548">
        <v>1</v>
      </c>
      <c r="B548" t="s">
        <v>880</v>
      </c>
      <c r="C548">
        <v>308</v>
      </c>
      <c r="D548" t="s">
        <v>68</v>
      </c>
      <c r="E548">
        <v>1</v>
      </c>
      <c r="F548">
        <v>33</v>
      </c>
      <c r="G548" t="s">
        <v>69</v>
      </c>
      <c r="H548" s="1">
        <v>7</v>
      </c>
      <c r="I548" t="s">
        <v>87</v>
      </c>
      <c r="J548" t="s">
        <v>111</v>
      </c>
      <c r="K548" t="s">
        <v>109</v>
      </c>
      <c r="L548">
        <v>1</v>
      </c>
      <c r="M548">
        <v>0</v>
      </c>
      <c r="N548">
        <v>1</v>
      </c>
      <c r="O548">
        <v>0</v>
      </c>
      <c r="P548">
        <v>0</v>
      </c>
      <c r="Q548">
        <v>0</v>
      </c>
      <c r="R548">
        <v>0</v>
      </c>
      <c r="S548">
        <v>0</v>
      </c>
      <c r="T548">
        <v>0</v>
      </c>
      <c r="U548">
        <v>0</v>
      </c>
      <c r="V548">
        <f t="shared" si="227"/>
        <v>1</v>
      </c>
      <c r="W548">
        <v>1</v>
      </c>
      <c r="X548">
        <v>1</v>
      </c>
      <c r="Y548">
        <v>1</v>
      </c>
      <c r="Z548" t="s">
        <v>73</v>
      </c>
      <c r="AA548" s="5" t="s">
        <v>73</v>
      </c>
      <c r="AB548" s="5" t="s">
        <v>73</v>
      </c>
      <c r="AC548" t="s">
        <v>73</v>
      </c>
      <c r="AD548" t="s">
        <v>287</v>
      </c>
      <c r="AE548" s="5" t="s">
        <v>287</v>
      </c>
      <c r="AF548" t="s">
        <v>137</v>
      </c>
      <c r="AG548" t="s">
        <v>113</v>
      </c>
      <c r="AH548">
        <f t="shared" si="243"/>
        <v>0.11886587</v>
      </c>
      <c r="AI548">
        <f t="shared" si="244"/>
        <v>0.11886587</v>
      </c>
      <c r="AJ548">
        <f t="shared" si="228"/>
        <v>0.11886587</v>
      </c>
      <c r="AK548">
        <v>0.11886587</v>
      </c>
      <c r="AL548">
        <v>0.13209607000000001</v>
      </c>
      <c r="AM548">
        <v>0.14574235999999999</v>
      </c>
      <c r="AN548">
        <v>0.15046677</v>
      </c>
      <c r="AO548">
        <v>88.113412999999994</v>
      </c>
      <c r="AP548">
        <v>86.790392999999995</v>
      </c>
      <c r="AQ548">
        <v>85.425764000000001</v>
      </c>
      <c r="AR548">
        <v>84.953322999999997</v>
      </c>
      <c r="AS548" t="b">
        <v>1</v>
      </c>
      <c r="AT548" t="b">
        <v>0</v>
      </c>
      <c r="AU548" t="s">
        <v>78</v>
      </c>
      <c r="AV548" t="s">
        <v>78</v>
      </c>
      <c r="AW548" t="s">
        <v>783</v>
      </c>
      <c r="AX548" t="s">
        <v>812</v>
      </c>
      <c r="AY548" t="s">
        <v>270</v>
      </c>
      <c r="AZ548" t="s">
        <v>109</v>
      </c>
      <c r="BA548">
        <v>2</v>
      </c>
      <c r="BB548">
        <v>1.4</v>
      </c>
      <c r="BC548">
        <v>4.1163553999999996E-3</v>
      </c>
      <c r="BD548">
        <v>1.4279989108178799E-4</v>
      </c>
      <c r="BE548">
        <v>4.2591552910817903E-3</v>
      </c>
      <c r="BF548">
        <f>IF(AK548&lt;BE548,1,0)</f>
        <v>0</v>
      </c>
      <c r="BG548">
        <f>IF(AK548&lt;BC548,1,0)</f>
        <v>0</v>
      </c>
      <c r="BH548">
        <f>VLOOKUP($B548,[1]Data_Peer_with_peerVars!$B$2:$Z$1050,20,FALSE)</f>
        <v>0</v>
      </c>
      <c r="BI548">
        <f>VLOOKUP($B548,[1]Data_Peer_with_peerVars!$B$2:$Z$1050,21,FALSE)</f>
        <v>0</v>
      </c>
      <c r="BJ548">
        <v>0</v>
      </c>
      <c r="BK548">
        <f>VLOOKUP($B548,[1]Data_Peer_with_peerVars!$B$2:$Z$1050,23,FALSE)</f>
        <v>22</v>
      </c>
      <c r="BL548">
        <f>VLOOKUP($B548,[1]Data_Peer_with_peerVars!$B$2:$Z$1050,24,FALSE)</f>
        <v>9</v>
      </c>
      <c r="BM548">
        <f>VLOOKUP($B548,[1]Data_Peer_with_peerVars!$B$2:$Z$1050,25,FALSE)</f>
        <v>0.409090909</v>
      </c>
    </row>
    <row r="549" spans="1:65" x14ac:dyDescent="0.2">
      <c r="A549">
        <v>1</v>
      </c>
      <c r="B549" t="s">
        <v>881</v>
      </c>
      <c r="C549">
        <v>309</v>
      </c>
      <c r="D549" t="s">
        <v>68</v>
      </c>
      <c r="E549">
        <v>0</v>
      </c>
      <c r="F549">
        <v>148</v>
      </c>
      <c r="G549" t="s">
        <v>119</v>
      </c>
      <c r="H549" s="1">
        <v>0</v>
      </c>
      <c r="I549" t="s">
        <v>87</v>
      </c>
      <c r="J549" t="s">
        <v>150</v>
      </c>
      <c r="K549" t="s">
        <v>109</v>
      </c>
      <c r="L549">
        <v>1</v>
      </c>
      <c r="M549">
        <v>0</v>
      </c>
      <c r="N549">
        <v>0</v>
      </c>
      <c r="O549">
        <v>0</v>
      </c>
      <c r="P549">
        <v>0</v>
      </c>
      <c r="Q549">
        <v>11</v>
      </c>
      <c r="R549">
        <v>0</v>
      </c>
      <c r="S549">
        <v>0</v>
      </c>
      <c r="T549">
        <v>1</v>
      </c>
      <c r="U549">
        <v>1</v>
      </c>
      <c r="V549">
        <f t="shared" si="227"/>
        <v>1</v>
      </c>
      <c r="W549">
        <v>1</v>
      </c>
      <c r="X549">
        <v>1</v>
      </c>
      <c r="Y549">
        <v>1</v>
      </c>
      <c r="Z549" t="s">
        <v>73</v>
      </c>
      <c r="AA549" s="5" t="s">
        <v>73</v>
      </c>
      <c r="AB549" s="5" t="s">
        <v>73</v>
      </c>
      <c r="AC549" t="s">
        <v>73</v>
      </c>
      <c r="AD549" t="s">
        <v>94</v>
      </c>
      <c r="AE549" s="5" t="s">
        <v>106</v>
      </c>
      <c r="AF549" t="s">
        <v>107</v>
      </c>
      <c r="AG549" t="s">
        <v>95</v>
      </c>
      <c r="AH549">
        <f t="shared" si="243"/>
        <v>4.0894219999999997E-3</v>
      </c>
      <c r="AI549">
        <f t="shared" si="244"/>
        <v>4.0894219999999997E-3</v>
      </c>
      <c r="AJ549">
        <f t="shared" si="228"/>
        <v>4.0894219999999997E-3</v>
      </c>
      <c r="AK549">
        <v>4.0894219999999997E-3</v>
      </c>
      <c r="AL549">
        <v>0.13224043999999999</v>
      </c>
      <c r="AM549">
        <v>0.13651315999999999</v>
      </c>
      <c r="AN549">
        <v>0.13867615</v>
      </c>
      <c r="AO549">
        <v>99.591057800000002</v>
      </c>
      <c r="AP549">
        <v>86.775955999999994</v>
      </c>
      <c r="AQ549">
        <v>86.348684000000006</v>
      </c>
      <c r="AR549">
        <v>86.132384999999999</v>
      </c>
      <c r="AS549" t="b">
        <v>1</v>
      </c>
      <c r="AT549" t="b">
        <v>0</v>
      </c>
      <c r="AU549" t="s">
        <v>77</v>
      </c>
      <c r="AV549" t="s">
        <v>108</v>
      </c>
      <c r="AW549" t="s">
        <v>783</v>
      </c>
      <c r="AX549" t="s">
        <v>812</v>
      </c>
      <c r="AY549" t="s">
        <v>812</v>
      </c>
      <c r="AZ549" t="s">
        <v>109</v>
      </c>
      <c r="BA549">
        <v>3</v>
      </c>
      <c r="BB549">
        <v>1</v>
      </c>
      <c r="BC549">
        <v>4.1163553999999996E-3</v>
      </c>
      <c r="BD549">
        <v>1.4279989108178799E-4</v>
      </c>
      <c r="BE549">
        <v>4.2591552910817903E-3</v>
      </c>
      <c r="BF549">
        <f>IF(AK549&lt;BE549,1,0)</f>
        <v>1</v>
      </c>
      <c r="BG549">
        <f>IF(AK549&lt;BC549,1,0)</f>
        <v>1</v>
      </c>
      <c r="BH549">
        <f>VLOOKUP($B549,[1]Data_Peer_with_peerVars!$B$2:$Z$1050,20,FALSE)</f>
        <v>2</v>
      </c>
      <c r="BI549">
        <f>VLOOKUP($B549,[1]Data_Peer_with_peerVars!$B$2:$Z$1050,21,FALSE)</f>
        <v>0</v>
      </c>
      <c r="BJ549">
        <f>VLOOKUP($B549,[1]Data_Peer_with_peerVars!$B$2:$Z$1050,22,FALSE)</f>
        <v>0</v>
      </c>
      <c r="BK549">
        <f>VLOOKUP($B549,[1]Data_Peer_with_peerVars!$B$2:$Z$1050,23,FALSE)</f>
        <v>48</v>
      </c>
      <c r="BL549">
        <f>VLOOKUP($B549,[1]Data_Peer_with_peerVars!$B$2:$Z$1050,24,FALSE)</f>
        <v>18</v>
      </c>
      <c r="BM549">
        <f>VLOOKUP($B549,[1]Data_Peer_with_peerVars!$B$2:$Z$1050,25,FALSE)</f>
        <v>0.375</v>
      </c>
    </row>
    <row r="550" spans="1:65" x14ac:dyDescent="0.2">
      <c r="A550">
        <v>1</v>
      </c>
      <c r="B550" t="s">
        <v>882</v>
      </c>
      <c r="C550">
        <v>310</v>
      </c>
      <c r="D550" t="s">
        <v>68</v>
      </c>
      <c r="E550">
        <v>0</v>
      </c>
      <c r="F550">
        <v>57</v>
      </c>
      <c r="G550" t="s">
        <v>119</v>
      </c>
      <c r="H550" s="1">
        <v>7</v>
      </c>
      <c r="I550" t="s">
        <v>87</v>
      </c>
      <c r="J550" t="s">
        <v>111</v>
      </c>
      <c r="K550" t="s">
        <v>109</v>
      </c>
      <c r="L550">
        <v>2</v>
      </c>
      <c r="M550">
        <v>1</v>
      </c>
      <c r="N550">
        <v>0</v>
      </c>
      <c r="O550">
        <v>0</v>
      </c>
      <c r="P550">
        <v>0</v>
      </c>
      <c r="Q550">
        <v>5</v>
      </c>
      <c r="R550">
        <v>0</v>
      </c>
      <c r="S550">
        <v>0</v>
      </c>
      <c r="T550">
        <v>1</v>
      </c>
      <c r="U550">
        <v>1</v>
      </c>
      <c r="V550">
        <f t="shared" si="227"/>
        <v>1</v>
      </c>
      <c r="W550">
        <v>1</v>
      </c>
      <c r="X550">
        <v>1</v>
      </c>
      <c r="Y550">
        <v>1</v>
      </c>
      <c r="Z550" t="s">
        <v>73</v>
      </c>
      <c r="AA550" s="5" t="s">
        <v>73</v>
      </c>
      <c r="AB550" s="5" t="s">
        <v>73</v>
      </c>
      <c r="AC550" t="s">
        <v>73</v>
      </c>
      <c r="AD550" t="s">
        <v>94</v>
      </c>
      <c r="AE550" s="5" t="s">
        <v>106</v>
      </c>
      <c r="AF550" t="s">
        <v>107</v>
      </c>
      <c r="AG550" t="s">
        <v>95</v>
      </c>
      <c r="AH550">
        <f t="shared" si="243"/>
        <v>4.0894219999999997E-3</v>
      </c>
      <c r="AI550">
        <f t="shared" si="244"/>
        <v>4.0894219999999997E-3</v>
      </c>
      <c r="AJ550">
        <f t="shared" si="228"/>
        <v>4.0894219999999997E-3</v>
      </c>
      <c r="AK550">
        <v>4.0894219999999997E-3</v>
      </c>
      <c r="AL550">
        <v>0.13142076</v>
      </c>
      <c r="AM550">
        <v>0.13678728000000001</v>
      </c>
      <c r="AN550">
        <v>0.13929939999999999</v>
      </c>
      <c r="AO550">
        <v>99.591057800000002</v>
      </c>
      <c r="AP550">
        <v>86.857923999999997</v>
      </c>
      <c r="AQ550">
        <v>86.321271999999993</v>
      </c>
      <c r="AR550">
        <v>86.070059999999998</v>
      </c>
      <c r="AS550" t="b">
        <v>1</v>
      </c>
      <c r="AT550" t="b">
        <v>0</v>
      </c>
      <c r="AU550" t="s">
        <v>77</v>
      </c>
      <c r="AV550" t="s">
        <v>108</v>
      </c>
      <c r="AW550" t="s">
        <v>783</v>
      </c>
      <c r="AX550" t="s">
        <v>812</v>
      </c>
      <c r="AY550" t="s">
        <v>813</v>
      </c>
      <c r="AZ550" t="s">
        <v>109</v>
      </c>
      <c r="BA550">
        <v>2</v>
      </c>
      <c r="BB550">
        <v>2</v>
      </c>
      <c r="BC550">
        <v>4.1163553999999996E-3</v>
      </c>
      <c r="BD550">
        <v>1.4279989108178799E-4</v>
      </c>
      <c r="BE550">
        <v>4.2591552910817903E-3</v>
      </c>
      <c r="BF550">
        <f>IF(AK550&lt;BE550,1,0)</f>
        <v>1</v>
      </c>
      <c r="BG550">
        <f>IF(AK550&lt;BC550,1,0)</f>
        <v>1</v>
      </c>
      <c r="BH550">
        <f>VLOOKUP($B550,[1]Data_Peer_with_peerVars!$B$2:$Z$1050,20,FALSE)</f>
        <v>14</v>
      </c>
      <c r="BI550">
        <f>VLOOKUP($B550,[1]Data_Peer_with_peerVars!$B$2:$Z$1050,21,FALSE)</f>
        <v>4</v>
      </c>
      <c r="BJ550">
        <f>VLOOKUP($B550,[1]Data_Peer_with_peerVars!$B$2:$Z$1050,22,FALSE)</f>
        <v>0.28571428599999998</v>
      </c>
      <c r="BK550">
        <f>VLOOKUP($B550,[1]Data_Peer_with_peerVars!$B$2:$Z$1050,23,FALSE)</f>
        <v>61</v>
      </c>
      <c r="BL550">
        <f>VLOOKUP($B550,[1]Data_Peer_with_peerVars!$B$2:$Z$1050,24,FALSE)</f>
        <v>29</v>
      </c>
      <c r="BM550">
        <f>VLOOKUP($B550,[1]Data_Peer_with_peerVars!$B$2:$Z$1050,25,FALSE)</f>
        <v>0.47540983599999997</v>
      </c>
    </row>
    <row r="551" spans="1:65" x14ac:dyDescent="0.2">
      <c r="A551">
        <v>1</v>
      </c>
      <c r="B551" t="s">
        <v>883</v>
      </c>
      <c r="C551">
        <v>310</v>
      </c>
      <c r="D551" t="s">
        <v>68</v>
      </c>
      <c r="E551">
        <v>0</v>
      </c>
      <c r="F551">
        <v>57</v>
      </c>
      <c r="G551" t="s">
        <v>119</v>
      </c>
      <c r="H551" s="1">
        <v>7</v>
      </c>
      <c r="I551" t="s">
        <v>87</v>
      </c>
      <c r="J551" t="s">
        <v>111</v>
      </c>
      <c r="K551" t="s">
        <v>109</v>
      </c>
      <c r="L551">
        <v>2</v>
      </c>
      <c r="M551">
        <v>1</v>
      </c>
      <c r="N551">
        <v>0</v>
      </c>
      <c r="O551">
        <v>0</v>
      </c>
      <c r="P551">
        <v>0</v>
      </c>
      <c r="Q551">
        <v>5</v>
      </c>
      <c r="R551">
        <v>0</v>
      </c>
      <c r="S551">
        <v>0</v>
      </c>
      <c r="T551">
        <v>0</v>
      </c>
      <c r="U551">
        <v>0</v>
      </c>
      <c r="V551">
        <f t="shared" si="227"/>
        <v>1</v>
      </c>
      <c r="W551">
        <v>1</v>
      </c>
      <c r="X551">
        <v>1</v>
      </c>
      <c r="Y551">
        <v>1</v>
      </c>
      <c r="Z551" t="s">
        <v>76</v>
      </c>
      <c r="AA551" s="5" t="s">
        <v>76</v>
      </c>
      <c r="AB551" s="5" t="s">
        <v>76</v>
      </c>
      <c r="AC551" t="s">
        <v>76</v>
      </c>
      <c r="AD551" t="s">
        <v>74</v>
      </c>
      <c r="AE551" s="5" t="s">
        <v>142</v>
      </c>
      <c r="AF551" t="s">
        <v>120</v>
      </c>
      <c r="AG551" t="s">
        <v>75</v>
      </c>
      <c r="AH551">
        <f t="shared" si="243"/>
        <v>9.6721314000000003E-2</v>
      </c>
      <c r="AI551">
        <f t="shared" si="244"/>
        <v>9.6721314000000003E-2</v>
      </c>
      <c r="AJ551">
        <f t="shared" si="228"/>
        <v>9.6721314000000003E-2</v>
      </c>
      <c r="AK551">
        <v>9.6721314000000003E-2</v>
      </c>
      <c r="AL551">
        <v>9.7861840000000005E-2</v>
      </c>
      <c r="AM551">
        <v>0.10655737999999999</v>
      </c>
      <c r="AN551">
        <v>0.11959496</v>
      </c>
      <c r="AO551">
        <v>90.327868600000002</v>
      </c>
      <c r="AP551">
        <v>90.213815999999994</v>
      </c>
      <c r="AQ551">
        <v>89.344262000000001</v>
      </c>
      <c r="AR551">
        <v>88.040503999999999</v>
      </c>
      <c r="AS551" t="b">
        <v>0</v>
      </c>
      <c r="AT551" t="b">
        <v>0</v>
      </c>
      <c r="AU551" t="s">
        <v>108</v>
      </c>
      <c r="AV551" t="s">
        <v>108</v>
      </c>
      <c r="AW551" t="s">
        <v>783</v>
      </c>
      <c r="AX551" t="s">
        <v>812</v>
      </c>
      <c r="AY551" t="s">
        <v>813</v>
      </c>
      <c r="AZ551" t="s">
        <v>109</v>
      </c>
      <c r="BA551">
        <v>2</v>
      </c>
      <c r="BB551">
        <v>1.5</v>
      </c>
      <c r="BC551">
        <v>7.7070764999999999E-2</v>
      </c>
      <c r="BD551">
        <v>1.90190515067399E-3</v>
      </c>
      <c r="BE551">
        <v>7.8972670150673996E-2</v>
      </c>
      <c r="BF551">
        <f>IF(AK551&lt;BE551,1,0)</f>
        <v>0</v>
      </c>
      <c r="BG551">
        <f>IF(AK551&lt;BC551,1,0)</f>
        <v>0</v>
      </c>
      <c r="BH551">
        <f>VLOOKUP($B551,[1]Data_Peer_with_peerVars!$B$2:$Z$1050,20,FALSE)</f>
        <v>14</v>
      </c>
      <c r="BI551">
        <f>VLOOKUP($B551,[1]Data_Peer_with_peerVars!$B$2:$Z$1050,21,FALSE)</f>
        <v>4</v>
      </c>
      <c r="BJ551">
        <f>VLOOKUP($B551,[1]Data_Peer_with_peerVars!$B$2:$Z$1050,22,FALSE)</f>
        <v>0.28571428599999998</v>
      </c>
      <c r="BK551">
        <f>VLOOKUP($B551,[1]Data_Peer_with_peerVars!$B$2:$Z$1050,23,FALSE)</f>
        <v>61</v>
      </c>
      <c r="BL551">
        <f>VLOOKUP($B551,[1]Data_Peer_with_peerVars!$B$2:$Z$1050,24,FALSE)</f>
        <v>29</v>
      </c>
      <c r="BM551">
        <f>VLOOKUP($B551,[1]Data_Peer_with_peerVars!$B$2:$Z$1050,25,FALSE)</f>
        <v>0.47540983599999997</v>
      </c>
    </row>
    <row r="552" spans="1:65" x14ac:dyDescent="0.2">
      <c r="A552">
        <v>1</v>
      </c>
      <c r="B552" t="s">
        <v>884</v>
      </c>
      <c r="C552">
        <v>311</v>
      </c>
      <c r="D552" t="s">
        <v>68</v>
      </c>
      <c r="E552">
        <v>0</v>
      </c>
      <c r="F552">
        <v>150</v>
      </c>
      <c r="G552" t="s">
        <v>119</v>
      </c>
      <c r="H552" s="1">
        <v>7</v>
      </c>
      <c r="I552" t="s">
        <v>87</v>
      </c>
      <c r="J552" t="s">
        <v>111</v>
      </c>
      <c r="K552" t="s">
        <v>109</v>
      </c>
      <c r="L552">
        <v>1</v>
      </c>
      <c r="M552">
        <v>1</v>
      </c>
      <c r="N552">
        <v>0</v>
      </c>
      <c r="O552">
        <v>0</v>
      </c>
      <c r="P552">
        <v>0</v>
      </c>
      <c r="Q552">
        <v>7</v>
      </c>
      <c r="R552">
        <v>0</v>
      </c>
      <c r="S552">
        <v>0</v>
      </c>
      <c r="T552">
        <v>0</v>
      </c>
      <c r="U552">
        <v>0</v>
      </c>
      <c r="V552">
        <f t="shared" si="227"/>
        <v>0</v>
      </c>
      <c r="W552">
        <f t="shared" si="229"/>
        <v>0</v>
      </c>
      <c r="X552">
        <f t="shared" si="230"/>
        <v>0</v>
      </c>
      <c r="Y552">
        <f t="shared" si="231"/>
        <v>0</v>
      </c>
      <c r="Z552" t="s">
        <v>89</v>
      </c>
      <c r="AA552" s="5" t="s">
        <v>273</v>
      </c>
      <c r="AB552" s="5" t="s">
        <v>885</v>
      </c>
      <c r="AC552" t="s">
        <v>74</v>
      </c>
      <c r="AD552" t="s">
        <v>84</v>
      </c>
      <c r="AE552" s="5" t="s">
        <v>886</v>
      </c>
      <c r="AF552" t="s">
        <v>113</v>
      </c>
      <c r="AG552" t="s">
        <v>75</v>
      </c>
      <c r="AH552">
        <f>AI552</f>
        <v>8.3699233999999997E-2</v>
      </c>
      <c r="AI552">
        <f>AJ552</f>
        <v>8.3699233999999997E-2</v>
      </c>
      <c r="AJ552">
        <f t="shared" si="228"/>
        <v>8.3699233999999997E-2</v>
      </c>
      <c r="AK552">
        <v>8.3699233999999997E-2</v>
      </c>
      <c r="AL552">
        <v>8.7912089999999998E-2</v>
      </c>
      <c r="AM552">
        <v>9.5434550000000007E-2</v>
      </c>
      <c r="AN552">
        <v>0.101369865</v>
      </c>
      <c r="AO552">
        <v>91.630076599999995</v>
      </c>
      <c r="AP552">
        <v>91.208791000000005</v>
      </c>
      <c r="AQ552">
        <v>90.456545000000006</v>
      </c>
      <c r="AR552">
        <v>89.863013499999994</v>
      </c>
      <c r="AS552" t="b">
        <v>0</v>
      </c>
      <c r="AT552" t="b">
        <v>0</v>
      </c>
      <c r="AU552" t="s">
        <v>92</v>
      </c>
      <c r="AV552" t="s">
        <v>92</v>
      </c>
      <c r="AW552" t="s">
        <v>783</v>
      </c>
      <c r="AX552" t="s">
        <v>812</v>
      </c>
      <c r="AY552" t="s">
        <v>813</v>
      </c>
      <c r="AZ552" t="s">
        <v>109</v>
      </c>
      <c r="BA552">
        <v>2</v>
      </c>
      <c r="BB552">
        <v>0.17499999999999899</v>
      </c>
      <c r="BC552">
        <v>2.4738868000000001E-3</v>
      </c>
      <c r="BD552">
        <v>1.4256942275279999E-4</v>
      </c>
      <c r="BE552">
        <v>2.6164562227527998E-3</v>
      </c>
      <c r="BF552">
        <f>IF(AK552&lt;BE552,1,0)</f>
        <v>0</v>
      </c>
      <c r="BG552">
        <f>IF(AK552&lt;BC552,1,0)</f>
        <v>0</v>
      </c>
      <c r="BH552">
        <f>VLOOKUP($B552,[1]Data_Peer_with_peerVars!$B$2:$Z$1050,20,FALSE)</f>
        <v>17</v>
      </c>
      <c r="BI552">
        <f>VLOOKUP($B552,[1]Data_Peer_with_peerVars!$B$2:$Z$1050,21,FALSE)</f>
        <v>7</v>
      </c>
      <c r="BJ552">
        <f>VLOOKUP($B552,[1]Data_Peer_with_peerVars!$B$2:$Z$1050,22,FALSE)</f>
        <v>0.41176470599999998</v>
      </c>
      <c r="BK552">
        <f>VLOOKUP($B552,[1]Data_Peer_with_peerVars!$B$2:$Z$1050,23,FALSE)</f>
        <v>64</v>
      </c>
      <c r="BL552">
        <f>VLOOKUP($B552,[1]Data_Peer_with_peerVars!$B$2:$Z$1050,24,FALSE)</f>
        <v>33</v>
      </c>
      <c r="BM552">
        <f>VLOOKUP($B552,[1]Data_Peer_with_peerVars!$B$2:$Z$1050,25,FALSE)</f>
        <v>0.515625</v>
      </c>
    </row>
    <row r="553" spans="1:65" x14ac:dyDescent="0.2">
      <c r="A553">
        <v>1</v>
      </c>
      <c r="B553" t="s">
        <v>887</v>
      </c>
      <c r="C553">
        <v>312</v>
      </c>
      <c r="D553" t="s">
        <v>68</v>
      </c>
      <c r="E553">
        <v>1</v>
      </c>
      <c r="F553">
        <v>109</v>
      </c>
      <c r="G553" t="s">
        <v>86</v>
      </c>
      <c r="H553" s="1">
        <v>6</v>
      </c>
      <c r="I553" t="s">
        <v>87</v>
      </c>
      <c r="J553" t="s">
        <v>111</v>
      </c>
      <c r="K553" t="s">
        <v>72</v>
      </c>
      <c r="L553">
        <v>2</v>
      </c>
      <c r="M553">
        <v>1</v>
      </c>
      <c r="N553">
        <v>1</v>
      </c>
      <c r="O553">
        <v>0</v>
      </c>
      <c r="P553">
        <v>0</v>
      </c>
      <c r="Q553">
        <v>6</v>
      </c>
      <c r="R553">
        <v>0</v>
      </c>
      <c r="S553">
        <v>0</v>
      </c>
      <c r="T553">
        <v>0</v>
      </c>
      <c r="U553">
        <v>0</v>
      </c>
      <c r="V553">
        <f t="shared" si="227"/>
        <v>1</v>
      </c>
      <c r="W553">
        <v>1</v>
      </c>
      <c r="X553">
        <v>1</v>
      </c>
      <c r="Y553">
        <v>1</v>
      </c>
      <c r="Z553" t="s">
        <v>76</v>
      </c>
      <c r="AA553" s="5" t="s">
        <v>76</v>
      </c>
      <c r="AB553" s="5" t="s">
        <v>76</v>
      </c>
      <c r="AC553" t="s">
        <v>76</v>
      </c>
      <c r="AD553" t="s">
        <v>74</v>
      </c>
      <c r="AE553" s="5" t="s">
        <v>888</v>
      </c>
      <c r="AF553" t="s">
        <v>120</v>
      </c>
      <c r="AG553" t="s">
        <v>75</v>
      </c>
      <c r="AH553">
        <f t="shared" ref="AH553:AH554" si="245">AI553</f>
        <v>9.1580099999999998E-2</v>
      </c>
      <c r="AI553">
        <f>AJ553</f>
        <v>9.1580099999999998E-2</v>
      </c>
      <c r="AJ553">
        <f t="shared" si="228"/>
        <v>9.1580099999999998E-2</v>
      </c>
      <c r="AK553">
        <v>9.1580099999999998E-2</v>
      </c>
      <c r="AL553">
        <v>9.3527150000000003E-2</v>
      </c>
      <c r="AM553">
        <v>9.4040460000000006E-2</v>
      </c>
      <c r="AN553">
        <v>0.11062431</v>
      </c>
      <c r="AO553">
        <v>90.841989999999996</v>
      </c>
      <c r="AP553">
        <v>90.647284999999997</v>
      </c>
      <c r="AQ553">
        <v>90.595954000000006</v>
      </c>
      <c r="AR553">
        <v>88.937568999999996</v>
      </c>
      <c r="AS553" t="b">
        <v>0</v>
      </c>
      <c r="AT553" t="b">
        <v>0</v>
      </c>
      <c r="AU553" t="s">
        <v>108</v>
      </c>
      <c r="AV553" t="s">
        <v>108</v>
      </c>
      <c r="AW553" t="s">
        <v>783</v>
      </c>
      <c r="AX553" t="s">
        <v>812</v>
      </c>
      <c r="AY553" t="s">
        <v>889</v>
      </c>
      <c r="AZ553" t="s">
        <v>72</v>
      </c>
      <c r="BA553" t="s">
        <v>82</v>
      </c>
      <c r="BB553">
        <v>1</v>
      </c>
      <c r="BC553">
        <v>7.7070764999999999E-2</v>
      </c>
      <c r="BD553">
        <v>1.90190515067399E-3</v>
      </c>
      <c r="BE553">
        <v>7.8972670150673996E-2</v>
      </c>
      <c r="BF553">
        <f>IF(AK553&lt;BE553,1,0)</f>
        <v>0</v>
      </c>
      <c r="BG553">
        <f>IF(AK553&lt;BC553,1,0)</f>
        <v>0</v>
      </c>
      <c r="BH553">
        <f>VLOOKUP($B553,[1]Data_Peer_with_peerVars!$B$2:$Z$1050,20,FALSE)</f>
        <v>17</v>
      </c>
      <c r="BI553">
        <f>VLOOKUP($B553,[1]Data_Peer_with_peerVars!$B$2:$Z$1050,21,FALSE)</f>
        <v>4</v>
      </c>
      <c r="BJ553">
        <f>VLOOKUP($B553,[1]Data_Peer_with_peerVars!$B$2:$Z$1050,22,FALSE)</f>
        <v>0.235294118</v>
      </c>
      <c r="BK553">
        <f>VLOOKUP($B553,[1]Data_Peer_with_peerVars!$B$2:$Z$1050,23,FALSE)</f>
        <v>27</v>
      </c>
      <c r="BL553">
        <f>VLOOKUP($B553,[1]Data_Peer_with_peerVars!$B$2:$Z$1050,24,FALSE)</f>
        <v>10</v>
      </c>
      <c r="BM553">
        <f>VLOOKUP($B553,[1]Data_Peer_with_peerVars!$B$2:$Z$1050,25,FALSE)</f>
        <v>0.37037037</v>
      </c>
    </row>
    <row r="554" spans="1:65" x14ac:dyDescent="0.2">
      <c r="A554">
        <v>1</v>
      </c>
      <c r="B554" t="s">
        <v>890</v>
      </c>
      <c r="C554">
        <v>313</v>
      </c>
      <c r="D554" t="s">
        <v>68</v>
      </c>
      <c r="E554">
        <v>1</v>
      </c>
      <c r="F554">
        <v>110</v>
      </c>
      <c r="G554" t="s">
        <v>86</v>
      </c>
      <c r="H554" s="1">
        <v>7</v>
      </c>
      <c r="I554" t="s">
        <v>87</v>
      </c>
      <c r="J554" t="s">
        <v>111</v>
      </c>
      <c r="K554" t="s">
        <v>109</v>
      </c>
      <c r="L554">
        <v>1</v>
      </c>
      <c r="M554">
        <v>0</v>
      </c>
      <c r="N554">
        <v>1</v>
      </c>
      <c r="O554">
        <v>0</v>
      </c>
      <c r="P554">
        <v>0</v>
      </c>
      <c r="Q554">
        <v>2</v>
      </c>
      <c r="R554">
        <v>0</v>
      </c>
      <c r="S554">
        <v>0</v>
      </c>
      <c r="T554">
        <v>0</v>
      </c>
      <c r="U554">
        <v>0</v>
      </c>
      <c r="V554">
        <f t="shared" si="227"/>
        <v>0</v>
      </c>
      <c r="W554">
        <f t="shared" si="229"/>
        <v>0</v>
      </c>
      <c r="X554">
        <f t="shared" si="230"/>
        <v>1</v>
      </c>
      <c r="Y554">
        <v>1</v>
      </c>
      <c r="Z554" t="s">
        <v>91</v>
      </c>
      <c r="AA554" s="5" t="s">
        <v>91</v>
      </c>
      <c r="AB554" s="5" t="s">
        <v>91</v>
      </c>
      <c r="AC554" t="s">
        <v>75</v>
      </c>
      <c r="AD554" t="s">
        <v>137</v>
      </c>
      <c r="AE554" s="5" t="s">
        <v>891</v>
      </c>
      <c r="AF554" t="s">
        <v>91</v>
      </c>
      <c r="AG554" t="s">
        <v>113</v>
      </c>
      <c r="AH554">
        <f t="shared" si="245"/>
        <v>0.13121923999999999</v>
      </c>
      <c r="AI554">
        <f>AM554</f>
        <v>0.13121923999999999</v>
      </c>
      <c r="AJ554">
        <f t="shared" si="228"/>
        <v>0.12281182</v>
      </c>
      <c r="AK554">
        <v>0.12281182</v>
      </c>
      <c r="AL554">
        <v>0.12663754999999999</v>
      </c>
      <c r="AM554">
        <v>0.13121923999999999</v>
      </c>
      <c r="AN554">
        <v>0.14140581999999999</v>
      </c>
      <c r="AO554">
        <v>87.718817999999999</v>
      </c>
      <c r="AP554">
        <v>87.336245000000005</v>
      </c>
      <c r="AQ554">
        <v>86.878075999999993</v>
      </c>
      <c r="AR554">
        <v>85.859418000000005</v>
      </c>
      <c r="AS554" t="b">
        <v>0</v>
      </c>
      <c r="AT554" t="b">
        <v>0</v>
      </c>
      <c r="AU554" t="s">
        <v>108</v>
      </c>
      <c r="AV554" t="s">
        <v>108</v>
      </c>
      <c r="AW554" t="s">
        <v>783</v>
      </c>
      <c r="AX554" t="s">
        <v>812</v>
      </c>
      <c r="AY554" t="s">
        <v>889</v>
      </c>
      <c r="AZ554" t="s">
        <v>109</v>
      </c>
      <c r="BA554">
        <v>6</v>
      </c>
      <c r="BB554">
        <v>0.7</v>
      </c>
      <c r="BC554">
        <v>2.3038946000000001E-2</v>
      </c>
      <c r="BD554">
        <v>2.6184719377746E-3</v>
      </c>
      <c r="BE554">
        <v>2.5657417937774599E-2</v>
      </c>
      <c r="BF554">
        <f>IF(AK554&lt;BE554,1,0)</f>
        <v>0</v>
      </c>
      <c r="BG554">
        <f>IF(AK554&lt;BC554,1,0)</f>
        <v>0</v>
      </c>
      <c r="BH554">
        <f>VLOOKUP($B554,[1]Data_Peer_with_peerVars!$B$2:$Z$1050,20,FALSE)</f>
        <v>17</v>
      </c>
      <c r="BI554">
        <f>VLOOKUP($B554,[1]Data_Peer_with_peerVars!$B$2:$Z$1050,21,FALSE)</f>
        <v>7</v>
      </c>
      <c r="BJ554">
        <f>VLOOKUP($B554,[1]Data_Peer_with_peerVars!$B$2:$Z$1050,22,FALSE)</f>
        <v>0.41176470599999998</v>
      </c>
      <c r="BK554">
        <f>VLOOKUP($B554,[1]Data_Peer_with_peerVars!$B$2:$Z$1050,23,FALSE)</f>
        <v>27</v>
      </c>
      <c r="BL554">
        <f>VLOOKUP($B554,[1]Data_Peer_with_peerVars!$B$2:$Z$1050,24,FALSE)</f>
        <v>12</v>
      </c>
      <c r="BM554">
        <f>VLOOKUP($B554,[1]Data_Peer_with_peerVars!$B$2:$Z$1050,25,FALSE)</f>
        <v>0.44444444399999999</v>
      </c>
    </row>
    <row r="555" spans="1:65" x14ac:dyDescent="0.2">
      <c r="A555">
        <v>1</v>
      </c>
      <c r="B555" t="s">
        <v>892</v>
      </c>
      <c r="C555">
        <v>313</v>
      </c>
      <c r="D555" t="s">
        <v>68</v>
      </c>
      <c r="E555">
        <v>1</v>
      </c>
      <c r="F555">
        <v>110</v>
      </c>
      <c r="G555" t="s">
        <v>86</v>
      </c>
      <c r="H555" s="1">
        <v>7</v>
      </c>
      <c r="I555" t="s">
        <v>87</v>
      </c>
      <c r="J555" t="s">
        <v>111</v>
      </c>
      <c r="K555" t="s">
        <v>109</v>
      </c>
      <c r="L555">
        <v>1</v>
      </c>
      <c r="M555">
        <v>0</v>
      </c>
      <c r="N555">
        <v>1</v>
      </c>
      <c r="O555">
        <v>0</v>
      </c>
      <c r="P555">
        <v>0</v>
      </c>
      <c r="Q555">
        <v>2</v>
      </c>
      <c r="R555">
        <v>0</v>
      </c>
      <c r="S555">
        <v>0</v>
      </c>
      <c r="T555">
        <v>0</v>
      </c>
      <c r="U555">
        <v>0</v>
      </c>
      <c r="V555">
        <f t="shared" si="227"/>
        <v>0</v>
      </c>
      <c r="W555">
        <f t="shared" si="229"/>
        <v>0</v>
      </c>
      <c r="X555">
        <f t="shared" si="230"/>
        <v>0</v>
      </c>
      <c r="Y555">
        <f t="shared" si="231"/>
        <v>0</v>
      </c>
      <c r="Z555" t="s">
        <v>76</v>
      </c>
      <c r="AA555" s="5" t="s">
        <v>76</v>
      </c>
      <c r="AB555" s="5" t="s">
        <v>76</v>
      </c>
      <c r="AC555" t="s">
        <v>101</v>
      </c>
      <c r="AD555" t="s">
        <v>120</v>
      </c>
      <c r="AE555" s="5" t="s">
        <v>120</v>
      </c>
      <c r="AF555" t="s">
        <v>167</v>
      </c>
      <c r="AG555" t="s">
        <v>102</v>
      </c>
      <c r="AH555">
        <f t="shared" ref="AH555:AH559" si="246">AI555</f>
        <v>0.11779241999999999</v>
      </c>
      <c r="AI555">
        <f t="shared" ref="AI555:AI556" si="247">AJ555</f>
        <v>0.11779241999999999</v>
      </c>
      <c r="AJ555">
        <f t="shared" si="228"/>
        <v>0.11779241999999999</v>
      </c>
      <c r="AK555">
        <v>0.11779241999999999</v>
      </c>
      <c r="AL555">
        <v>0.12253828999999999</v>
      </c>
      <c r="AM555">
        <v>0.12925357000000001</v>
      </c>
      <c r="AN555">
        <v>0.12998361999999999</v>
      </c>
      <c r="AO555">
        <v>88.220758000000004</v>
      </c>
      <c r="AP555">
        <v>87.746171000000004</v>
      </c>
      <c r="AQ555">
        <v>87.074642999999995</v>
      </c>
      <c r="AR555">
        <v>87.001638</v>
      </c>
      <c r="AS555" t="b">
        <v>0</v>
      </c>
      <c r="AT555" t="b">
        <v>0</v>
      </c>
      <c r="AU555" t="s">
        <v>78</v>
      </c>
      <c r="AV555" t="s">
        <v>78</v>
      </c>
      <c r="AW555" t="s">
        <v>783</v>
      </c>
      <c r="AX555" t="s">
        <v>812</v>
      </c>
      <c r="AY555" t="s">
        <v>889</v>
      </c>
      <c r="AZ555" t="s">
        <v>72</v>
      </c>
      <c r="BA555" t="s">
        <v>82</v>
      </c>
      <c r="BB555">
        <v>1</v>
      </c>
      <c r="BC555">
        <v>1.4096186E-2</v>
      </c>
      <c r="BD555">
        <v>1.55088650053763E-3</v>
      </c>
      <c r="BE555">
        <v>1.5647072500537599E-2</v>
      </c>
      <c r="BF555">
        <f>IF(AK555&lt;BE555,1,0)</f>
        <v>0</v>
      </c>
      <c r="BG555">
        <f>IF(AK555&lt;BC555,1,0)</f>
        <v>0</v>
      </c>
      <c r="BH555">
        <f>VLOOKUP($B555,[1]Data_Peer_with_peerVars!$B$2:$Z$1050,20,FALSE)</f>
        <v>17</v>
      </c>
      <c r="BI555">
        <f>VLOOKUP($B555,[1]Data_Peer_with_peerVars!$B$2:$Z$1050,21,FALSE)</f>
        <v>7</v>
      </c>
      <c r="BJ555">
        <f>VLOOKUP($B555,[1]Data_Peer_with_peerVars!$B$2:$Z$1050,22,FALSE)</f>
        <v>0.41176470599999998</v>
      </c>
      <c r="BK555">
        <f>VLOOKUP($B555,[1]Data_Peer_with_peerVars!$B$2:$Z$1050,23,FALSE)</f>
        <v>27</v>
      </c>
      <c r="BL555">
        <f>VLOOKUP($B555,[1]Data_Peer_with_peerVars!$B$2:$Z$1050,24,FALSE)</f>
        <v>12</v>
      </c>
      <c r="BM555">
        <f>VLOOKUP($B555,[1]Data_Peer_with_peerVars!$B$2:$Z$1050,25,FALSE)</f>
        <v>0.44444444399999999</v>
      </c>
    </row>
    <row r="556" spans="1:65" x14ac:dyDescent="0.2">
      <c r="A556">
        <v>1</v>
      </c>
      <c r="B556" t="s">
        <v>893</v>
      </c>
      <c r="C556">
        <v>314</v>
      </c>
      <c r="D556" t="s">
        <v>68</v>
      </c>
      <c r="E556">
        <v>1</v>
      </c>
      <c r="F556">
        <v>114</v>
      </c>
      <c r="G556" t="s">
        <v>86</v>
      </c>
      <c r="H556" s="1">
        <v>7</v>
      </c>
      <c r="I556" t="s">
        <v>87</v>
      </c>
      <c r="J556" t="s">
        <v>111</v>
      </c>
      <c r="K556" t="s">
        <v>109</v>
      </c>
      <c r="L556">
        <v>1</v>
      </c>
      <c r="M556">
        <v>1</v>
      </c>
      <c r="N556">
        <v>0</v>
      </c>
      <c r="O556">
        <v>0</v>
      </c>
      <c r="P556">
        <v>0</v>
      </c>
      <c r="Q556">
        <v>11</v>
      </c>
      <c r="R556">
        <v>0</v>
      </c>
      <c r="S556">
        <v>0</v>
      </c>
      <c r="T556">
        <v>0</v>
      </c>
      <c r="U556">
        <v>0</v>
      </c>
      <c r="V556">
        <f t="shared" si="227"/>
        <v>0</v>
      </c>
      <c r="W556">
        <f t="shared" si="229"/>
        <v>0</v>
      </c>
      <c r="X556">
        <f t="shared" si="230"/>
        <v>0</v>
      </c>
      <c r="Y556">
        <f t="shared" si="231"/>
        <v>0</v>
      </c>
      <c r="Z556" t="s">
        <v>73</v>
      </c>
      <c r="AA556" s="5" t="s">
        <v>73</v>
      </c>
      <c r="AB556" s="5" t="s">
        <v>73</v>
      </c>
      <c r="AC556" t="s">
        <v>287</v>
      </c>
      <c r="AD556" t="s">
        <v>137</v>
      </c>
      <c r="AE556" s="5" t="s">
        <v>305</v>
      </c>
      <c r="AF556" t="s">
        <v>91</v>
      </c>
      <c r="AG556" t="s">
        <v>113</v>
      </c>
      <c r="AH556">
        <f t="shared" si="246"/>
        <v>4.175885E-2</v>
      </c>
      <c r="AI556">
        <f t="shared" si="247"/>
        <v>4.175885E-2</v>
      </c>
      <c r="AJ556">
        <f t="shared" si="228"/>
        <v>4.175885E-2</v>
      </c>
      <c r="AK556">
        <v>4.175885E-2</v>
      </c>
      <c r="AL556">
        <v>0.10785398</v>
      </c>
      <c r="AM556">
        <v>0.12126246</v>
      </c>
      <c r="AN556">
        <v>0.12430479</v>
      </c>
      <c r="AO556">
        <v>95.824115000000006</v>
      </c>
      <c r="AP556">
        <v>89.214601999999999</v>
      </c>
      <c r="AQ556">
        <v>87.873754000000005</v>
      </c>
      <c r="AR556">
        <v>87.569520999999995</v>
      </c>
      <c r="AS556" t="b">
        <v>0</v>
      </c>
      <c r="AT556" t="b">
        <v>0</v>
      </c>
      <c r="AU556" t="s">
        <v>77</v>
      </c>
      <c r="AV556" t="s">
        <v>108</v>
      </c>
      <c r="AW556" t="s">
        <v>783</v>
      </c>
      <c r="AX556" t="s">
        <v>812</v>
      </c>
      <c r="AY556" t="s">
        <v>894</v>
      </c>
      <c r="AZ556" t="s">
        <v>109</v>
      </c>
      <c r="BA556">
        <v>4</v>
      </c>
      <c r="BB556">
        <v>0.35</v>
      </c>
      <c r="BC556">
        <v>5.5106750000000003E-2</v>
      </c>
      <c r="BD556">
        <v>2.4361461616194298E-3</v>
      </c>
      <c r="BE556">
        <v>5.7542896161619402E-2</v>
      </c>
      <c r="BF556">
        <f>IF(AK556&lt;BE556,1,0)</f>
        <v>1</v>
      </c>
      <c r="BG556">
        <f>IF(AK556&lt;BC556,1,0)</f>
        <v>1</v>
      </c>
      <c r="BH556">
        <f>VLOOKUP($B556,[1]Data_Peer_with_peerVars!$B$2:$Z$1050,20,FALSE)</f>
        <v>17</v>
      </c>
      <c r="BI556">
        <f>VLOOKUP($B556,[1]Data_Peer_with_peerVars!$B$2:$Z$1050,21,FALSE)</f>
        <v>5</v>
      </c>
      <c r="BJ556">
        <f>VLOOKUP($B556,[1]Data_Peer_with_peerVars!$B$2:$Z$1050,22,FALSE)</f>
        <v>0.29411764699999998</v>
      </c>
      <c r="BK556">
        <f>VLOOKUP($B556,[1]Data_Peer_with_peerVars!$B$2:$Z$1050,23,FALSE)</f>
        <v>27</v>
      </c>
      <c r="BL556">
        <f>VLOOKUP($B556,[1]Data_Peer_with_peerVars!$B$2:$Z$1050,24,FALSE)</f>
        <v>11</v>
      </c>
      <c r="BM556">
        <f>VLOOKUP($B556,[1]Data_Peer_with_peerVars!$B$2:$Z$1050,25,FALSE)</f>
        <v>0.407407407</v>
      </c>
    </row>
    <row r="557" spans="1:65" x14ac:dyDescent="0.2">
      <c r="A557">
        <v>1</v>
      </c>
      <c r="B557" t="s">
        <v>895</v>
      </c>
      <c r="C557">
        <v>315</v>
      </c>
      <c r="D557" t="s">
        <v>68</v>
      </c>
      <c r="E557">
        <v>1</v>
      </c>
      <c r="F557">
        <v>119</v>
      </c>
      <c r="G557" t="s">
        <v>86</v>
      </c>
      <c r="H557" s="1">
        <v>7</v>
      </c>
      <c r="I557" t="s">
        <v>87</v>
      </c>
      <c r="J557" t="s">
        <v>111</v>
      </c>
      <c r="K557" t="s">
        <v>109</v>
      </c>
      <c r="L557">
        <v>1</v>
      </c>
      <c r="M557">
        <v>0</v>
      </c>
      <c r="N557">
        <v>1</v>
      </c>
      <c r="O557">
        <v>0</v>
      </c>
      <c r="P557">
        <v>0</v>
      </c>
      <c r="Q557">
        <v>5</v>
      </c>
      <c r="R557">
        <v>0</v>
      </c>
      <c r="S557">
        <v>0</v>
      </c>
      <c r="T557">
        <v>0</v>
      </c>
      <c r="U557">
        <v>0</v>
      </c>
      <c r="V557">
        <f t="shared" si="227"/>
        <v>1</v>
      </c>
      <c r="W557">
        <v>1</v>
      </c>
      <c r="X557">
        <v>1</v>
      </c>
      <c r="Y557">
        <v>1</v>
      </c>
      <c r="Z557" t="s">
        <v>91</v>
      </c>
      <c r="AA557" s="5" t="s">
        <v>91</v>
      </c>
      <c r="AB557" s="5" t="s">
        <v>91</v>
      </c>
      <c r="AC557" t="s">
        <v>91</v>
      </c>
      <c r="AD557" t="s">
        <v>287</v>
      </c>
      <c r="AE557" s="5" t="s">
        <v>287</v>
      </c>
      <c r="AF557" t="s">
        <v>137</v>
      </c>
      <c r="AG557" t="s">
        <v>113</v>
      </c>
      <c r="AH557">
        <f t="shared" si="246"/>
        <v>0.11105033</v>
      </c>
      <c r="AI557">
        <f>AJ557</f>
        <v>0.11105033</v>
      </c>
      <c r="AJ557">
        <f t="shared" si="228"/>
        <v>0.11105033</v>
      </c>
      <c r="AK557">
        <v>0.11105033</v>
      </c>
      <c r="AL557">
        <v>0.11742217000000001</v>
      </c>
      <c r="AM557">
        <v>0.12527293</v>
      </c>
      <c r="AN557">
        <v>0.13406593999999999</v>
      </c>
      <c r="AO557">
        <v>88.894966999999994</v>
      </c>
      <c r="AP557">
        <v>88.257783000000003</v>
      </c>
      <c r="AQ557">
        <v>87.472707</v>
      </c>
      <c r="AR557">
        <v>86.593406000000002</v>
      </c>
      <c r="AS557" t="b">
        <v>1</v>
      </c>
      <c r="AT557" t="b">
        <v>0</v>
      </c>
      <c r="AU557" t="s">
        <v>78</v>
      </c>
      <c r="AV557" t="s">
        <v>78</v>
      </c>
      <c r="AW557" t="s">
        <v>783</v>
      </c>
      <c r="AX557" t="s">
        <v>812</v>
      </c>
      <c r="AY557" t="s">
        <v>889</v>
      </c>
      <c r="AZ557" t="s">
        <v>109</v>
      </c>
      <c r="BA557">
        <v>8</v>
      </c>
      <c r="BB557">
        <v>1.4</v>
      </c>
      <c r="BC557">
        <v>9.0659339999999995E-3</v>
      </c>
      <c r="BD557">
        <v>2.76583658862385E-3</v>
      </c>
      <c r="BE557">
        <v>1.1831770588623799E-2</v>
      </c>
      <c r="BF557">
        <f>IF(AK557&lt;BE557,1,0)</f>
        <v>0</v>
      </c>
      <c r="BG557">
        <f>IF(AK557&lt;BC557,1,0)</f>
        <v>0</v>
      </c>
      <c r="BH557">
        <f>VLOOKUP($B557,[1]Data_Peer_with_peerVars!$B$2:$Z$1050,20,FALSE)</f>
        <v>8</v>
      </c>
      <c r="BI557">
        <f>VLOOKUP($B557,[1]Data_Peer_with_peerVars!$B$2:$Z$1050,21,FALSE)</f>
        <v>3</v>
      </c>
      <c r="BJ557">
        <f>VLOOKUP($B557,[1]Data_Peer_with_peerVars!$B$2:$Z$1050,22,FALSE)</f>
        <v>0.375</v>
      </c>
      <c r="BK557">
        <f>VLOOKUP($B557,[1]Data_Peer_with_peerVars!$B$2:$Z$1050,23,FALSE)</f>
        <v>36</v>
      </c>
      <c r="BL557">
        <f>VLOOKUP($B557,[1]Data_Peer_with_peerVars!$B$2:$Z$1050,24,FALSE)</f>
        <v>15</v>
      </c>
      <c r="BM557">
        <f>VLOOKUP($B557,[1]Data_Peer_with_peerVars!$B$2:$Z$1050,25,FALSE)</f>
        <v>0.41666666699999999</v>
      </c>
    </row>
    <row r="558" spans="1:65" x14ac:dyDescent="0.2">
      <c r="A558">
        <v>1</v>
      </c>
      <c r="B558" t="s">
        <v>896</v>
      </c>
      <c r="C558">
        <v>316</v>
      </c>
      <c r="D558" t="s">
        <v>68</v>
      </c>
      <c r="E558">
        <v>1</v>
      </c>
      <c r="F558">
        <v>810</v>
      </c>
      <c r="G558" t="s">
        <v>69</v>
      </c>
      <c r="H558" s="1">
        <v>5</v>
      </c>
      <c r="I558" t="s">
        <v>87</v>
      </c>
      <c r="J558" t="s">
        <v>111</v>
      </c>
      <c r="K558" t="s">
        <v>72</v>
      </c>
      <c r="L558">
        <v>2</v>
      </c>
      <c r="M558">
        <v>0</v>
      </c>
      <c r="N558">
        <v>1</v>
      </c>
      <c r="O558">
        <v>0</v>
      </c>
      <c r="P558">
        <v>0</v>
      </c>
      <c r="Q558">
        <v>6</v>
      </c>
      <c r="R558">
        <v>0</v>
      </c>
      <c r="S558">
        <v>0</v>
      </c>
      <c r="T558">
        <v>0</v>
      </c>
      <c r="U558">
        <v>0</v>
      </c>
      <c r="V558">
        <f t="shared" si="227"/>
        <v>0</v>
      </c>
      <c r="W558">
        <f t="shared" si="229"/>
        <v>1</v>
      </c>
      <c r="X558">
        <v>1</v>
      </c>
      <c r="Y558">
        <v>1</v>
      </c>
      <c r="Z558" t="s">
        <v>287</v>
      </c>
      <c r="AA558" s="5" t="s">
        <v>287</v>
      </c>
      <c r="AB558" s="5" t="s">
        <v>287</v>
      </c>
      <c r="AC558" t="s">
        <v>91</v>
      </c>
      <c r="AD558" t="s">
        <v>287</v>
      </c>
      <c r="AE558" s="5" t="s">
        <v>287</v>
      </c>
      <c r="AF558" t="s">
        <v>137</v>
      </c>
      <c r="AG558" t="s">
        <v>84</v>
      </c>
      <c r="AH558">
        <f t="shared" si="246"/>
        <v>0.117486335</v>
      </c>
      <c r="AI558">
        <f>AJ558</f>
        <v>0.117486335</v>
      </c>
      <c r="AJ558">
        <f>AL558</f>
        <v>0.117486335</v>
      </c>
      <c r="AK558">
        <v>1.25751775E-2</v>
      </c>
      <c r="AL558">
        <v>0.117486335</v>
      </c>
      <c r="AM558">
        <v>0.13271436</v>
      </c>
      <c r="AN558">
        <v>0.13379120999999999</v>
      </c>
      <c r="AO558">
        <v>98.742482249999995</v>
      </c>
      <c r="AP558">
        <v>88.251366500000003</v>
      </c>
      <c r="AQ558">
        <v>86.728564000000006</v>
      </c>
      <c r="AR558">
        <v>86.620879000000002</v>
      </c>
      <c r="AS558" t="b">
        <v>0</v>
      </c>
      <c r="AT558" t="b">
        <v>1</v>
      </c>
      <c r="AU558" t="s">
        <v>77</v>
      </c>
      <c r="AV558" t="s">
        <v>78</v>
      </c>
      <c r="AW558" t="s">
        <v>783</v>
      </c>
      <c r="AX558" t="s">
        <v>812</v>
      </c>
      <c r="AY558" t="s">
        <v>889</v>
      </c>
      <c r="AZ558" t="s">
        <v>72</v>
      </c>
      <c r="BA558" t="s">
        <v>82</v>
      </c>
      <c r="BB558">
        <v>0.7</v>
      </c>
      <c r="BC558">
        <v>9.0659339999999995E-3</v>
      </c>
      <c r="BD558">
        <v>2.76583658862385E-3</v>
      </c>
      <c r="BE558">
        <v>1.1831770588623799E-2</v>
      </c>
      <c r="BF558">
        <f>IF(AK558&lt;BE558,1,0)</f>
        <v>0</v>
      </c>
      <c r="BG558">
        <f>IF(AK558&lt;BC558,1,0)</f>
        <v>0</v>
      </c>
      <c r="BH558">
        <f>VLOOKUP($B558,[1]Data_Peer_with_peerVars!$B$2:$Z$1050,20,FALSE)</f>
        <v>5</v>
      </c>
      <c r="BI558">
        <f>VLOOKUP($B558,[1]Data_Peer_with_peerVars!$B$2:$Z$1050,21,FALSE)</f>
        <v>1</v>
      </c>
      <c r="BJ558">
        <f>VLOOKUP($B558,[1]Data_Peer_with_peerVars!$B$2:$Z$1050,22,FALSE)</f>
        <v>0.2</v>
      </c>
      <c r="BK558">
        <f>VLOOKUP($B558,[1]Data_Peer_with_peerVars!$B$2:$Z$1050,23,FALSE)</f>
        <v>27</v>
      </c>
      <c r="BL558">
        <f>VLOOKUP($B558,[1]Data_Peer_with_peerVars!$B$2:$Z$1050,24,FALSE)</f>
        <v>9</v>
      </c>
      <c r="BM558">
        <f>VLOOKUP($B558,[1]Data_Peer_with_peerVars!$B$2:$Z$1050,25,FALSE)</f>
        <v>0.33333333300000001</v>
      </c>
    </row>
    <row r="559" spans="1:65" x14ac:dyDescent="0.2">
      <c r="A559">
        <v>1</v>
      </c>
      <c r="B559" t="s">
        <v>897</v>
      </c>
      <c r="C559">
        <v>317</v>
      </c>
      <c r="D559" t="s">
        <v>68</v>
      </c>
      <c r="E559">
        <v>0</v>
      </c>
      <c r="F559">
        <v>111</v>
      </c>
      <c r="G559" t="s">
        <v>97</v>
      </c>
      <c r="H559" s="1">
        <v>7</v>
      </c>
      <c r="I559" t="s">
        <v>87</v>
      </c>
      <c r="J559" t="s">
        <v>111</v>
      </c>
      <c r="K559" t="s">
        <v>109</v>
      </c>
      <c r="L559">
        <v>1</v>
      </c>
      <c r="M559">
        <v>0</v>
      </c>
      <c r="N559">
        <v>1</v>
      </c>
      <c r="O559">
        <v>0</v>
      </c>
      <c r="P559">
        <v>0</v>
      </c>
      <c r="Q559">
        <v>6</v>
      </c>
      <c r="R559">
        <v>0</v>
      </c>
      <c r="S559">
        <v>0</v>
      </c>
      <c r="T559">
        <v>0</v>
      </c>
      <c r="U559">
        <v>0</v>
      </c>
      <c r="V559">
        <f t="shared" si="227"/>
        <v>1</v>
      </c>
      <c r="W559">
        <v>1</v>
      </c>
      <c r="X559">
        <v>1</v>
      </c>
      <c r="Y559">
        <v>1</v>
      </c>
      <c r="Z559" t="s">
        <v>91</v>
      </c>
      <c r="AA559" s="5" t="s">
        <v>91</v>
      </c>
      <c r="AB559" s="5" t="s">
        <v>91</v>
      </c>
      <c r="AC559" t="s">
        <v>91</v>
      </c>
      <c r="AD559" t="s">
        <v>137</v>
      </c>
      <c r="AE559" s="5" t="s">
        <v>497</v>
      </c>
      <c r="AF559" t="s">
        <v>287</v>
      </c>
      <c r="AG559" t="s">
        <v>113</v>
      </c>
      <c r="AH559">
        <f t="shared" si="246"/>
        <v>7.3264079999999995E-2</v>
      </c>
      <c r="AI559">
        <f>AJ559</f>
        <v>7.3264079999999995E-2</v>
      </c>
      <c r="AJ559">
        <f t="shared" si="228"/>
        <v>7.3264079999999995E-2</v>
      </c>
      <c r="AK559">
        <v>7.3264079999999995E-2</v>
      </c>
      <c r="AL559">
        <v>0.11135370999999999</v>
      </c>
      <c r="AM559">
        <v>0.12554583999999999</v>
      </c>
      <c r="AN559">
        <v>0.13042285000000001</v>
      </c>
      <c r="AO559">
        <v>92.673591999999999</v>
      </c>
      <c r="AP559">
        <v>88.864628999999994</v>
      </c>
      <c r="AQ559">
        <v>87.445415999999994</v>
      </c>
      <c r="AR559">
        <v>86.957714999999993</v>
      </c>
      <c r="AS559" t="b">
        <v>1</v>
      </c>
      <c r="AT559" t="b">
        <v>0</v>
      </c>
      <c r="AU559" t="s">
        <v>77</v>
      </c>
      <c r="AV559" t="s">
        <v>108</v>
      </c>
      <c r="AW559" t="s">
        <v>783</v>
      </c>
      <c r="AX559" t="s">
        <v>812</v>
      </c>
      <c r="AY559" t="s">
        <v>889</v>
      </c>
      <c r="AZ559" t="s">
        <v>109</v>
      </c>
      <c r="BA559">
        <v>2</v>
      </c>
      <c r="BB559">
        <v>0.1</v>
      </c>
      <c r="BC559">
        <v>9.0659339999999995E-3</v>
      </c>
      <c r="BD559">
        <v>2.76583658862385E-3</v>
      </c>
      <c r="BE559">
        <v>1.1831770588623799E-2</v>
      </c>
      <c r="BF559">
        <f>IF(AK559&lt;BE559,1,0)</f>
        <v>0</v>
      </c>
      <c r="BG559">
        <f>IF(AK559&lt;BC559,1,0)</f>
        <v>0</v>
      </c>
      <c r="BH559">
        <f>VLOOKUP($B559,[1]Data_Peer_with_peerVars!$B$2:$Z$1050,20,FALSE)</f>
        <v>12</v>
      </c>
      <c r="BI559">
        <f>VLOOKUP($B559,[1]Data_Peer_with_peerVars!$B$2:$Z$1050,21,FALSE)</f>
        <v>2</v>
      </c>
      <c r="BJ559">
        <f>VLOOKUP($B559,[1]Data_Peer_with_peerVars!$B$2:$Z$1050,22,FALSE)</f>
        <v>0.16666666699999999</v>
      </c>
      <c r="BK559">
        <f>VLOOKUP($B559,[1]Data_Peer_with_peerVars!$B$2:$Z$1050,23,FALSE)</f>
        <v>26</v>
      </c>
      <c r="BL559">
        <f>VLOOKUP($B559,[1]Data_Peer_with_peerVars!$B$2:$Z$1050,24,FALSE)</f>
        <v>10</v>
      </c>
      <c r="BM559">
        <f>VLOOKUP($B559,[1]Data_Peer_with_peerVars!$B$2:$Z$1050,25,FALSE)</f>
        <v>0.38461538499999998</v>
      </c>
    </row>
    <row r="560" spans="1:65" x14ac:dyDescent="0.2">
      <c r="A560">
        <v>1</v>
      </c>
      <c r="B560" t="s">
        <v>898</v>
      </c>
      <c r="C560">
        <v>317</v>
      </c>
      <c r="D560" t="s">
        <v>68</v>
      </c>
      <c r="E560">
        <v>0</v>
      </c>
      <c r="F560">
        <v>111</v>
      </c>
      <c r="G560" t="s">
        <v>97</v>
      </c>
      <c r="H560" s="1">
        <v>7</v>
      </c>
      <c r="I560" t="s">
        <v>87</v>
      </c>
      <c r="J560" t="s">
        <v>111</v>
      </c>
      <c r="K560" t="s">
        <v>109</v>
      </c>
      <c r="L560">
        <v>1</v>
      </c>
      <c r="M560">
        <v>0</v>
      </c>
      <c r="N560">
        <v>1</v>
      </c>
      <c r="O560">
        <v>0</v>
      </c>
      <c r="P560">
        <v>0</v>
      </c>
      <c r="Q560">
        <v>6</v>
      </c>
      <c r="R560">
        <v>1</v>
      </c>
      <c r="S560">
        <v>1</v>
      </c>
      <c r="T560">
        <v>1</v>
      </c>
      <c r="U560">
        <v>1</v>
      </c>
      <c r="V560">
        <f t="shared" si="227"/>
        <v>0</v>
      </c>
      <c r="W560">
        <f t="shared" si="229"/>
        <v>0</v>
      </c>
      <c r="X560">
        <f t="shared" si="230"/>
        <v>0</v>
      </c>
      <c r="Y560">
        <f t="shared" si="231"/>
        <v>0</v>
      </c>
      <c r="Z560" t="s">
        <v>177</v>
      </c>
      <c r="AA560" s="5" t="s">
        <v>198</v>
      </c>
      <c r="AB560" s="5" t="s">
        <v>899</v>
      </c>
      <c r="AC560" t="s">
        <v>174</v>
      </c>
      <c r="AD560" t="s">
        <v>198</v>
      </c>
      <c r="AE560" s="5" t="s">
        <v>506</v>
      </c>
      <c r="AF560" t="s">
        <v>173</v>
      </c>
      <c r="AG560" t="s">
        <v>196</v>
      </c>
      <c r="AH560">
        <f>AI560</f>
        <v>3.3879782999999997E-2</v>
      </c>
      <c r="AI560">
        <f t="shared" ref="AI560:AI562" si="248">AJ560</f>
        <v>3.3879782999999997E-2</v>
      </c>
      <c r="AJ560">
        <f t="shared" si="228"/>
        <v>3.3879782999999997E-2</v>
      </c>
      <c r="AK560">
        <v>3.3879782999999997E-2</v>
      </c>
      <c r="AL560">
        <v>3.5361839999999999E-2</v>
      </c>
      <c r="AM560">
        <v>3.8461540000000002E-2</v>
      </c>
      <c r="AN560">
        <v>3.9726025999999998E-2</v>
      </c>
      <c r="AO560">
        <v>96.6120217</v>
      </c>
      <c r="AP560">
        <v>96.463815999999994</v>
      </c>
      <c r="AQ560">
        <v>96.153846000000001</v>
      </c>
      <c r="AR560">
        <v>96.027397399999998</v>
      </c>
      <c r="AS560" t="b">
        <v>0</v>
      </c>
      <c r="AT560" t="b">
        <v>0</v>
      </c>
      <c r="AU560" t="s">
        <v>77</v>
      </c>
      <c r="AV560" t="s">
        <v>108</v>
      </c>
      <c r="AW560" t="s">
        <v>783</v>
      </c>
      <c r="AX560" t="s">
        <v>812</v>
      </c>
      <c r="AY560" t="s">
        <v>889</v>
      </c>
      <c r="AZ560" t="s">
        <v>109</v>
      </c>
      <c r="BA560">
        <v>2</v>
      </c>
      <c r="BB560">
        <v>0.1</v>
      </c>
      <c r="BC560">
        <v>6.6481995999999998E-3</v>
      </c>
      <c r="BD560">
        <v>2.8322716361753601E-4</v>
      </c>
      <c r="BE560">
        <v>6.9314267636175399E-3</v>
      </c>
      <c r="BF560">
        <f>IF(AK560&lt;BE560,1,0)</f>
        <v>0</v>
      </c>
      <c r="BG560">
        <f>IF(AK560&lt;BC560,1,0)</f>
        <v>0</v>
      </c>
      <c r="BH560">
        <f>VLOOKUP($B560,[1]Data_Peer_with_peerVars!$B$2:$Z$1050,20,FALSE)</f>
        <v>12</v>
      </c>
      <c r="BI560">
        <f>VLOOKUP($B560,[1]Data_Peer_with_peerVars!$B$2:$Z$1050,21,FALSE)</f>
        <v>2</v>
      </c>
      <c r="BJ560">
        <f>VLOOKUP($B560,[1]Data_Peer_with_peerVars!$B$2:$Z$1050,22,FALSE)</f>
        <v>0.16666666699999999</v>
      </c>
      <c r="BK560">
        <f>VLOOKUP($B560,[1]Data_Peer_with_peerVars!$B$2:$Z$1050,23,FALSE)</f>
        <v>26</v>
      </c>
      <c r="BL560">
        <f>VLOOKUP($B560,[1]Data_Peer_with_peerVars!$B$2:$Z$1050,24,FALSE)</f>
        <v>10</v>
      </c>
      <c r="BM560">
        <f>VLOOKUP($B560,[1]Data_Peer_with_peerVars!$B$2:$Z$1050,25,FALSE)</f>
        <v>0.38461538499999998</v>
      </c>
    </row>
    <row r="561" spans="1:65" x14ac:dyDescent="0.2">
      <c r="A561">
        <v>1</v>
      </c>
      <c r="B561" t="s">
        <v>900</v>
      </c>
      <c r="C561">
        <v>318</v>
      </c>
      <c r="D561" t="s">
        <v>68</v>
      </c>
      <c r="E561">
        <v>0</v>
      </c>
      <c r="F561">
        <v>112</v>
      </c>
      <c r="G561" t="s">
        <v>97</v>
      </c>
      <c r="H561" s="1">
        <v>7</v>
      </c>
      <c r="I561" t="s">
        <v>87</v>
      </c>
      <c r="J561" t="s">
        <v>111</v>
      </c>
      <c r="K561" t="s">
        <v>109</v>
      </c>
      <c r="L561">
        <v>2</v>
      </c>
      <c r="M561">
        <v>0</v>
      </c>
      <c r="N561">
        <v>1</v>
      </c>
      <c r="O561">
        <v>0</v>
      </c>
      <c r="P561">
        <v>0</v>
      </c>
      <c r="Q561">
        <v>1</v>
      </c>
      <c r="R561">
        <v>0</v>
      </c>
      <c r="S561">
        <v>0</v>
      </c>
      <c r="T561">
        <v>0</v>
      </c>
      <c r="U561">
        <v>0</v>
      </c>
      <c r="V561">
        <f t="shared" si="227"/>
        <v>0</v>
      </c>
      <c r="W561">
        <f t="shared" si="229"/>
        <v>1</v>
      </c>
      <c r="X561">
        <v>1</v>
      </c>
      <c r="Y561">
        <v>1</v>
      </c>
      <c r="Z561" t="s">
        <v>76</v>
      </c>
      <c r="AA561" s="5" t="s">
        <v>76</v>
      </c>
      <c r="AB561" s="5" t="s">
        <v>76</v>
      </c>
      <c r="AC561" t="s">
        <v>74</v>
      </c>
      <c r="AD561" t="s">
        <v>76</v>
      </c>
      <c r="AE561" s="5" t="s">
        <v>76</v>
      </c>
      <c r="AF561" t="s">
        <v>75</v>
      </c>
      <c r="AG561" t="s">
        <v>120</v>
      </c>
      <c r="AH561">
        <f t="shared" ref="AH561:AH563" si="249">AI561</f>
        <v>7.5136610000000006E-2</v>
      </c>
      <c r="AI561">
        <f t="shared" si="248"/>
        <v>7.5136610000000006E-2</v>
      </c>
      <c r="AJ561">
        <f t="shared" ref="AJ561:AJ562" si="250">AL561</f>
        <v>7.5136610000000006E-2</v>
      </c>
      <c r="AK561">
        <v>5.7017541999999997E-2</v>
      </c>
      <c r="AL561">
        <v>7.5136610000000006E-2</v>
      </c>
      <c r="AM561">
        <v>0.1012589</v>
      </c>
      <c r="AN561">
        <v>0.109836064</v>
      </c>
      <c r="AO561">
        <v>94.298245800000004</v>
      </c>
      <c r="AP561">
        <v>92.486339000000001</v>
      </c>
      <c r="AQ561">
        <v>89.874110000000002</v>
      </c>
      <c r="AR561">
        <v>89.016393600000001</v>
      </c>
      <c r="AS561" t="b">
        <v>0</v>
      </c>
      <c r="AT561" t="b">
        <v>1</v>
      </c>
      <c r="AU561" t="s">
        <v>77</v>
      </c>
      <c r="AV561" t="s">
        <v>77</v>
      </c>
      <c r="AW561" t="s">
        <v>783</v>
      </c>
      <c r="AX561" t="s">
        <v>812</v>
      </c>
      <c r="AY561" t="s">
        <v>889</v>
      </c>
      <c r="AZ561" t="s">
        <v>109</v>
      </c>
      <c r="BA561">
        <v>3</v>
      </c>
      <c r="BB561">
        <v>0.17499999999999899</v>
      </c>
      <c r="BC561">
        <v>2.4738868000000001E-3</v>
      </c>
      <c r="BD561">
        <v>1.4256942275279999E-4</v>
      </c>
      <c r="BE561">
        <v>2.6164562227527998E-3</v>
      </c>
      <c r="BF561">
        <f>IF(AK561&lt;BE561,1,0)</f>
        <v>0</v>
      </c>
      <c r="BG561">
        <f>IF(AK561&lt;BC561,1,0)</f>
        <v>0</v>
      </c>
      <c r="BH561">
        <f>VLOOKUP($B561,[1]Data_Peer_with_peerVars!$B$2:$Z$1050,20,FALSE)</f>
        <v>7</v>
      </c>
      <c r="BI561">
        <f>VLOOKUP($B561,[1]Data_Peer_with_peerVars!$B$2:$Z$1050,21,FALSE)</f>
        <v>2</v>
      </c>
      <c r="BJ561">
        <f>VLOOKUP($B561,[1]Data_Peer_with_peerVars!$B$2:$Z$1050,22,FALSE)</f>
        <v>0.28571428599999998</v>
      </c>
      <c r="BK561">
        <f>VLOOKUP($B561,[1]Data_Peer_with_peerVars!$B$2:$Z$1050,23,FALSE)</f>
        <v>35</v>
      </c>
      <c r="BL561">
        <f>VLOOKUP($B561,[1]Data_Peer_with_peerVars!$B$2:$Z$1050,24,FALSE)</f>
        <v>14</v>
      </c>
      <c r="BM561">
        <f>VLOOKUP($B561,[1]Data_Peer_with_peerVars!$B$2:$Z$1050,25,FALSE)</f>
        <v>0.4</v>
      </c>
    </row>
    <row r="562" spans="1:65" x14ac:dyDescent="0.2">
      <c r="A562">
        <v>1</v>
      </c>
      <c r="B562" t="s">
        <v>901</v>
      </c>
      <c r="C562">
        <v>318</v>
      </c>
      <c r="D562" t="s">
        <v>68</v>
      </c>
      <c r="E562">
        <v>0</v>
      </c>
      <c r="F562">
        <v>112</v>
      </c>
      <c r="G562" t="s">
        <v>97</v>
      </c>
      <c r="H562" s="1">
        <v>7</v>
      </c>
      <c r="I562" t="s">
        <v>87</v>
      </c>
      <c r="J562" t="s">
        <v>111</v>
      </c>
      <c r="K562" t="s">
        <v>109</v>
      </c>
      <c r="L562">
        <v>2</v>
      </c>
      <c r="M562">
        <v>0</v>
      </c>
      <c r="N562">
        <v>1</v>
      </c>
      <c r="O562">
        <v>0</v>
      </c>
      <c r="P562">
        <v>0</v>
      </c>
      <c r="Q562">
        <v>1</v>
      </c>
      <c r="R562">
        <v>0</v>
      </c>
      <c r="S562">
        <v>0</v>
      </c>
      <c r="T562">
        <v>0</v>
      </c>
      <c r="U562">
        <v>0</v>
      </c>
      <c r="V562">
        <f t="shared" si="227"/>
        <v>0</v>
      </c>
      <c r="W562">
        <f t="shared" si="229"/>
        <v>1</v>
      </c>
      <c r="X562">
        <v>1</v>
      </c>
      <c r="Y562">
        <v>1</v>
      </c>
      <c r="Z562" t="s">
        <v>287</v>
      </c>
      <c r="AA562" s="5" t="s">
        <v>287</v>
      </c>
      <c r="AB562" s="5" t="s">
        <v>287</v>
      </c>
      <c r="AC562" t="s">
        <v>91</v>
      </c>
      <c r="AD562" t="s">
        <v>287</v>
      </c>
      <c r="AE562" s="5" t="s">
        <v>287</v>
      </c>
      <c r="AF562" t="s">
        <v>137</v>
      </c>
      <c r="AG562" t="s">
        <v>84</v>
      </c>
      <c r="AH562">
        <f t="shared" si="249"/>
        <v>0.11775956</v>
      </c>
      <c r="AI562">
        <f t="shared" si="248"/>
        <v>0.11775956</v>
      </c>
      <c r="AJ562">
        <f t="shared" si="250"/>
        <v>0.11775956</v>
      </c>
      <c r="AK562">
        <v>7.3810825000000004E-3</v>
      </c>
      <c r="AL562">
        <v>0.11775956</v>
      </c>
      <c r="AM562">
        <v>0.12950819999999999</v>
      </c>
      <c r="AN562">
        <v>0.13241759</v>
      </c>
      <c r="AO562">
        <v>99.261891750000004</v>
      </c>
      <c r="AP562">
        <v>88.224044000000006</v>
      </c>
      <c r="AQ562">
        <v>87.049180000000007</v>
      </c>
      <c r="AR562">
        <v>86.758240999999998</v>
      </c>
      <c r="AS562" t="b">
        <v>0</v>
      </c>
      <c r="AT562" t="b">
        <v>1</v>
      </c>
      <c r="AU562" t="s">
        <v>77</v>
      </c>
      <c r="AV562" t="s">
        <v>78</v>
      </c>
      <c r="AW562" t="s">
        <v>783</v>
      </c>
      <c r="AX562" t="s">
        <v>812</v>
      </c>
      <c r="AY562" t="s">
        <v>889</v>
      </c>
      <c r="AZ562" t="s">
        <v>109</v>
      </c>
      <c r="BA562">
        <v>5</v>
      </c>
      <c r="BB562">
        <v>0.17499999999999899</v>
      </c>
      <c r="BC562">
        <v>9.0659339999999995E-3</v>
      </c>
      <c r="BD562">
        <v>2.76583658862385E-3</v>
      </c>
      <c r="BE562">
        <v>1.1831770588623799E-2</v>
      </c>
      <c r="BF562">
        <f>IF(AK562&lt;BE562,1,0)</f>
        <v>1</v>
      </c>
      <c r="BG562">
        <f>IF(AK562&lt;BC562,1,0)</f>
        <v>1</v>
      </c>
      <c r="BH562">
        <f>VLOOKUP($B562,[1]Data_Peer_with_peerVars!$B$2:$Z$1050,20,FALSE)</f>
        <v>7</v>
      </c>
      <c r="BI562">
        <f>VLOOKUP($B562,[1]Data_Peer_with_peerVars!$B$2:$Z$1050,21,FALSE)</f>
        <v>2</v>
      </c>
      <c r="BJ562">
        <f>VLOOKUP($B562,[1]Data_Peer_with_peerVars!$B$2:$Z$1050,22,FALSE)</f>
        <v>0.28571428599999998</v>
      </c>
      <c r="BK562">
        <f>VLOOKUP($B562,[1]Data_Peer_with_peerVars!$B$2:$Z$1050,23,FALSE)</f>
        <v>35</v>
      </c>
      <c r="BL562">
        <f>VLOOKUP($B562,[1]Data_Peer_with_peerVars!$B$2:$Z$1050,24,FALSE)</f>
        <v>14</v>
      </c>
      <c r="BM562">
        <f>VLOOKUP($B562,[1]Data_Peer_with_peerVars!$B$2:$Z$1050,25,FALSE)</f>
        <v>0.4</v>
      </c>
    </row>
    <row r="563" spans="1:65" x14ac:dyDescent="0.2">
      <c r="A563">
        <v>1</v>
      </c>
      <c r="B563" t="s">
        <v>902</v>
      </c>
      <c r="C563">
        <v>319</v>
      </c>
      <c r="D563" t="s">
        <v>68</v>
      </c>
      <c r="E563">
        <v>0</v>
      </c>
      <c r="F563">
        <v>113</v>
      </c>
      <c r="G563" t="s">
        <v>97</v>
      </c>
      <c r="H563" s="1">
        <v>7</v>
      </c>
      <c r="I563" t="s">
        <v>87</v>
      </c>
      <c r="J563" t="s">
        <v>111</v>
      </c>
      <c r="K563" t="s">
        <v>109</v>
      </c>
      <c r="L563">
        <v>1</v>
      </c>
      <c r="M563">
        <v>1</v>
      </c>
      <c r="N563">
        <v>1</v>
      </c>
      <c r="O563">
        <v>0</v>
      </c>
      <c r="P563">
        <v>0</v>
      </c>
      <c r="Q563">
        <v>3</v>
      </c>
      <c r="R563">
        <v>0</v>
      </c>
      <c r="S563">
        <v>0</v>
      </c>
      <c r="T563">
        <v>0</v>
      </c>
      <c r="U563">
        <v>0</v>
      </c>
      <c r="V563">
        <f t="shared" si="227"/>
        <v>1</v>
      </c>
      <c r="W563">
        <v>1</v>
      </c>
      <c r="X563">
        <v>1</v>
      </c>
      <c r="Y563">
        <v>1</v>
      </c>
      <c r="Z563" t="s">
        <v>91</v>
      </c>
      <c r="AA563" s="5" t="s">
        <v>91</v>
      </c>
      <c r="AB563" s="5" t="s">
        <v>91</v>
      </c>
      <c r="AC563" t="s">
        <v>91</v>
      </c>
      <c r="AD563" t="s">
        <v>287</v>
      </c>
      <c r="AE563" s="5" t="s">
        <v>287</v>
      </c>
      <c r="AF563" t="s">
        <v>137</v>
      </c>
      <c r="AG563" t="s">
        <v>84</v>
      </c>
      <c r="AH563">
        <f t="shared" si="249"/>
        <v>7.3891627000000001E-3</v>
      </c>
      <c r="AI563">
        <f>AJ563</f>
        <v>7.3891627000000001E-3</v>
      </c>
      <c r="AJ563">
        <f t="shared" si="228"/>
        <v>7.3891627000000001E-3</v>
      </c>
      <c r="AK563">
        <v>7.3891627000000001E-3</v>
      </c>
      <c r="AL563">
        <v>0.11597374000000001</v>
      </c>
      <c r="AM563">
        <v>0.12766538999999999</v>
      </c>
      <c r="AN563">
        <v>0.13228823000000001</v>
      </c>
      <c r="AO563">
        <v>99.261083729999996</v>
      </c>
      <c r="AP563">
        <v>88.402625999999998</v>
      </c>
      <c r="AQ563">
        <v>87.233461000000005</v>
      </c>
      <c r="AR563">
        <v>86.771176999999994</v>
      </c>
      <c r="AS563" t="b">
        <v>1</v>
      </c>
      <c r="AT563" t="b">
        <v>0</v>
      </c>
      <c r="AU563" t="s">
        <v>77</v>
      </c>
      <c r="AV563" t="s">
        <v>78</v>
      </c>
      <c r="AW563" t="s">
        <v>783</v>
      </c>
      <c r="AX563" t="s">
        <v>812</v>
      </c>
      <c r="AY563" t="s">
        <v>889</v>
      </c>
      <c r="AZ563" t="s">
        <v>109</v>
      </c>
      <c r="BA563">
        <v>13</v>
      </c>
      <c r="BB563">
        <v>1.4</v>
      </c>
      <c r="BC563">
        <v>9.0659339999999995E-3</v>
      </c>
      <c r="BD563">
        <v>2.76583658862385E-3</v>
      </c>
      <c r="BE563">
        <v>1.1831770588623799E-2</v>
      </c>
      <c r="BF563">
        <f>IF(AK563&lt;BE563,1,0)</f>
        <v>1</v>
      </c>
      <c r="BG563">
        <f>IF(AK563&lt;BC563,1,0)</f>
        <v>1</v>
      </c>
      <c r="BH563">
        <f>VLOOKUP($B563,[1]Data_Peer_with_peerVars!$B$2:$Z$1050,20,FALSE)</f>
        <v>16</v>
      </c>
      <c r="BI563">
        <f>VLOOKUP($B563,[1]Data_Peer_with_peerVars!$B$2:$Z$1050,21,FALSE)</f>
        <v>6</v>
      </c>
      <c r="BJ563">
        <f>VLOOKUP($B563,[1]Data_Peer_with_peerVars!$B$2:$Z$1050,22,FALSE)</f>
        <v>0.375</v>
      </c>
      <c r="BK563">
        <f>VLOOKUP($B563,[1]Data_Peer_with_peerVars!$B$2:$Z$1050,23,FALSE)</f>
        <v>68</v>
      </c>
      <c r="BL563">
        <f>VLOOKUP($B563,[1]Data_Peer_with_peerVars!$B$2:$Z$1050,24,FALSE)</f>
        <v>36</v>
      </c>
      <c r="BM563">
        <f>VLOOKUP($B563,[1]Data_Peer_with_peerVars!$B$2:$Z$1050,25,FALSE)</f>
        <v>0.52941176499999998</v>
      </c>
    </row>
    <row r="564" spans="1:65" x14ac:dyDescent="0.2">
      <c r="A564">
        <v>1</v>
      </c>
      <c r="B564" t="s">
        <v>903</v>
      </c>
      <c r="C564">
        <v>320</v>
      </c>
      <c r="D564" t="s">
        <v>68</v>
      </c>
      <c r="E564">
        <v>0</v>
      </c>
      <c r="F564">
        <v>115</v>
      </c>
      <c r="G564" t="s">
        <v>97</v>
      </c>
      <c r="H564" s="1">
        <v>7</v>
      </c>
      <c r="I564" t="s">
        <v>87</v>
      </c>
      <c r="J564" t="s">
        <v>111</v>
      </c>
      <c r="K564" t="s">
        <v>109</v>
      </c>
      <c r="L564">
        <v>1</v>
      </c>
      <c r="M564">
        <v>1</v>
      </c>
      <c r="N564">
        <v>1</v>
      </c>
      <c r="O564">
        <v>0</v>
      </c>
      <c r="P564">
        <v>0</v>
      </c>
      <c r="Q564">
        <v>0</v>
      </c>
      <c r="R564">
        <v>0</v>
      </c>
      <c r="S564">
        <v>0</v>
      </c>
      <c r="T564">
        <v>0</v>
      </c>
      <c r="U564">
        <v>0</v>
      </c>
      <c r="V564">
        <f t="shared" si="227"/>
        <v>0</v>
      </c>
      <c r="W564">
        <f t="shared" si="229"/>
        <v>0</v>
      </c>
      <c r="X564">
        <f t="shared" si="230"/>
        <v>0</v>
      </c>
      <c r="Y564">
        <f t="shared" si="231"/>
        <v>0</v>
      </c>
      <c r="Z564" t="s">
        <v>91</v>
      </c>
      <c r="AA564" s="5" t="s">
        <v>91</v>
      </c>
      <c r="AB564" s="5" t="s">
        <v>91</v>
      </c>
      <c r="AC564" t="s">
        <v>287</v>
      </c>
      <c r="AD564" t="s">
        <v>137</v>
      </c>
      <c r="AE564" s="5" t="s">
        <v>308</v>
      </c>
      <c r="AF564" t="s">
        <v>113</v>
      </c>
      <c r="AG564" t="s">
        <v>103</v>
      </c>
      <c r="AH564">
        <f t="shared" ref="AH564:AH570" si="251">AI564</f>
        <v>0.11790393</v>
      </c>
      <c r="AI564">
        <f t="shared" ref="AI564:AI569" si="252">AJ564</f>
        <v>0.11790393</v>
      </c>
      <c r="AJ564">
        <f t="shared" si="228"/>
        <v>0.11790393</v>
      </c>
      <c r="AK564">
        <v>0.11790393</v>
      </c>
      <c r="AL564">
        <v>0.12015292</v>
      </c>
      <c r="AM564">
        <v>0.13186813999999999</v>
      </c>
      <c r="AN564">
        <v>0.14096916000000001</v>
      </c>
      <c r="AO564">
        <v>88.209607000000005</v>
      </c>
      <c r="AP564">
        <v>87.984707999999998</v>
      </c>
      <c r="AQ564">
        <v>86.813186000000002</v>
      </c>
      <c r="AR564">
        <v>85.903084000000007</v>
      </c>
      <c r="AS564" t="b">
        <v>0</v>
      </c>
      <c r="AT564" t="b">
        <v>0</v>
      </c>
      <c r="AU564" t="s">
        <v>78</v>
      </c>
      <c r="AV564" t="s">
        <v>108</v>
      </c>
      <c r="AW564" t="s">
        <v>783</v>
      </c>
      <c r="AX564" t="s">
        <v>812</v>
      </c>
      <c r="AY564" t="s">
        <v>889</v>
      </c>
      <c r="AZ564" t="s">
        <v>109</v>
      </c>
      <c r="BA564">
        <v>3</v>
      </c>
      <c r="BB564">
        <v>0.35</v>
      </c>
      <c r="BC564">
        <v>5.5106750000000003E-2</v>
      </c>
      <c r="BD564">
        <v>2.4361461616194298E-3</v>
      </c>
      <c r="BE564">
        <v>5.7542896161619402E-2</v>
      </c>
      <c r="BF564">
        <f>IF(AK564&lt;BE564,1,0)</f>
        <v>0</v>
      </c>
      <c r="BG564">
        <f>IF(AK564&lt;BC564,1,0)</f>
        <v>0</v>
      </c>
      <c r="BH564">
        <f>VLOOKUP($B564,[1]Data_Peer_with_peerVars!$B$2:$Z$1050,20,FALSE)</f>
        <v>0</v>
      </c>
      <c r="BI564">
        <f>VLOOKUP($B564,[1]Data_Peer_with_peerVars!$B$2:$Z$1050,21,FALSE)</f>
        <v>0</v>
      </c>
      <c r="BJ564">
        <v>0</v>
      </c>
      <c r="BK564">
        <f>VLOOKUP($B564,[1]Data_Peer_with_peerVars!$B$2:$Z$1050,23,FALSE)</f>
        <v>53</v>
      </c>
      <c r="BL564">
        <f>VLOOKUP($B564,[1]Data_Peer_with_peerVars!$B$2:$Z$1050,24,FALSE)</f>
        <v>21</v>
      </c>
      <c r="BM564">
        <f>VLOOKUP($B564,[1]Data_Peer_with_peerVars!$B$2:$Z$1050,25,FALSE)</f>
        <v>0.396226415</v>
      </c>
    </row>
    <row r="565" spans="1:65" x14ac:dyDescent="0.2">
      <c r="A565">
        <v>1</v>
      </c>
      <c r="B565" t="s">
        <v>904</v>
      </c>
      <c r="C565">
        <v>321</v>
      </c>
      <c r="D565" t="s">
        <v>68</v>
      </c>
      <c r="E565">
        <v>0</v>
      </c>
      <c r="F565">
        <v>116</v>
      </c>
      <c r="G565" t="s">
        <v>97</v>
      </c>
      <c r="H565" s="1">
        <v>6</v>
      </c>
      <c r="I565" t="s">
        <v>87</v>
      </c>
      <c r="J565" t="s">
        <v>111</v>
      </c>
      <c r="K565" t="s">
        <v>109</v>
      </c>
      <c r="L565">
        <v>1</v>
      </c>
      <c r="M565">
        <v>0</v>
      </c>
      <c r="N565">
        <v>1</v>
      </c>
      <c r="O565">
        <v>0</v>
      </c>
      <c r="P565">
        <v>0</v>
      </c>
      <c r="Q565">
        <v>15</v>
      </c>
      <c r="R565">
        <v>0</v>
      </c>
      <c r="S565">
        <v>0</v>
      </c>
      <c r="T565">
        <v>0</v>
      </c>
      <c r="U565">
        <v>0</v>
      </c>
      <c r="V565">
        <f t="shared" si="227"/>
        <v>0</v>
      </c>
      <c r="W565">
        <f t="shared" si="229"/>
        <v>0</v>
      </c>
      <c r="X565">
        <f t="shared" si="230"/>
        <v>0</v>
      </c>
      <c r="Y565">
        <f t="shared" si="231"/>
        <v>0</v>
      </c>
      <c r="Z565" t="s">
        <v>76</v>
      </c>
      <c r="AA565" s="5" t="s">
        <v>76</v>
      </c>
      <c r="AB565" s="5" t="s">
        <v>76</v>
      </c>
      <c r="AC565" t="s">
        <v>101</v>
      </c>
      <c r="AD565" t="s">
        <v>120</v>
      </c>
      <c r="AE565" s="5" t="s">
        <v>120</v>
      </c>
      <c r="AF565" t="s">
        <v>167</v>
      </c>
      <c r="AG565" t="s">
        <v>102</v>
      </c>
      <c r="AH565">
        <f t="shared" si="251"/>
        <v>0.11703297</v>
      </c>
      <c r="AI565">
        <f t="shared" si="252"/>
        <v>0.11703297</v>
      </c>
      <c r="AJ565">
        <f t="shared" si="228"/>
        <v>0.11703297</v>
      </c>
      <c r="AK565">
        <v>0.11703297</v>
      </c>
      <c r="AL565">
        <v>0.123838164</v>
      </c>
      <c r="AM565">
        <v>0.12835984</v>
      </c>
      <c r="AN565">
        <v>0.13045851999999999</v>
      </c>
      <c r="AO565">
        <v>88.296702999999994</v>
      </c>
      <c r="AP565">
        <v>87.616183599999999</v>
      </c>
      <c r="AQ565">
        <v>87.164016000000004</v>
      </c>
      <c r="AR565">
        <v>86.954148000000004</v>
      </c>
      <c r="AS565" t="b">
        <v>0</v>
      </c>
      <c r="AT565" t="b">
        <v>0</v>
      </c>
      <c r="AU565" t="s">
        <v>78</v>
      </c>
      <c r="AV565" t="s">
        <v>78</v>
      </c>
      <c r="AW565" t="s">
        <v>783</v>
      </c>
      <c r="AX565" t="s">
        <v>812</v>
      </c>
      <c r="AY565" t="s">
        <v>889</v>
      </c>
      <c r="AZ565" t="s">
        <v>109</v>
      </c>
      <c r="BA565">
        <v>1</v>
      </c>
      <c r="BB565">
        <v>0.35</v>
      </c>
      <c r="BC565">
        <v>1.4096186E-2</v>
      </c>
      <c r="BD565">
        <v>1.55088650053763E-3</v>
      </c>
      <c r="BE565">
        <v>1.5647072500537599E-2</v>
      </c>
      <c r="BF565">
        <f>IF(AK565&lt;BE565,1,0)</f>
        <v>0</v>
      </c>
      <c r="BG565">
        <f>IF(AK565&lt;BC565,1,0)</f>
        <v>0</v>
      </c>
      <c r="BH565">
        <f>VLOOKUP($B565,[1]Data_Peer_with_peerVars!$B$2:$Z$1050,20,FALSE)</f>
        <v>18</v>
      </c>
      <c r="BI565">
        <f>VLOOKUP($B565,[1]Data_Peer_with_peerVars!$B$2:$Z$1050,21,FALSE)</f>
        <v>7</v>
      </c>
      <c r="BJ565">
        <f>VLOOKUP($B565,[1]Data_Peer_with_peerVars!$B$2:$Z$1050,22,FALSE)</f>
        <v>0.38888888900000002</v>
      </c>
      <c r="BK565">
        <f>VLOOKUP($B565,[1]Data_Peer_with_peerVars!$B$2:$Z$1050,23,FALSE)</f>
        <v>28</v>
      </c>
      <c r="BL565">
        <f>VLOOKUP($B565,[1]Data_Peer_with_peerVars!$B$2:$Z$1050,24,FALSE)</f>
        <v>12</v>
      </c>
      <c r="BM565">
        <f>VLOOKUP($B565,[1]Data_Peer_with_peerVars!$B$2:$Z$1050,25,FALSE)</f>
        <v>0.428571429</v>
      </c>
    </row>
    <row r="566" spans="1:65" x14ac:dyDescent="0.2">
      <c r="A566">
        <v>1</v>
      </c>
      <c r="B566" t="s">
        <v>905</v>
      </c>
      <c r="C566">
        <v>322</v>
      </c>
      <c r="D566" t="s">
        <v>68</v>
      </c>
      <c r="E566">
        <v>0</v>
      </c>
      <c r="F566">
        <v>117</v>
      </c>
      <c r="G566" t="s">
        <v>97</v>
      </c>
      <c r="H566" s="1">
        <v>7</v>
      </c>
      <c r="I566" t="s">
        <v>87</v>
      </c>
      <c r="J566" t="s">
        <v>111</v>
      </c>
      <c r="K566" t="s">
        <v>109</v>
      </c>
      <c r="L566">
        <v>1</v>
      </c>
      <c r="M566">
        <v>1</v>
      </c>
      <c r="N566">
        <v>1</v>
      </c>
      <c r="O566">
        <v>0</v>
      </c>
      <c r="P566">
        <v>0</v>
      </c>
      <c r="Q566">
        <v>7</v>
      </c>
      <c r="R566">
        <v>0</v>
      </c>
      <c r="S566">
        <v>0</v>
      </c>
      <c r="T566">
        <v>0</v>
      </c>
      <c r="U566">
        <v>0</v>
      </c>
      <c r="V566">
        <f t="shared" si="227"/>
        <v>0</v>
      </c>
      <c r="W566">
        <f t="shared" si="229"/>
        <v>0</v>
      </c>
      <c r="X566">
        <f t="shared" si="230"/>
        <v>0</v>
      </c>
      <c r="Y566">
        <f t="shared" si="231"/>
        <v>0</v>
      </c>
      <c r="Z566" t="s">
        <v>177</v>
      </c>
      <c r="AA566" s="5" t="s">
        <v>198</v>
      </c>
      <c r="AB566" s="5" t="s">
        <v>899</v>
      </c>
      <c r="AC566" t="s">
        <v>91</v>
      </c>
      <c r="AD566" t="s">
        <v>287</v>
      </c>
      <c r="AE566" s="5" t="s">
        <v>287</v>
      </c>
      <c r="AF566" t="s">
        <v>137</v>
      </c>
      <c r="AG566" t="s">
        <v>84</v>
      </c>
      <c r="AH566">
        <f t="shared" si="251"/>
        <v>3.5538545000000001E-3</v>
      </c>
      <c r="AI566">
        <f t="shared" si="252"/>
        <v>3.5538545000000001E-3</v>
      </c>
      <c r="AJ566">
        <f t="shared" si="228"/>
        <v>3.5538545000000001E-3</v>
      </c>
      <c r="AK566">
        <v>3.5538545000000001E-3</v>
      </c>
      <c r="AL566">
        <v>0.1215847</v>
      </c>
      <c r="AM566">
        <v>0.12998361999999999</v>
      </c>
      <c r="AN566">
        <v>0.13324175999999999</v>
      </c>
      <c r="AO566">
        <v>99.64461455</v>
      </c>
      <c r="AP566">
        <v>87.841530000000006</v>
      </c>
      <c r="AQ566">
        <v>87.001638</v>
      </c>
      <c r="AR566">
        <v>86.675824000000006</v>
      </c>
      <c r="AS566" t="b">
        <v>0</v>
      </c>
      <c r="AT566" t="b">
        <v>0</v>
      </c>
      <c r="AU566" t="s">
        <v>77</v>
      </c>
      <c r="AV566" t="s">
        <v>78</v>
      </c>
      <c r="AW566" t="s">
        <v>783</v>
      </c>
      <c r="AX566" t="s">
        <v>812</v>
      </c>
      <c r="AY566" t="s">
        <v>889</v>
      </c>
      <c r="AZ566" t="s">
        <v>109</v>
      </c>
      <c r="BA566">
        <v>2</v>
      </c>
      <c r="BB566">
        <v>0.7</v>
      </c>
      <c r="BC566">
        <v>9.0659339999999995E-3</v>
      </c>
      <c r="BD566">
        <v>2.76583658862385E-3</v>
      </c>
      <c r="BE566">
        <v>1.1831770588623799E-2</v>
      </c>
      <c r="BF566">
        <f>IF(AK566&lt;BE566,1,0)</f>
        <v>1</v>
      </c>
      <c r="BG566">
        <f>IF(AK566&lt;BC566,1,0)</f>
        <v>1</v>
      </c>
      <c r="BH566">
        <f>VLOOKUP($B566,[1]Data_Peer_with_peerVars!$B$2:$Z$1050,20,FALSE)</f>
        <v>14</v>
      </c>
      <c r="BI566">
        <f>VLOOKUP($B566,[1]Data_Peer_with_peerVars!$B$2:$Z$1050,21,FALSE)</f>
        <v>4</v>
      </c>
      <c r="BJ566">
        <f>VLOOKUP($B566,[1]Data_Peer_with_peerVars!$B$2:$Z$1050,22,FALSE)</f>
        <v>0.28571428599999998</v>
      </c>
      <c r="BK566">
        <f>VLOOKUP($B566,[1]Data_Peer_with_peerVars!$B$2:$Z$1050,23,FALSE)</f>
        <v>26</v>
      </c>
      <c r="BL566">
        <f>VLOOKUP($B566,[1]Data_Peer_with_peerVars!$B$2:$Z$1050,24,FALSE)</f>
        <v>11</v>
      </c>
      <c r="BM566">
        <f>VLOOKUP($B566,[1]Data_Peer_with_peerVars!$B$2:$Z$1050,25,FALSE)</f>
        <v>0.42307692299999999</v>
      </c>
    </row>
    <row r="567" spans="1:65" x14ac:dyDescent="0.2">
      <c r="A567">
        <v>1</v>
      </c>
      <c r="B567" t="s">
        <v>906</v>
      </c>
      <c r="C567">
        <v>322</v>
      </c>
      <c r="D567" t="s">
        <v>68</v>
      </c>
      <c r="E567">
        <v>0</v>
      </c>
      <c r="F567">
        <v>117</v>
      </c>
      <c r="G567" t="s">
        <v>97</v>
      </c>
      <c r="H567" s="1">
        <v>7</v>
      </c>
      <c r="I567" t="s">
        <v>87</v>
      </c>
      <c r="J567" t="s">
        <v>111</v>
      </c>
      <c r="K567" t="s">
        <v>109</v>
      </c>
      <c r="L567">
        <v>1</v>
      </c>
      <c r="M567">
        <v>1</v>
      </c>
      <c r="N567">
        <v>1</v>
      </c>
      <c r="O567">
        <v>0</v>
      </c>
      <c r="P567">
        <v>0</v>
      </c>
      <c r="Q567">
        <v>7</v>
      </c>
      <c r="R567">
        <v>0</v>
      </c>
      <c r="S567">
        <v>0</v>
      </c>
      <c r="T567">
        <v>0</v>
      </c>
      <c r="U567">
        <v>1</v>
      </c>
      <c r="V567">
        <f t="shared" si="227"/>
        <v>0</v>
      </c>
      <c r="W567">
        <f t="shared" si="229"/>
        <v>0</v>
      </c>
      <c r="X567">
        <f t="shared" si="230"/>
        <v>0</v>
      </c>
      <c r="Y567">
        <f t="shared" si="231"/>
        <v>0</v>
      </c>
      <c r="Z567" t="s">
        <v>91</v>
      </c>
      <c r="AA567" s="5" t="s">
        <v>91</v>
      </c>
      <c r="AB567" s="5" t="s">
        <v>91</v>
      </c>
      <c r="AC567" t="s">
        <v>76</v>
      </c>
      <c r="AD567" t="s">
        <v>74</v>
      </c>
      <c r="AE567" s="5" t="s">
        <v>74</v>
      </c>
      <c r="AF567" t="s">
        <v>120</v>
      </c>
      <c r="AG567" t="s">
        <v>174</v>
      </c>
      <c r="AH567">
        <f t="shared" si="251"/>
        <v>7.6902023999999999E-2</v>
      </c>
      <c r="AI567">
        <f t="shared" si="252"/>
        <v>7.6902023999999999E-2</v>
      </c>
      <c r="AJ567">
        <f t="shared" si="228"/>
        <v>7.6902023999999999E-2</v>
      </c>
      <c r="AK567">
        <v>7.6902023999999999E-2</v>
      </c>
      <c r="AL567">
        <v>0.12705817999999999</v>
      </c>
      <c r="AM567">
        <v>0.12828228</v>
      </c>
      <c r="AN567">
        <v>0.13636364000000001</v>
      </c>
      <c r="AO567">
        <v>92.309797599999996</v>
      </c>
      <c r="AP567">
        <v>87.294182000000006</v>
      </c>
      <c r="AQ567">
        <v>87.171772000000004</v>
      </c>
      <c r="AR567">
        <v>86.363636</v>
      </c>
      <c r="AS567" t="b">
        <v>0</v>
      </c>
      <c r="AT567" t="b">
        <v>0</v>
      </c>
      <c r="AU567" t="s">
        <v>77</v>
      </c>
      <c r="AV567" t="s">
        <v>78</v>
      </c>
      <c r="AW567" t="s">
        <v>783</v>
      </c>
      <c r="AX567" t="s">
        <v>812</v>
      </c>
      <c r="AY567" t="s">
        <v>889</v>
      </c>
      <c r="AZ567" t="s">
        <v>109</v>
      </c>
      <c r="BA567">
        <v>4</v>
      </c>
      <c r="BB567">
        <v>0.35</v>
      </c>
      <c r="BC567">
        <v>7.7070764999999999E-2</v>
      </c>
      <c r="BD567">
        <v>1.90190515067399E-3</v>
      </c>
      <c r="BE567">
        <v>7.8972670150673996E-2</v>
      </c>
      <c r="BF567">
        <f>IF(AK567&lt;BE567,1,0)</f>
        <v>1</v>
      </c>
      <c r="BG567">
        <f>IF(AK567&lt;BC567,1,0)</f>
        <v>1</v>
      </c>
      <c r="BH567">
        <f>VLOOKUP($B567,[1]Data_Peer_with_peerVars!$B$2:$Z$1050,20,FALSE)</f>
        <v>14</v>
      </c>
      <c r="BI567">
        <f>VLOOKUP($B567,[1]Data_Peer_with_peerVars!$B$2:$Z$1050,21,FALSE)</f>
        <v>4</v>
      </c>
      <c r="BJ567">
        <f>VLOOKUP($B567,[1]Data_Peer_with_peerVars!$B$2:$Z$1050,22,FALSE)</f>
        <v>0.28571428599999998</v>
      </c>
      <c r="BK567">
        <f>VLOOKUP($B567,[1]Data_Peer_with_peerVars!$B$2:$Z$1050,23,FALSE)</f>
        <v>26</v>
      </c>
      <c r="BL567">
        <f>VLOOKUP($B567,[1]Data_Peer_with_peerVars!$B$2:$Z$1050,24,FALSE)</f>
        <v>11</v>
      </c>
      <c r="BM567">
        <f>VLOOKUP($B567,[1]Data_Peer_with_peerVars!$B$2:$Z$1050,25,FALSE)</f>
        <v>0.42307692299999999</v>
      </c>
    </row>
    <row r="568" spans="1:65" x14ac:dyDescent="0.2">
      <c r="A568">
        <v>1</v>
      </c>
      <c r="B568" t="s">
        <v>907</v>
      </c>
      <c r="C568">
        <v>323</v>
      </c>
      <c r="D568" t="s">
        <v>68</v>
      </c>
      <c r="E568">
        <v>0</v>
      </c>
      <c r="F568">
        <v>118</v>
      </c>
      <c r="G568" t="s">
        <v>97</v>
      </c>
      <c r="H568" s="1">
        <v>7</v>
      </c>
      <c r="I568" t="s">
        <v>87</v>
      </c>
      <c r="J568" t="s">
        <v>111</v>
      </c>
      <c r="K568" t="s">
        <v>109</v>
      </c>
      <c r="L568">
        <v>2</v>
      </c>
      <c r="M568">
        <v>0</v>
      </c>
      <c r="N568">
        <v>1</v>
      </c>
      <c r="O568">
        <v>0</v>
      </c>
      <c r="P568">
        <v>0</v>
      </c>
      <c r="Q568">
        <v>2</v>
      </c>
      <c r="R568">
        <v>0</v>
      </c>
      <c r="S568">
        <v>0</v>
      </c>
      <c r="T568">
        <v>0</v>
      </c>
      <c r="U568">
        <v>0</v>
      </c>
      <c r="V568">
        <f t="shared" si="227"/>
        <v>0</v>
      </c>
      <c r="W568">
        <f t="shared" si="229"/>
        <v>0</v>
      </c>
      <c r="X568">
        <f t="shared" si="230"/>
        <v>0</v>
      </c>
      <c r="Y568">
        <f t="shared" si="231"/>
        <v>0</v>
      </c>
      <c r="Z568" t="s">
        <v>98</v>
      </c>
      <c r="AA568" s="5" t="s">
        <v>170</v>
      </c>
      <c r="AB568" s="5" t="s">
        <v>908</v>
      </c>
      <c r="AC568" t="s">
        <v>101</v>
      </c>
      <c r="AD568" t="s">
        <v>99</v>
      </c>
      <c r="AE568" s="5" t="s">
        <v>99</v>
      </c>
      <c r="AF568" t="s">
        <v>103</v>
      </c>
      <c r="AG568" t="s">
        <v>102</v>
      </c>
      <c r="AH568">
        <f t="shared" si="251"/>
        <v>6.2637369999999998E-2</v>
      </c>
      <c r="AI568">
        <f t="shared" si="252"/>
        <v>6.2637369999999998E-2</v>
      </c>
      <c r="AJ568">
        <f t="shared" si="228"/>
        <v>6.2637369999999998E-2</v>
      </c>
      <c r="AK568">
        <v>6.2637369999999998E-2</v>
      </c>
      <c r="AL568">
        <v>8.4437090000000006E-2</v>
      </c>
      <c r="AM568">
        <v>9.9337750000000002E-2</v>
      </c>
      <c r="AN568">
        <v>0.13142076</v>
      </c>
      <c r="AO568">
        <v>93.736262999999994</v>
      </c>
      <c r="AP568">
        <v>91.556291000000002</v>
      </c>
      <c r="AQ568">
        <v>90.066225000000003</v>
      </c>
      <c r="AR568">
        <v>86.857923999999997</v>
      </c>
      <c r="AS568" t="b">
        <v>0</v>
      </c>
      <c r="AT568" t="b">
        <v>0</v>
      </c>
      <c r="AU568" t="s">
        <v>92</v>
      </c>
      <c r="AV568" t="s">
        <v>92</v>
      </c>
      <c r="AW568" t="s">
        <v>783</v>
      </c>
      <c r="AX568" t="s">
        <v>812</v>
      </c>
      <c r="AY568" t="s">
        <v>889</v>
      </c>
      <c r="AZ568" t="s">
        <v>109</v>
      </c>
      <c r="BA568">
        <v>30</v>
      </c>
      <c r="BB568">
        <v>0.35</v>
      </c>
      <c r="BC568">
        <v>1.4096186E-2</v>
      </c>
      <c r="BD568">
        <v>1.55088650053763E-3</v>
      </c>
      <c r="BE568">
        <v>1.5647072500537599E-2</v>
      </c>
      <c r="BF568">
        <f>IF(AK568&lt;BE568,1,0)</f>
        <v>0</v>
      </c>
      <c r="BG568">
        <f>IF(AK568&lt;BC568,1,0)</f>
        <v>0</v>
      </c>
      <c r="BH568">
        <f>VLOOKUP($B568,[1]Data_Peer_with_peerVars!$B$2:$Z$1050,20,FALSE)</f>
        <v>18</v>
      </c>
      <c r="BI568">
        <f>VLOOKUP($B568,[1]Data_Peer_with_peerVars!$B$2:$Z$1050,21,FALSE)</f>
        <v>7</v>
      </c>
      <c r="BJ568">
        <f>VLOOKUP($B568,[1]Data_Peer_with_peerVars!$B$2:$Z$1050,22,FALSE)</f>
        <v>0.38888888900000002</v>
      </c>
      <c r="BK568">
        <f>VLOOKUP($B568,[1]Data_Peer_with_peerVars!$B$2:$Z$1050,23,FALSE)</f>
        <v>29</v>
      </c>
      <c r="BL568">
        <f>VLOOKUP($B568,[1]Data_Peer_with_peerVars!$B$2:$Z$1050,24,FALSE)</f>
        <v>12</v>
      </c>
      <c r="BM568">
        <f>VLOOKUP($B568,[1]Data_Peer_with_peerVars!$B$2:$Z$1050,25,FALSE)</f>
        <v>0.413793103</v>
      </c>
    </row>
    <row r="569" spans="1:65" x14ac:dyDescent="0.2">
      <c r="A569">
        <v>1</v>
      </c>
      <c r="B569" t="s">
        <v>909</v>
      </c>
      <c r="C569">
        <v>324</v>
      </c>
      <c r="D569" t="s">
        <v>68</v>
      </c>
      <c r="E569">
        <v>0</v>
      </c>
      <c r="F569">
        <v>120</v>
      </c>
      <c r="G569" t="s">
        <v>97</v>
      </c>
      <c r="H569" s="1">
        <v>7</v>
      </c>
      <c r="I569" t="s">
        <v>87</v>
      </c>
      <c r="J569" t="s">
        <v>111</v>
      </c>
      <c r="K569" t="s">
        <v>109</v>
      </c>
      <c r="L569">
        <v>1</v>
      </c>
      <c r="M569">
        <v>1</v>
      </c>
      <c r="N569">
        <v>1</v>
      </c>
      <c r="O569">
        <v>0</v>
      </c>
      <c r="P569">
        <v>0</v>
      </c>
      <c r="Q569">
        <v>4</v>
      </c>
      <c r="R569">
        <v>0</v>
      </c>
      <c r="S569">
        <v>0</v>
      </c>
      <c r="T569">
        <v>0</v>
      </c>
      <c r="U569">
        <v>0</v>
      </c>
      <c r="V569">
        <f t="shared" si="227"/>
        <v>0</v>
      </c>
      <c r="W569">
        <f t="shared" si="229"/>
        <v>1</v>
      </c>
      <c r="X569">
        <v>1</v>
      </c>
      <c r="Y569">
        <v>1</v>
      </c>
      <c r="Z569" t="s">
        <v>287</v>
      </c>
      <c r="AA569" s="5" t="s">
        <v>287</v>
      </c>
      <c r="AB569" s="5" t="s">
        <v>287</v>
      </c>
      <c r="AC569" t="s">
        <v>91</v>
      </c>
      <c r="AD569" t="s">
        <v>287</v>
      </c>
      <c r="AE569" s="5" t="s">
        <v>287</v>
      </c>
      <c r="AF569" t="s">
        <v>137</v>
      </c>
      <c r="AG569" t="s">
        <v>84</v>
      </c>
      <c r="AH569">
        <f t="shared" si="251"/>
        <v>0.12089716</v>
      </c>
      <c r="AI569">
        <f t="shared" si="252"/>
        <v>0.12089716</v>
      </c>
      <c r="AJ569">
        <f>AL569</f>
        <v>0.12089716</v>
      </c>
      <c r="AK569">
        <v>3.2840723E-3</v>
      </c>
      <c r="AL569">
        <v>0.12089716</v>
      </c>
      <c r="AM569">
        <v>0.12848551999999999</v>
      </c>
      <c r="AN569">
        <v>0.13338833999999999</v>
      </c>
      <c r="AO569">
        <v>99.671592770000004</v>
      </c>
      <c r="AP569">
        <v>87.910284000000004</v>
      </c>
      <c r="AQ569">
        <v>87.151448000000002</v>
      </c>
      <c r="AR569">
        <v>86.661165999999994</v>
      </c>
      <c r="AS569" t="b">
        <v>0</v>
      </c>
      <c r="AT569" t="b">
        <v>1</v>
      </c>
      <c r="AU569" t="s">
        <v>77</v>
      </c>
      <c r="AV569" t="s">
        <v>78</v>
      </c>
      <c r="AW569" t="s">
        <v>783</v>
      </c>
      <c r="AX569" t="s">
        <v>812</v>
      </c>
      <c r="AY569" t="s">
        <v>889</v>
      </c>
      <c r="AZ569" t="s">
        <v>109</v>
      </c>
      <c r="BA569">
        <v>8</v>
      </c>
      <c r="BB569">
        <v>1</v>
      </c>
      <c r="BC569">
        <v>9.0659339999999995E-3</v>
      </c>
      <c r="BD569">
        <v>2.76583658862385E-3</v>
      </c>
      <c r="BE569">
        <v>1.1831770588623799E-2</v>
      </c>
      <c r="BF569">
        <f>IF(AK569&lt;BE569,1,0)</f>
        <v>1</v>
      </c>
      <c r="BG569">
        <f>IF(AK569&lt;BC569,1,0)</f>
        <v>1</v>
      </c>
      <c r="BH569">
        <f>VLOOKUP($B569,[1]Data_Peer_with_peerVars!$B$2:$Z$1050,20,FALSE)</f>
        <v>10</v>
      </c>
      <c r="BI569">
        <f>VLOOKUP($B569,[1]Data_Peer_with_peerVars!$B$2:$Z$1050,21,FALSE)</f>
        <v>4</v>
      </c>
      <c r="BJ569">
        <f>VLOOKUP($B569,[1]Data_Peer_with_peerVars!$B$2:$Z$1050,22,FALSE)</f>
        <v>0.4</v>
      </c>
      <c r="BK569">
        <f>VLOOKUP($B569,[1]Data_Peer_with_peerVars!$B$2:$Z$1050,23,FALSE)</f>
        <v>29</v>
      </c>
      <c r="BL569">
        <f>VLOOKUP($B569,[1]Data_Peer_with_peerVars!$B$2:$Z$1050,24,FALSE)</f>
        <v>11</v>
      </c>
      <c r="BM569">
        <f>VLOOKUP($B569,[1]Data_Peer_with_peerVars!$B$2:$Z$1050,25,FALSE)</f>
        <v>0.37931034499999999</v>
      </c>
    </row>
    <row r="570" spans="1:65" x14ac:dyDescent="0.2">
      <c r="A570">
        <v>1</v>
      </c>
      <c r="B570" t="s">
        <v>910</v>
      </c>
      <c r="C570">
        <v>325</v>
      </c>
      <c r="D570" t="s">
        <v>68</v>
      </c>
      <c r="E570">
        <v>0</v>
      </c>
      <c r="F570">
        <v>60</v>
      </c>
      <c r="G570" t="s">
        <v>119</v>
      </c>
      <c r="H570" s="1">
        <v>7</v>
      </c>
      <c r="I570" t="s">
        <v>70</v>
      </c>
      <c r="J570" t="s">
        <v>436</v>
      </c>
      <c r="K570" t="s">
        <v>109</v>
      </c>
      <c r="L570">
        <v>1</v>
      </c>
      <c r="M570">
        <v>1</v>
      </c>
      <c r="N570">
        <v>0</v>
      </c>
      <c r="O570">
        <v>0</v>
      </c>
      <c r="P570">
        <v>0</v>
      </c>
      <c r="Q570">
        <v>5</v>
      </c>
      <c r="R570">
        <v>0</v>
      </c>
      <c r="S570">
        <v>0</v>
      </c>
      <c r="T570">
        <v>1</v>
      </c>
      <c r="U570">
        <v>1</v>
      </c>
      <c r="V570">
        <f t="shared" si="227"/>
        <v>1</v>
      </c>
      <c r="W570">
        <v>1</v>
      </c>
      <c r="X570">
        <v>1</v>
      </c>
      <c r="Y570">
        <v>1</v>
      </c>
      <c r="Z570" t="s">
        <v>73</v>
      </c>
      <c r="AA570" s="5" t="s">
        <v>73</v>
      </c>
      <c r="AB570" s="5" t="s">
        <v>73</v>
      </c>
      <c r="AC570" t="s">
        <v>73</v>
      </c>
      <c r="AD570" t="s">
        <v>94</v>
      </c>
      <c r="AE570" s="5" t="s">
        <v>106</v>
      </c>
      <c r="AF570" t="s">
        <v>107</v>
      </c>
      <c r="AG570" t="s">
        <v>95</v>
      </c>
      <c r="AH570">
        <f t="shared" si="251"/>
        <v>3.8188760000000001E-3</v>
      </c>
      <c r="AI570">
        <f>AJ570</f>
        <v>3.8188760000000001E-3</v>
      </c>
      <c r="AJ570">
        <f t="shared" si="228"/>
        <v>3.8188760000000001E-3</v>
      </c>
      <c r="AK570">
        <v>3.8188760000000001E-3</v>
      </c>
      <c r="AL570">
        <v>0.13176599</v>
      </c>
      <c r="AM570">
        <v>0.13631377</v>
      </c>
      <c r="AN570">
        <v>0.13875206000000001</v>
      </c>
      <c r="AO570">
        <v>99.618112400000001</v>
      </c>
      <c r="AP570">
        <v>86.823401000000004</v>
      </c>
      <c r="AQ570">
        <v>86.368622999999999</v>
      </c>
      <c r="AR570">
        <v>86.124793999999994</v>
      </c>
      <c r="AS570" t="b">
        <v>1</v>
      </c>
      <c r="AT570" t="b">
        <v>0</v>
      </c>
      <c r="AU570" t="s">
        <v>77</v>
      </c>
      <c r="AV570" t="s">
        <v>108</v>
      </c>
      <c r="AW570" t="s">
        <v>783</v>
      </c>
      <c r="AX570" t="s">
        <v>812</v>
      </c>
      <c r="AY570" t="s">
        <v>911</v>
      </c>
      <c r="AZ570" t="s">
        <v>109</v>
      </c>
      <c r="BA570">
        <v>4</v>
      </c>
      <c r="BB570">
        <v>1.75</v>
      </c>
      <c r="BC570">
        <v>4.1163553999999996E-3</v>
      </c>
      <c r="BD570">
        <v>1.4279989108178799E-4</v>
      </c>
      <c r="BE570">
        <v>4.2591552910817903E-3</v>
      </c>
      <c r="BF570">
        <f>IF(AK570&lt;BE570,1,0)</f>
        <v>1</v>
      </c>
      <c r="BG570">
        <f>IF(AK570&lt;BC570,1,0)</f>
        <v>1</v>
      </c>
      <c r="BH570">
        <f>VLOOKUP($B570,[1]Data_Peer_with_peerVars!$B$2:$Z$1050,20,FALSE)</f>
        <v>5</v>
      </c>
      <c r="BI570">
        <f>VLOOKUP($B570,[1]Data_Peer_with_peerVars!$B$2:$Z$1050,21,FALSE)</f>
        <v>3</v>
      </c>
      <c r="BJ570">
        <f>VLOOKUP($B570,[1]Data_Peer_with_peerVars!$B$2:$Z$1050,22,FALSE)</f>
        <v>0.6</v>
      </c>
      <c r="BK570">
        <f>VLOOKUP($B570,[1]Data_Peer_with_peerVars!$B$2:$Z$1050,23,FALSE)</f>
        <v>43</v>
      </c>
      <c r="BL570">
        <f>VLOOKUP($B570,[1]Data_Peer_with_peerVars!$B$2:$Z$1050,24,FALSE)</f>
        <v>22</v>
      </c>
      <c r="BM570">
        <f>VLOOKUP($B570,[1]Data_Peer_with_peerVars!$B$2:$Z$1050,25,FALSE)</f>
        <v>0.51162790700000005</v>
      </c>
    </row>
    <row r="571" spans="1:65" x14ac:dyDescent="0.2">
      <c r="A571">
        <v>1</v>
      </c>
      <c r="B571" t="s">
        <v>912</v>
      </c>
      <c r="C571">
        <v>326</v>
      </c>
      <c r="D571" t="s">
        <v>68</v>
      </c>
      <c r="E571">
        <v>0</v>
      </c>
      <c r="F571">
        <v>66</v>
      </c>
      <c r="G571" t="s">
        <v>119</v>
      </c>
      <c r="H571" s="1">
        <v>7</v>
      </c>
      <c r="I571" t="s">
        <v>87</v>
      </c>
      <c r="J571" t="s">
        <v>111</v>
      </c>
      <c r="K571" t="s">
        <v>109</v>
      </c>
      <c r="L571">
        <v>2</v>
      </c>
      <c r="M571">
        <v>1</v>
      </c>
      <c r="N571">
        <v>0</v>
      </c>
      <c r="O571">
        <v>0</v>
      </c>
      <c r="P571">
        <v>0</v>
      </c>
      <c r="Q571">
        <v>11</v>
      </c>
      <c r="R571">
        <v>0</v>
      </c>
      <c r="S571">
        <v>0</v>
      </c>
      <c r="T571">
        <v>0</v>
      </c>
      <c r="U571">
        <v>0</v>
      </c>
      <c r="V571">
        <f t="shared" si="227"/>
        <v>0</v>
      </c>
      <c r="W571">
        <f t="shared" si="229"/>
        <v>0</v>
      </c>
      <c r="X571">
        <f t="shared" si="230"/>
        <v>0</v>
      </c>
      <c r="Y571">
        <f t="shared" si="231"/>
        <v>0</v>
      </c>
      <c r="Z571" t="s">
        <v>76</v>
      </c>
      <c r="AA571" s="5" t="s">
        <v>76</v>
      </c>
      <c r="AB571" s="5" t="s">
        <v>76</v>
      </c>
      <c r="AC571" t="s">
        <v>101</v>
      </c>
      <c r="AD571" t="s">
        <v>99</v>
      </c>
      <c r="AE571" s="5" t="s">
        <v>99</v>
      </c>
      <c r="AF571" t="s">
        <v>103</v>
      </c>
      <c r="AG571" t="s">
        <v>102</v>
      </c>
      <c r="AH571">
        <f>AI571</f>
        <v>5.3787050000000003E-2</v>
      </c>
      <c r="AI571">
        <f>AJ571</f>
        <v>5.3787050000000003E-2</v>
      </c>
      <c r="AJ571">
        <f t="shared" si="228"/>
        <v>5.3787050000000003E-2</v>
      </c>
      <c r="AK571">
        <v>5.3787050000000003E-2</v>
      </c>
      <c r="AL571">
        <v>7.4972436000000003E-2</v>
      </c>
      <c r="AM571">
        <v>9.7298785999999998E-2</v>
      </c>
      <c r="AN571">
        <v>0.12445415</v>
      </c>
      <c r="AO571">
        <v>94.621295000000003</v>
      </c>
      <c r="AP571">
        <v>92.502756399999996</v>
      </c>
      <c r="AQ571">
        <v>90.270121399999994</v>
      </c>
      <c r="AR571">
        <v>87.554585000000003</v>
      </c>
      <c r="AS571" t="b">
        <v>0</v>
      </c>
      <c r="AT571" t="b">
        <v>0</v>
      </c>
      <c r="AU571" t="s">
        <v>77</v>
      </c>
      <c r="AV571" t="s">
        <v>77</v>
      </c>
      <c r="AW571" t="s">
        <v>783</v>
      </c>
      <c r="AX571" t="s">
        <v>812</v>
      </c>
      <c r="AY571" t="s">
        <v>911</v>
      </c>
      <c r="AZ571" t="s">
        <v>109</v>
      </c>
      <c r="BA571">
        <v>2</v>
      </c>
      <c r="BB571">
        <v>0.5</v>
      </c>
      <c r="BC571">
        <v>1.4096186E-2</v>
      </c>
      <c r="BD571">
        <v>1.55088650053763E-3</v>
      </c>
      <c r="BE571">
        <v>1.5647072500537599E-2</v>
      </c>
      <c r="BF571">
        <f>IF(AK571&lt;BE571,1,0)</f>
        <v>0</v>
      </c>
      <c r="BG571">
        <f>IF(AK571&lt;BC571,1,0)</f>
        <v>0</v>
      </c>
      <c r="BH571">
        <f>VLOOKUP($B571,[1]Data_Peer_with_peerVars!$B$2:$Z$1050,20,FALSE)</f>
        <v>1</v>
      </c>
      <c r="BI571">
        <f>VLOOKUP($B571,[1]Data_Peer_with_peerVars!$B$2:$Z$1050,21,FALSE)</f>
        <v>1</v>
      </c>
      <c r="BJ571">
        <f>VLOOKUP($B571,[1]Data_Peer_with_peerVars!$B$2:$Z$1050,22,FALSE)</f>
        <v>1</v>
      </c>
      <c r="BK571">
        <f>VLOOKUP($B571,[1]Data_Peer_with_peerVars!$B$2:$Z$1050,23,FALSE)</f>
        <v>40</v>
      </c>
      <c r="BL571">
        <f>VLOOKUP($B571,[1]Data_Peer_with_peerVars!$B$2:$Z$1050,24,FALSE)</f>
        <v>20</v>
      </c>
      <c r="BM571">
        <f>VLOOKUP($B571,[1]Data_Peer_with_peerVars!$B$2:$Z$1050,25,FALSE)</f>
        <v>0.5</v>
      </c>
    </row>
    <row r="572" spans="1:65" x14ac:dyDescent="0.2">
      <c r="A572">
        <v>1</v>
      </c>
      <c r="B572" t="s">
        <v>913</v>
      </c>
      <c r="C572">
        <v>326</v>
      </c>
      <c r="D572" t="s">
        <v>68</v>
      </c>
      <c r="E572">
        <v>0</v>
      </c>
      <c r="F572">
        <v>66</v>
      </c>
      <c r="G572" t="s">
        <v>119</v>
      </c>
      <c r="H572" s="1">
        <v>7</v>
      </c>
      <c r="I572" t="s">
        <v>87</v>
      </c>
      <c r="J572" t="s">
        <v>111</v>
      </c>
      <c r="K572" t="s">
        <v>109</v>
      </c>
      <c r="L572">
        <v>2</v>
      </c>
      <c r="M572">
        <v>1</v>
      </c>
      <c r="N572">
        <v>0</v>
      </c>
      <c r="O572">
        <v>0</v>
      </c>
      <c r="P572">
        <v>0</v>
      </c>
      <c r="Q572">
        <v>11</v>
      </c>
      <c r="R572">
        <v>0</v>
      </c>
      <c r="S572">
        <v>0</v>
      </c>
      <c r="T572">
        <v>1</v>
      </c>
      <c r="U572">
        <v>1</v>
      </c>
      <c r="V572">
        <f t="shared" si="227"/>
        <v>1</v>
      </c>
      <c r="W572">
        <v>1</v>
      </c>
      <c r="X572">
        <v>1</v>
      </c>
      <c r="Y572">
        <v>1</v>
      </c>
      <c r="Z572" t="s">
        <v>73</v>
      </c>
      <c r="AA572" s="5" t="s">
        <v>73</v>
      </c>
      <c r="AB572" s="5" t="s">
        <v>73</v>
      </c>
      <c r="AC572" t="s">
        <v>73</v>
      </c>
      <c r="AD572" t="s">
        <v>94</v>
      </c>
      <c r="AE572" s="5" t="s">
        <v>106</v>
      </c>
      <c r="AF572" t="s">
        <v>107</v>
      </c>
      <c r="AG572" t="s">
        <v>95</v>
      </c>
      <c r="AH572">
        <f>AI572</f>
        <v>3.8251367000000001E-3</v>
      </c>
      <c r="AI572">
        <f>AJ572</f>
        <v>3.8251367000000001E-3</v>
      </c>
      <c r="AJ572">
        <f t="shared" si="228"/>
        <v>3.8251367000000001E-3</v>
      </c>
      <c r="AK572">
        <v>3.8251367000000001E-3</v>
      </c>
      <c r="AL572">
        <v>0.13198248000000001</v>
      </c>
      <c r="AM572">
        <v>0.13638858000000001</v>
      </c>
      <c r="AN572">
        <v>0.13890411</v>
      </c>
      <c r="AO572">
        <v>99.617486330000006</v>
      </c>
      <c r="AP572">
        <v>86.801751999999993</v>
      </c>
      <c r="AQ572">
        <v>86.361142000000001</v>
      </c>
      <c r="AR572">
        <v>86.109589</v>
      </c>
      <c r="AS572" t="b">
        <v>1</v>
      </c>
      <c r="AT572" t="b">
        <v>0</v>
      </c>
      <c r="AU572" t="s">
        <v>77</v>
      </c>
      <c r="AV572" t="s">
        <v>108</v>
      </c>
      <c r="AW572" t="s">
        <v>783</v>
      </c>
      <c r="AX572" t="s">
        <v>812</v>
      </c>
      <c r="AY572" t="s">
        <v>911</v>
      </c>
      <c r="AZ572" t="s">
        <v>109</v>
      </c>
      <c r="BA572">
        <v>2</v>
      </c>
      <c r="BB572">
        <v>1</v>
      </c>
      <c r="BC572">
        <v>4.1163553999999996E-3</v>
      </c>
      <c r="BD572">
        <v>1.4279989108178799E-4</v>
      </c>
      <c r="BE572">
        <v>4.2591552910817903E-3</v>
      </c>
      <c r="BF572">
        <f>IF(AK572&lt;BE572,1,0)</f>
        <v>1</v>
      </c>
      <c r="BG572">
        <f>IF(AK572&lt;BC572,1,0)</f>
        <v>1</v>
      </c>
      <c r="BH572">
        <f>VLOOKUP($B572,[1]Data_Peer_with_peerVars!$B$2:$Z$1050,20,FALSE)</f>
        <v>1</v>
      </c>
      <c r="BI572">
        <f>VLOOKUP($B572,[1]Data_Peer_with_peerVars!$B$2:$Z$1050,21,FALSE)</f>
        <v>1</v>
      </c>
      <c r="BJ572">
        <f>VLOOKUP($B572,[1]Data_Peer_with_peerVars!$B$2:$Z$1050,22,FALSE)</f>
        <v>1</v>
      </c>
      <c r="BK572">
        <f>VLOOKUP($B572,[1]Data_Peer_with_peerVars!$B$2:$Z$1050,23,FALSE)</f>
        <v>40</v>
      </c>
      <c r="BL572">
        <f>VLOOKUP($B572,[1]Data_Peer_with_peerVars!$B$2:$Z$1050,24,FALSE)</f>
        <v>20</v>
      </c>
      <c r="BM572">
        <f>VLOOKUP($B572,[1]Data_Peer_with_peerVars!$B$2:$Z$1050,25,FALSE)</f>
        <v>0.5</v>
      </c>
    </row>
    <row r="573" spans="1:65" x14ac:dyDescent="0.2">
      <c r="A573">
        <v>1</v>
      </c>
      <c r="B573" t="s">
        <v>914</v>
      </c>
      <c r="C573">
        <v>327</v>
      </c>
      <c r="D573" t="s">
        <v>68</v>
      </c>
      <c r="E573">
        <v>0</v>
      </c>
      <c r="F573">
        <v>70</v>
      </c>
      <c r="G573" t="s">
        <v>119</v>
      </c>
      <c r="H573" s="1">
        <v>7</v>
      </c>
      <c r="I573" t="s">
        <v>87</v>
      </c>
      <c r="J573" t="s">
        <v>111</v>
      </c>
      <c r="K573" t="s">
        <v>109</v>
      </c>
      <c r="L573">
        <v>2</v>
      </c>
      <c r="M573">
        <v>1</v>
      </c>
      <c r="N573">
        <v>0</v>
      </c>
      <c r="O573">
        <v>0</v>
      </c>
      <c r="P573">
        <v>0</v>
      </c>
      <c r="Q573">
        <v>6</v>
      </c>
      <c r="R573">
        <v>0</v>
      </c>
      <c r="S573">
        <v>0</v>
      </c>
      <c r="T573">
        <v>0</v>
      </c>
      <c r="U573">
        <v>0</v>
      </c>
      <c r="V573">
        <f t="shared" si="227"/>
        <v>0</v>
      </c>
      <c r="W573">
        <f t="shared" si="229"/>
        <v>0</v>
      </c>
      <c r="X573">
        <f t="shared" si="230"/>
        <v>0</v>
      </c>
      <c r="Y573">
        <f t="shared" si="231"/>
        <v>1</v>
      </c>
      <c r="Z573" t="s">
        <v>91</v>
      </c>
      <c r="AA573" s="5" t="s">
        <v>91</v>
      </c>
      <c r="AB573" s="5" t="s">
        <v>915</v>
      </c>
      <c r="AC573" t="s">
        <v>73</v>
      </c>
      <c r="AD573" t="s">
        <v>287</v>
      </c>
      <c r="AE573" s="5" t="s">
        <v>287</v>
      </c>
      <c r="AF573" t="s">
        <v>137</v>
      </c>
      <c r="AG573" t="s">
        <v>91</v>
      </c>
      <c r="AH573">
        <f>AN573</f>
        <v>0.14133406000000001</v>
      </c>
      <c r="AI573">
        <f>AJ573</f>
        <v>7.5245365999999994E-2</v>
      </c>
      <c r="AJ573">
        <f t="shared" si="228"/>
        <v>7.5245365999999994E-2</v>
      </c>
      <c r="AK573">
        <v>7.5245365999999994E-2</v>
      </c>
      <c r="AL573">
        <v>0.11353712000000001</v>
      </c>
      <c r="AM573">
        <v>0.13045851999999999</v>
      </c>
      <c r="AN573">
        <v>0.14133406000000001</v>
      </c>
      <c r="AO573">
        <v>92.475463399999995</v>
      </c>
      <c r="AP573">
        <v>88.646287999999998</v>
      </c>
      <c r="AQ573">
        <v>86.954148000000004</v>
      </c>
      <c r="AR573">
        <v>85.866594000000006</v>
      </c>
      <c r="AS573" t="b">
        <v>0</v>
      </c>
      <c r="AT573" t="b">
        <v>0</v>
      </c>
      <c r="AU573" t="s">
        <v>77</v>
      </c>
      <c r="AV573" t="s">
        <v>78</v>
      </c>
      <c r="AW573" t="s">
        <v>783</v>
      </c>
      <c r="AX573" t="s">
        <v>812</v>
      </c>
      <c r="AY573" t="s">
        <v>916</v>
      </c>
      <c r="AZ573" t="s">
        <v>109</v>
      </c>
      <c r="BA573">
        <v>5</v>
      </c>
      <c r="BB573">
        <v>2</v>
      </c>
      <c r="BC573">
        <v>4.1163553999999996E-3</v>
      </c>
      <c r="BD573">
        <v>1.4279989108178799E-4</v>
      </c>
      <c r="BE573">
        <v>4.2591552910817903E-3</v>
      </c>
      <c r="BF573">
        <f>IF(AK573&lt;BE573,1,0)</f>
        <v>0</v>
      </c>
      <c r="BG573">
        <f>IF(AK573&lt;BC573,1,0)</f>
        <v>0</v>
      </c>
      <c r="BH573">
        <f>VLOOKUP($B573,[1]Data_Peer_with_peerVars!$B$2:$Z$1050,20,FALSE)</f>
        <v>0</v>
      </c>
      <c r="BI573">
        <f>VLOOKUP($B573,[1]Data_Peer_with_peerVars!$B$2:$Z$1050,21,FALSE)</f>
        <v>0</v>
      </c>
      <c r="BJ573">
        <v>0</v>
      </c>
      <c r="BK573">
        <f>VLOOKUP($B573,[1]Data_Peer_with_peerVars!$B$2:$Z$1050,23,FALSE)</f>
        <v>51</v>
      </c>
      <c r="BL573">
        <f>VLOOKUP($B573,[1]Data_Peer_with_peerVars!$B$2:$Z$1050,24,FALSE)</f>
        <v>28</v>
      </c>
      <c r="BM573">
        <f>VLOOKUP($B573,[1]Data_Peer_with_peerVars!$B$2:$Z$1050,25,FALSE)</f>
        <v>0.54901960800000005</v>
      </c>
    </row>
    <row r="574" spans="1:65" x14ac:dyDescent="0.2">
      <c r="A574">
        <v>1</v>
      </c>
      <c r="B574" t="s">
        <v>917</v>
      </c>
      <c r="C574">
        <v>328</v>
      </c>
      <c r="D574" t="s">
        <v>68</v>
      </c>
      <c r="E574">
        <v>0</v>
      </c>
      <c r="F574">
        <v>79</v>
      </c>
      <c r="G574" t="s">
        <v>119</v>
      </c>
      <c r="H574" s="1">
        <v>7</v>
      </c>
      <c r="I574" t="s">
        <v>87</v>
      </c>
      <c r="J574" t="s">
        <v>111</v>
      </c>
      <c r="K574" t="s">
        <v>109</v>
      </c>
      <c r="L574">
        <v>1</v>
      </c>
      <c r="M574">
        <v>1</v>
      </c>
      <c r="N574">
        <v>0</v>
      </c>
      <c r="O574">
        <v>0</v>
      </c>
      <c r="P574">
        <v>0</v>
      </c>
      <c r="Q574">
        <v>8</v>
      </c>
      <c r="R574">
        <v>0</v>
      </c>
      <c r="S574">
        <v>0</v>
      </c>
      <c r="T574">
        <v>0</v>
      </c>
      <c r="U574">
        <v>0</v>
      </c>
      <c r="V574">
        <f t="shared" si="227"/>
        <v>1</v>
      </c>
      <c r="W574">
        <v>1</v>
      </c>
      <c r="X574">
        <v>1</v>
      </c>
      <c r="Y574">
        <v>1</v>
      </c>
      <c r="Z574" t="s">
        <v>73</v>
      </c>
      <c r="AA574" s="5" t="s">
        <v>73</v>
      </c>
      <c r="AB574" s="5" t="s">
        <v>73</v>
      </c>
      <c r="AC574" t="s">
        <v>73</v>
      </c>
      <c r="AD574" t="s">
        <v>287</v>
      </c>
      <c r="AE574" s="5" t="s">
        <v>287</v>
      </c>
      <c r="AF574" t="s">
        <v>137</v>
      </c>
      <c r="AG574" t="s">
        <v>94</v>
      </c>
      <c r="AH574">
        <f t="shared" ref="AH574:AH577" si="253">AI574</f>
        <v>9.9290779999999995E-2</v>
      </c>
      <c r="AI574">
        <f t="shared" ref="AI574:AI577" si="254">AJ574</f>
        <v>9.9290779999999995E-2</v>
      </c>
      <c r="AJ574">
        <f t="shared" si="228"/>
        <v>9.9290779999999995E-2</v>
      </c>
      <c r="AK574">
        <v>9.9290779999999995E-2</v>
      </c>
      <c r="AL574">
        <v>0.11135370999999999</v>
      </c>
      <c r="AM574">
        <v>0.13462588</v>
      </c>
      <c r="AN574">
        <v>0.13954124000000001</v>
      </c>
      <c r="AO574">
        <v>90.070921999999996</v>
      </c>
      <c r="AP574">
        <v>88.864628999999994</v>
      </c>
      <c r="AQ574">
        <v>86.537412000000003</v>
      </c>
      <c r="AR574">
        <v>86.045876000000007</v>
      </c>
      <c r="AS574" t="b">
        <v>1</v>
      </c>
      <c r="AT574" t="b">
        <v>0</v>
      </c>
      <c r="AU574" t="s">
        <v>77</v>
      </c>
      <c r="AV574" t="s">
        <v>78</v>
      </c>
      <c r="AW574" t="s">
        <v>783</v>
      </c>
      <c r="AX574" t="s">
        <v>812</v>
      </c>
      <c r="AY574" t="s">
        <v>911</v>
      </c>
      <c r="AZ574" t="s">
        <v>109</v>
      </c>
      <c r="BA574">
        <v>3</v>
      </c>
      <c r="BB574">
        <v>2</v>
      </c>
      <c r="BC574">
        <v>4.1163553999999996E-3</v>
      </c>
      <c r="BD574">
        <v>1.4279989108178799E-4</v>
      </c>
      <c r="BE574">
        <v>4.2591552910817903E-3</v>
      </c>
      <c r="BF574">
        <f>IF(AK574&lt;BE574,1,0)</f>
        <v>0</v>
      </c>
      <c r="BG574">
        <f>IF(AK574&lt;BC574,1,0)</f>
        <v>0</v>
      </c>
      <c r="BH574">
        <f>VLOOKUP($B574,[1]Data_Peer_with_peerVars!$B$2:$Z$1050,20,FALSE)</f>
        <v>2</v>
      </c>
      <c r="BI574">
        <f>VLOOKUP($B574,[1]Data_Peer_with_peerVars!$B$2:$Z$1050,21,FALSE)</f>
        <v>0</v>
      </c>
      <c r="BJ574">
        <f>VLOOKUP($B574,[1]Data_Peer_with_peerVars!$B$2:$Z$1050,22,FALSE)</f>
        <v>0</v>
      </c>
      <c r="BK574">
        <f>VLOOKUP($B574,[1]Data_Peer_with_peerVars!$B$2:$Z$1050,23,FALSE)</f>
        <v>52</v>
      </c>
      <c r="BL574">
        <f>VLOOKUP($B574,[1]Data_Peer_with_peerVars!$B$2:$Z$1050,24,FALSE)</f>
        <v>24</v>
      </c>
      <c r="BM574">
        <f>VLOOKUP($B574,[1]Data_Peer_with_peerVars!$B$2:$Z$1050,25,FALSE)</f>
        <v>0.46153846199999998</v>
      </c>
    </row>
    <row r="575" spans="1:65" x14ac:dyDescent="0.2">
      <c r="A575">
        <v>1</v>
      </c>
      <c r="B575" t="s">
        <v>918</v>
      </c>
      <c r="C575">
        <v>328</v>
      </c>
      <c r="D575" t="s">
        <v>68</v>
      </c>
      <c r="E575">
        <v>0</v>
      </c>
      <c r="F575">
        <v>79</v>
      </c>
      <c r="G575" t="s">
        <v>119</v>
      </c>
      <c r="H575" s="1">
        <v>7</v>
      </c>
      <c r="I575" t="s">
        <v>87</v>
      </c>
      <c r="J575" t="s">
        <v>111</v>
      </c>
      <c r="K575" t="s">
        <v>109</v>
      </c>
      <c r="L575">
        <v>1</v>
      </c>
      <c r="M575">
        <v>1</v>
      </c>
      <c r="N575">
        <v>0</v>
      </c>
      <c r="O575">
        <v>0</v>
      </c>
      <c r="P575">
        <v>0</v>
      </c>
      <c r="Q575">
        <v>8</v>
      </c>
      <c r="R575">
        <v>0</v>
      </c>
      <c r="S575">
        <v>0</v>
      </c>
      <c r="T575">
        <v>0</v>
      </c>
      <c r="U575">
        <v>0</v>
      </c>
      <c r="V575">
        <f t="shared" si="227"/>
        <v>1</v>
      </c>
      <c r="W575">
        <v>1</v>
      </c>
      <c r="X575">
        <v>1</v>
      </c>
      <c r="Y575">
        <v>1</v>
      </c>
      <c r="Z575" t="s">
        <v>91</v>
      </c>
      <c r="AA575" s="5" t="s">
        <v>91</v>
      </c>
      <c r="AB575" s="5" t="s">
        <v>91</v>
      </c>
      <c r="AC575" t="s">
        <v>91</v>
      </c>
      <c r="AD575" t="s">
        <v>287</v>
      </c>
      <c r="AE575" s="5" t="s">
        <v>919</v>
      </c>
      <c r="AF575" t="s">
        <v>137</v>
      </c>
      <c r="AG575" t="s">
        <v>113</v>
      </c>
      <c r="AH575">
        <f t="shared" si="253"/>
        <v>9.7374180000000005E-2</v>
      </c>
      <c r="AI575">
        <f t="shared" si="254"/>
        <v>9.7374180000000005E-2</v>
      </c>
      <c r="AJ575">
        <f t="shared" si="228"/>
        <v>9.7374180000000005E-2</v>
      </c>
      <c r="AK575">
        <v>9.7374180000000005E-2</v>
      </c>
      <c r="AL575">
        <v>0.10458766</v>
      </c>
      <c r="AM575">
        <v>0.11790393</v>
      </c>
      <c r="AN575">
        <v>0.13406593999999999</v>
      </c>
      <c r="AO575">
        <v>90.262581999999995</v>
      </c>
      <c r="AP575">
        <v>89.541234000000003</v>
      </c>
      <c r="AQ575">
        <v>88.209607000000005</v>
      </c>
      <c r="AR575">
        <v>86.593406000000002</v>
      </c>
      <c r="AS575" t="b">
        <v>0</v>
      </c>
      <c r="AT575" t="b">
        <v>0</v>
      </c>
      <c r="AU575" t="s">
        <v>108</v>
      </c>
      <c r="AV575" t="s">
        <v>108</v>
      </c>
      <c r="AW575" t="s">
        <v>783</v>
      </c>
      <c r="AX575" t="s">
        <v>812</v>
      </c>
      <c r="AY575" t="s">
        <v>911</v>
      </c>
      <c r="AZ575" t="s">
        <v>109</v>
      </c>
      <c r="BA575">
        <v>3</v>
      </c>
      <c r="BB575">
        <v>0.35</v>
      </c>
      <c r="BC575">
        <v>9.0659339999999995E-3</v>
      </c>
      <c r="BD575">
        <v>2.76583658862385E-3</v>
      </c>
      <c r="BE575">
        <v>1.1831770588623799E-2</v>
      </c>
      <c r="BF575">
        <f>IF(AK575&lt;BE575,1,0)</f>
        <v>0</v>
      </c>
      <c r="BG575">
        <f>IF(AK575&lt;BC575,1,0)</f>
        <v>0</v>
      </c>
      <c r="BH575">
        <f>VLOOKUP($B575,[1]Data_Peer_with_peerVars!$B$2:$Z$1050,20,FALSE)</f>
        <v>2</v>
      </c>
      <c r="BI575">
        <f>VLOOKUP($B575,[1]Data_Peer_with_peerVars!$B$2:$Z$1050,21,FALSE)</f>
        <v>0</v>
      </c>
      <c r="BJ575">
        <f>VLOOKUP($B575,[1]Data_Peer_with_peerVars!$B$2:$Z$1050,22,FALSE)</f>
        <v>0</v>
      </c>
      <c r="BK575">
        <f>VLOOKUP($B575,[1]Data_Peer_with_peerVars!$B$2:$Z$1050,23,FALSE)</f>
        <v>52</v>
      </c>
      <c r="BL575">
        <f>VLOOKUP($B575,[1]Data_Peer_with_peerVars!$B$2:$Z$1050,24,FALSE)</f>
        <v>24</v>
      </c>
      <c r="BM575">
        <f>VLOOKUP($B575,[1]Data_Peer_with_peerVars!$B$2:$Z$1050,25,FALSE)</f>
        <v>0.46153846199999998</v>
      </c>
    </row>
    <row r="576" spans="1:65" x14ac:dyDescent="0.2">
      <c r="A576">
        <v>1</v>
      </c>
      <c r="B576" t="s">
        <v>920</v>
      </c>
      <c r="C576">
        <v>329</v>
      </c>
      <c r="D576" t="s">
        <v>68</v>
      </c>
      <c r="E576">
        <v>0</v>
      </c>
      <c r="F576">
        <v>171</v>
      </c>
      <c r="G576" t="s">
        <v>97</v>
      </c>
      <c r="H576" s="1">
        <v>7</v>
      </c>
      <c r="I576" t="s">
        <v>87</v>
      </c>
      <c r="J576" t="s">
        <v>88</v>
      </c>
      <c r="K576" t="s">
        <v>72</v>
      </c>
      <c r="L576">
        <v>1</v>
      </c>
      <c r="M576">
        <v>1</v>
      </c>
      <c r="N576">
        <v>0</v>
      </c>
      <c r="O576">
        <v>0</v>
      </c>
      <c r="P576">
        <v>0</v>
      </c>
      <c r="Q576">
        <v>7</v>
      </c>
      <c r="R576">
        <v>0</v>
      </c>
      <c r="S576">
        <v>0</v>
      </c>
      <c r="T576">
        <v>0</v>
      </c>
      <c r="U576">
        <v>0</v>
      </c>
      <c r="V576">
        <f t="shared" si="227"/>
        <v>1</v>
      </c>
      <c r="W576">
        <v>1</v>
      </c>
      <c r="X576">
        <v>1</v>
      </c>
      <c r="Y576">
        <v>1</v>
      </c>
      <c r="Z576" t="s">
        <v>76</v>
      </c>
      <c r="AA576" s="5" t="s">
        <v>76</v>
      </c>
      <c r="AB576" s="5" t="s">
        <v>76</v>
      </c>
      <c r="AC576" t="s">
        <v>76</v>
      </c>
      <c r="AD576" t="s">
        <v>120</v>
      </c>
      <c r="AE576" s="5" t="s">
        <v>120</v>
      </c>
      <c r="AF576" t="s">
        <v>74</v>
      </c>
      <c r="AG576" t="s">
        <v>75</v>
      </c>
      <c r="AH576">
        <f t="shared" si="253"/>
        <v>7.4630946000000004E-2</v>
      </c>
      <c r="AI576">
        <f t="shared" si="254"/>
        <v>7.4630946000000004E-2</v>
      </c>
      <c r="AJ576">
        <f t="shared" si="228"/>
        <v>7.4630946000000004E-2</v>
      </c>
      <c r="AK576">
        <v>7.4630946000000004E-2</v>
      </c>
      <c r="AL576">
        <v>0.12622950999999999</v>
      </c>
      <c r="AM576">
        <v>0.13048245</v>
      </c>
      <c r="AN576">
        <v>0.13218390999999999</v>
      </c>
      <c r="AO576">
        <v>92.536905399999995</v>
      </c>
      <c r="AP576">
        <v>87.377049</v>
      </c>
      <c r="AQ576">
        <v>86.951755000000006</v>
      </c>
      <c r="AR576">
        <v>86.781609000000003</v>
      </c>
      <c r="AS576" t="b">
        <v>1</v>
      </c>
      <c r="AT576" t="b">
        <v>0</v>
      </c>
      <c r="AU576" t="s">
        <v>77</v>
      </c>
      <c r="AV576" t="s">
        <v>78</v>
      </c>
      <c r="AW576" t="s">
        <v>783</v>
      </c>
      <c r="AX576" t="s">
        <v>812</v>
      </c>
      <c r="AY576" t="s">
        <v>921</v>
      </c>
      <c r="AZ576" t="s">
        <v>72</v>
      </c>
      <c r="BA576" t="s">
        <v>82</v>
      </c>
      <c r="BB576">
        <v>1</v>
      </c>
      <c r="BC576">
        <v>7.7070764999999999E-2</v>
      </c>
      <c r="BD576">
        <v>1.90190515067399E-3</v>
      </c>
      <c r="BE576">
        <v>7.8972670150673996E-2</v>
      </c>
      <c r="BF576">
        <f>IF(AK576&lt;BE576,1,0)</f>
        <v>1</v>
      </c>
      <c r="BG576">
        <f>IF(AK576&lt;BC576,1,0)</f>
        <v>1</v>
      </c>
      <c r="BH576">
        <f>VLOOKUP($B576,[1]Data_Peer_with_peerVars!$B$2:$Z$1050,20,FALSE)</f>
        <v>7</v>
      </c>
      <c r="BI576">
        <f>VLOOKUP($B576,[1]Data_Peer_with_peerVars!$B$2:$Z$1050,21,FALSE)</f>
        <v>3</v>
      </c>
      <c r="BJ576">
        <f>VLOOKUP($B576,[1]Data_Peer_with_peerVars!$B$2:$Z$1050,22,FALSE)</f>
        <v>0.428571429</v>
      </c>
      <c r="BK576">
        <f>VLOOKUP($B576,[1]Data_Peer_with_peerVars!$B$2:$Z$1050,23,FALSE)</f>
        <v>20</v>
      </c>
      <c r="BL576">
        <f>VLOOKUP($B576,[1]Data_Peer_with_peerVars!$B$2:$Z$1050,24,FALSE)</f>
        <v>10</v>
      </c>
      <c r="BM576">
        <f>VLOOKUP($B576,[1]Data_Peer_with_peerVars!$B$2:$Z$1050,25,FALSE)</f>
        <v>0.5</v>
      </c>
    </row>
    <row r="577" spans="1:65" x14ac:dyDescent="0.2">
      <c r="A577">
        <v>1</v>
      </c>
      <c r="B577" t="s">
        <v>922</v>
      </c>
      <c r="C577">
        <v>329</v>
      </c>
      <c r="D577" t="s">
        <v>68</v>
      </c>
      <c r="E577">
        <v>0</v>
      </c>
      <c r="F577">
        <v>171</v>
      </c>
      <c r="G577" t="s">
        <v>97</v>
      </c>
      <c r="H577" s="1">
        <v>7</v>
      </c>
      <c r="I577" t="s">
        <v>87</v>
      </c>
      <c r="J577" t="s">
        <v>88</v>
      </c>
      <c r="K577" t="s">
        <v>72</v>
      </c>
      <c r="L577">
        <v>1</v>
      </c>
      <c r="M577">
        <v>1</v>
      </c>
      <c r="N577">
        <v>0</v>
      </c>
      <c r="O577">
        <v>0</v>
      </c>
      <c r="P577">
        <v>0</v>
      </c>
      <c r="Q577">
        <v>7</v>
      </c>
      <c r="R577">
        <v>0</v>
      </c>
      <c r="S577">
        <v>0</v>
      </c>
      <c r="T577">
        <v>0</v>
      </c>
      <c r="U577">
        <v>0</v>
      </c>
      <c r="V577">
        <f t="shared" si="227"/>
        <v>1</v>
      </c>
      <c r="W577">
        <v>1</v>
      </c>
      <c r="X577">
        <v>1</v>
      </c>
      <c r="Y577">
        <v>1</v>
      </c>
      <c r="Z577" t="s">
        <v>91</v>
      </c>
      <c r="AA577" s="5" t="s">
        <v>91</v>
      </c>
      <c r="AB577" s="5" t="s">
        <v>91</v>
      </c>
      <c r="AC577" t="s">
        <v>91</v>
      </c>
      <c r="AD577" t="s">
        <v>287</v>
      </c>
      <c r="AE577" s="5" t="s">
        <v>287</v>
      </c>
      <c r="AF577" t="s">
        <v>137</v>
      </c>
      <c r="AG577" t="s">
        <v>113</v>
      </c>
      <c r="AH577">
        <f t="shared" si="253"/>
        <v>3.0617823999999998E-2</v>
      </c>
      <c r="AI577">
        <f t="shared" si="254"/>
        <v>3.0617823999999998E-2</v>
      </c>
      <c r="AJ577">
        <f t="shared" si="228"/>
        <v>3.0617823999999998E-2</v>
      </c>
      <c r="AK577">
        <v>3.0617823999999998E-2</v>
      </c>
      <c r="AL577">
        <v>0.11517467000000001</v>
      </c>
      <c r="AM577">
        <v>0.11790393</v>
      </c>
      <c r="AN577">
        <v>0.12795168000000001</v>
      </c>
      <c r="AO577">
        <v>96.938217600000002</v>
      </c>
      <c r="AP577">
        <v>88.482533000000004</v>
      </c>
      <c r="AQ577">
        <v>88.209607000000005</v>
      </c>
      <c r="AR577">
        <v>87.204831999999996</v>
      </c>
      <c r="AS577" t="b">
        <v>1</v>
      </c>
      <c r="AT577" t="b">
        <v>0</v>
      </c>
      <c r="AU577" t="s">
        <v>77</v>
      </c>
      <c r="AV577" t="s">
        <v>78</v>
      </c>
      <c r="AW577" t="s">
        <v>783</v>
      </c>
      <c r="AX577" t="s">
        <v>812</v>
      </c>
      <c r="AY577" t="s">
        <v>921</v>
      </c>
      <c r="AZ577" t="s">
        <v>72</v>
      </c>
      <c r="BA577" t="s">
        <v>82</v>
      </c>
      <c r="BB577">
        <v>0.7</v>
      </c>
      <c r="BC577">
        <v>9.0659339999999995E-3</v>
      </c>
      <c r="BD577">
        <v>2.76583658862385E-3</v>
      </c>
      <c r="BE577">
        <v>1.1831770588623799E-2</v>
      </c>
      <c r="BF577">
        <f>IF(AK577&lt;BE577,1,0)</f>
        <v>0</v>
      </c>
      <c r="BG577">
        <f>IF(AK577&lt;BC577,1,0)</f>
        <v>0</v>
      </c>
      <c r="BH577">
        <f>VLOOKUP($B577,[1]Data_Peer_with_peerVars!$B$2:$Z$1050,20,FALSE)</f>
        <v>7</v>
      </c>
      <c r="BI577">
        <f>VLOOKUP($B577,[1]Data_Peer_with_peerVars!$B$2:$Z$1050,21,FALSE)</f>
        <v>3</v>
      </c>
      <c r="BJ577">
        <f>VLOOKUP($B577,[1]Data_Peer_with_peerVars!$B$2:$Z$1050,22,FALSE)</f>
        <v>0.428571429</v>
      </c>
      <c r="BK577">
        <f>VLOOKUP($B577,[1]Data_Peer_with_peerVars!$B$2:$Z$1050,23,FALSE)</f>
        <v>20</v>
      </c>
      <c r="BL577">
        <f>VLOOKUP($B577,[1]Data_Peer_with_peerVars!$B$2:$Z$1050,24,FALSE)</f>
        <v>10</v>
      </c>
      <c r="BM577">
        <f>VLOOKUP($B577,[1]Data_Peer_with_peerVars!$B$2:$Z$1050,25,FALSE)</f>
        <v>0.5</v>
      </c>
    </row>
    <row r="578" spans="1:65" x14ac:dyDescent="0.2">
      <c r="A578">
        <v>1</v>
      </c>
      <c r="B578" t="s">
        <v>923</v>
      </c>
      <c r="C578">
        <v>330</v>
      </c>
      <c r="D578" t="s">
        <v>68</v>
      </c>
      <c r="E578">
        <v>0</v>
      </c>
      <c r="F578">
        <v>172</v>
      </c>
      <c r="G578" t="s">
        <v>97</v>
      </c>
      <c r="H578" s="1">
        <v>7</v>
      </c>
      <c r="I578" t="s">
        <v>87</v>
      </c>
      <c r="J578" t="s">
        <v>88</v>
      </c>
      <c r="K578" t="s">
        <v>72</v>
      </c>
      <c r="L578">
        <v>1</v>
      </c>
      <c r="M578">
        <v>1</v>
      </c>
      <c r="N578">
        <v>1</v>
      </c>
      <c r="O578">
        <v>0</v>
      </c>
      <c r="P578">
        <v>0</v>
      </c>
      <c r="Q578">
        <v>6</v>
      </c>
      <c r="R578">
        <v>0</v>
      </c>
      <c r="S578">
        <v>0</v>
      </c>
      <c r="T578">
        <v>0</v>
      </c>
      <c r="U578">
        <v>0</v>
      </c>
      <c r="V578">
        <f t="shared" si="227"/>
        <v>0</v>
      </c>
      <c r="W578">
        <f t="shared" si="229"/>
        <v>0</v>
      </c>
      <c r="X578">
        <f t="shared" si="230"/>
        <v>0</v>
      </c>
      <c r="Y578">
        <f t="shared" si="231"/>
        <v>0</v>
      </c>
      <c r="Z578" t="s">
        <v>177</v>
      </c>
      <c r="AA578" s="5" t="s">
        <v>107</v>
      </c>
      <c r="AB578" s="5" t="s">
        <v>107</v>
      </c>
      <c r="AC578" t="s">
        <v>120</v>
      </c>
      <c r="AD578" t="s">
        <v>75</v>
      </c>
      <c r="AE578" s="5" t="s">
        <v>75</v>
      </c>
      <c r="AF578" t="s">
        <v>74</v>
      </c>
      <c r="AG578" t="s">
        <v>167</v>
      </c>
      <c r="AH578">
        <f t="shared" ref="AH578:AH581" si="255">AI578</f>
        <v>2.6775956E-2</v>
      </c>
      <c r="AI578">
        <f t="shared" ref="AI578:AI581" si="256">AJ578</f>
        <v>2.6775956E-2</v>
      </c>
      <c r="AJ578">
        <f t="shared" si="228"/>
        <v>2.6775956E-2</v>
      </c>
      <c r="AK578">
        <v>2.6775956E-2</v>
      </c>
      <c r="AL578">
        <v>8.0962800000000001E-2</v>
      </c>
      <c r="AM578">
        <v>8.8219179999999994E-2</v>
      </c>
      <c r="AN578">
        <v>0.100877196</v>
      </c>
      <c r="AO578">
        <v>97.322404399999996</v>
      </c>
      <c r="AP578">
        <v>91.903720000000007</v>
      </c>
      <c r="AQ578">
        <v>91.178082000000003</v>
      </c>
      <c r="AR578">
        <v>89.9122804</v>
      </c>
      <c r="AS578" t="b">
        <v>0</v>
      </c>
      <c r="AT578" t="b">
        <v>0</v>
      </c>
      <c r="AU578" t="s">
        <v>77</v>
      </c>
      <c r="AV578" t="s">
        <v>77</v>
      </c>
      <c r="AW578" t="s">
        <v>783</v>
      </c>
      <c r="AX578" t="s">
        <v>812</v>
      </c>
      <c r="AY578" t="s">
        <v>921</v>
      </c>
      <c r="AZ578" t="s">
        <v>72</v>
      </c>
      <c r="BA578" t="s">
        <v>82</v>
      </c>
      <c r="BB578">
        <v>2.5000000000000001E-2</v>
      </c>
      <c r="BC578">
        <v>4.6849314000000003E-2</v>
      </c>
      <c r="BD578">
        <v>4.5250577219970098E-3</v>
      </c>
      <c r="BE578">
        <v>5.1374371721996999E-2</v>
      </c>
      <c r="BF578">
        <f>IF(AK578&lt;BE578,1,0)</f>
        <v>1</v>
      </c>
      <c r="BG578">
        <f>IF(AK578&lt;BC578,1,0)</f>
        <v>1</v>
      </c>
      <c r="BH578">
        <f>VLOOKUP($B578,[1]Data_Peer_with_peerVars!$B$2:$Z$1050,20,FALSE)</f>
        <v>5</v>
      </c>
      <c r="BI578">
        <f>VLOOKUP($B578,[1]Data_Peer_with_peerVars!$B$2:$Z$1050,21,FALSE)</f>
        <v>3</v>
      </c>
      <c r="BJ578">
        <f>VLOOKUP($B578,[1]Data_Peer_with_peerVars!$B$2:$Z$1050,22,FALSE)</f>
        <v>0.6</v>
      </c>
      <c r="BK578">
        <f>VLOOKUP($B578,[1]Data_Peer_with_peerVars!$B$2:$Z$1050,23,FALSE)</f>
        <v>18</v>
      </c>
      <c r="BL578">
        <f>VLOOKUP($B578,[1]Data_Peer_with_peerVars!$B$2:$Z$1050,24,FALSE)</f>
        <v>10</v>
      </c>
      <c r="BM578">
        <f>VLOOKUP($B578,[1]Data_Peer_with_peerVars!$B$2:$Z$1050,25,FALSE)</f>
        <v>0.55555555599999995</v>
      </c>
    </row>
    <row r="579" spans="1:65" x14ac:dyDescent="0.2">
      <c r="A579">
        <v>1</v>
      </c>
      <c r="B579" t="s">
        <v>924</v>
      </c>
      <c r="C579">
        <v>330</v>
      </c>
      <c r="D579" t="s">
        <v>68</v>
      </c>
      <c r="E579">
        <v>0</v>
      </c>
      <c r="F579">
        <v>172</v>
      </c>
      <c r="G579" t="s">
        <v>97</v>
      </c>
      <c r="H579" s="1">
        <v>7</v>
      </c>
      <c r="I579" t="s">
        <v>87</v>
      </c>
      <c r="J579" t="s">
        <v>88</v>
      </c>
      <c r="K579" t="s">
        <v>72</v>
      </c>
      <c r="L579">
        <v>1</v>
      </c>
      <c r="M579">
        <v>1</v>
      </c>
      <c r="N579">
        <v>1</v>
      </c>
      <c r="O579">
        <v>0</v>
      </c>
      <c r="P579">
        <v>0</v>
      </c>
      <c r="Q579">
        <v>6</v>
      </c>
      <c r="R579">
        <v>0</v>
      </c>
      <c r="S579">
        <v>0</v>
      </c>
      <c r="T579">
        <v>0</v>
      </c>
      <c r="U579">
        <v>0</v>
      </c>
      <c r="V579">
        <f t="shared" ref="V579:V642" si="257">IF(Z579=AC579,1,0)</f>
        <v>0</v>
      </c>
      <c r="W579">
        <f t="shared" ref="W579:W641" si="258">IF(Z579=AD579,1,0)</f>
        <v>0</v>
      </c>
      <c r="X579">
        <f t="shared" si="230"/>
        <v>0</v>
      </c>
      <c r="Y579">
        <f t="shared" ref="Y579:Y641" si="259">IF(Z579=AG579,1,0)</f>
        <v>0</v>
      </c>
      <c r="Z579" t="s">
        <v>177</v>
      </c>
      <c r="AA579" s="5" t="s">
        <v>198</v>
      </c>
      <c r="AB579" s="5" t="s">
        <v>899</v>
      </c>
      <c r="AC579" t="s">
        <v>76</v>
      </c>
      <c r="AD579" t="s">
        <v>74</v>
      </c>
      <c r="AE579" s="5" t="s">
        <v>74</v>
      </c>
      <c r="AF579" t="s">
        <v>94</v>
      </c>
      <c r="AG579" t="s">
        <v>120</v>
      </c>
      <c r="AH579">
        <f t="shared" si="255"/>
        <v>0.11114145</v>
      </c>
      <c r="AI579">
        <f t="shared" si="256"/>
        <v>0.11114145</v>
      </c>
      <c r="AJ579">
        <f t="shared" ref="AJ579:AJ642" si="260">AK579</f>
        <v>0.11114145</v>
      </c>
      <c r="AK579">
        <v>0.11114145</v>
      </c>
      <c r="AL579">
        <v>0.11561644</v>
      </c>
      <c r="AM579">
        <v>0.13073143000000001</v>
      </c>
      <c r="AN579">
        <v>0.13407974</v>
      </c>
      <c r="AO579">
        <v>88.885855000000006</v>
      </c>
      <c r="AP579">
        <v>88.438355999999999</v>
      </c>
      <c r="AQ579">
        <v>86.926856999999998</v>
      </c>
      <c r="AR579">
        <v>86.592026000000004</v>
      </c>
      <c r="AS579" t="b">
        <v>0</v>
      </c>
      <c r="AT579" t="b">
        <v>0</v>
      </c>
      <c r="AU579" t="s">
        <v>78</v>
      </c>
      <c r="AV579" t="s">
        <v>78</v>
      </c>
      <c r="AW579" t="s">
        <v>783</v>
      </c>
      <c r="AX579" t="s">
        <v>812</v>
      </c>
      <c r="AY579" t="s">
        <v>921</v>
      </c>
      <c r="AZ579" t="s">
        <v>109</v>
      </c>
      <c r="BA579">
        <v>2</v>
      </c>
      <c r="BB579">
        <v>0.25</v>
      </c>
      <c r="BC579">
        <v>7.7070764999999999E-2</v>
      </c>
      <c r="BD579">
        <v>1.90190515067399E-3</v>
      </c>
      <c r="BE579">
        <v>7.8972670150673996E-2</v>
      </c>
      <c r="BF579">
        <f>IF(AK579&lt;BE579,1,0)</f>
        <v>0</v>
      </c>
      <c r="BG579">
        <f>IF(AK579&lt;BC579,1,0)</f>
        <v>0</v>
      </c>
      <c r="BH579">
        <f>VLOOKUP($B579,[1]Data_Peer_with_peerVars!$B$2:$Z$1050,20,FALSE)</f>
        <v>5</v>
      </c>
      <c r="BI579">
        <f>VLOOKUP($B579,[1]Data_Peer_with_peerVars!$B$2:$Z$1050,21,FALSE)</f>
        <v>3</v>
      </c>
      <c r="BJ579">
        <f>VLOOKUP($B579,[1]Data_Peer_with_peerVars!$B$2:$Z$1050,22,FALSE)</f>
        <v>0.6</v>
      </c>
      <c r="BK579">
        <f>VLOOKUP($B579,[1]Data_Peer_with_peerVars!$B$2:$Z$1050,23,FALSE)</f>
        <v>18</v>
      </c>
      <c r="BL579">
        <f>VLOOKUP($B579,[1]Data_Peer_with_peerVars!$B$2:$Z$1050,24,FALSE)</f>
        <v>10</v>
      </c>
      <c r="BM579">
        <f>VLOOKUP($B579,[1]Data_Peer_with_peerVars!$B$2:$Z$1050,25,FALSE)</f>
        <v>0.55555555599999995</v>
      </c>
    </row>
    <row r="580" spans="1:65" x14ac:dyDescent="0.2">
      <c r="A580">
        <v>1</v>
      </c>
      <c r="B580" t="s">
        <v>925</v>
      </c>
      <c r="C580">
        <v>330</v>
      </c>
      <c r="D580" t="s">
        <v>68</v>
      </c>
      <c r="E580">
        <v>0</v>
      </c>
      <c r="F580">
        <v>172</v>
      </c>
      <c r="G580" t="s">
        <v>97</v>
      </c>
      <c r="H580" s="1">
        <v>7</v>
      </c>
      <c r="I580" t="s">
        <v>87</v>
      </c>
      <c r="J580" t="s">
        <v>88</v>
      </c>
      <c r="K580" t="s">
        <v>72</v>
      </c>
      <c r="L580">
        <v>1</v>
      </c>
      <c r="M580">
        <v>1</v>
      </c>
      <c r="N580">
        <v>1</v>
      </c>
      <c r="O580">
        <v>0</v>
      </c>
      <c r="P580">
        <v>0</v>
      </c>
      <c r="Q580">
        <v>6</v>
      </c>
      <c r="R580">
        <v>0</v>
      </c>
      <c r="S580">
        <v>0</v>
      </c>
      <c r="T580">
        <v>0</v>
      </c>
      <c r="U580">
        <v>0</v>
      </c>
      <c r="V580">
        <f t="shared" si="257"/>
        <v>1</v>
      </c>
      <c r="W580">
        <v>1</v>
      </c>
      <c r="X580">
        <v>1</v>
      </c>
      <c r="Y580">
        <v>1</v>
      </c>
      <c r="Z580" t="s">
        <v>91</v>
      </c>
      <c r="AA580" s="5" t="s">
        <v>91</v>
      </c>
      <c r="AB580" s="5" t="s">
        <v>91</v>
      </c>
      <c r="AC580" t="s">
        <v>91</v>
      </c>
      <c r="AD580" t="s">
        <v>287</v>
      </c>
      <c r="AE580" s="5" t="s">
        <v>287</v>
      </c>
      <c r="AF580" t="s">
        <v>137</v>
      </c>
      <c r="AG580" t="s">
        <v>113</v>
      </c>
      <c r="AH580">
        <f t="shared" si="255"/>
        <v>5.7166300000000003E-2</v>
      </c>
      <c r="AI580">
        <f t="shared" si="256"/>
        <v>5.7166300000000003E-2</v>
      </c>
      <c r="AJ580">
        <f t="shared" si="260"/>
        <v>5.7166300000000003E-2</v>
      </c>
      <c r="AK580">
        <v>5.7166300000000003E-2</v>
      </c>
      <c r="AL580">
        <v>0.10300545999999999</v>
      </c>
      <c r="AM580">
        <v>0.12424904000000001</v>
      </c>
      <c r="AN580">
        <v>0.13331501000000001</v>
      </c>
      <c r="AO580">
        <v>94.283370000000005</v>
      </c>
      <c r="AP580">
        <v>89.699454000000003</v>
      </c>
      <c r="AQ580">
        <v>87.575096000000002</v>
      </c>
      <c r="AR580">
        <v>86.668498999999997</v>
      </c>
      <c r="AS580" t="b">
        <v>1</v>
      </c>
      <c r="AT580" t="b">
        <v>0</v>
      </c>
      <c r="AU580" t="s">
        <v>77</v>
      </c>
      <c r="AV580" t="s">
        <v>78</v>
      </c>
      <c r="AW580" t="s">
        <v>783</v>
      </c>
      <c r="AX580" t="s">
        <v>812</v>
      </c>
      <c r="AY580" t="s">
        <v>921</v>
      </c>
      <c r="AZ580" t="s">
        <v>109</v>
      </c>
      <c r="BA580">
        <v>7</v>
      </c>
      <c r="BB580">
        <v>1</v>
      </c>
      <c r="BC580">
        <v>9.0659339999999995E-3</v>
      </c>
      <c r="BD580">
        <v>2.76583658862385E-3</v>
      </c>
      <c r="BE580">
        <v>1.1831770588623799E-2</v>
      </c>
      <c r="BF580">
        <f>IF(AK580&lt;BE580,1,0)</f>
        <v>0</v>
      </c>
      <c r="BG580">
        <f>IF(AK580&lt;BC580,1,0)</f>
        <v>0</v>
      </c>
      <c r="BH580">
        <f>VLOOKUP($B580,[1]Data_Peer_with_peerVars!$B$2:$Z$1050,20,FALSE)</f>
        <v>5</v>
      </c>
      <c r="BI580">
        <f>VLOOKUP($B580,[1]Data_Peer_with_peerVars!$B$2:$Z$1050,21,FALSE)</f>
        <v>3</v>
      </c>
      <c r="BJ580">
        <f>VLOOKUP($B580,[1]Data_Peer_with_peerVars!$B$2:$Z$1050,22,FALSE)</f>
        <v>0.6</v>
      </c>
      <c r="BK580">
        <f>VLOOKUP($B580,[1]Data_Peer_with_peerVars!$B$2:$Z$1050,23,FALSE)</f>
        <v>18</v>
      </c>
      <c r="BL580">
        <f>VLOOKUP($B580,[1]Data_Peer_with_peerVars!$B$2:$Z$1050,24,FALSE)</f>
        <v>10</v>
      </c>
      <c r="BM580">
        <f>VLOOKUP($B580,[1]Data_Peer_with_peerVars!$B$2:$Z$1050,25,FALSE)</f>
        <v>0.55555555599999995</v>
      </c>
    </row>
    <row r="581" spans="1:65" x14ac:dyDescent="0.2">
      <c r="A581">
        <v>1</v>
      </c>
      <c r="B581" t="s">
        <v>926</v>
      </c>
      <c r="C581">
        <v>330</v>
      </c>
      <c r="D581" t="s">
        <v>68</v>
      </c>
      <c r="E581">
        <v>0</v>
      </c>
      <c r="F581">
        <v>172</v>
      </c>
      <c r="G581" t="s">
        <v>97</v>
      </c>
      <c r="H581" s="1">
        <v>7</v>
      </c>
      <c r="I581" t="s">
        <v>87</v>
      </c>
      <c r="J581" t="s">
        <v>88</v>
      </c>
      <c r="K581" t="s">
        <v>72</v>
      </c>
      <c r="L581">
        <v>1</v>
      </c>
      <c r="M581">
        <v>1</v>
      </c>
      <c r="N581">
        <v>1</v>
      </c>
      <c r="O581">
        <v>0</v>
      </c>
      <c r="P581">
        <v>0</v>
      </c>
      <c r="Q581">
        <v>6</v>
      </c>
      <c r="R581">
        <v>0</v>
      </c>
      <c r="S581">
        <v>0</v>
      </c>
      <c r="T581">
        <v>0</v>
      </c>
      <c r="U581">
        <v>0</v>
      </c>
      <c r="V581">
        <f t="shared" si="257"/>
        <v>1</v>
      </c>
      <c r="W581">
        <v>1</v>
      </c>
      <c r="X581">
        <v>1</v>
      </c>
      <c r="Y581">
        <v>1</v>
      </c>
      <c r="Z581" t="s">
        <v>287</v>
      </c>
      <c r="AA581" s="5" t="s">
        <v>287</v>
      </c>
      <c r="AB581" s="5" t="s">
        <v>287</v>
      </c>
      <c r="AC581" t="s">
        <v>287</v>
      </c>
      <c r="AD581" t="s">
        <v>91</v>
      </c>
      <c r="AE581" s="5" t="s">
        <v>91</v>
      </c>
      <c r="AF581" t="s">
        <v>137</v>
      </c>
      <c r="AG581" t="s">
        <v>113</v>
      </c>
      <c r="AH581">
        <f t="shared" si="255"/>
        <v>5.1310043999999999E-2</v>
      </c>
      <c r="AI581">
        <f t="shared" si="256"/>
        <v>5.1310043999999999E-2</v>
      </c>
      <c r="AJ581">
        <f t="shared" si="260"/>
        <v>5.1310043999999999E-2</v>
      </c>
      <c r="AK581">
        <v>5.1310043999999999E-2</v>
      </c>
      <c r="AL581">
        <v>0.1131766</v>
      </c>
      <c r="AM581">
        <v>0.120633185</v>
      </c>
      <c r="AN581">
        <v>0.13152114000000001</v>
      </c>
      <c r="AO581">
        <v>94.868995600000005</v>
      </c>
      <c r="AP581">
        <v>88.682339999999996</v>
      </c>
      <c r="AQ581">
        <v>87.936681500000006</v>
      </c>
      <c r="AR581">
        <v>86.847886000000003</v>
      </c>
      <c r="AS581" t="b">
        <v>1</v>
      </c>
      <c r="AT581" t="b">
        <v>0</v>
      </c>
      <c r="AU581" t="s">
        <v>77</v>
      </c>
      <c r="AV581" t="s">
        <v>78</v>
      </c>
      <c r="AW581" t="s">
        <v>783</v>
      </c>
      <c r="AX581" t="s">
        <v>812</v>
      </c>
      <c r="AY581" t="s">
        <v>921</v>
      </c>
      <c r="AZ581" t="s">
        <v>72</v>
      </c>
      <c r="BA581" t="s">
        <v>82</v>
      </c>
      <c r="BB581">
        <v>1</v>
      </c>
      <c r="BC581">
        <v>5.5106750000000003E-2</v>
      </c>
      <c r="BD581">
        <v>2.4361461616194298E-3</v>
      </c>
      <c r="BE581">
        <v>5.7542896161619402E-2</v>
      </c>
      <c r="BF581">
        <f>IF(AK581&lt;BE581,1,0)</f>
        <v>1</v>
      </c>
      <c r="BG581">
        <f>IF(AK581&lt;BC581,1,0)</f>
        <v>1</v>
      </c>
      <c r="BH581">
        <f>VLOOKUP($B581,[1]Data_Peer_with_peerVars!$B$2:$Z$1050,20,FALSE)</f>
        <v>5</v>
      </c>
      <c r="BI581">
        <f>VLOOKUP($B581,[1]Data_Peer_with_peerVars!$B$2:$Z$1050,21,FALSE)</f>
        <v>3</v>
      </c>
      <c r="BJ581">
        <f>VLOOKUP($B581,[1]Data_Peer_with_peerVars!$B$2:$Z$1050,22,FALSE)</f>
        <v>0.6</v>
      </c>
      <c r="BK581">
        <f>VLOOKUP($B581,[1]Data_Peer_with_peerVars!$B$2:$Z$1050,23,FALSE)</f>
        <v>18</v>
      </c>
      <c r="BL581">
        <f>VLOOKUP($B581,[1]Data_Peer_with_peerVars!$B$2:$Z$1050,24,FALSE)</f>
        <v>10</v>
      </c>
      <c r="BM581">
        <f>VLOOKUP($B581,[1]Data_Peer_with_peerVars!$B$2:$Z$1050,25,FALSE)</f>
        <v>0.55555555599999995</v>
      </c>
    </row>
    <row r="582" spans="1:65" x14ac:dyDescent="0.2">
      <c r="A582">
        <v>1</v>
      </c>
      <c r="B582" t="s">
        <v>927</v>
      </c>
      <c r="C582">
        <v>331</v>
      </c>
      <c r="D582" t="s">
        <v>68</v>
      </c>
      <c r="E582">
        <v>0</v>
      </c>
      <c r="F582">
        <v>173</v>
      </c>
      <c r="G582" t="s">
        <v>97</v>
      </c>
      <c r="H582" s="1">
        <v>4.3333333333333304</v>
      </c>
      <c r="I582" t="s">
        <v>87</v>
      </c>
      <c r="J582" t="s">
        <v>124</v>
      </c>
      <c r="K582" t="s">
        <v>72</v>
      </c>
      <c r="L582">
        <v>2</v>
      </c>
      <c r="M582">
        <v>0</v>
      </c>
      <c r="N582">
        <v>1</v>
      </c>
      <c r="O582">
        <v>0</v>
      </c>
      <c r="P582">
        <v>1</v>
      </c>
      <c r="Q582">
        <v>5</v>
      </c>
      <c r="R582">
        <v>0</v>
      </c>
      <c r="S582">
        <v>0</v>
      </c>
      <c r="T582">
        <v>0</v>
      </c>
      <c r="U582">
        <v>0</v>
      </c>
      <c r="V582">
        <f t="shared" si="257"/>
        <v>0</v>
      </c>
      <c r="W582">
        <f t="shared" si="258"/>
        <v>0</v>
      </c>
      <c r="X582">
        <f t="shared" ref="X582:X643" si="261">IF(Z582=AF582,1,0)</f>
        <v>0</v>
      </c>
      <c r="Y582">
        <f t="shared" si="259"/>
        <v>0</v>
      </c>
      <c r="Z582" t="s">
        <v>89</v>
      </c>
      <c r="AA582" s="5" t="s">
        <v>89</v>
      </c>
      <c r="AB582" s="5" t="s">
        <v>577</v>
      </c>
      <c r="AC582" t="s">
        <v>120</v>
      </c>
      <c r="AD582" t="s">
        <v>102</v>
      </c>
      <c r="AE582" s="5" t="s">
        <v>928</v>
      </c>
      <c r="AF582" t="s">
        <v>167</v>
      </c>
      <c r="AG582" t="s">
        <v>74</v>
      </c>
      <c r="AH582">
        <f t="shared" ref="AH582:AH583" si="262">AI582</f>
        <v>0.11208311</v>
      </c>
      <c r="AI582">
        <f t="shared" ref="AI582:AI584" si="263">AJ582</f>
        <v>0.11208311</v>
      </c>
      <c r="AJ582">
        <f t="shared" si="260"/>
        <v>0.11208311</v>
      </c>
      <c r="AK582">
        <v>0.11208311</v>
      </c>
      <c r="AL582">
        <v>0.13209607000000001</v>
      </c>
      <c r="AM582">
        <v>0.13357104</v>
      </c>
      <c r="AN582">
        <v>0.13439386</v>
      </c>
      <c r="AO582">
        <v>88.791689000000005</v>
      </c>
      <c r="AP582">
        <v>86.790392999999995</v>
      </c>
      <c r="AQ582">
        <v>86.642895999999993</v>
      </c>
      <c r="AR582">
        <v>86.560614000000001</v>
      </c>
      <c r="AS582" t="b">
        <v>0</v>
      </c>
      <c r="AT582" t="b">
        <v>0</v>
      </c>
      <c r="AU582" t="s">
        <v>92</v>
      </c>
      <c r="AV582" t="s">
        <v>92</v>
      </c>
      <c r="AW582" t="s">
        <v>783</v>
      </c>
      <c r="AX582" t="s">
        <v>812</v>
      </c>
      <c r="AY582" t="s">
        <v>929</v>
      </c>
      <c r="AZ582" t="s">
        <v>72</v>
      </c>
      <c r="BA582" t="s">
        <v>82</v>
      </c>
      <c r="BB582">
        <v>4</v>
      </c>
      <c r="BC582">
        <v>4.6849314000000003E-2</v>
      </c>
      <c r="BD582">
        <v>4.5250577219970098E-3</v>
      </c>
      <c r="BE582">
        <v>5.1374371721996999E-2</v>
      </c>
      <c r="BF582">
        <f>IF(AK582&lt;BE582,1,0)</f>
        <v>0</v>
      </c>
      <c r="BG582">
        <f>IF(AK582&lt;BC582,1,0)</f>
        <v>0</v>
      </c>
      <c r="BH582">
        <f>VLOOKUP($B582,[1]Data_Peer_with_peerVars!$B$2:$Z$1050,20,FALSE)</f>
        <v>12</v>
      </c>
      <c r="BI582">
        <f>VLOOKUP($B582,[1]Data_Peer_with_peerVars!$B$2:$Z$1050,21,FALSE)</f>
        <v>6</v>
      </c>
      <c r="BJ582">
        <f>VLOOKUP($B582,[1]Data_Peer_with_peerVars!$B$2:$Z$1050,22,FALSE)</f>
        <v>0.5</v>
      </c>
      <c r="BK582">
        <f>VLOOKUP($B582,[1]Data_Peer_with_peerVars!$B$2:$Z$1050,23,FALSE)</f>
        <v>61</v>
      </c>
      <c r="BL582">
        <f>VLOOKUP($B582,[1]Data_Peer_with_peerVars!$B$2:$Z$1050,24,FALSE)</f>
        <v>33</v>
      </c>
      <c r="BM582">
        <f>VLOOKUP($B582,[1]Data_Peer_with_peerVars!$B$2:$Z$1050,25,FALSE)</f>
        <v>0.54098360700000003</v>
      </c>
    </row>
    <row r="583" spans="1:65" x14ac:dyDescent="0.2">
      <c r="A583">
        <v>1</v>
      </c>
      <c r="B583" t="s">
        <v>930</v>
      </c>
      <c r="C583">
        <v>331</v>
      </c>
      <c r="D583" t="s">
        <v>68</v>
      </c>
      <c r="E583">
        <v>0</v>
      </c>
      <c r="F583">
        <v>173</v>
      </c>
      <c r="G583" t="s">
        <v>97</v>
      </c>
      <c r="H583" s="1">
        <v>4.3333333333333304</v>
      </c>
      <c r="I583" t="s">
        <v>87</v>
      </c>
      <c r="J583" t="s">
        <v>124</v>
      </c>
      <c r="K583" t="s">
        <v>72</v>
      </c>
      <c r="L583">
        <v>2</v>
      </c>
      <c r="M583">
        <v>0</v>
      </c>
      <c r="N583">
        <v>1</v>
      </c>
      <c r="O583">
        <v>0</v>
      </c>
      <c r="P583">
        <v>1</v>
      </c>
      <c r="Q583">
        <v>5</v>
      </c>
      <c r="R583">
        <v>0</v>
      </c>
      <c r="S583">
        <v>0</v>
      </c>
      <c r="T583">
        <v>0</v>
      </c>
      <c r="U583">
        <v>0</v>
      </c>
      <c r="V583">
        <f t="shared" si="257"/>
        <v>0</v>
      </c>
      <c r="W583">
        <f t="shared" si="258"/>
        <v>0</v>
      </c>
      <c r="X583">
        <f t="shared" si="261"/>
        <v>0</v>
      </c>
      <c r="Y583">
        <f t="shared" si="259"/>
        <v>0</v>
      </c>
      <c r="Z583" t="s">
        <v>170</v>
      </c>
      <c r="AA583" s="5" t="s">
        <v>170</v>
      </c>
      <c r="AB583" s="5" t="s">
        <v>931</v>
      </c>
      <c r="AC583" t="s">
        <v>91</v>
      </c>
      <c r="AD583" t="s">
        <v>75</v>
      </c>
      <c r="AE583" s="5" t="s">
        <v>932</v>
      </c>
      <c r="AF583" t="s">
        <v>287</v>
      </c>
      <c r="AG583" t="s">
        <v>137</v>
      </c>
      <c r="AH583">
        <f t="shared" si="262"/>
        <v>5.5525165000000001E-2</v>
      </c>
      <c r="AI583">
        <f t="shared" si="263"/>
        <v>5.5525165000000001E-2</v>
      </c>
      <c r="AJ583">
        <f t="shared" si="260"/>
        <v>5.5525165000000001E-2</v>
      </c>
      <c r="AK583">
        <v>5.5525165000000001E-2</v>
      </c>
      <c r="AL583">
        <v>0.11746988</v>
      </c>
      <c r="AM583">
        <v>0.11912569000000001</v>
      </c>
      <c r="AN583">
        <v>0.12486338600000001</v>
      </c>
      <c r="AO583">
        <v>94.447483500000004</v>
      </c>
      <c r="AP583">
        <v>88.253011999999998</v>
      </c>
      <c r="AQ583">
        <v>88.087430999999995</v>
      </c>
      <c r="AR583">
        <v>87.513661400000004</v>
      </c>
      <c r="AS583" t="b">
        <v>0</v>
      </c>
      <c r="AT583" t="b">
        <v>0</v>
      </c>
      <c r="AU583" t="s">
        <v>92</v>
      </c>
      <c r="AV583" t="s">
        <v>92</v>
      </c>
      <c r="AW583" t="s">
        <v>783</v>
      </c>
      <c r="AX583" t="s">
        <v>812</v>
      </c>
      <c r="AY583" t="s">
        <v>929</v>
      </c>
      <c r="AZ583" t="s">
        <v>109</v>
      </c>
      <c r="BA583">
        <v>7</v>
      </c>
      <c r="BB583">
        <v>4</v>
      </c>
      <c r="BC583">
        <v>9.0659339999999995E-3</v>
      </c>
      <c r="BD583">
        <v>2.76583658862385E-3</v>
      </c>
      <c r="BE583">
        <v>1.1831770588623799E-2</v>
      </c>
      <c r="BF583">
        <f>IF(AK583&lt;BE583,1,0)</f>
        <v>0</v>
      </c>
      <c r="BG583">
        <f>IF(AK583&lt;BC583,1,0)</f>
        <v>0</v>
      </c>
      <c r="BH583">
        <f>VLOOKUP($B583,[1]Data_Peer_with_peerVars!$B$2:$Z$1050,20,FALSE)</f>
        <v>12</v>
      </c>
      <c r="BI583">
        <f>VLOOKUP($B583,[1]Data_Peer_with_peerVars!$B$2:$Z$1050,21,FALSE)</f>
        <v>6</v>
      </c>
      <c r="BJ583">
        <f>VLOOKUP($B583,[1]Data_Peer_with_peerVars!$B$2:$Z$1050,22,FALSE)</f>
        <v>0.5</v>
      </c>
      <c r="BK583">
        <f>VLOOKUP($B583,[1]Data_Peer_with_peerVars!$B$2:$Z$1050,23,FALSE)</f>
        <v>61</v>
      </c>
      <c r="BL583">
        <f>VLOOKUP($B583,[1]Data_Peer_with_peerVars!$B$2:$Z$1050,24,FALSE)</f>
        <v>33</v>
      </c>
      <c r="BM583">
        <f>VLOOKUP($B583,[1]Data_Peer_with_peerVars!$B$2:$Z$1050,25,FALSE)</f>
        <v>0.54098360700000003</v>
      </c>
    </row>
    <row r="584" spans="1:65" x14ac:dyDescent="0.2">
      <c r="A584">
        <v>1</v>
      </c>
      <c r="B584" t="s">
        <v>933</v>
      </c>
      <c r="C584">
        <v>331</v>
      </c>
      <c r="D584" t="s">
        <v>68</v>
      </c>
      <c r="E584">
        <v>0</v>
      </c>
      <c r="F584">
        <v>173</v>
      </c>
      <c r="G584" t="s">
        <v>97</v>
      </c>
      <c r="H584" s="1">
        <v>4.3333333333333304</v>
      </c>
      <c r="I584" t="s">
        <v>87</v>
      </c>
      <c r="J584" t="s">
        <v>124</v>
      </c>
      <c r="K584" t="s">
        <v>72</v>
      </c>
      <c r="L584">
        <v>2</v>
      </c>
      <c r="M584">
        <v>0</v>
      </c>
      <c r="N584">
        <v>1</v>
      </c>
      <c r="O584">
        <v>0</v>
      </c>
      <c r="P584">
        <v>1</v>
      </c>
      <c r="Q584">
        <v>5</v>
      </c>
      <c r="R584">
        <v>0</v>
      </c>
      <c r="S584">
        <v>0</v>
      </c>
      <c r="T584">
        <v>0</v>
      </c>
      <c r="U584">
        <v>0</v>
      </c>
      <c r="V584">
        <f t="shared" si="257"/>
        <v>0</v>
      </c>
      <c r="W584">
        <f t="shared" si="258"/>
        <v>0</v>
      </c>
      <c r="X584">
        <f t="shared" si="261"/>
        <v>0</v>
      </c>
      <c r="Y584">
        <f t="shared" si="259"/>
        <v>1</v>
      </c>
      <c r="Z584" t="s">
        <v>120</v>
      </c>
      <c r="AA584" s="5" t="s">
        <v>120</v>
      </c>
      <c r="AB584" s="5" t="s">
        <v>934</v>
      </c>
      <c r="AC584" t="s">
        <v>91</v>
      </c>
      <c r="AD584" t="s">
        <v>75</v>
      </c>
      <c r="AE584" s="5" t="s">
        <v>75</v>
      </c>
      <c r="AF584" t="s">
        <v>74</v>
      </c>
      <c r="AG584" t="s">
        <v>120</v>
      </c>
      <c r="AH584">
        <f>AN584</f>
        <v>0.13216822</v>
      </c>
      <c r="AI584">
        <f t="shared" si="263"/>
        <v>8.0371789999999999E-2</v>
      </c>
      <c r="AJ584">
        <f t="shared" si="260"/>
        <v>8.0371789999999999E-2</v>
      </c>
      <c r="AK584">
        <v>8.0371789999999999E-2</v>
      </c>
      <c r="AL584">
        <v>8.9989059999999996E-2</v>
      </c>
      <c r="AM584">
        <v>0.12821916999999999</v>
      </c>
      <c r="AN584">
        <v>0.13216822</v>
      </c>
      <c r="AO584">
        <v>91.962821000000005</v>
      </c>
      <c r="AP584">
        <v>91.001093999999995</v>
      </c>
      <c r="AQ584">
        <v>87.178083000000001</v>
      </c>
      <c r="AR584">
        <v>86.783178000000007</v>
      </c>
      <c r="AS584" t="b">
        <v>0</v>
      </c>
      <c r="AT584" t="b">
        <v>0</v>
      </c>
      <c r="AU584" t="s">
        <v>77</v>
      </c>
      <c r="AV584" t="s">
        <v>77</v>
      </c>
      <c r="AW584" t="s">
        <v>783</v>
      </c>
      <c r="AX584" t="s">
        <v>812</v>
      </c>
      <c r="AY584" t="s">
        <v>929</v>
      </c>
      <c r="AZ584" t="s">
        <v>109</v>
      </c>
      <c r="BA584">
        <v>4</v>
      </c>
      <c r="BB584">
        <v>4</v>
      </c>
      <c r="BC584">
        <v>9.0659339999999995E-3</v>
      </c>
      <c r="BD584">
        <v>2.76583658862385E-3</v>
      </c>
      <c r="BE584">
        <v>1.1831770588623799E-2</v>
      </c>
      <c r="BF584">
        <f>IF(AK584&lt;BE584,1,0)</f>
        <v>0</v>
      </c>
      <c r="BG584">
        <f>IF(AK584&lt;BC584,1,0)</f>
        <v>0</v>
      </c>
      <c r="BH584">
        <f>VLOOKUP($B584,[1]Data_Peer_with_peerVars!$B$2:$Z$1050,20,FALSE)</f>
        <v>12</v>
      </c>
      <c r="BI584">
        <f>VLOOKUP($B584,[1]Data_Peer_with_peerVars!$B$2:$Z$1050,21,FALSE)</f>
        <v>6</v>
      </c>
      <c r="BJ584">
        <f>VLOOKUP($B584,[1]Data_Peer_with_peerVars!$B$2:$Z$1050,22,FALSE)</f>
        <v>0.5</v>
      </c>
      <c r="BK584">
        <f>VLOOKUP($B584,[1]Data_Peer_with_peerVars!$B$2:$Z$1050,23,FALSE)</f>
        <v>61</v>
      </c>
      <c r="BL584">
        <f>VLOOKUP($B584,[1]Data_Peer_with_peerVars!$B$2:$Z$1050,24,FALSE)</f>
        <v>33</v>
      </c>
      <c r="BM584">
        <f>VLOOKUP($B584,[1]Data_Peer_with_peerVars!$B$2:$Z$1050,25,FALSE)</f>
        <v>0.54098360700000003</v>
      </c>
    </row>
    <row r="585" spans="1:65" x14ac:dyDescent="0.2">
      <c r="A585">
        <v>1</v>
      </c>
      <c r="B585" t="s">
        <v>935</v>
      </c>
      <c r="C585">
        <v>331</v>
      </c>
      <c r="D585" t="s">
        <v>68</v>
      </c>
      <c r="E585">
        <v>0</v>
      </c>
      <c r="F585">
        <v>173</v>
      </c>
      <c r="G585" t="s">
        <v>97</v>
      </c>
      <c r="H585" s="1">
        <v>4.3333333333333304</v>
      </c>
      <c r="I585" t="s">
        <v>87</v>
      </c>
      <c r="J585" t="s">
        <v>124</v>
      </c>
      <c r="K585" t="s">
        <v>72</v>
      </c>
      <c r="L585">
        <v>2</v>
      </c>
      <c r="M585">
        <v>0</v>
      </c>
      <c r="N585">
        <v>1</v>
      </c>
      <c r="O585">
        <v>0</v>
      </c>
      <c r="P585">
        <v>1</v>
      </c>
      <c r="Q585">
        <v>5</v>
      </c>
      <c r="R585">
        <v>0</v>
      </c>
      <c r="S585">
        <v>0</v>
      </c>
      <c r="T585">
        <v>0</v>
      </c>
      <c r="U585">
        <v>0</v>
      </c>
      <c r="V585">
        <v>1</v>
      </c>
      <c r="W585">
        <v>1</v>
      </c>
      <c r="X585">
        <v>1</v>
      </c>
      <c r="Y585">
        <v>1</v>
      </c>
      <c r="Z585" t="s">
        <v>98</v>
      </c>
      <c r="AA585" s="5" t="s">
        <v>829</v>
      </c>
      <c r="AB585" s="5" t="s">
        <v>829</v>
      </c>
      <c r="AC585" t="s">
        <v>99</v>
      </c>
      <c r="AD585" t="s">
        <v>101</v>
      </c>
      <c r="AE585" s="5" t="s">
        <v>101</v>
      </c>
      <c r="AF585" t="s">
        <v>102</v>
      </c>
      <c r="AG585" t="s">
        <v>103</v>
      </c>
      <c r="AH585">
        <f>AI585</f>
        <v>2.2038568000000001E-2</v>
      </c>
      <c r="AI585">
        <f>AJ585</f>
        <v>2.2038568000000001E-2</v>
      </c>
      <c r="AJ585">
        <f t="shared" si="260"/>
        <v>2.2038568000000001E-2</v>
      </c>
      <c r="AK585">
        <v>2.2038568000000001E-2</v>
      </c>
      <c r="AL585">
        <v>7.4409660000000002E-2</v>
      </c>
      <c r="AM585">
        <v>9.9072054000000007E-2</v>
      </c>
      <c r="AN585">
        <v>0.11218301999999999</v>
      </c>
      <c r="AO585">
        <v>97.796143200000003</v>
      </c>
      <c r="AP585">
        <v>92.559033999999997</v>
      </c>
      <c r="AQ585">
        <v>90.092794600000005</v>
      </c>
      <c r="AR585">
        <v>88.781698000000006</v>
      </c>
      <c r="AS585" t="b">
        <v>0</v>
      </c>
      <c r="AT585" t="b">
        <v>0</v>
      </c>
      <c r="AU585" t="s">
        <v>77</v>
      </c>
      <c r="AV585" t="s">
        <v>77</v>
      </c>
      <c r="AW585" t="s">
        <v>783</v>
      </c>
      <c r="AX585" t="s">
        <v>812</v>
      </c>
      <c r="AY585" t="s">
        <v>929</v>
      </c>
      <c r="AZ585" t="s">
        <v>109</v>
      </c>
      <c r="BA585">
        <v>1</v>
      </c>
      <c r="BB585">
        <v>1.4</v>
      </c>
      <c r="BC585">
        <v>2.4711695999999998E-2</v>
      </c>
      <c r="BD585">
        <v>1.72884756304863E-3</v>
      </c>
      <c r="BE585">
        <v>2.6440543563048601E-2</v>
      </c>
      <c r="BF585">
        <f>IF(AK585&lt;BE585,1,0)</f>
        <v>1</v>
      </c>
      <c r="BG585">
        <f>IF(AK585&lt;BC585,1,0)</f>
        <v>1</v>
      </c>
      <c r="BH585">
        <f>VLOOKUP($B585,[1]Data_Peer_with_peerVars!$B$2:$Z$1050,20,FALSE)</f>
        <v>12</v>
      </c>
      <c r="BI585">
        <f>VLOOKUP($B585,[1]Data_Peer_with_peerVars!$B$2:$Z$1050,21,FALSE)</f>
        <v>6</v>
      </c>
      <c r="BJ585">
        <f>VLOOKUP($B585,[1]Data_Peer_with_peerVars!$B$2:$Z$1050,22,FALSE)</f>
        <v>0.5</v>
      </c>
      <c r="BK585">
        <f>VLOOKUP($B585,[1]Data_Peer_with_peerVars!$B$2:$Z$1050,23,FALSE)</f>
        <v>61</v>
      </c>
      <c r="BL585">
        <f>VLOOKUP($B585,[1]Data_Peer_with_peerVars!$B$2:$Z$1050,24,FALSE)</f>
        <v>33</v>
      </c>
      <c r="BM585">
        <f>VLOOKUP($B585,[1]Data_Peer_with_peerVars!$B$2:$Z$1050,25,FALSE)</f>
        <v>0.54098360700000003</v>
      </c>
    </row>
    <row r="586" spans="1:65" x14ac:dyDescent="0.2">
      <c r="A586">
        <v>1</v>
      </c>
      <c r="B586" t="s">
        <v>936</v>
      </c>
      <c r="C586">
        <v>331</v>
      </c>
      <c r="D586" t="s">
        <v>68</v>
      </c>
      <c r="E586">
        <v>0</v>
      </c>
      <c r="F586">
        <v>173</v>
      </c>
      <c r="G586" t="s">
        <v>97</v>
      </c>
      <c r="H586" s="1">
        <v>4.3333333333333304</v>
      </c>
      <c r="I586" t="s">
        <v>87</v>
      </c>
      <c r="J586" t="s">
        <v>124</v>
      </c>
      <c r="K586" t="s">
        <v>72</v>
      </c>
      <c r="L586">
        <v>2</v>
      </c>
      <c r="M586">
        <v>0</v>
      </c>
      <c r="N586">
        <v>1</v>
      </c>
      <c r="O586">
        <v>0</v>
      </c>
      <c r="P586">
        <v>1</v>
      </c>
      <c r="Q586">
        <v>5</v>
      </c>
      <c r="R586">
        <v>0</v>
      </c>
      <c r="S586">
        <v>0</v>
      </c>
      <c r="T586">
        <v>0</v>
      </c>
      <c r="U586">
        <v>0</v>
      </c>
      <c r="V586">
        <f t="shared" si="257"/>
        <v>0</v>
      </c>
      <c r="W586">
        <f t="shared" si="258"/>
        <v>0</v>
      </c>
      <c r="X586">
        <f t="shared" si="261"/>
        <v>0</v>
      </c>
      <c r="Y586">
        <f t="shared" si="259"/>
        <v>0</v>
      </c>
      <c r="Z586" t="s">
        <v>89</v>
      </c>
      <c r="AA586" s="5" t="s">
        <v>89</v>
      </c>
      <c r="AB586" s="5" t="s">
        <v>577</v>
      </c>
      <c r="AC586" t="s">
        <v>76</v>
      </c>
      <c r="AD586" t="s">
        <v>74</v>
      </c>
      <c r="AE586" s="5" t="s">
        <v>74</v>
      </c>
      <c r="AF586" t="s">
        <v>94</v>
      </c>
      <c r="AG586" t="s">
        <v>120</v>
      </c>
      <c r="AH586">
        <f t="shared" ref="AH586:AH588" si="264">AI586</f>
        <v>0.11038251</v>
      </c>
      <c r="AI586">
        <f t="shared" ref="AI586:AI588" si="265">AJ586</f>
        <v>0.11038251</v>
      </c>
      <c r="AJ586">
        <f t="shared" si="260"/>
        <v>0.11038251</v>
      </c>
      <c r="AK586">
        <v>0.11038251</v>
      </c>
      <c r="AL586">
        <v>0.12554824000000001</v>
      </c>
      <c r="AM586">
        <v>0.13189513999999999</v>
      </c>
      <c r="AN586">
        <v>0.13852459</v>
      </c>
      <c r="AO586">
        <v>88.961748999999998</v>
      </c>
      <c r="AP586">
        <v>87.445176000000004</v>
      </c>
      <c r="AQ586">
        <v>86.810485999999997</v>
      </c>
      <c r="AR586">
        <v>86.147541000000004</v>
      </c>
      <c r="AS586" t="b">
        <v>0</v>
      </c>
      <c r="AT586" t="b">
        <v>0</v>
      </c>
      <c r="AU586" t="s">
        <v>92</v>
      </c>
      <c r="AV586" t="s">
        <v>92</v>
      </c>
      <c r="AW586" t="s">
        <v>783</v>
      </c>
      <c r="AX586" t="s">
        <v>812</v>
      </c>
      <c r="AY586" t="s">
        <v>929</v>
      </c>
      <c r="AZ586" t="s">
        <v>72</v>
      </c>
      <c r="BA586" t="s">
        <v>82</v>
      </c>
      <c r="BB586">
        <v>1.4</v>
      </c>
      <c r="BC586">
        <v>7.7070764999999999E-2</v>
      </c>
      <c r="BD586">
        <v>1.90190515067399E-3</v>
      </c>
      <c r="BE586">
        <v>7.8972670150673996E-2</v>
      </c>
      <c r="BF586">
        <f>IF(AK586&lt;BE586,1,0)</f>
        <v>0</v>
      </c>
      <c r="BG586">
        <f>IF(AK586&lt;BC586,1,0)</f>
        <v>0</v>
      </c>
      <c r="BH586">
        <f>VLOOKUP($B586,[1]Data_Peer_with_peerVars!$B$2:$Z$1050,20,FALSE)</f>
        <v>12</v>
      </c>
      <c r="BI586">
        <f>VLOOKUP($B586,[1]Data_Peer_with_peerVars!$B$2:$Z$1050,21,FALSE)</f>
        <v>6</v>
      </c>
      <c r="BJ586">
        <f>VLOOKUP($B586,[1]Data_Peer_with_peerVars!$B$2:$Z$1050,22,FALSE)</f>
        <v>0.5</v>
      </c>
      <c r="BK586">
        <f>VLOOKUP($B586,[1]Data_Peer_with_peerVars!$B$2:$Z$1050,23,FALSE)</f>
        <v>61</v>
      </c>
      <c r="BL586">
        <f>VLOOKUP($B586,[1]Data_Peer_with_peerVars!$B$2:$Z$1050,24,FALSE)</f>
        <v>33</v>
      </c>
      <c r="BM586">
        <f>VLOOKUP($B586,[1]Data_Peer_with_peerVars!$B$2:$Z$1050,25,FALSE)</f>
        <v>0.54098360700000003</v>
      </c>
    </row>
    <row r="587" spans="1:65" x14ac:dyDescent="0.2">
      <c r="A587">
        <v>1</v>
      </c>
      <c r="B587" t="s">
        <v>937</v>
      </c>
      <c r="C587">
        <v>332</v>
      </c>
      <c r="D587" t="s">
        <v>68</v>
      </c>
      <c r="E587">
        <v>0</v>
      </c>
      <c r="F587">
        <v>178</v>
      </c>
      <c r="G587" t="s">
        <v>97</v>
      </c>
      <c r="H587" s="1">
        <v>0</v>
      </c>
      <c r="I587" t="s">
        <v>87</v>
      </c>
      <c r="J587" t="s">
        <v>150</v>
      </c>
      <c r="K587" t="s">
        <v>72</v>
      </c>
      <c r="L587">
        <v>1</v>
      </c>
      <c r="M587">
        <v>0</v>
      </c>
      <c r="N587">
        <v>1</v>
      </c>
      <c r="O587">
        <v>0</v>
      </c>
      <c r="P587">
        <v>0</v>
      </c>
      <c r="Q587">
        <v>0</v>
      </c>
      <c r="R587">
        <v>0</v>
      </c>
      <c r="S587">
        <v>0</v>
      </c>
      <c r="T587">
        <v>0</v>
      </c>
      <c r="U587">
        <v>0</v>
      </c>
      <c r="V587">
        <f t="shared" si="257"/>
        <v>0</v>
      </c>
      <c r="W587">
        <f t="shared" si="258"/>
        <v>0</v>
      </c>
      <c r="X587">
        <f t="shared" si="261"/>
        <v>0</v>
      </c>
      <c r="Y587">
        <f t="shared" si="259"/>
        <v>0</v>
      </c>
      <c r="Z587" t="s">
        <v>98</v>
      </c>
      <c r="AA587" s="5" t="s">
        <v>938</v>
      </c>
      <c r="AB587" s="5" t="s">
        <v>939</v>
      </c>
      <c r="AC587" t="s">
        <v>101</v>
      </c>
      <c r="AD587" t="s">
        <v>99</v>
      </c>
      <c r="AE587" s="5" t="s">
        <v>99</v>
      </c>
      <c r="AF587" t="s">
        <v>103</v>
      </c>
      <c r="AG587" t="s">
        <v>102</v>
      </c>
      <c r="AH587">
        <f t="shared" si="264"/>
        <v>5.6043955999999999E-2</v>
      </c>
      <c r="AI587">
        <f t="shared" si="265"/>
        <v>5.6043955999999999E-2</v>
      </c>
      <c r="AJ587">
        <f t="shared" si="260"/>
        <v>5.6043955999999999E-2</v>
      </c>
      <c r="AK587">
        <v>5.6043955999999999E-2</v>
      </c>
      <c r="AL587">
        <v>6.6777039999999996E-2</v>
      </c>
      <c r="AM587">
        <v>9.5421955000000003E-2</v>
      </c>
      <c r="AN587">
        <v>0.117550574</v>
      </c>
      <c r="AO587">
        <v>94.395604399999996</v>
      </c>
      <c r="AP587">
        <v>93.322295999999994</v>
      </c>
      <c r="AQ587">
        <v>90.457804499999995</v>
      </c>
      <c r="AR587">
        <v>88.244942600000002</v>
      </c>
      <c r="AS587" t="b">
        <v>0</v>
      </c>
      <c r="AT587" t="b">
        <v>0</v>
      </c>
      <c r="AU587" t="s">
        <v>77</v>
      </c>
      <c r="AV587" t="s">
        <v>77</v>
      </c>
      <c r="AW587" t="s">
        <v>783</v>
      </c>
      <c r="AX587" t="s">
        <v>812</v>
      </c>
      <c r="AY587" t="s">
        <v>940</v>
      </c>
      <c r="AZ587" t="s">
        <v>72</v>
      </c>
      <c r="BA587" t="s">
        <v>82</v>
      </c>
      <c r="BB587">
        <v>0.1</v>
      </c>
      <c r="BC587">
        <v>1.4096186E-2</v>
      </c>
      <c r="BD587">
        <v>1.55088650053763E-3</v>
      </c>
      <c r="BE587">
        <v>1.5647072500537599E-2</v>
      </c>
      <c r="BF587">
        <f>IF(AK587&lt;BE587,1,0)</f>
        <v>0</v>
      </c>
      <c r="BG587">
        <f>IF(AK587&lt;BC587,1,0)</f>
        <v>0</v>
      </c>
      <c r="BH587">
        <f>VLOOKUP($B587,[1]Data_Peer_with_peerVars!$B$2:$Z$1050,20,FALSE)</f>
        <v>0</v>
      </c>
      <c r="BI587">
        <f>VLOOKUP($B587,[1]Data_Peer_with_peerVars!$B$2:$Z$1050,21,FALSE)</f>
        <v>0</v>
      </c>
      <c r="BJ587">
        <v>0</v>
      </c>
      <c r="BK587">
        <f>VLOOKUP($B587,[1]Data_Peer_with_peerVars!$B$2:$Z$1050,23,FALSE)</f>
        <v>6</v>
      </c>
      <c r="BL587">
        <f>VLOOKUP($B587,[1]Data_Peer_with_peerVars!$B$2:$Z$1050,24,FALSE)</f>
        <v>4</v>
      </c>
      <c r="BM587">
        <f>VLOOKUP($B587,[1]Data_Peer_with_peerVars!$B$2:$Z$1050,25,FALSE)</f>
        <v>0.66666666699999999</v>
      </c>
    </row>
    <row r="588" spans="1:65" x14ac:dyDescent="0.2">
      <c r="A588">
        <v>1</v>
      </c>
      <c r="B588" t="s">
        <v>941</v>
      </c>
      <c r="C588">
        <v>332</v>
      </c>
      <c r="D588" t="s">
        <v>68</v>
      </c>
      <c r="E588">
        <v>0</v>
      </c>
      <c r="F588">
        <v>178</v>
      </c>
      <c r="G588" t="s">
        <v>97</v>
      </c>
      <c r="H588" s="1">
        <v>0</v>
      </c>
      <c r="I588" t="s">
        <v>87</v>
      </c>
      <c r="J588" t="s">
        <v>150</v>
      </c>
      <c r="K588" t="s">
        <v>72</v>
      </c>
      <c r="L588">
        <v>1</v>
      </c>
      <c r="M588">
        <v>0</v>
      </c>
      <c r="N588">
        <v>1</v>
      </c>
      <c r="O588">
        <v>0</v>
      </c>
      <c r="P588">
        <v>0</v>
      </c>
      <c r="Q588">
        <v>0</v>
      </c>
      <c r="R588">
        <v>0</v>
      </c>
      <c r="S588">
        <v>0</v>
      </c>
      <c r="T588">
        <v>0</v>
      </c>
      <c r="U588">
        <v>0</v>
      </c>
      <c r="V588">
        <f t="shared" si="257"/>
        <v>0</v>
      </c>
      <c r="W588">
        <f t="shared" si="258"/>
        <v>0</v>
      </c>
      <c r="X588">
        <f t="shared" si="261"/>
        <v>0</v>
      </c>
      <c r="Y588">
        <f t="shared" si="259"/>
        <v>0</v>
      </c>
      <c r="Z588" t="s">
        <v>170</v>
      </c>
      <c r="AA588" s="5" t="s">
        <v>170</v>
      </c>
      <c r="AB588" s="5" t="s">
        <v>942</v>
      </c>
      <c r="AC588" t="s">
        <v>91</v>
      </c>
      <c r="AD588" t="s">
        <v>287</v>
      </c>
      <c r="AE588" s="5" t="s">
        <v>287</v>
      </c>
      <c r="AF588" t="s">
        <v>137</v>
      </c>
      <c r="AG588" t="s">
        <v>113</v>
      </c>
      <c r="AH588">
        <f t="shared" si="264"/>
        <v>9.2724286000000003E-2</v>
      </c>
      <c r="AI588">
        <f t="shared" si="265"/>
        <v>9.2724286000000003E-2</v>
      </c>
      <c r="AJ588">
        <f t="shared" si="260"/>
        <v>9.2724286000000003E-2</v>
      </c>
      <c r="AK588">
        <v>9.2724286000000003E-2</v>
      </c>
      <c r="AL588">
        <v>0.11660295</v>
      </c>
      <c r="AM588">
        <v>0.1204918</v>
      </c>
      <c r="AN588">
        <v>0.13304013000000001</v>
      </c>
      <c r="AO588">
        <v>90.727571400000002</v>
      </c>
      <c r="AP588">
        <v>88.339704999999995</v>
      </c>
      <c r="AQ588">
        <v>87.950819999999993</v>
      </c>
      <c r="AR588">
        <v>86.695987000000002</v>
      </c>
      <c r="AS588" t="b">
        <v>0</v>
      </c>
      <c r="AT588" t="b">
        <v>0</v>
      </c>
      <c r="AU588" t="s">
        <v>92</v>
      </c>
      <c r="AV588" t="s">
        <v>92</v>
      </c>
      <c r="AW588" t="s">
        <v>783</v>
      </c>
      <c r="AX588" t="s">
        <v>812</v>
      </c>
      <c r="AY588" t="s">
        <v>940</v>
      </c>
      <c r="AZ588" t="s">
        <v>109</v>
      </c>
      <c r="BA588">
        <v>7</v>
      </c>
      <c r="BB588">
        <v>1</v>
      </c>
      <c r="BC588">
        <v>9.0659339999999995E-3</v>
      </c>
      <c r="BD588">
        <v>2.76583658862385E-3</v>
      </c>
      <c r="BE588">
        <v>1.1831770588623799E-2</v>
      </c>
      <c r="BF588">
        <f>IF(AK588&lt;BE588,1,0)</f>
        <v>0</v>
      </c>
      <c r="BG588">
        <f>IF(AK588&lt;BC588,1,0)</f>
        <v>0</v>
      </c>
      <c r="BH588">
        <f>VLOOKUP($B588,[1]Data_Peer_with_peerVars!$B$2:$Z$1050,20,FALSE)</f>
        <v>0</v>
      </c>
      <c r="BI588">
        <f>VLOOKUP($B588,[1]Data_Peer_with_peerVars!$B$2:$Z$1050,21,FALSE)</f>
        <v>0</v>
      </c>
      <c r="BJ588">
        <v>0</v>
      </c>
      <c r="BK588">
        <f>VLOOKUP($B588,[1]Data_Peer_with_peerVars!$B$2:$Z$1050,23,FALSE)</f>
        <v>6</v>
      </c>
      <c r="BL588">
        <f>VLOOKUP($B588,[1]Data_Peer_with_peerVars!$B$2:$Z$1050,24,FALSE)</f>
        <v>4</v>
      </c>
      <c r="BM588">
        <f>VLOOKUP($B588,[1]Data_Peer_with_peerVars!$B$2:$Z$1050,25,FALSE)</f>
        <v>0.66666666699999999</v>
      </c>
    </row>
    <row r="589" spans="1:65" x14ac:dyDescent="0.2">
      <c r="A589">
        <v>1</v>
      </c>
      <c r="B589" t="s">
        <v>943</v>
      </c>
      <c r="C589">
        <v>332</v>
      </c>
      <c r="D589" t="s">
        <v>68</v>
      </c>
      <c r="E589">
        <v>0</v>
      </c>
      <c r="F589">
        <v>178</v>
      </c>
      <c r="G589" t="s">
        <v>97</v>
      </c>
      <c r="H589" s="1">
        <v>0</v>
      </c>
      <c r="I589" t="s">
        <v>87</v>
      </c>
      <c r="J589" t="s">
        <v>150</v>
      </c>
      <c r="K589" t="s">
        <v>72</v>
      </c>
      <c r="L589">
        <v>1</v>
      </c>
      <c r="M589">
        <v>0</v>
      </c>
      <c r="N589">
        <v>1</v>
      </c>
      <c r="O589">
        <v>0</v>
      </c>
      <c r="P589">
        <v>0</v>
      </c>
      <c r="Q589">
        <v>0</v>
      </c>
      <c r="R589">
        <v>0</v>
      </c>
      <c r="S589">
        <v>0</v>
      </c>
      <c r="T589">
        <v>0</v>
      </c>
      <c r="U589">
        <v>0</v>
      </c>
      <c r="V589">
        <f t="shared" si="257"/>
        <v>1</v>
      </c>
      <c r="W589">
        <v>1</v>
      </c>
      <c r="X589">
        <v>1</v>
      </c>
      <c r="Y589">
        <v>1</v>
      </c>
      <c r="Z589" t="s">
        <v>103</v>
      </c>
      <c r="AA589" s="5" t="s">
        <v>103</v>
      </c>
      <c r="AB589" s="5" t="s">
        <v>103</v>
      </c>
      <c r="AC589" t="s">
        <v>103</v>
      </c>
      <c r="AD589" t="s">
        <v>101</v>
      </c>
      <c r="AE589" s="5" t="s">
        <v>101</v>
      </c>
      <c r="AF589" t="s">
        <v>99</v>
      </c>
      <c r="AG589" t="s">
        <v>137</v>
      </c>
      <c r="AH589">
        <f>AI589</f>
        <v>1.7336267999999998E-2</v>
      </c>
      <c r="AI589">
        <f>AJ589</f>
        <v>1.7336267999999998E-2</v>
      </c>
      <c r="AJ589">
        <f t="shared" si="260"/>
        <v>1.7336267999999998E-2</v>
      </c>
      <c r="AK589">
        <v>1.7336267999999998E-2</v>
      </c>
      <c r="AL589">
        <v>7.9034030000000005E-2</v>
      </c>
      <c r="AM589">
        <v>0.11059018</v>
      </c>
      <c r="AN589">
        <v>0.1269798</v>
      </c>
      <c r="AO589">
        <v>98.266373200000004</v>
      </c>
      <c r="AP589">
        <v>92.096597000000003</v>
      </c>
      <c r="AQ589">
        <v>88.940982000000005</v>
      </c>
      <c r="AR589">
        <v>87.302019999999999</v>
      </c>
      <c r="AS589" t="b">
        <v>1</v>
      </c>
      <c r="AT589" t="b">
        <v>0</v>
      </c>
      <c r="AU589" t="s">
        <v>77</v>
      </c>
      <c r="AV589" t="s">
        <v>77</v>
      </c>
      <c r="AW589" t="s">
        <v>783</v>
      </c>
      <c r="AX589" t="s">
        <v>812</v>
      </c>
      <c r="AY589" t="s">
        <v>940</v>
      </c>
      <c r="AZ589" t="s">
        <v>109</v>
      </c>
      <c r="BA589">
        <v>3</v>
      </c>
      <c r="BB589">
        <v>0.1</v>
      </c>
      <c r="BC589">
        <v>1.8406593999999998E-2</v>
      </c>
      <c r="BD589">
        <v>3.30705390234067E-4</v>
      </c>
      <c r="BE589">
        <v>1.8737299390234101E-2</v>
      </c>
      <c r="BF589">
        <f>IF(AK589&lt;BE589,1,0)</f>
        <v>1</v>
      </c>
      <c r="BG589">
        <f>IF(AK589&lt;BC589,1,0)</f>
        <v>1</v>
      </c>
      <c r="BH589">
        <f>VLOOKUP($B589,[1]Data_Peer_with_peerVars!$B$2:$Z$1050,20,FALSE)</f>
        <v>0</v>
      </c>
      <c r="BI589">
        <f>VLOOKUP($B589,[1]Data_Peer_with_peerVars!$B$2:$Z$1050,21,FALSE)</f>
        <v>0</v>
      </c>
      <c r="BJ589">
        <v>0</v>
      </c>
      <c r="BK589">
        <f>VLOOKUP($B589,[1]Data_Peer_with_peerVars!$B$2:$Z$1050,23,FALSE)</f>
        <v>6</v>
      </c>
      <c r="BL589">
        <f>VLOOKUP($B589,[1]Data_Peer_with_peerVars!$B$2:$Z$1050,24,FALSE)</f>
        <v>4</v>
      </c>
      <c r="BM589">
        <f>VLOOKUP($B589,[1]Data_Peer_with_peerVars!$B$2:$Z$1050,25,FALSE)</f>
        <v>0.66666666699999999</v>
      </c>
    </row>
    <row r="590" spans="1:65" x14ac:dyDescent="0.2">
      <c r="A590">
        <v>1</v>
      </c>
      <c r="B590" t="s">
        <v>944</v>
      </c>
      <c r="C590">
        <v>332</v>
      </c>
      <c r="D590" t="s">
        <v>68</v>
      </c>
      <c r="E590">
        <v>0</v>
      </c>
      <c r="F590">
        <v>178</v>
      </c>
      <c r="G590" t="s">
        <v>97</v>
      </c>
      <c r="H590" s="1">
        <v>0</v>
      </c>
      <c r="I590" t="s">
        <v>87</v>
      </c>
      <c r="J590" t="s">
        <v>150</v>
      </c>
      <c r="K590" t="s">
        <v>72</v>
      </c>
      <c r="L590">
        <v>1</v>
      </c>
      <c r="M590">
        <v>0</v>
      </c>
      <c r="N590">
        <v>1</v>
      </c>
      <c r="O590">
        <v>0</v>
      </c>
      <c r="P590">
        <v>0</v>
      </c>
      <c r="Q590">
        <v>0</v>
      </c>
      <c r="R590">
        <v>0</v>
      </c>
      <c r="S590">
        <v>0</v>
      </c>
      <c r="T590">
        <v>0</v>
      </c>
      <c r="U590">
        <v>0</v>
      </c>
      <c r="V590">
        <f t="shared" si="257"/>
        <v>0</v>
      </c>
      <c r="W590">
        <f t="shared" si="258"/>
        <v>0</v>
      </c>
      <c r="X590">
        <f t="shared" si="261"/>
        <v>0</v>
      </c>
      <c r="Y590">
        <f t="shared" si="259"/>
        <v>0</v>
      </c>
      <c r="Z590" t="s">
        <v>170</v>
      </c>
      <c r="AA590" s="5" t="s">
        <v>170</v>
      </c>
      <c r="AB590" s="5" t="s">
        <v>945</v>
      </c>
      <c r="AC590" t="s">
        <v>101</v>
      </c>
      <c r="AD590" t="s">
        <v>103</v>
      </c>
      <c r="AE590" s="5" t="s">
        <v>946</v>
      </c>
      <c r="AF590" t="s">
        <v>99</v>
      </c>
      <c r="AG590" t="s">
        <v>137</v>
      </c>
      <c r="AH590">
        <f>AI590</f>
        <v>0.61902140000000005</v>
      </c>
      <c r="AI590">
        <f t="shared" ref="AI590:AI592" si="266">AJ590</f>
        <v>0.61902140000000005</v>
      </c>
      <c r="AJ590">
        <f t="shared" si="260"/>
        <v>0.61902140000000005</v>
      </c>
      <c r="AK590">
        <v>0.61902140000000005</v>
      </c>
      <c r="AL590">
        <v>0.61990076000000005</v>
      </c>
      <c r="AM590">
        <v>0.62327635000000003</v>
      </c>
      <c r="AN590">
        <v>0.62329142999999998</v>
      </c>
      <c r="AO590">
        <v>38.097859999999997</v>
      </c>
      <c r="AP590">
        <v>38.009923999999998</v>
      </c>
      <c r="AQ590">
        <v>37.672364999999999</v>
      </c>
      <c r="AR590">
        <v>37.670856999999998</v>
      </c>
      <c r="AS590" t="b">
        <v>0</v>
      </c>
      <c r="AT590" t="b">
        <v>0</v>
      </c>
      <c r="AU590" t="s">
        <v>92</v>
      </c>
      <c r="AV590" t="s">
        <v>92</v>
      </c>
      <c r="AW590" t="s">
        <v>783</v>
      </c>
      <c r="AX590" t="s">
        <v>812</v>
      </c>
      <c r="AY590" t="s">
        <v>940</v>
      </c>
      <c r="AZ590" t="s">
        <v>109</v>
      </c>
      <c r="BA590">
        <v>4</v>
      </c>
      <c r="BB590">
        <v>0.1</v>
      </c>
      <c r="BC590">
        <v>1.4096186E-2</v>
      </c>
      <c r="BD590">
        <v>1.55088650053763E-3</v>
      </c>
      <c r="BE590">
        <v>1.5647072500537599E-2</v>
      </c>
      <c r="BF590">
        <f>IF(AK590&lt;BE590,1,0)</f>
        <v>0</v>
      </c>
      <c r="BG590">
        <f>IF(AK590&lt;BC590,1,0)</f>
        <v>0</v>
      </c>
      <c r="BH590">
        <f>VLOOKUP($B590,[1]Data_Peer_with_peerVars!$B$2:$Z$1050,20,FALSE)</f>
        <v>0</v>
      </c>
      <c r="BI590">
        <f>VLOOKUP($B590,[1]Data_Peer_with_peerVars!$B$2:$Z$1050,21,FALSE)</f>
        <v>0</v>
      </c>
      <c r="BJ590">
        <v>0</v>
      </c>
      <c r="BK590">
        <f>VLOOKUP($B590,[1]Data_Peer_with_peerVars!$B$2:$Z$1050,23,FALSE)</f>
        <v>6</v>
      </c>
      <c r="BL590">
        <f>VLOOKUP($B590,[1]Data_Peer_with_peerVars!$B$2:$Z$1050,24,FALSE)</f>
        <v>4</v>
      </c>
      <c r="BM590">
        <f>VLOOKUP($B590,[1]Data_Peer_with_peerVars!$B$2:$Z$1050,25,FALSE)</f>
        <v>0.66666666699999999</v>
      </c>
    </row>
    <row r="591" spans="1:65" x14ac:dyDescent="0.2">
      <c r="A591">
        <v>1</v>
      </c>
      <c r="B591" t="s">
        <v>947</v>
      </c>
      <c r="C591">
        <v>332</v>
      </c>
      <c r="D591" t="s">
        <v>68</v>
      </c>
      <c r="E591">
        <v>0</v>
      </c>
      <c r="F591">
        <v>178</v>
      </c>
      <c r="G591" t="s">
        <v>97</v>
      </c>
      <c r="H591" s="1">
        <v>0</v>
      </c>
      <c r="I591" t="s">
        <v>87</v>
      </c>
      <c r="J591" t="s">
        <v>150</v>
      </c>
      <c r="K591" t="s">
        <v>72</v>
      </c>
      <c r="L591">
        <v>1</v>
      </c>
      <c r="M591">
        <v>0</v>
      </c>
      <c r="N591">
        <v>1</v>
      </c>
      <c r="O591">
        <v>0</v>
      </c>
      <c r="P591">
        <v>0</v>
      </c>
      <c r="Q591">
        <v>0</v>
      </c>
      <c r="R591">
        <v>0</v>
      </c>
      <c r="S591">
        <v>0</v>
      </c>
      <c r="T591">
        <v>0</v>
      </c>
      <c r="U591">
        <v>0</v>
      </c>
      <c r="V591">
        <f t="shared" si="257"/>
        <v>0</v>
      </c>
      <c r="W591">
        <f t="shared" si="258"/>
        <v>0</v>
      </c>
      <c r="X591">
        <f t="shared" si="261"/>
        <v>0</v>
      </c>
      <c r="Y591">
        <f t="shared" si="259"/>
        <v>1</v>
      </c>
      <c r="Z591" t="s">
        <v>137</v>
      </c>
      <c r="AA591" s="5" t="s">
        <v>137</v>
      </c>
      <c r="AB591" s="5" t="s">
        <v>137</v>
      </c>
      <c r="AC591" t="s">
        <v>75</v>
      </c>
      <c r="AD591" t="s">
        <v>91</v>
      </c>
      <c r="AE591" s="5" t="s">
        <v>91</v>
      </c>
      <c r="AF591" t="s">
        <v>287</v>
      </c>
      <c r="AG591" t="s">
        <v>137</v>
      </c>
      <c r="AH591">
        <f>AN591</f>
        <v>0.13422634999999999</v>
      </c>
      <c r="AI591">
        <f t="shared" si="266"/>
        <v>0.104874045</v>
      </c>
      <c r="AJ591">
        <f t="shared" si="260"/>
        <v>0.104874045</v>
      </c>
      <c r="AK591">
        <v>0.104874045</v>
      </c>
      <c r="AL591">
        <v>0.11369862999999999</v>
      </c>
      <c r="AM591">
        <v>0.12117068</v>
      </c>
      <c r="AN591">
        <v>0.13422634999999999</v>
      </c>
      <c r="AO591">
        <v>89.512595500000003</v>
      </c>
      <c r="AP591">
        <v>88.630137000000005</v>
      </c>
      <c r="AQ591">
        <v>87.882931999999997</v>
      </c>
      <c r="AR591">
        <v>86.577365</v>
      </c>
      <c r="AS591" t="b">
        <v>0</v>
      </c>
      <c r="AT591" t="b">
        <v>0</v>
      </c>
      <c r="AU591" t="s">
        <v>78</v>
      </c>
      <c r="AV591" t="s">
        <v>78</v>
      </c>
      <c r="AW591" t="s">
        <v>783</v>
      </c>
      <c r="AX591" t="s">
        <v>812</v>
      </c>
      <c r="AY591" t="s">
        <v>940</v>
      </c>
      <c r="AZ591" t="s">
        <v>72</v>
      </c>
      <c r="BA591" t="s">
        <v>82</v>
      </c>
      <c r="BB591">
        <v>0.25</v>
      </c>
      <c r="BC591">
        <v>2.3038946000000001E-2</v>
      </c>
      <c r="BD591">
        <v>2.6184719377746E-3</v>
      </c>
      <c r="BE591">
        <v>2.5657417937774599E-2</v>
      </c>
      <c r="BF591">
        <f>IF(AK591&lt;BE591,1,0)</f>
        <v>0</v>
      </c>
      <c r="BG591">
        <f>IF(AK591&lt;BC591,1,0)</f>
        <v>0</v>
      </c>
      <c r="BH591">
        <f>VLOOKUP($B591,[1]Data_Peer_with_peerVars!$B$2:$Z$1050,20,FALSE)</f>
        <v>0</v>
      </c>
      <c r="BI591">
        <f>VLOOKUP($B591,[1]Data_Peer_with_peerVars!$B$2:$Z$1050,21,FALSE)</f>
        <v>0</v>
      </c>
      <c r="BJ591">
        <v>0</v>
      </c>
      <c r="BK591">
        <f>VLOOKUP($B591,[1]Data_Peer_with_peerVars!$B$2:$Z$1050,23,FALSE)</f>
        <v>6</v>
      </c>
      <c r="BL591">
        <f>VLOOKUP($B591,[1]Data_Peer_with_peerVars!$B$2:$Z$1050,24,FALSE)</f>
        <v>4</v>
      </c>
      <c r="BM591">
        <f>VLOOKUP($B591,[1]Data_Peer_with_peerVars!$B$2:$Z$1050,25,FALSE)</f>
        <v>0.66666666699999999</v>
      </c>
    </row>
    <row r="592" spans="1:65" x14ac:dyDescent="0.2">
      <c r="A592">
        <v>1</v>
      </c>
      <c r="B592" t="s">
        <v>948</v>
      </c>
      <c r="C592">
        <v>333</v>
      </c>
      <c r="D592" t="s">
        <v>68</v>
      </c>
      <c r="E592">
        <v>0</v>
      </c>
      <c r="F592">
        <v>183</v>
      </c>
      <c r="G592" t="s">
        <v>97</v>
      </c>
      <c r="H592" s="1">
        <v>7</v>
      </c>
      <c r="I592" t="s">
        <v>70</v>
      </c>
      <c r="J592" t="s">
        <v>71</v>
      </c>
      <c r="K592" t="s">
        <v>109</v>
      </c>
      <c r="L592">
        <v>1</v>
      </c>
      <c r="M592">
        <v>0</v>
      </c>
      <c r="N592">
        <v>1</v>
      </c>
      <c r="O592">
        <v>1</v>
      </c>
      <c r="P592">
        <v>0</v>
      </c>
      <c r="Q592">
        <v>0</v>
      </c>
      <c r="R592">
        <v>0</v>
      </c>
      <c r="S592">
        <v>0</v>
      </c>
      <c r="T592">
        <v>0</v>
      </c>
      <c r="U592">
        <v>0</v>
      </c>
      <c r="V592">
        <f t="shared" si="257"/>
        <v>0</v>
      </c>
      <c r="W592">
        <f t="shared" si="258"/>
        <v>0</v>
      </c>
      <c r="X592">
        <f t="shared" si="261"/>
        <v>0</v>
      </c>
      <c r="Y592">
        <f t="shared" si="259"/>
        <v>0</v>
      </c>
      <c r="Z592" t="s">
        <v>73</v>
      </c>
      <c r="AA592" s="5" t="s">
        <v>73</v>
      </c>
      <c r="AB592" s="5" t="s">
        <v>73</v>
      </c>
      <c r="AC592" t="s">
        <v>91</v>
      </c>
      <c r="AD592" t="s">
        <v>287</v>
      </c>
      <c r="AE592" s="5" t="s">
        <v>287</v>
      </c>
      <c r="AF592" t="s">
        <v>137</v>
      </c>
      <c r="AG592" t="s">
        <v>75</v>
      </c>
      <c r="AH592">
        <f>AI592</f>
        <v>2.9299012999999999E-2</v>
      </c>
      <c r="AI592">
        <f t="shared" si="266"/>
        <v>2.9299012999999999E-2</v>
      </c>
      <c r="AJ592">
        <f t="shared" si="260"/>
        <v>2.9299012999999999E-2</v>
      </c>
      <c r="AK592">
        <v>2.9299012999999999E-2</v>
      </c>
      <c r="AL592">
        <v>0.11685824</v>
      </c>
      <c r="AM592">
        <v>0.12417942999999999</v>
      </c>
      <c r="AN592">
        <v>0.13294955999999999</v>
      </c>
      <c r="AO592">
        <v>97.070098700000003</v>
      </c>
      <c r="AP592">
        <v>88.314176000000003</v>
      </c>
      <c r="AQ592">
        <v>87.582057000000006</v>
      </c>
      <c r="AR592">
        <v>86.705044000000001</v>
      </c>
      <c r="AS592" t="b">
        <v>0</v>
      </c>
      <c r="AT592" t="b">
        <v>0</v>
      </c>
      <c r="AU592" t="s">
        <v>77</v>
      </c>
      <c r="AV592" t="s">
        <v>78</v>
      </c>
      <c r="AW592" t="s">
        <v>783</v>
      </c>
      <c r="AX592" t="s">
        <v>812</v>
      </c>
      <c r="AY592" t="s">
        <v>921</v>
      </c>
      <c r="AZ592" t="s">
        <v>109</v>
      </c>
      <c r="BA592">
        <v>2</v>
      </c>
      <c r="BB592">
        <v>0.7</v>
      </c>
      <c r="BC592">
        <v>9.0659339999999995E-3</v>
      </c>
      <c r="BD592">
        <v>2.76583658862385E-3</v>
      </c>
      <c r="BE592">
        <v>1.1831770588623799E-2</v>
      </c>
      <c r="BF592">
        <f>IF(AK592&lt;BE592,1,0)</f>
        <v>0</v>
      </c>
      <c r="BG592">
        <f>IF(AK592&lt;BC592,1,0)</f>
        <v>0</v>
      </c>
      <c r="BH592">
        <f>VLOOKUP($B592,[1]Data_Peer_with_peerVars!$B$2:$Z$1050,20,FALSE)</f>
        <v>6</v>
      </c>
      <c r="BI592">
        <f>VLOOKUP($B592,[1]Data_Peer_with_peerVars!$B$2:$Z$1050,21,FALSE)</f>
        <v>4</v>
      </c>
      <c r="BJ592">
        <f>VLOOKUP($B592,[1]Data_Peer_with_peerVars!$B$2:$Z$1050,22,FALSE)</f>
        <v>0.66666666699999999</v>
      </c>
      <c r="BK592">
        <f>VLOOKUP($B592,[1]Data_Peer_with_peerVars!$B$2:$Z$1050,23,FALSE)</f>
        <v>12</v>
      </c>
      <c r="BL592">
        <f>VLOOKUP($B592,[1]Data_Peer_with_peerVars!$B$2:$Z$1050,24,FALSE)</f>
        <v>8</v>
      </c>
      <c r="BM592">
        <f>VLOOKUP($B592,[1]Data_Peer_with_peerVars!$B$2:$Z$1050,25,FALSE)</f>
        <v>0.66666666699999999</v>
      </c>
    </row>
    <row r="593" spans="1:65" x14ac:dyDescent="0.2">
      <c r="A593">
        <v>1</v>
      </c>
      <c r="B593" t="s">
        <v>949</v>
      </c>
      <c r="C593">
        <v>333</v>
      </c>
      <c r="D593" t="s">
        <v>68</v>
      </c>
      <c r="E593">
        <v>0</v>
      </c>
      <c r="F593">
        <v>183</v>
      </c>
      <c r="G593" t="s">
        <v>97</v>
      </c>
      <c r="H593" s="1">
        <v>7</v>
      </c>
      <c r="I593" t="s">
        <v>70</v>
      </c>
      <c r="J593" t="s">
        <v>71</v>
      </c>
      <c r="K593" t="s">
        <v>109</v>
      </c>
      <c r="L593">
        <v>1</v>
      </c>
      <c r="M593">
        <v>0</v>
      </c>
      <c r="N593">
        <v>1</v>
      </c>
      <c r="O593">
        <v>1</v>
      </c>
      <c r="P593">
        <v>0</v>
      </c>
      <c r="Q593">
        <v>0</v>
      </c>
      <c r="R593">
        <v>0</v>
      </c>
      <c r="S593">
        <v>0</v>
      </c>
      <c r="T593">
        <v>0</v>
      </c>
      <c r="U593">
        <v>0</v>
      </c>
      <c r="V593">
        <f t="shared" si="257"/>
        <v>1</v>
      </c>
      <c r="W593">
        <v>1</v>
      </c>
      <c r="X593">
        <v>1</v>
      </c>
      <c r="Y593">
        <v>1</v>
      </c>
      <c r="Z593" t="s">
        <v>76</v>
      </c>
      <c r="AA593" s="5" t="s">
        <v>76</v>
      </c>
      <c r="AB593" s="5" t="s">
        <v>76</v>
      </c>
      <c r="AC593" t="s">
        <v>76</v>
      </c>
      <c r="AD593" t="s">
        <v>74</v>
      </c>
      <c r="AE593" s="5" t="s">
        <v>74</v>
      </c>
      <c r="AF593" t="s">
        <v>75</v>
      </c>
      <c r="AG593" t="s">
        <v>120</v>
      </c>
      <c r="AH593">
        <f>AI593</f>
        <v>7.4043709999999999E-2</v>
      </c>
      <c r="AI593">
        <f>AJ593</f>
        <v>7.4043709999999999E-2</v>
      </c>
      <c r="AJ593">
        <f t="shared" si="260"/>
        <v>7.4043709999999999E-2</v>
      </c>
      <c r="AK593">
        <v>7.4043709999999999E-2</v>
      </c>
      <c r="AL593">
        <v>9.3475879999999997E-2</v>
      </c>
      <c r="AM593">
        <v>0.119868636</v>
      </c>
      <c r="AN593">
        <v>0.12295082</v>
      </c>
      <c r="AO593">
        <v>92.595629000000002</v>
      </c>
      <c r="AP593">
        <v>90.652411999999998</v>
      </c>
      <c r="AQ593">
        <v>88.013136399999993</v>
      </c>
      <c r="AR593">
        <v>87.704918000000006</v>
      </c>
      <c r="AS593" t="b">
        <v>1</v>
      </c>
      <c r="AT593" t="b">
        <v>0</v>
      </c>
      <c r="AU593" t="s">
        <v>77</v>
      </c>
      <c r="AV593" t="s">
        <v>77</v>
      </c>
      <c r="AW593" t="s">
        <v>783</v>
      </c>
      <c r="AX593" t="s">
        <v>812</v>
      </c>
      <c r="AY593" t="s">
        <v>921</v>
      </c>
      <c r="AZ593" t="s">
        <v>109</v>
      </c>
      <c r="BA593">
        <v>2</v>
      </c>
      <c r="BB593">
        <v>0.7</v>
      </c>
      <c r="BC593">
        <v>7.7070764999999999E-2</v>
      </c>
      <c r="BD593">
        <v>1.90190515067399E-3</v>
      </c>
      <c r="BE593">
        <v>7.8972670150673996E-2</v>
      </c>
      <c r="BF593">
        <f>IF(AK593&lt;BE593,1,0)</f>
        <v>1</v>
      </c>
      <c r="BG593">
        <f>IF(AK593&lt;BC593,1,0)</f>
        <v>1</v>
      </c>
      <c r="BH593">
        <f>VLOOKUP($B593,[1]Data_Peer_with_peerVars!$B$2:$Z$1050,20,FALSE)</f>
        <v>6</v>
      </c>
      <c r="BI593">
        <f>VLOOKUP($B593,[1]Data_Peer_with_peerVars!$B$2:$Z$1050,21,FALSE)</f>
        <v>4</v>
      </c>
      <c r="BJ593">
        <f>VLOOKUP($B593,[1]Data_Peer_with_peerVars!$B$2:$Z$1050,22,FALSE)</f>
        <v>0.66666666699999999</v>
      </c>
      <c r="BK593">
        <f>VLOOKUP($B593,[1]Data_Peer_with_peerVars!$B$2:$Z$1050,23,FALSE)</f>
        <v>12</v>
      </c>
      <c r="BL593">
        <f>VLOOKUP($B593,[1]Data_Peer_with_peerVars!$B$2:$Z$1050,24,FALSE)</f>
        <v>8</v>
      </c>
      <c r="BM593">
        <f>VLOOKUP($B593,[1]Data_Peer_with_peerVars!$B$2:$Z$1050,25,FALSE)</f>
        <v>0.66666666699999999</v>
      </c>
    </row>
    <row r="594" spans="1:65" x14ac:dyDescent="0.2">
      <c r="A594">
        <v>1</v>
      </c>
      <c r="B594" t="s">
        <v>950</v>
      </c>
      <c r="C594">
        <v>333</v>
      </c>
      <c r="D594" t="s">
        <v>68</v>
      </c>
      <c r="E594">
        <v>0</v>
      </c>
      <c r="F594">
        <v>183</v>
      </c>
      <c r="G594" t="s">
        <v>97</v>
      </c>
      <c r="H594" s="1">
        <v>7</v>
      </c>
      <c r="I594" t="s">
        <v>70</v>
      </c>
      <c r="J594" t="s">
        <v>71</v>
      </c>
      <c r="K594" t="s">
        <v>109</v>
      </c>
      <c r="L594">
        <v>1</v>
      </c>
      <c r="M594">
        <v>0</v>
      </c>
      <c r="N594">
        <v>1</v>
      </c>
      <c r="O594">
        <v>1</v>
      </c>
      <c r="P594">
        <v>0</v>
      </c>
      <c r="Q594">
        <v>0</v>
      </c>
      <c r="R594">
        <v>1</v>
      </c>
      <c r="S594">
        <v>1</v>
      </c>
      <c r="T594">
        <v>1</v>
      </c>
      <c r="U594">
        <v>1</v>
      </c>
      <c r="V594">
        <f t="shared" si="257"/>
        <v>0</v>
      </c>
      <c r="W594">
        <f t="shared" si="258"/>
        <v>0</v>
      </c>
      <c r="X594">
        <f t="shared" si="261"/>
        <v>0</v>
      </c>
      <c r="Y594">
        <f t="shared" si="259"/>
        <v>0</v>
      </c>
      <c r="Z594" t="s">
        <v>177</v>
      </c>
      <c r="AA594" s="5" t="s">
        <v>107</v>
      </c>
      <c r="AB594" s="5" t="s">
        <v>951</v>
      </c>
      <c r="AC594" t="s">
        <v>198</v>
      </c>
      <c r="AD594" t="s">
        <v>196</v>
      </c>
      <c r="AE594" s="5" t="s">
        <v>952</v>
      </c>
      <c r="AF594" t="s">
        <v>173</v>
      </c>
      <c r="AG594" t="s">
        <v>174</v>
      </c>
      <c r="AH594">
        <f>AI594</f>
        <v>3.7554823000000001E-2</v>
      </c>
      <c r="AI594">
        <f>AJ594</f>
        <v>3.7554823000000001E-2</v>
      </c>
      <c r="AJ594">
        <f t="shared" si="260"/>
        <v>3.7554823000000001E-2</v>
      </c>
      <c r="AK594">
        <v>3.7554823000000001E-2</v>
      </c>
      <c r="AL594">
        <v>3.8398242999999999E-2</v>
      </c>
      <c r="AM594">
        <v>3.90497E-2</v>
      </c>
      <c r="AN594">
        <v>4.0185894999999999E-2</v>
      </c>
      <c r="AO594">
        <v>96.244517700000003</v>
      </c>
      <c r="AP594">
        <v>96.160175699999996</v>
      </c>
      <c r="AQ594">
        <v>96.095029999999994</v>
      </c>
      <c r="AR594">
        <v>95.981410499999996</v>
      </c>
      <c r="AS594" t="b">
        <v>0</v>
      </c>
      <c r="AT594" t="b">
        <v>0</v>
      </c>
      <c r="AU594" t="s">
        <v>108</v>
      </c>
      <c r="AV594" t="s">
        <v>108</v>
      </c>
      <c r="AW594" t="s">
        <v>783</v>
      </c>
      <c r="AX594" t="s">
        <v>812</v>
      </c>
      <c r="AY594" t="s">
        <v>921</v>
      </c>
      <c r="AZ594" t="s">
        <v>109</v>
      </c>
      <c r="BA594">
        <v>2</v>
      </c>
      <c r="BB594">
        <v>1</v>
      </c>
      <c r="BC594">
        <v>7.8599005999999999E-2</v>
      </c>
      <c r="BD594">
        <v>2.1587351686006499E-2</v>
      </c>
      <c r="BE594">
        <v>0.10018635768600601</v>
      </c>
      <c r="BF594">
        <f>IF(AK594&lt;BE594,1,0)</f>
        <v>1</v>
      </c>
      <c r="BG594">
        <f>IF(AK594&lt;BC594,1,0)</f>
        <v>1</v>
      </c>
      <c r="BH594">
        <f>VLOOKUP($B594,[1]Data_Peer_with_peerVars!$B$2:$Z$1050,20,FALSE)</f>
        <v>6</v>
      </c>
      <c r="BI594">
        <f>VLOOKUP($B594,[1]Data_Peer_with_peerVars!$B$2:$Z$1050,21,FALSE)</f>
        <v>4</v>
      </c>
      <c r="BJ594">
        <f>VLOOKUP($B594,[1]Data_Peer_with_peerVars!$B$2:$Z$1050,22,FALSE)</f>
        <v>0.66666666699999999</v>
      </c>
      <c r="BK594">
        <f>VLOOKUP($B594,[1]Data_Peer_with_peerVars!$B$2:$Z$1050,23,FALSE)</f>
        <v>12</v>
      </c>
      <c r="BL594">
        <f>VLOOKUP($B594,[1]Data_Peer_with_peerVars!$B$2:$Z$1050,24,FALSE)</f>
        <v>8</v>
      </c>
      <c r="BM594">
        <f>VLOOKUP($B594,[1]Data_Peer_with_peerVars!$B$2:$Z$1050,25,FALSE)</f>
        <v>0.66666666699999999</v>
      </c>
    </row>
    <row r="595" spans="1:65" x14ac:dyDescent="0.2">
      <c r="A595">
        <v>1</v>
      </c>
      <c r="B595" t="s">
        <v>953</v>
      </c>
      <c r="C595">
        <v>334</v>
      </c>
      <c r="D595" t="s">
        <v>68</v>
      </c>
      <c r="E595">
        <v>1</v>
      </c>
      <c r="F595">
        <v>83</v>
      </c>
      <c r="G595" t="s">
        <v>86</v>
      </c>
      <c r="H595" s="1">
        <v>7</v>
      </c>
      <c r="I595" t="s">
        <v>87</v>
      </c>
      <c r="J595" t="s">
        <v>88</v>
      </c>
      <c r="K595" t="s">
        <v>109</v>
      </c>
      <c r="L595">
        <v>1</v>
      </c>
      <c r="M595">
        <v>0</v>
      </c>
      <c r="N595">
        <v>1</v>
      </c>
      <c r="O595">
        <v>1</v>
      </c>
      <c r="P595">
        <v>0</v>
      </c>
      <c r="Q595">
        <v>6</v>
      </c>
      <c r="R595">
        <v>0</v>
      </c>
      <c r="S595">
        <v>0</v>
      </c>
      <c r="T595">
        <v>1</v>
      </c>
      <c r="U595">
        <v>1</v>
      </c>
      <c r="V595">
        <f t="shared" si="257"/>
        <v>1</v>
      </c>
      <c r="W595">
        <v>1</v>
      </c>
      <c r="X595">
        <v>1</v>
      </c>
      <c r="Y595">
        <v>1</v>
      </c>
      <c r="Z595" t="s">
        <v>73</v>
      </c>
      <c r="AA595" s="5" t="s">
        <v>73</v>
      </c>
      <c r="AB595" s="5" t="s">
        <v>73</v>
      </c>
      <c r="AC595" t="s">
        <v>73</v>
      </c>
      <c r="AD595" t="s">
        <v>94</v>
      </c>
      <c r="AE595" s="5" t="s">
        <v>106</v>
      </c>
      <c r="AF595" t="s">
        <v>107</v>
      </c>
      <c r="AG595" t="s">
        <v>95</v>
      </c>
      <c r="AH595">
        <f t="shared" ref="AH595:AH596" si="267">AI595</f>
        <v>4.0961225000000004E-3</v>
      </c>
      <c r="AI595">
        <f t="shared" ref="AI595:AI596" si="268">AJ595</f>
        <v>4.0961225000000004E-3</v>
      </c>
      <c r="AJ595">
        <f t="shared" si="260"/>
        <v>4.0961225000000004E-3</v>
      </c>
      <c r="AK595">
        <v>4.0961225000000004E-3</v>
      </c>
      <c r="AL595">
        <v>0.1321116</v>
      </c>
      <c r="AM595">
        <v>0.13666300000000001</v>
      </c>
      <c r="AN595">
        <v>0.13910185999999999</v>
      </c>
      <c r="AO595">
        <v>99.590387750000005</v>
      </c>
      <c r="AP595">
        <v>86.788839999999993</v>
      </c>
      <c r="AQ595">
        <v>86.333699999999993</v>
      </c>
      <c r="AR595">
        <v>86.089814000000004</v>
      </c>
      <c r="AS595" t="b">
        <v>1</v>
      </c>
      <c r="AT595" t="b">
        <v>0</v>
      </c>
      <c r="AU595" t="s">
        <v>77</v>
      </c>
      <c r="AV595" t="s">
        <v>108</v>
      </c>
      <c r="AW595" t="s">
        <v>783</v>
      </c>
      <c r="AX595" t="s">
        <v>812</v>
      </c>
      <c r="AY595" t="s">
        <v>954</v>
      </c>
      <c r="AZ595" t="s">
        <v>109</v>
      </c>
      <c r="BA595">
        <v>2</v>
      </c>
      <c r="BB595">
        <v>16.5</v>
      </c>
      <c r="BC595">
        <v>4.1163553999999996E-3</v>
      </c>
      <c r="BD595">
        <v>1.4279989108178799E-4</v>
      </c>
      <c r="BE595">
        <v>4.2591552910817903E-3</v>
      </c>
      <c r="BF595">
        <f>IF(AK595&lt;BE595,1,0)</f>
        <v>1</v>
      </c>
      <c r="BG595">
        <f>IF(AK595&lt;BC595,1,0)</f>
        <v>1</v>
      </c>
      <c r="BH595">
        <f>VLOOKUP($B595,[1]Data_Peer_with_peerVars!$B$2:$Z$1050,20,FALSE)</f>
        <v>6</v>
      </c>
      <c r="BI595">
        <f>VLOOKUP($B595,[1]Data_Peer_with_peerVars!$B$2:$Z$1050,21,FALSE)</f>
        <v>1</v>
      </c>
      <c r="BJ595">
        <f>VLOOKUP($B595,[1]Data_Peer_with_peerVars!$B$2:$Z$1050,22,FALSE)</f>
        <v>0.16666666699999999</v>
      </c>
      <c r="BK595">
        <f>VLOOKUP($B595,[1]Data_Peer_with_peerVars!$B$2:$Z$1050,23,FALSE)</f>
        <v>61</v>
      </c>
      <c r="BL595">
        <f>VLOOKUP($B595,[1]Data_Peer_with_peerVars!$B$2:$Z$1050,24,FALSE)</f>
        <v>24</v>
      </c>
      <c r="BM595">
        <f>VLOOKUP($B595,[1]Data_Peer_with_peerVars!$B$2:$Z$1050,25,FALSE)</f>
        <v>0.39344262299999999</v>
      </c>
    </row>
    <row r="596" spans="1:65" x14ac:dyDescent="0.2">
      <c r="A596">
        <v>1</v>
      </c>
      <c r="B596" t="s">
        <v>955</v>
      </c>
      <c r="C596">
        <v>334</v>
      </c>
      <c r="D596" t="s">
        <v>68</v>
      </c>
      <c r="E596">
        <v>1</v>
      </c>
      <c r="F596">
        <v>83</v>
      </c>
      <c r="G596" t="s">
        <v>86</v>
      </c>
      <c r="H596" s="1">
        <v>7</v>
      </c>
      <c r="I596" t="s">
        <v>87</v>
      </c>
      <c r="J596" t="s">
        <v>88</v>
      </c>
      <c r="K596" t="s">
        <v>109</v>
      </c>
      <c r="L596">
        <v>1</v>
      </c>
      <c r="M596">
        <v>0</v>
      </c>
      <c r="N596">
        <v>1</v>
      </c>
      <c r="O596">
        <v>1</v>
      </c>
      <c r="P596">
        <v>0</v>
      </c>
      <c r="Q596">
        <v>6</v>
      </c>
      <c r="R596">
        <v>0</v>
      </c>
      <c r="S596">
        <v>0</v>
      </c>
      <c r="T596">
        <v>0</v>
      </c>
      <c r="U596">
        <v>0</v>
      </c>
      <c r="V596">
        <f t="shared" si="257"/>
        <v>1</v>
      </c>
      <c r="W596">
        <v>1</v>
      </c>
      <c r="X596">
        <v>1</v>
      </c>
      <c r="Y596">
        <v>1</v>
      </c>
      <c r="Z596" t="s">
        <v>76</v>
      </c>
      <c r="AA596" s="5" t="s">
        <v>76</v>
      </c>
      <c r="AB596" s="5" t="s">
        <v>76</v>
      </c>
      <c r="AC596" t="s">
        <v>76</v>
      </c>
      <c r="AD596" t="s">
        <v>74</v>
      </c>
      <c r="AE596" s="5" t="s">
        <v>74</v>
      </c>
      <c r="AF596" t="s">
        <v>120</v>
      </c>
      <c r="AG596" t="s">
        <v>75</v>
      </c>
      <c r="AH596">
        <f t="shared" si="267"/>
        <v>8.6443469999999994E-2</v>
      </c>
      <c r="AI596">
        <f t="shared" si="268"/>
        <v>8.6443469999999994E-2</v>
      </c>
      <c r="AJ596">
        <f t="shared" si="260"/>
        <v>8.6443469999999994E-2</v>
      </c>
      <c r="AK596">
        <v>8.6443469999999994E-2</v>
      </c>
      <c r="AL596">
        <v>0.1050605</v>
      </c>
      <c r="AM596">
        <v>0.12053817</v>
      </c>
      <c r="AN596">
        <v>0.12623762999999999</v>
      </c>
      <c r="AO596">
        <v>91.355653000000004</v>
      </c>
      <c r="AP596">
        <v>89.493949999999998</v>
      </c>
      <c r="AQ596">
        <v>87.946183000000005</v>
      </c>
      <c r="AR596">
        <v>87.376237000000003</v>
      </c>
      <c r="AS596" t="b">
        <v>1</v>
      </c>
      <c r="AT596" t="b">
        <v>0</v>
      </c>
      <c r="AU596" t="s">
        <v>77</v>
      </c>
      <c r="AV596" t="s">
        <v>78</v>
      </c>
      <c r="AW596" t="s">
        <v>783</v>
      </c>
      <c r="AX596" t="s">
        <v>812</v>
      </c>
      <c r="AY596" t="s">
        <v>954</v>
      </c>
      <c r="AZ596" t="s">
        <v>72</v>
      </c>
      <c r="BA596" t="s">
        <v>82</v>
      </c>
      <c r="BB596">
        <v>8</v>
      </c>
      <c r="BC596">
        <v>7.7070764999999999E-2</v>
      </c>
      <c r="BD596">
        <v>1.90190515067399E-3</v>
      </c>
      <c r="BE596">
        <v>7.8972670150673996E-2</v>
      </c>
      <c r="BF596">
        <f>IF(AK596&lt;BE596,1,0)</f>
        <v>0</v>
      </c>
      <c r="BG596">
        <f>IF(AK596&lt;BC596,1,0)</f>
        <v>0</v>
      </c>
      <c r="BH596">
        <f>VLOOKUP($B596,[1]Data_Peer_with_peerVars!$B$2:$Z$1050,20,FALSE)</f>
        <v>6</v>
      </c>
      <c r="BI596">
        <f>VLOOKUP($B596,[1]Data_Peer_with_peerVars!$B$2:$Z$1050,21,FALSE)</f>
        <v>1</v>
      </c>
      <c r="BJ596">
        <f>VLOOKUP($B596,[1]Data_Peer_with_peerVars!$B$2:$Z$1050,22,FALSE)</f>
        <v>0.16666666699999999</v>
      </c>
      <c r="BK596">
        <f>VLOOKUP($B596,[1]Data_Peer_with_peerVars!$B$2:$Z$1050,23,FALSE)</f>
        <v>61</v>
      </c>
      <c r="BL596">
        <f>VLOOKUP($B596,[1]Data_Peer_with_peerVars!$B$2:$Z$1050,24,FALSE)</f>
        <v>24</v>
      </c>
      <c r="BM596">
        <f>VLOOKUP($B596,[1]Data_Peer_with_peerVars!$B$2:$Z$1050,25,FALSE)</f>
        <v>0.39344262299999999</v>
      </c>
    </row>
    <row r="597" spans="1:65" x14ac:dyDescent="0.2">
      <c r="A597">
        <v>1</v>
      </c>
      <c r="B597" t="s">
        <v>956</v>
      </c>
      <c r="C597">
        <v>335</v>
      </c>
      <c r="D597" t="s">
        <v>68</v>
      </c>
      <c r="E597">
        <v>0</v>
      </c>
      <c r="F597">
        <v>136</v>
      </c>
      <c r="G597" t="s">
        <v>97</v>
      </c>
      <c r="H597" s="1">
        <v>7</v>
      </c>
      <c r="I597" t="s">
        <v>87</v>
      </c>
      <c r="J597" t="s">
        <v>88</v>
      </c>
      <c r="K597" t="s">
        <v>72</v>
      </c>
      <c r="L597">
        <v>1</v>
      </c>
      <c r="M597">
        <v>1</v>
      </c>
      <c r="N597">
        <v>0</v>
      </c>
      <c r="O597">
        <v>0</v>
      </c>
      <c r="P597">
        <v>0</v>
      </c>
      <c r="Q597">
        <v>2</v>
      </c>
      <c r="R597">
        <v>0</v>
      </c>
      <c r="S597">
        <v>0</v>
      </c>
      <c r="T597">
        <v>0</v>
      </c>
      <c r="U597">
        <v>0</v>
      </c>
      <c r="V597">
        <f t="shared" si="257"/>
        <v>0</v>
      </c>
      <c r="W597">
        <f t="shared" si="258"/>
        <v>0</v>
      </c>
      <c r="X597">
        <f t="shared" si="261"/>
        <v>0</v>
      </c>
      <c r="Y597">
        <f t="shared" si="259"/>
        <v>0</v>
      </c>
      <c r="Z597" t="s">
        <v>89</v>
      </c>
      <c r="AA597" s="5" t="s">
        <v>268</v>
      </c>
      <c r="AB597" s="5" t="s">
        <v>957</v>
      </c>
      <c r="AC597" t="s">
        <v>91</v>
      </c>
      <c r="AD597" t="s">
        <v>287</v>
      </c>
      <c r="AE597" s="5" t="s">
        <v>287</v>
      </c>
      <c r="AF597" t="s">
        <v>137</v>
      </c>
      <c r="AG597" t="s">
        <v>113</v>
      </c>
      <c r="AH597">
        <f t="shared" ref="AH597:AH601" si="269">AI597</f>
        <v>0.11643836</v>
      </c>
      <c r="AI597">
        <f t="shared" ref="AI597:AI601" si="270">AJ597</f>
        <v>0.11643836</v>
      </c>
      <c r="AJ597">
        <f t="shared" si="260"/>
        <v>0.11643836</v>
      </c>
      <c r="AK597">
        <v>0.11643836</v>
      </c>
      <c r="AL597">
        <v>0.12417942999999999</v>
      </c>
      <c r="AM597">
        <v>0.13778019999999999</v>
      </c>
      <c r="AN597">
        <v>0.13948379999999999</v>
      </c>
      <c r="AO597">
        <v>88.356164000000007</v>
      </c>
      <c r="AP597">
        <v>87.582057000000006</v>
      </c>
      <c r="AQ597">
        <v>86.221980000000002</v>
      </c>
      <c r="AR597">
        <v>86.05162</v>
      </c>
      <c r="AS597" t="b">
        <v>0</v>
      </c>
      <c r="AT597" t="b">
        <v>0</v>
      </c>
      <c r="AU597" t="s">
        <v>92</v>
      </c>
      <c r="AV597" t="s">
        <v>92</v>
      </c>
      <c r="AW597" t="s">
        <v>783</v>
      </c>
      <c r="AX597" t="s">
        <v>812</v>
      </c>
      <c r="AY597" t="s">
        <v>958</v>
      </c>
      <c r="AZ597" t="s">
        <v>72</v>
      </c>
      <c r="BA597" t="s">
        <v>82</v>
      </c>
      <c r="BB597">
        <v>2</v>
      </c>
      <c r="BC597">
        <v>9.0659339999999995E-3</v>
      </c>
      <c r="BD597">
        <v>2.76583658862385E-3</v>
      </c>
      <c r="BE597">
        <v>1.1831770588623799E-2</v>
      </c>
      <c r="BF597">
        <f>IF(AK597&lt;BE597,1,0)</f>
        <v>0</v>
      </c>
      <c r="BG597">
        <f>IF(AK597&lt;BC597,1,0)</f>
        <v>0</v>
      </c>
      <c r="BH597">
        <f>VLOOKUP($B597,[1]Data_Peer_with_peerVars!$B$2:$Z$1050,20,FALSE)</f>
        <v>12</v>
      </c>
      <c r="BI597">
        <f>VLOOKUP($B597,[1]Data_Peer_with_peerVars!$B$2:$Z$1050,21,FALSE)</f>
        <v>4</v>
      </c>
      <c r="BJ597">
        <f>VLOOKUP($B597,[1]Data_Peer_with_peerVars!$B$2:$Z$1050,22,FALSE)</f>
        <v>0.33333333300000001</v>
      </c>
      <c r="BK597">
        <f>VLOOKUP($B597,[1]Data_Peer_with_peerVars!$B$2:$Z$1050,23,FALSE)</f>
        <v>44</v>
      </c>
      <c r="BL597">
        <f>VLOOKUP($B597,[1]Data_Peer_with_peerVars!$B$2:$Z$1050,24,FALSE)</f>
        <v>18</v>
      </c>
      <c r="BM597">
        <f>VLOOKUP($B597,[1]Data_Peer_with_peerVars!$B$2:$Z$1050,25,FALSE)</f>
        <v>0.409090909</v>
      </c>
    </row>
    <row r="598" spans="1:65" x14ac:dyDescent="0.2">
      <c r="A598">
        <v>1</v>
      </c>
      <c r="B598" t="s">
        <v>959</v>
      </c>
      <c r="C598">
        <v>335</v>
      </c>
      <c r="D598" t="s">
        <v>68</v>
      </c>
      <c r="E598">
        <v>0</v>
      </c>
      <c r="F598">
        <v>136</v>
      </c>
      <c r="G598" t="s">
        <v>97</v>
      </c>
      <c r="H598" s="1">
        <v>7</v>
      </c>
      <c r="I598" t="s">
        <v>87</v>
      </c>
      <c r="J598" t="s">
        <v>88</v>
      </c>
      <c r="K598" t="s">
        <v>72</v>
      </c>
      <c r="L598">
        <v>1</v>
      </c>
      <c r="M598">
        <v>1</v>
      </c>
      <c r="N598">
        <v>0</v>
      </c>
      <c r="O598">
        <v>0</v>
      </c>
      <c r="P598">
        <v>0</v>
      </c>
      <c r="Q598">
        <v>2</v>
      </c>
      <c r="R598">
        <v>0</v>
      </c>
      <c r="S598">
        <v>0</v>
      </c>
      <c r="T598">
        <v>1</v>
      </c>
      <c r="U598">
        <v>1</v>
      </c>
      <c r="V598">
        <f t="shared" si="257"/>
        <v>0</v>
      </c>
      <c r="W598">
        <f t="shared" si="258"/>
        <v>0</v>
      </c>
      <c r="X598">
        <f t="shared" si="261"/>
        <v>0</v>
      </c>
      <c r="Y598">
        <f t="shared" si="259"/>
        <v>0</v>
      </c>
      <c r="Z598" t="s">
        <v>89</v>
      </c>
      <c r="AA598" s="5" t="s">
        <v>273</v>
      </c>
      <c r="AB598" s="5" t="s">
        <v>960</v>
      </c>
      <c r="AC598" t="s">
        <v>94</v>
      </c>
      <c r="AD598" t="s">
        <v>95</v>
      </c>
      <c r="AE598" s="5" t="s">
        <v>95</v>
      </c>
      <c r="AF598" t="s">
        <v>107</v>
      </c>
      <c r="AG598" t="s">
        <v>173</v>
      </c>
      <c r="AH598">
        <f t="shared" si="269"/>
        <v>6.1168760000000003E-2</v>
      </c>
      <c r="AI598">
        <f t="shared" si="270"/>
        <v>6.1168760000000003E-2</v>
      </c>
      <c r="AJ598">
        <f t="shared" si="260"/>
        <v>6.1168760000000003E-2</v>
      </c>
      <c r="AK598">
        <v>6.1168760000000003E-2</v>
      </c>
      <c r="AL598">
        <v>7.8184799999999999E-2</v>
      </c>
      <c r="AM598">
        <v>9.808219E-2</v>
      </c>
      <c r="AN598">
        <v>0.10043668</v>
      </c>
      <c r="AO598">
        <v>93.883123999999995</v>
      </c>
      <c r="AP598">
        <v>92.181520000000006</v>
      </c>
      <c r="AQ598">
        <v>90.191781000000006</v>
      </c>
      <c r="AR598">
        <v>89.956332000000003</v>
      </c>
      <c r="AS598" t="b">
        <v>0</v>
      </c>
      <c r="AT598" t="b">
        <v>0</v>
      </c>
      <c r="AU598" t="s">
        <v>92</v>
      </c>
      <c r="AV598" t="s">
        <v>92</v>
      </c>
      <c r="AW598" t="s">
        <v>783</v>
      </c>
      <c r="AX598" t="s">
        <v>812</v>
      </c>
      <c r="AY598" t="s">
        <v>958</v>
      </c>
      <c r="AZ598" t="s">
        <v>72</v>
      </c>
      <c r="BA598" t="s">
        <v>82</v>
      </c>
      <c r="BB598">
        <v>0.17499999999999899</v>
      </c>
      <c r="BC598">
        <v>1.6447369E-2</v>
      </c>
      <c r="BD598">
        <v>4.2236161269162102E-4</v>
      </c>
      <c r="BE598">
        <v>1.6869730612691598E-2</v>
      </c>
      <c r="BF598">
        <f>IF(AK598&lt;BE598,1,0)</f>
        <v>0</v>
      </c>
      <c r="BG598">
        <f>IF(AK598&lt;BC598,1,0)</f>
        <v>0</v>
      </c>
      <c r="BH598">
        <f>VLOOKUP($B598,[1]Data_Peer_with_peerVars!$B$2:$Z$1050,20,FALSE)</f>
        <v>12</v>
      </c>
      <c r="BI598">
        <f>VLOOKUP($B598,[1]Data_Peer_with_peerVars!$B$2:$Z$1050,21,FALSE)</f>
        <v>4</v>
      </c>
      <c r="BJ598">
        <f>VLOOKUP($B598,[1]Data_Peer_with_peerVars!$B$2:$Z$1050,22,FALSE)</f>
        <v>0.33333333300000001</v>
      </c>
      <c r="BK598">
        <f>VLOOKUP($B598,[1]Data_Peer_with_peerVars!$B$2:$Z$1050,23,FALSE)</f>
        <v>44</v>
      </c>
      <c r="BL598">
        <f>VLOOKUP($B598,[1]Data_Peer_with_peerVars!$B$2:$Z$1050,24,FALSE)</f>
        <v>18</v>
      </c>
      <c r="BM598">
        <f>VLOOKUP($B598,[1]Data_Peer_with_peerVars!$B$2:$Z$1050,25,FALSE)</f>
        <v>0.409090909</v>
      </c>
    </row>
    <row r="599" spans="1:65" x14ac:dyDescent="0.2">
      <c r="A599">
        <v>1</v>
      </c>
      <c r="B599" t="s">
        <v>961</v>
      </c>
      <c r="C599">
        <v>336</v>
      </c>
      <c r="D599" t="s">
        <v>68</v>
      </c>
      <c r="E599">
        <v>1</v>
      </c>
      <c r="F599">
        <v>804</v>
      </c>
      <c r="G599" t="s">
        <v>69</v>
      </c>
      <c r="H599" s="1">
        <v>5.5</v>
      </c>
      <c r="I599" t="s">
        <v>70</v>
      </c>
      <c r="J599" t="s">
        <v>436</v>
      </c>
      <c r="K599" t="s">
        <v>109</v>
      </c>
      <c r="L599">
        <v>2</v>
      </c>
      <c r="M599">
        <v>0</v>
      </c>
      <c r="N599">
        <v>1</v>
      </c>
      <c r="O599">
        <v>1</v>
      </c>
      <c r="P599">
        <v>0</v>
      </c>
      <c r="Q599">
        <v>9</v>
      </c>
      <c r="R599">
        <v>0</v>
      </c>
      <c r="S599">
        <v>0</v>
      </c>
      <c r="T599">
        <v>0</v>
      </c>
      <c r="U599">
        <v>0</v>
      </c>
      <c r="V599">
        <f t="shared" si="257"/>
        <v>1</v>
      </c>
      <c r="W599">
        <v>1</v>
      </c>
      <c r="X599">
        <v>1</v>
      </c>
      <c r="Y599">
        <v>1</v>
      </c>
      <c r="Z599" t="s">
        <v>91</v>
      </c>
      <c r="AA599" s="5" t="s">
        <v>91</v>
      </c>
      <c r="AB599" s="5" t="s">
        <v>962</v>
      </c>
      <c r="AC599" t="s">
        <v>91</v>
      </c>
      <c r="AD599" t="s">
        <v>74</v>
      </c>
      <c r="AE599" s="5" t="s">
        <v>74</v>
      </c>
      <c r="AF599" t="s">
        <v>75</v>
      </c>
      <c r="AG599" t="s">
        <v>287</v>
      </c>
      <c r="AH599">
        <f t="shared" si="269"/>
        <v>4.4584244000000002E-2</v>
      </c>
      <c r="AI599">
        <f t="shared" si="270"/>
        <v>4.4584244000000002E-2</v>
      </c>
      <c r="AJ599">
        <f t="shared" si="260"/>
        <v>4.4584244000000002E-2</v>
      </c>
      <c r="AK599">
        <v>4.4584244000000002E-2</v>
      </c>
      <c r="AL599">
        <v>0.10964912</v>
      </c>
      <c r="AM599">
        <v>0.122672506</v>
      </c>
      <c r="AN599">
        <v>0.12322404000000001</v>
      </c>
      <c r="AO599">
        <v>95.541575600000002</v>
      </c>
      <c r="AP599">
        <v>89.035088000000002</v>
      </c>
      <c r="AQ599">
        <v>87.732749400000003</v>
      </c>
      <c r="AR599">
        <v>87.677595999999994</v>
      </c>
      <c r="AS599" t="b">
        <v>1</v>
      </c>
      <c r="AT599" t="b">
        <v>0</v>
      </c>
      <c r="AU599" t="s">
        <v>77</v>
      </c>
      <c r="AV599" t="s">
        <v>78</v>
      </c>
      <c r="AW599" t="s">
        <v>783</v>
      </c>
      <c r="AX599" t="s">
        <v>812</v>
      </c>
      <c r="AY599" t="s">
        <v>963</v>
      </c>
      <c r="AZ599" t="s">
        <v>109</v>
      </c>
      <c r="BA599">
        <v>10</v>
      </c>
      <c r="BB599">
        <v>1</v>
      </c>
      <c r="BC599">
        <v>9.0659339999999995E-3</v>
      </c>
      <c r="BD599">
        <v>2.76583658862385E-3</v>
      </c>
      <c r="BE599">
        <v>1.1831770588623799E-2</v>
      </c>
      <c r="BF599">
        <f>IF(AK599&lt;BE599,1,0)</f>
        <v>0</v>
      </c>
      <c r="BG599">
        <f>IF(AK599&lt;BC599,1,0)</f>
        <v>0</v>
      </c>
      <c r="BH599">
        <f>VLOOKUP($B599,[1]Data_Peer_with_peerVars!$B$2:$Z$1050,20,FALSE)</f>
        <v>3</v>
      </c>
      <c r="BI599">
        <f>VLOOKUP($B599,[1]Data_Peer_with_peerVars!$B$2:$Z$1050,21,FALSE)</f>
        <v>2</v>
      </c>
      <c r="BJ599">
        <f>VLOOKUP($B599,[1]Data_Peer_with_peerVars!$B$2:$Z$1050,22,FALSE)</f>
        <v>0.66666666699999999</v>
      </c>
      <c r="BK599">
        <f>VLOOKUP($B599,[1]Data_Peer_with_peerVars!$B$2:$Z$1050,23,FALSE)</f>
        <v>30</v>
      </c>
      <c r="BL599">
        <f>VLOOKUP($B599,[1]Data_Peer_with_peerVars!$B$2:$Z$1050,24,FALSE)</f>
        <v>13</v>
      </c>
      <c r="BM599">
        <f>VLOOKUP($B599,[1]Data_Peer_with_peerVars!$B$2:$Z$1050,25,FALSE)</f>
        <v>0.43333333299999999</v>
      </c>
    </row>
    <row r="600" spans="1:65" x14ac:dyDescent="0.2">
      <c r="A600">
        <v>1</v>
      </c>
      <c r="B600" t="s">
        <v>964</v>
      </c>
      <c r="C600">
        <v>336</v>
      </c>
      <c r="D600" t="s">
        <v>68</v>
      </c>
      <c r="E600">
        <v>1</v>
      </c>
      <c r="F600">
        <v>804</v>
      </c>
      <c r="G600" t="s">
        <v>69</v>
      </c>
      <c r="H600" s="1">
        <v>5.5</v>
      </c>
      <c r="I600" t="s">
        <v>70</v>
      </c>
      <c r="J600" t="s">
        <v>436</v>
      </c>
      <c r="K600" t="s">
        <v>109</v>
      </c>
      <c r="L600">
        <v>2</v>
      </c>
      <c r="M600">
        <v>0</v>
      </c>
      <c r="N600">
        <v>1</v>
      </c>
      <c r="O600">
        <v>1</v>
      </c>
      <c r="P600">
        <v>0</v>
      </c>
      <c r="Q600">
        <v>9</v>
      </c>
      <c r="R600">
        <v>0</v>
      </c>
      <c r="S600">
        <v>0</v>
      </c>
      <c r="T600">
        <v>0</v>
      </c>
      <c r="U600">
        <v>0</v>
      </c>
      <c r="V600">
        <f t="shared" si="257"/>
        <v>1</v>
      </c>
      <c r="W600">
        <v>1</v>
      </c>
      <c r="X600">
        <v>1</v>
      </c>
      <c r="Y600">
        <v>1</v>
      </c>
      <c r="Z600" t="s">
        <v>76</v>
      </c>
      <c r="AA600" s="5" t="s">
        <v>76</v>
      </c>
      <c r="AB600" s="5" t="s">
        <v>76</v>
      </c>
      <c r="AC600" t="s">
        <v>76</v>
      </c>
      <c r="AD600" t="s">
        <v>74</v>
      </c>
      <c r="AE600" s="5" t="s">
        <v>74</v>
      </c>
      <c r="AF600" t="s">
        <v>120</v>
      </c>
      <c r="AG600" t="s">
        <v>75</v>
      </c>
      <c r="AH600">
        <f t="shared" si="269"/>
        <v>7.6754383999999995E-2</v>
      </c>
      <c r="AI600">
        <f t="shared" si="270"/>
        <v>7.6754383999999995E-2</v>
      </c>
      <c r="AJ600">
        <f t="shared" si="260"/>
        <v>7.6754383999999995E-2</v>
      </c>
      <c r="AK600">
        <v>7.6754383999999995E-2</v>
      </c>
      <c r="AL600">
        <v>9.3406594999999995E-2</v>
      </c>
      <c r="AM600">
        <v>0.121710524</v>
      </c>
      <c r="AN600">
        <v>0.12191104</v>
      </c>
      <c r="AO600">
        <v>92.324561599999996</v>
      </c>
      <c r="AP600">
        <v>90.659340499999999</v>
      </c>
      <c r="AQ600">
        <v>87.828947600000006</v>
      </c>
      <c r="AR600">
        <v>87.808896000000004</v>
      </c>
      <c r="AS600" t="b">
        <v>1</v>
      </c>
      <c r="AT600" t="b">
        <v>0</v>
      </c>
      <c r="AU600" t="s">
        <v>77</v>
      </c>
      <c r="AV600" t="s">
        <v>77</v>
      </c>
      <c r="AW600" t="s">
        <v>783</v>
      </c>
      <c r="AX600" t="s">
        <v>812</v>
      </c>
      <c r="AY600" t="s">
        <v>963</v>
      </c>
      <c r="AZ600" t="s">
        <v>72</v>
      </c>
      <c r="BA600" t="s">
        <v>82</v>
      </c>
      <c r="BB600">
        <v>0.5</v>
      </c>
      <c r="BC600">
        <v>7.7070764999999999E-2</v>
      </c>
      <c r="BD600">
        <v>1.90190515067399E-3</v>
      </c>
      <c r="BE600">
        <v>7.8972670150673996E-2</v>
      </c>
      <c r="BF600">
        <f>IF(AK600&lt;BE600,1,0)</f>
        <v>1</v>
      </c>
      <c r="BG600">
        <f>IF(AK600&lt;BC600,1,0)</f>
        <v>1</v>
      </c>
      <c r="BH600">
        <f>VLOOKUP($B600,[1]Data_Peer_with_peerVars!$B$2:$Z$1050,20,FALSE)</f>
        <v>3</v>
      </c>
      <c r="BI600">
        <f>VLOOKUP($B600,[1]Data_Peer_with_peerVars!$B$2:$Z$1050,21,FALSE)</f>
        <v>2</v>
      </c>
      <c r="BJ600">
        <f>VLOOKUP($B600,[1]Data_Peer_with_peerVars!$B$2:$Z$1050,22,FALSE)</f>
        <v>0.66666666699999999</v>
      </c>
      <c r="BK600">
        <f>VLOOKUP($B600,[1]Data_Peer_with_peerVars!$B$2:$Z$1050,23,FALSE)</f>
        <v>30</v>
      </c>
      <c r="BL600">
        <f>VLOOKUP($B600,[1]Data_Peer_with_peerVars!$B$2:$Z$1050,24,FALSE)</f>
        <v>13</v>
      </c>
      <c r="BM600">
        <f>VLOOKUP($B600,[1]Data_Peer_with_peerVars!$B$2:$Z$1050,25,FALSE)</f>
        <v>0.43333333299999999</v>
      </c>
    </row>
    <row r="601" spans="1:65" x14ac:dyDescent="0.2">
      <c r="A601">
        <v>1</v>
      </c>
      <c r="B601" t="s">
        <v>965</v>
      </c>
      <c r="C601">
        <v>337</v>
      </c>
      <c r="D601" t="s">
        <v>68</v>
      </c>
      <c r="E601">
        <v>1</v>
      </c>
      <c r="F601">
        <v>71</v>
      </c>
      <c r="G601" t="s">
        <v>86</v>
      </c>
      <c r="H601" s="1">
        <v>6</v>
      </c>
      <c r="I601" t="s">
        <v>87</v>
      </c>
      <c r="J601" t="s">
        <v>111</v>
      </c>
      <c r="K601" t="s">
        <v>109</v>
      </c>
      <c r="L601">
        <v>1</v>
      </c>
      <c r="M601">
        <v>0</v>
      </c>
      <c r="N601">
        <v>1</v>
      </c>
      <c r="O601">
        <v>0</v>
      </c>
      <c r="P601">
        <v>0</v>
      </c>
      <c r="Q601">
        <v>6</v>
      </c>
      <c r="R601">
        <v>0</v>
      </c>
      <c r="S601">
        <v>0</v>
      </c>
      <c r="T601">
        <v>0</v>
      </c>
      <c r="U601">
        <v>0</v>
      </c>
      <c r="V601">
        <f t="shared" si="257"/>
        <v>1</v>
      </c>
      <c r="W601">
        <v>1</v>
      </c>
      <c r="X601">
        <v>1</v>
      </c>
      <c r="Y601">
        <v>1</v>
      </c>
      <c r="Z601" t="s">
        <v>91</v>
      </c>
      <c r="AA601" s="5" t="s">
        <v>91</v>
      </c>
      <c r="AB601" s="5" t="s">
        <v>91</v>
      </c>
      <c r="AC601" t="s">
        <v>91</v>
      </c>
      <c r="AD601" t="s">
        <v>137</v>
      </c>
      <c r="AE601" s="5" t="s">
        <v>497</v>
      </c>
      <c r="AF601" t="s">
        <v>287</v>
      </c>
      <c r="AG601" t="s">
        <v>113</v>
      </c>
      <c r="AH601">
        <f t="shared" si="269"/>
        <v>0.10688901000000001</v>
      </c>
      <c r="AI601">
        <f t="shared" si="270"/>
        <v>0.10688901000000001</v>
      </c>
      <c r="AJ601">
        <f t="shared" si="260"/>
        <v>0.10688901000000001</v>
      </c>
      <c r="AK601">
        <v>0.10688901000000001</v>
      </c>
      <c r="AL601">
        <v>0.12090611499999999</v>
      </c>
      <c r="AM601">
        <v>0.13127730000000001</v>
      </c>
      <c r="AN601">
        <v>0.13399231</v>
      </c>
      <c r="AO601">
        <v>89.311098999999999</v>
      </c>
      <c r="AP601">
        <v>87.909388500000006</v>
      </c>
      <c r="AQ601">
        <v>86.87227</v>
      </c>
      <c r="AR601">
        <v>86.600769</v>
      </c>
      <c r="AS601" t="b">
        <v>1</v>
      </c>
      <c r="AT601" t="b">
        <v>0</v>
      </c>
      <c r="AU601" t="s">
        <v>78</v>
      </c>
      <c r="AV601" t="s">
        <v>108</v>
      </c>
      <c r="AW601" t="s">
        <v>783</v>
      </c>
      <c r="AX601" t="s">
        <v>812</v>
      </c>
      <c r="AY601" t="s">
        <v>958</v>
      </c>
      <c r="AZ601" t="s">
        <v>109</v>
      </c>
      <c r="BA601">
        <v>2</v>
      </c>
      <c r="BB601">
        <v>1.5</v>
      </c>
      <c r="BC601">
        <v>9.0659339999999995E-3</v>
      </c>
      <c r="BD601">
        <v>2.76583658862385E-3</v>
      </c>
      <c r="BE601">
        <v>1.1831770588623799E-2</v>
      </c>
      <c r="BF601">
        <f>IF(AK601&lt;BE601,1,0)</f>
        <v>0</v>
      </c>
      <c r="BG601">
        <f>IF(AK601&lt;BC601,1,0)</f>
        <v>0</v>
      </c>
      <c r="BH601">
        <f>VLOOKUP($B601,[1]Data_Peer_with_peerVars!$B$2:$Z$1050,20,FALSE)</f>
        <v>10</v>
      </c>
      <c r="BI601">
        <f>VLOOKUP($B601,[1]Data_Peer_with_peerVars!$B$2:$Z$1050,21,FALSE)</f>
        <v>2</v>
      </c>
      <c r="BJ601">
        <f>VLOOKUP($B601,[1]Data_Peer_with_peerVars!$B$2:$Z$1050,22,FALSE)</f>
        <v>0.2</v>
      </c>
      <c r="BK601">
        <f>VLOOKUP($B601,[1]Data_Peer_with_peerVars!$B$2:$Z$1050,23,FALSE)</f>
        <v>45</v>
      </c>
      <c r="BL601">
        <f>VLOOKUP($B601,[1]Data_Peer_with_peerVars!$B$2:$Z$1050,24,FALSE)</f>
        <v>17</v>
      </c>
      <c r="BM601">
        <f>VLOOKUP($B601,[1]Data_Peer_with_peerVars!$B$2:$Z$1050,25,FALSE)</f>
        <v>0.37777777800000001</v>
      </c>
    </row>
    <row r="602" spans="1:65" x14ac:dyDescent="0.2">
      <c r="A602">
        <v>1</v>
      </c>
      <c r="B602" t="s">
        <v>966</v>
      </c>
      <c r="C602">
        <v>337</v>
      </c>
      <c r="D602" t="s">
        <v>68</v>
      </c>
      <c r="E602">
        <v>1</v>
      </c>
      <c r="F602">
        <v>71</v>
      </c>
      <c r="G602" t="s">
        <v>86</v>
      </c>
      <c r="H602" s="1">
        <v>6</v>
      </c>
      <c r="I602" t="s">
        <v>87</v>
      </c>
      <c r="J602" t="s">
        <v>111</v>
      </c>
      <c r="K602" t="s">
        <v>109</v>
      </c>
      <c r="L602">
        <v>1</v>
      </c>
      <c r="M602">
        <v>0</v>
      </c>
      <c r="N602">
        <v>1</v>
      </c>
      <c r="O602">
        <v>0</v>
      </c>
      <c r="P602">
        <v>0</v>
      </c>
      <c r="Q602">
        <v>6</v>
      </c>
      <c r="R602">
        <v>1</v>
      </c>
      <c r="S602">
        <v>1</v>
      </c>
      <c r="T602">
        <v>1</v>
      </c>
      <c r="U602">
        <v>1</v>
      </c>
      <c r="V602">
        <f t="shared" si="257"/>
        <v>0</v>
      </c>
      <c r="W602">
        <f t="shared" si="258"/>
        <v>0</v>
      </c>
      <c r="X602">
        <f t="shared" si="261"/>
        <v>0</v>
      </c>
      <c r="Y602">
        <f t="shared" si="259"/>
        <v>0</v>
      </c>
      <c r="Z602" t="s">
        <v>76</v>
      </c>
      <c r="AA602" s="5" t="s">
        <v>76</v>
      </c>
      <c r="AB602" s="5" t="s">
        <v>76</v>
      </c>
      <c r="AC602" t="s">
        <v>174</v>
      </c>
      <c r="AD602" t="s">
        <v>173</v>
      </c>
      <c r="AE602" s="5" t="s">
        <v>506</v>
      </c>
      <c r="AF602" t="s">
        <v>198</v>
      </c>
      <c r="AG602" t="s">
        <v>196</v>
      </c>
      <c r="AH602">
        <f t="shared" ref="AH602:AI604" si="271">AI602</f>
        <v>3.3972601999999998E-2</v>
      </c>
      <c r="AI602">
        <f t="shared" si="271"/>
        <v>3.3972601999999998E-2</v>
      </c>
      <c r="AJ602">
        <f t="shared" si="260"/>
        <v>3.3972601999999998E-2</v>
      </c>
      <c r="AK602">
        <v>3.3972601999999998E-2</v>
      </c>
      <c r="AL602">
        <v>3.6358665999999998E-2</v>
      </c>
      <c r="AM602">
        <v>3.8989566000000003E-2</v>
      </c>
      <c r="AN602">
        <v>4.0637013E-2</v>
      </c>
      <c r="AO602">
        <v>96.602739799999995</v>
      </c>
      <c r="AP602">
        <v>96.3641334</v>
      </c>
      <c r="AQ602">
        <v>96.101043399999995</v>
      </c>
      <c r="AR602">
        <v>95.936298699999995</v>
      </c>
      <c r="AS602" t="b">
        <v>0</v>
      </c>
      <c r="AT602" t="b">
        <v>0</v>
      </c>
      <c r="AU602" t="s">
        <v>77</v>
      </c>
      <c r="AV602" t="s">
        <v>108</v>
      </c>
      <c r="AW602" t="s">
        <v>783</v>
      </c>
      <c r="AX602" t="s">
        <v>812</v>
      </c>
      <c r="AY602" t="s">
        <v>958</v>
      </c>
      <c r="AZ602" t="s">
        <v>109</v>
      </c>
      <c r="BA602">
        <v>2</v>
      </c>
      <c r="BB602">
        <v>0.5</v>
      </c>
      <c r="BC602">
        <v>6.6481995999999998E-3</v>
      </c>
      <c r="BD602">
        <v>2.8322716361753601E-4</v>
      </c>
      <c r="BE602">
        <v>6.9314267636175399E-3</v>
      </c>
      <c r="BF602">
        <f>IF(AK602&lt;BE602,1,0)</f>
        <v>0</v>
      </c>
      <c r="BG602">
        <f>IF(AK602&lt;BC602,1,0)</f>
        <v>0</v>
      </c>
      <c r="BH602">
        <f>VLOOKUP($B602,[1]Data_Peer_with_peerVars!$B$2:$Z$1050,20,FALSE)</f>
        <v>10</v>
      </c>
      <c r="BI602">
        <f>VLOOKUP($B602,[1]Data_Peer_with_peerVars!$B$2:$Z$1050,21,FALSE)</f>
        <v>2</v>
      </c>
      <c r="BJ602">
        <f>VLOOKUP($B602,[1]Data_Peer_with_peerVars!$B$2:$Z$1050,22,FALSE)</f>
        <v>0.2</v>
      </c>
      <c r="BK602">
        <f>VLOOKUP($B602,[1]Data_Peer_with_peerVars!$B$2:$Z$1050,23,FALSE)</f>
        <v>45</v>
      </c>
      <c r="BL602">
        <f>VLOOKUP($B602,[1]Data_Peer_with_peerVars!$B$2:$Z$1050,24,FALSE)</f>
        <v>17</v>
      </c>
      <c r="BM602">
        <f>VLOOKUP($B602,[1]Data_Peer_with_peerVars!$B$2:$Z$1050,25,FALSE)</f>
        <v>0.37777777800000001</v>
      </c>
    </row>
    <row r="603" spans="1:65" x14ac:dyDescent="0.2">
      <c r="A603">
        <v>1</v>
      </c>
      <c r="B603" t="s">
        <v>967</v>
      </c>
      <c r="C603">
        <v>338</v>
      </c>
      <c r="D603" t="s">
        <v>68</v>
      </c>
      <c r="E603">
        <v>1</v>
      </c>
      <c r="F603">
        <v>81</v>
      </c>
      <c r="G603" t="s">
        <v>86</v>
      </c>
      <c r="H603" s="1">
        <v>7</v>
      </c>
      <c r="I603" t="s">
        <v>87</v>
      </c>
      <c r="J603" t="s">
        <v>111</v>
      </c>
      <c r="K603" t="s">
        <v>109</v>
      </c>
      <c r="L603">
        <v>1</v>
      </c>
      <c r="M603">
        <v>0</v>
      </c>
      <c r="N603">
        <v>1</v>
      </c>
      <c r="O603">
        <v>0</v>
      </c>
      <c r="P603">
        <v>0</v>
      </c>
      <c r="Q603">
        <v>6</v>
      </c>
      <c r="R603">
        <v>0</v>
      </c>
      <c r="S603">
        <v>0</v>
      </c>
      <c r="T603">
        <v>0</v>
      </c>
      <c r="U603">
        <v>0</v>
      </c>
      <c r="V603">
        <f t="shared" si="257"/>
        <v>1</v>
      </c>
      <c r="W603">
        <v>1</v>
      </c>
      <c r="X603">
        <v>1</v>
      </c>
      <c r="Y603">
        <v>1</v>
      </c>
      <c r="Z603" t="s">
        <v>91</v>
      </c>
      <c r="AA603" s="5" t="s">
        <v>91</v>
      </c>
      <c r="AB603" s="5" t="s">
        <v>91</v>
      </c>
      <c r="AC603" t="s">
        <v>91</v>
      </c>
      <c r="AD603" t="s">
        <v>287</v>
      </c>
      <c r="AE603" s="5" t="s">
        <v>287</v>
      </c>
      <c r="AF603" t="s">
        <v>137</v>
      </c>
      <c r="AG603" t="s">
        <v>84</v>
      </c>
      <c r="AH603">
        <f t="shared" si="271"/>
        <v>3.2840723E-3</v>
      </c>
      <c r="AI603">
        <f t="shared" si="271"/>
        <v>3.2840723E-3</v>
      </c>
      <c r="AJ603">
        <f t="shared" si="260"/>
        <v>3.2840723E-3</v>
      </c>
      <c r="AK603">
        <v>3.2840723E-3</v>
      </c>
      <c r="AL603">
        <v>0.12117068</v>
      </c>
      <c r="AM603">
        <v>0.12875887999999999</v>
      </c>
      <c r="AN603">
        <v>0.13311331000000001</v>
      </c>
      <c r="AO603">
        <v>99.671592770000004</v>
      </c>
      <c r="AP603">
        <v>87.882931999999997</v>
      </c>
      <c r="AQ603">
        <v>87.124111999999997</v>
      </c>
      <c r="AR603">
        <v>86.688669000000004</v>
      </c>
      <c r="AS603" t="b">
        <v>1</v>
      </c>
      <c r="AT603" t="b">
        <v>0</v>
      </c>
      <c r="AU603" t="s">
        <v>77</v>
      </c>
      <c r="AV603" t="s">
        <v>78</v>
      </c>
      <c r="AW603" t="s">
        <v>783</v>
      </c>
      <c r="AX603" t="s">
        <v>812</v>
      </c>
      <c r="AY603" t="s">
        <v>954</v>
      </c>
      <c r="AZ603" t="s">
        <v>109</v>
      </c>
      <c r="BA603">
        <v>7</v>
      </c>
      <c r="BB603">
        <v>2</v>
      </c>
      <c r="BC603">
        <v>9.0659339999999995E-3</v>
      </c>
      <c r="BD603">
        <v>2.76583658862385E-3</v>
      </c>
      <c r="BE603">
        <v>1.1831770588623799E-2</v>
      </c>
      <c r="BF603">
        <f>IF(AK603&lt;BE603,1,0)</f>
        <v>1</v>
      </c>
      <c r="BG603">
        <f>IF(AK603&lt;BC603,1,0)</f>
        <v>1</v>
      </c>
      <c r="BH603">
        <f>VLOOKUP($B603,[1]Data_Peer_with_peerVars!$B$2:$Z$1050,20,FALSE)</f>
        <v>11</v>
      </c>
      <c r="BI603">
        <f>VLOOKUP($B603,[1]Data_Peer_with_peerVars!$B$2:$Z$1050,21,FALSE)</f>
        <v>2</v>
      </c>
      <c r="BJ603">
        <f>VLOOKUP($B603,[1]Data_Peer_with_peerVars!$B$2:$Z$1050,22,FALSE)</f>
        <v>0.18181818199999999</v>
      </c>
      <c r="BK603">
        <f>VLOOKUP($B603,[1]Data_Peer_with_peerVars!$B$2:$Z$1050,23,FALSE)</f>
        <v>46</v>
      </c>
      <c r="BL603">
        <f>VLOOKUP($B603,[1]Data_Peer_with_peerVars!$B$2:$Z$1050,24,FALSE)</f>
        <v>17</v>
      </c>
      <c r="BM603">
        <f>VLOOKUP($B603,[1]Data_Peer_with_peerVars!$B$2:$Z$1050,25,FALSE)</f>
        <v>0.369565217</v>
      </c>
    </row>
    <row r="604" spans="1:65" x14ac:dyDescent="0.2">
      <c r="A604">
        <v>1</v>
      </c>
      <c r="B604" t="s">
        <v>968</v>
      </c>
      <c r="C604">
        <v>339</v>
      </c>
      <c r="D604" t="s">
        <v>68</v>
      </c>
      <c r="E604">
        <v>1</v>
      </c>
      <c r="F604">
        <v>86</v>
      </c>
      <c r="G604" t="s">
        <v>86</v>
      </c>
      <c r="H604" s="1">
        <v>5.5</v>
      </c>
      <c r="I604" t="s">
        <v>87</v>
      </c>
      <c r="J604" t="s">
        <v>111</v>
      </c>
      <c r="K604" t="s">
        <v>109</v>
      </c>
      <c r="L604">
        <v>2</v>
      </c>
      <c r="M604">
        <v>1</v>
      </c>
      <c r="N604">
        <v>0</v>
      </c>
      <c r="O604">
        <v>0</v>
      </c>
      <c r="P604">
        <v>0</v>
      </c>
      <c r="Q604">
        <v>11</v>
      </c>
      <c r="R604">
        <v>0</v>
      </c>
      <c r="S604">
        <v>0</v>
      </c>
      <c r="T604">
        <v>0</v>
      </c>
      <c r="U604">
        <v>1</v>
      </c>
      <c r="V604">
        <f t="shared" si="257"/>
        <v>0</v>
      </c>
      <c r="W604">
        <f t="shared" si="258"/>
        <v>0</v>
      </c>
      <c r="X604">
        <f t="shared" si="261"/>
        <v>0</v>
      </c>
      <c r="Y604">
        <f t="shared" si="259"/>
        <v>0</v>
      </c>
      <c r="Z604" t="s">
        <v>177</v>
      </c>
      <c r="AA604" s="5" t="s">
        <v>838</v>
      </c>
      <c r="AB604" s="5" t="s">
        <v>839</v>
      </c>
      <c r="AC604" t="s">
        <v>95</v>
      </c>
      <c r="AD604" t="s">
        <v>101</v>
      </c>
      <c r="AE604" s="5" t="s">
        <v>101</v>
      </c>
      <c r="AF604" t="s">
        <v>94</v>
      </c>
      <c r="AG604" t="s">
        <v>107</v>
      </c>
      <c r="AH604">
        <f t="shared" si="271"/>
        <v>0.13105726000000001</v>
      </c>
      <c r="AI604">
        <f t="shared" si="271"/>
        <v>0.13105726000000001</v>
      </c>
      <c r="AJ604">
        <f t="shared" si="260"/>
        <v>0.13105726000000001</v>
      </c>
      <c r="AK604">
        <v>0.13105726000000001</v>
      </c>
      <c r="AL604">
        <v>0.13641395000000001</v>
      </c>
      <c r="AM604">
        <v>0.14207048999999999</v>
      </c>
      <c r="AN604">
        <v>0.14340871999999999</v>
      </c>
      <c r="AO604">
        <v>86.894273999999996</v>
      </c>
      <c r="AP604">
        <v>86.358604999999997</v>
      </c>
      <c r="AQ604">
        <v>85.792951000000002</v>
      </c>
      <c r="AR604">
        <v>85.659127999999995</v>
      </c>
      <c r="AS604" t="b">
        <v>0</v>
      </c>
      <c r="AT604" t="b">
        <v>0</v>
      </c>
      <c r="AU604" t="s">
        <v>78</v>
      </c>
      <c r="AV604" t="s">
        <v>78</v>
      </c>
      <c r="AW604" t="s">
        <v>783</v>
      </c>
      <c r="AX604" t="s">
        <v>812</v>
      </c>
      <c r="AY604" t="s">
        <v>969</v>
      </c>
      <c r="AZ604" t="s">
        <v>109</v>
      </c>
      <c r="BA604">
        <v>2</v>
      </c>
      <c r="BB604">
        <v>0.05</v>
      </c>
      <c r="BC604">
        <v>4.2676209999999999E-2</v>
      </c>
      <c r="BD604">
        <v>1.50718657428557E-3</v>
      </c>
      <c r="BE604">
        <v>4.4183396574285598E-2</v>
      </c>
      <c r="BF604">
        <f>IF(AK604&lt;BE604,1,0)</f>
        <v>0</v>
      </c>
      <c r="BG604">
        <f>IF(AK604&lt;BC604,1,0)</f>
        <v>0</v>
      </c>
      <c r="BH604">
        <f>VLOOKUP($B604,[1]Data_Peer_with_peerVars!$B$2:$Z$1050,20,FALSE)</f>
        <v>6</v>
      </c>
      <c r="BI604">
        <f>VLOOKUP($B604,[1]Data_Peer_with_peerVars!$B$2:$Z$1050,21,FALSE)</f>
        <v>2</v>
      </c>
      <c r="BJ604">
        <f>VLOOKUP($B604,[1]Data_Peer_with_peerVars!$B$2:$Z$1050,22,FALSE)</f>
        <v>0.33333333300000001</v>
      </c>
      <c r="BK604">
        <f>VLOOKUP($B604,[1]Data_Peer_with_peerVars!$B$2:$Z$1050,23,FALSE)</f>
        <v>33</v>
      </c>
      <c r="BL604">
        <f>VLOOKUP($B604,[1]Data_Peer_with_peerVars!$B$2:$Z$1050,24,FALSE)</f>
        <v>13</v>
      </c>
      <c r="BM604">
        <f>VLOOKUP($B604,[1]Data_Peer_with_peerVars!$B$2:$Z$1050,25,FALSE)</f>
        <v>0.393939394</v>
      </c>
    </row>
    <row r="605" spans="1:65" x14ac:dyDescent="0.2">
      <c r="A605">
        <v>1</v>
      </c>
      <c r="B605" t="s">
        <v>970</v>
      </c>
      <c r="C605">
        <v>340</v>
      </c>
      <c r="D605" t="s">
        <v>68</v>
      </c>
      <c r="E605">
        <v>0</v>
      </c>
      <c r="F605">
        <v>72</v>
      </c>
      <c r="G605" t="s">
        <v>97</v>
      </c>
      <c r="H605" s="1">
        <v>7</v>
      </c>
      <c r="I605" t="s">
        <v>70</v>
      </c>
      <c r="J605" t="s">
        <v>436</v>
      </c>
      <c r="K605" t="s">
        <v>72</v>
      </c>
      <c r="L605">
        <v>2</v>
      </c>
      <c r="M605">
        <v>1</v>
      </c>
      <c r="N605">
        <v>0</v>
      </c>
      <c r="O605">
        <v>0</v>
      </c>
      <c r="P605">
        <v>0</v>
      </c>
      <c r="Q605">
        <v>5</v>
      </c>
      <c r="R605">
        <v>0</v>
      </c>
      <c r="S605">
        <v>0</v>
      </c>
      <c r="T605">
        <v>0</v>
      </c>
      <c r="U605">
        <v>0</v>
      </c>
      <c r="V605">
        <f t="shared" si="257"/>
        <v>1</v>
      </c>
      <c r="W605">
        <v>1</v>
      </c>
      <c r="X605">
        <v>1</v>
      </c>
      <c r="Y605">
        <v>1</v>
      </c>
      <c r="Z605" t="s">
        <v>91</v>
      </c>
      <c r="AA605" s="5" t="s">
        <v>91</v>
      </c>
      <c r="AB605" s="5" t="s">
        <v>962</v>
      </c>
      <c r="AC605" t="s">
        <v>91</v>
      </c>
      <c r="AD605" t="s">
        <v>287</v>
      </c>
      <c r="AE605" s="5" t="s">
        <v>287</v>
      </c>
      <c r="AF605" t="s">
        <v>137</v>
      </c>
      <c r="AG605" t="s">
        <v>84</v>
      </c>
      <c r="AH605">
        <f t="shared" ref="AH605:AH606" si="272">AI605</f>
        <v>7.1428569999999999E-3</v>
      </c>
      <c r="AI605">
        <f t="shared" ref="AI605:AI606" si="273">AJ605</f>
        <v>7.1428569999999999E-3</v>
      </c>
      <c r="AJ605">
        <f t="shared" si="260"/>
        <v>7.1428569999999999E-3</v>
      </c>
      <c r="AK605">
        <v>7.1428569999999999E-3</v>
      </c>
      <c r="AL605">
        <v>0.11620879000000001</v>
      </c>
      <c r="AM605">
        <v>0.12664473000000001</v>
      </c>
      <c r="AN605">
        <v>0.13232045000000001</v>
      </c>
      <c r="AO605">
        <v>99.285714299999995</v>
      </c>
      <c r="AP605">
        <v>88.379120999999998</v>
      </c>
      <c r="AQ605">
        <v>87.335526999999999</v>
      </c>
      <c r="AR605">
        <v>86.767955000000001</v>
      </c>
      <c r="AS605" t="b">
        <v>1</v>
      </c>
      <c r="AT605" t="b">
        <v>0</v>
      </c>
      <c r="AU605" t="s">
        <v>77</v>
      </c>
      <c r="AV605" t="s">
        <v>78</v>
      </c>
      <c r="AW605" t="s">
        <v>783</v>
      </c>
      <c r="AX605" t="s">
        <v>812</v>
      </c>
      <c r="AY605" t="s">
        <v>954</v>
      </c>
      <c r="AZ605" t="s">
        <v>72</v>
      </c>
      <c r="BA605" t="s">
        <v>82</v>
      </c>
      <c r="BB605">
        <v>0.5</v>
      </c>
      <c r="BC605">
        <v>9.0659339999999995E-3</v>
      </c>
      <c r="BD605">
        <v>2.76583658862385E-3</v>
      </c>
      <c r="BE605">
        <v>1.1831770588623799E-2</v>
      </c>
      <c r="BF605">
        <f>IF(AK605&lt;BE605,1,0)</f>
        <v>1</v>
      </c>
      <c r="BG605">
        <f>IF(AK605&lt;BC605,1,0)</f>
        <v>1</v>
      </c>
      <c r="BH605">
        <f>VLOOKUP($B605,[1]Data_Peer_with_peerVars!$B$2:$Z$1050,20,FALSE)</f>
        <v>0</v>
      </c>
      <c r="BI605">
        <f>VLOOKUP($B605,[1]Data_Peer_with_peerVars!$B$2:$Z$1050,21,FALSE)</f>
        <v>0</v>
      </c>
      <c r="BJ605">
        <v>0</v>
      </c>
      <c r="BK605">
        <f>VLOOKUP($B605,[1]Data_Peer_with_peerVars!$B$2:$Z$1050,23,FALSE)</f>
        <v>40</v>
      </c>
      <c r="BL605">
        <f>VLOOKUP($B605,[1]Data_Peer_with_peerVars!$B$2:$Z$1050,24,FALSE)</f>
        <v>13</v>
      </c>
      <c r="BM605">
        <f>VLOOKUP($B605,[1]Data_Peer_with_peerVars!$B$2:$Z$1050,25,FALSE)</f>
        <v>0.32500000000000001</v>
      </c>
    </row>
    <row r="606" spans="1:65" x14ac:dyDescent="0.2">
      <c r="A606">
        <v>1</v>
      </c>
      <c r="B606" t="s">
        <v>971</v>
      </c>
      <c r="C606">
        <v>340</v>
      </c>
      <c r="D606" t="s">
        <v>68</v>
      </c>
      <c r="E606">
        <v>0</v>
      </c>
      <c r="F606">
        <v>72</v>
      </c>
      <c r="G606" t="s">
        <v>97</v>
      </c>
      <c r="H606" s="1">
        <v>7</v>
      </c>
      <c r="I606" t="s">
        <v>70</v>
      </c>
      <c r="J606" t="s">
        <v>436</v>
      </c>
      <c r="K606" t="s">
        <v>72</v>
      </c>
      <c r="L606">
        <v>2</v>
      </c>
      <c r="M606">
        <v>1</v>
      </c>
      <c r="N606">
        <v>0</v>
      </c>
      <c r="O606">
        <v>0</v>
      </c>
      <c r="P606">
        <v>0</v>
      </c>
      <c r="Q606">
        <v>5</v>
      </c>
      <c r="R606">
        <v>0</v>
      </c>
      <c r="S606">
        <v>0</v>
      </c>
      <c r="T606">
        <v>0</v>
      </c>
      <c r="U606">
        <v>0</v>
      </c>
      <c r="V606">
        <f t="shared" si="257"/>
        <v>1</v>
      </c>
      <c r="W606">
        <v>1</v>
      </c>
      <c r="X606">
        <v>1</v>
      </c>
      <c r="Y606">
        <v>1</v>
      </c>
      <c r="Z606" t="s">
        <v>76</v>
      </c>
      <c r="AA606" s="5" t="s">
        <v>76</v>
      </c>
      <c r="AB606" s="5" t="s">
        <v>76</v>
      </c>
      <c r="AC606" t="s">
        <v>76</v>
      </c>
      <c r="AD606" t="s">
        <v>74</v>
      </c>
      <c r="AE606" s="5" t="s">
        <v>74</v>
      </c>
      <c r="AF606" t="s">
        <v>75</v>
      </c>
      <c r="AG606" t="s">
        <v>120</v>
      </c>
      <c r="AH606">
        <f t="shared" si="272"/>
        <v>7.2807499999999997E-2</v>
      </c>
      <c r="AI606">
        <f t="shared" si="273"/>
        <v>7.2807499999999997E-2</v>
      </c>
      <c r="AJ606">
        <f t="shared" si="260"/>
        <v>7.2807499999999997E-2</v>
      </c>
      <c r="AK606">
        <v>7.2807499999999997E-2</v>
      </c>
      <c r="AL606">
        <v>9.6515483999999999E-2</v>
      </c>
      <c r="AM606">
        <v>0.12050857</v>
      </c>
      <c r="AN606">
        <v>0.12230812000000001</v>
      </c>
      <c r="AO606">
        <v>92.719250000000002</v>
      </c>
      <c r="AP606">
        <v>90.348451600000004</v>
      </c>
      <c r="AQ606">
        <v>87.949143000000007</v>
      </c>
      <c r="AR606">
        <v>87.769188</v>
      </c>
      <c r="AS606" t="b">
        <v>1</v>
      </c>
      <c r="AT606" t="b">
        <v>0</v>
      </c>
      <c r="AU606" t="s">
        <v>77</v>
      </c>
      <c r="AV606" t="s">
        <v>77</v>
      </c>
      <c r="AW606" t="s">
        <v>783</v>
      </c>
      <c r="AX606" t="s">
        <v>812</v>
      </c>
      <c r="AY606" t="s">
        <v>954</v>
      </c>
      <c r="AZ606" t="s">
        <v>72</v>
      </c>
      <c r="BA606" t="s">
        <v>82</v>
      </c>
      <c r="BB606">
        <v>0.5</v>
      </c>
      <c r="BC606">
        <v>7.7070764999999999E-2</v>
      </c>
      <c r="BD606">
        <v>1.90190515067399E-3</v>
      </c>
      <c r="BE606">
        <v>7.8972670150673996E-2</v>
      </c>
      <c r="BF606">
        <f>IF(AK606&lt;BE606,1,0)</f>
        <v>1</v>
      </c>
      <c r="BG606">
        <f>IF(AK606&lt;BC606,1,0)</f>
        <v>1</v>
      </c>
      <c r="BH606">
        <f>VLOOKUP($B606,[1]Data_Peer_with_peerVars!$B$2:$Z$1050,20,FALSE)</f>
        <v>0</v>
      </c>
      <c r="BI606">
        <f>VLOOKUP($B606,[1]Data_Peer_with_peerVars!$B$2:$Z$1050,21,FALSE)</f>
        <v>0</v>
      </c>
      <c r="BJ606">
        <v>0</v>
      </c>
      <c r="BK606">
        <f>VLOOKUP($B606,[1]Data_Peer_with_peerVars!$B$2:$Z$1050,23,FALSE)</f>
        <v>40</v>
      </c>
      <c r="BL606">
        <f>VLOOKUP($B606,[1]Data_Peer_with_peerVars!$B$2:$Z$1050,24,FALSE)</f>
        <v>13</v>
      </c>
      <c r="BM606">
        <f>VLOOKUP($B606,[1]Data_Peer_with_peerVars!$B$2:$Z$1050,25,FALSE)</f>
        <v>0.32500000000000001</v>
      </c>
    </row>
    <row r="607" spans="1:65" x14ac:dyDescent="0.2">
      <c r="A607">
        <v>1</v>
      </c>
      <c r="B607" t="s">
        <v>972</v>
      </c>
      <c r="C607">
        <v>341</v>
      </c>
      <c r="D607" t="s">
        <v>68</v>
      </c>
      <c r="E607">
        <v>0</v>
      </c>
      <c r="F607">
        <v>73</v>
      </c>
      <c r="G607" t="s">
        <v>97</v>
      </c>
      <c r="H607" s="1">
        <v>7</v>
      </c>
      <c r="I607" t="s">
        <v>70</v>
      </c>
      <c r="J607" t="s">
        <v>436</v>
      </c>
      <c r="K607" t="s">
        <v>72</v>
      </c>
      <c r="L607">
        <v>2</v>
      </c>
      <c r="M607">
        <v>0</v>
      </c>
      <c r="N607">
        <v>1</v>
      </c>
      <c r="O607">
        <v>1</v>
      </c>
      <c r="P607">
        <v>1</v>
      </c>
      <c r="Q607">
        <v>9</v>
      </c>
      <c r="R607">
        <v>0</v>
      </c>
      <c r="S607">
        <v>0</v>
      </c>
      <c r="T607">
        <v>0</v>
      </c>
      <c r="U607">
        <v>0</v>
      </c>
      <c r="V607">
        <f t="shared" si="257"/>
        <v>0</v>
      </c>
      <c r="W607">
        <f t="shared" si="258"/>
        <v>0</v>
      </c>
      <c r="X607">
        <f t="shared" si="261"/>
        <v>0</v>
      </c>
      <c r="Y607">
        <f t="shared" si="259"/>
        <v>0</v>
      </c>
      <c r="Z607" t="s">
        <v>73</v>
      </c>
      <c r="AA607" s="5" t="s">
        <v>73</v>
      </c>
      <c r="AB607" s="5" t="s">
        <v>73</v>
      </c>
      <c r="AC607" t="s">
        <v>91</v>
      </c>
      <c r="AD607" t="s">
        <v>287</v>
      </c>
      <c r="AE607" s="5" t="s">
        <v>287</v>
      </c>
      <c r="AF607" t="s">
        <v>84</v>
      </c>
      <c r="AG607" t="s">
        <v>137</v>
      </c>
      <c r="AH607">
        <f>AI607</f>
        <v>2.2789675999999998E-2</v>
      </c>
      <c r="AI607">
        <f>AJ607</f>
        <v>2.2789675999999998E-2</v>
      </c>
      <c r="AJ607">
        <f t="shared" si="260"/>
        <v>2.2789675999999998E-2</v>
      </c>
      <c r="AK607">
        <v>2.2789675999999998E-2</v>
      </c>
      <c r="AL607">
        <v>0.11114159999999999</v>
      </c>
      <c r="AM607">
        <v>0.13245033000000001</v>
      </c>
      <c r="AN607">
        <v>0.13322368000000001</v>
      </c>
      <c r="AO607">
        <v>97.721032399999999</v>
      </c>
      <c r="AP607">
        <v>88.885840000000002</v>
      </c>
      <c r="AQ607">
        <v>86.754966999999994</v>
      </c>
      <c r="AR607">
        <v>86.677632000000003</v>
      </c>
      <c r="AS607" t="b">
        <v>0</v>
      </c>
      <c r="AT607" t="b">
        <v>0</v>
      </c>
      <c r="AU607" t="s">
        <v>77</v>
      </c>
      <c r="AV607" t="s">
        <v>78</v>
      </c>
      <c r="AW607" t="s">
        <v>783</v>
      </c>
      <c r="AX607" t="s">
        <v>812</v>
      </c>
      <c r="AY607" t="s">
        <v>973</v>
      </c>
      <c r="AZ607" t="s">
        <v>72</v>
      </c>
      <c r="BA607" t="s">
        <v>82</v>
      </c>
      <c r="BB607">
        <v>1</v>
      </c>
      <c r="BC607">
        <v>9.0659339999999995E-3</v>
      </c>
      <c r="BD607">
        <v>2.76583658862385E-3</v>
      </c>
      <c r="BE607">
        <v>1.1831770588623799E-2</v>
      </c>
      <c r="BF607">
        <f>IF(AK607&lt;BE607,1,0)</f>
        <v>0</v>
      </c>
      <c r="BG607">
        <f>IF(AK607&lt;BC607,1,0)</f>
        <v>0</v>
      </c>
      <c r="BH607">
        <f>VLOOKUP($B607,[1]Data_Peer_with_peerVars!$B$2:$Z$1050,20,FALSE)</f>
        <v>7</v>
      </c>
      <c r="BI607">
        <f>VLOOKUP($B607,[1]Data_Peer_with_peerVars!$B$2:$Z$1050,21,FALSE)</f>
        <v>3</v>
      </c>
      <c r="BJ607">
        <f>VLOOKUP($B607,[1]Data_Peer_with_peerVars!$B$2:$Z$1050,22,FALSE)</f>
        <v>0.428571429</v>
      </c>
      <c r="BK607">
        <f>VLOOKUP($B607,[1]Data_Peer_with_peerVars!$B$2:$Z$1050,23,FALSE)</f>
        <v>59</v>
      </c>
      <c r="BL607">
        <f>VLOOKUP($B607,[1]Data_Peer_with_peerVars!$B$2:$Z$1050,24,FALSE)</f>
        <v>24</v>
      </c>
      <c r="BM607">
        <f>VLOOKUP($B607,[1]Data_Peer_with_peerVars!$B$2:$Z$1050,25,FALSE)</f>
        <v>0.40677966100000001</v>
      </c>
    </row>
    <row r="608" spans="1:65" x14ac:dyDescent="0.2">
      <c r="A608">
        <v>1</v>
      </c>
      <c r="B608" t="s">
        <v>974</v>
      </c>
      <c r="C608">
        <v>342</v>
      </c>
      <c r="D608" t="s">
        <v>68</v>
      </c>
      <c r="E608">
        <v>0</v>
      </c>
      <c r="F608">
        <v>82</v>
      </c>
      <c r="G608" t="s">
        <v>97</v>
      </c>
      <c r="H608" s="1">
        <v>7</v>
      </c>
      <c r="I608" t="s">
        <v>70</v>
      </c>
      <c r="J608" t="s">
        <v>436</v>
      </c>
      <c r="K608" t="s">
        <v>72</v>
      </c>
      <c r="L608">
        <v>2</v>
      </c>
      <c r="M608">
        <v>0</v>
      </c>
      <c r="N608">
        <v>1</v>
      </c>
      <c r="O608">
        <v>1</v>
      </c>
      <c r="P608">
        <v>0</v>
      </c>
      <c r="Q608">
        <v>6</v>
      </c>
      <c r="R608">
        <v>0</v>
      </c>
      <c r="S608">
        <v>0</v>
      </c>
      <c r="T608">
        <v>1</v>
      </c>
      <c r="U608">
        <v>1</v>
      </c>
      <c r="V608">
        <f t="shared" si="257"/>
        <v>1</v>
      </c>
      <c r="W608">
        <v>1</v>
      </c>
      <c r="X608">
        <v>1</v>
      </c>
      <c r="Y608">
        <v>1</v>
      </c>
      <c r="Z608" t="s">
        <v>73</v>
      </c>
      <c r="AA608" s="5" t="s">
        <v>73</v>
      </c>
      <c r="AB608" s="5" t="s">
        <v>73</v>
      </c>
      <c r="AC608" t="s">
        <v>73</v>
      </c>
      <c r="AD608" t="s">
        <v>94</v>
      </c>
      <c r="AE608" s="5" t="s">
        <v>106</v>
      </c>
      <c r="AF608" t="s">
        <v>107</v>
      </c>
      <c r="AG608" t="s">
        <v>95</v>
      </c>
      <c r="AH608">
        <f>AI608</f>
        <v>3.5852179999999998E-3</v>
      </c>
      <c r="AI608">
        <f>AJ608</f>
        <v>3.5852179999999998E-3</v>
      </c>
      <c r="AJ608">
        <f t="shared" si="260"/>
        <v>3.5852179999999998E-3</v>
      </c>
      <c r="AK608">
        <v>3.5852179999999998E-3</v>
      </c>
      <c r="AL608">
        <v>0.13073522000000001</v>
      </c>
      <c r="AM608">
        <v>0.13447703</v>
      </c>
      <c r="AN608">
        <v>0.13764510999999999</v>
      </c>
      <c r="AO608">
        <v>99.641478199999995</v>
      </c>
      <c r="AP608">
        <v>86.926478000000003</v>
      </c>
      <c r="AQ608">
        <v>86.552296999999996</v>
      </c>
      <c r="AR608">
        <v>86.235489000000001</v>
      </c>
      <c r="AS608" t="b">
        <v>1</v>
      </c>
      <c r="AT608" t="b">
        <v>0</v>
      </c>
      <c r="AU608" t="s">
        <v>77</v>
      </c>
      <c r="AV608" t="s">
        <v>108</v>
      </c>
      <c r="AW608" t="s">
        <v>783</v>
      </c>
      <c r="AX608" t="s">
        <v>812</v>
      </c>
      <c r="AY608" t="s">
        <v>975</v>
      </c>
      <c r="AZ608" t="s">
        <v>72</v>
      </c>
      <c r="BA608" t="s">
        <v>82</v>
      </c>
      <c r="BB608">
        <v>1</v>
      </c>
      <c r="BC608">
        <v>4.1163553999999996E-3</v>
      </c>
      <c r="BD608">
        <v>1.4279989108178799E-4</v>
      </c>
      <c r="BE608">
        <v>4.2591552910817903E-3</v>
      </c>
      <c r="BF608">
        <f>IF(AK608&lt;BE608,1,0)</f>
        <v>1</v>
      </c>
      <c r="BG608">
        <f>IF(AK608&lt;BC608,1,0)</f>
        <v>1</v>
      </c>
      <c r="BH608">
        <f>VLOOKUP($B608,[1]Data_Peer_with_peerVars!$B$2:$Z$1050,20,FALSE)</f>
        <v>6</v>
      </c>
      <c r="BI608">
        <f>VLOOKUP($B608,[1]Data_Peer_with_peerVars!$B$2:$Z$1050,21,FALSE)</f>
        <v>2</v>
      </c>
      <c r="BJ608">
        <f>VLOOKUP($B608,[1]Data_Peer_with_peerVars!$B$2:$Z$1050,22,FALSE)</f>
        <v>0.33333333300000001</v>
      </c>
      <c r="BK608">
        <f>VLOOKUP($B608,[1]Data_Peer_with_peerVars!$B$2:$Z$1050,23,FALSE)</f>
        <v>43</v>
      </c>
      <c r="BL608">
        <f>VLOOKUP($B608,[1]Data_Peer_with_peerVars!$B$2:$Z$1050,24,FALSE)</f>
        <v>15</v>
      </c>
      <c r="BM608">
        <f>VLOOKUP($B608,[1]Data_Peer_with_peerVars!$B$2:$Z$1050,25,FALSE)</f>
        <v>0.34883720899999998</v>
      </c>
    </row>
    <row r="609" spans="1:65" x14ac:dyDescent="0.2">
      <c r="A609">
        <v>1</v>
      </c>
      <c r="B609" t="s">
        <v>976</v>
      </c>
      <c r="C609">
        <v>343</v>
      </c>
      <c r="D609" t="s">
        <v>68</v>
      </c>
      <c r="E609">
        <v>0</v>
      </c>
      <c r="F609">
        <v>22</v>
      </c>
      <c r="G609" t="s">
        <v>97</v>
      </c>
      <c r="H609" s="1">
        <v>7</v>
      </c>
      <c r="I609" t="s">
        <v>87</v>
      </c>
      <c r="J609" t="s">
        <v>111</v>
      </c>
      <c r="K609" t="s">
        <v>109</v>
      </c>
      <c r="L609">
        <v>1</v>
      </c>
      <c r="M609">
        <v>1</v>
      </c>
      <c r="N609">
        <v>1</v>
      </c>
      <c r="O609">
        <v>0</v>
      </c>
      <c r="P609">
        <v>0</v>
      </c>
      <c r="Q609">
        <v>5</v>
      </c>
      <c r="R609">
        <v>1</v>
      </c>
      <c r="S609">
        <v>1</v>
      </c>
      <c r="T609">
        <v>1</v>
      </c>
      <c r="U609">
        <v>1</v>
      </c>
      <c r="V609">
        <f t="shared" si="257"/>
        <v>0</v>
      </c>
      <c r="W609">
        <f t="shared" si="258"/>
        <v>0</v>
      </c>
      <c r="X609">
        <f t="shared" si="261"/>
        <v>0</v>
      </c>
      <c r="Y609">
        <f t="shared" si="259"/>
        <v>0</v>
      </c>
      <c r="Z609" t="s">
        <v>177</v>
      </c>
      <c r="AA609" s="5" t="s">
        <v>107</v>
      </c>
      <c r="AB609" s="5" t="s">
        <v>951</v>
      </c>
      <c r="AC609" t="s">
        <v>196</v>
      </c>
      <c r="AD609" t="s">
        <v>198</v>
      </c>
      <c r="AE609" s="5" t="s">
        <v>952</v>
      </c>
      <c r="AF609" t="s">
        <v>173</v>
      </c>
      <c r="AG609" t="s">
        <v>174</v>
      </c>
      <c r="AH609">
        <f>AI609</f>
        <v>3.7953793999999999E-2</v>
      </c>
      <c r="AI609">
        <f t="shared" ref="AI609:AI611" si="274">AJ609</f>
        <v>3.7953793999999999E-2</v>
      </c>
      <c r="AJ609">
        <f t="shared" si="260"/>
        <v>3.7953793999999999E-2</v>
      </c>
      <c r="AK609">
        <v>3.7953793999999999E-2</v>
      </c>
      <c r="AL609">
        <v>4.0956567999999999E-2</v>
      </c>
      <c r="AM609">
        <v>4.1392541999999997E-2</v>
      </c>
      <c r="AN609">
        <v>4.4206479999999999E-2</v>
      </c>
      <c r="AO609">
        <v>96.204620599999998</v>
      </c>
      <c r="AP609">
        <v>95.9043432</v>
      </c>
      <c r="AQ609">
        <v>95.860745800000004</v>
      </c>
      <c r="AR609">
        <v>95.579352</v>
      </c>
      <c r="AS609" t="b">
        <v>0</v>
      </c>
      <c r="AT609" t="b">
        <v>0</v>
      </c>
      <c r="AU609" t="s">
        <v>108</v>
      </c>
      <c r="AV609" t="s">
        <v>108</v>
      </c>
      <c r="AW609" t="s">
        <v>783</v>
      </c>
      <c r="AX609" t="s">
        <v>812</v>
      </c>
      <c r="AY609" t="s">
        <v>958</v>
      </c>
      <c r="AZ609" t="s">
        <v>109</v>
      </c>
      <c r="BA609">
        <v>2</v>
      </c>
      <c r="BB609">
        <v>0.35</v>
      </c>
      <c r="BC609">
        <v>2.6736494E-2</v>
      </c>
      <c r="BD609">
        <v>2.13125818054995E-3</v>
      </c>
      <c r="BE609">
        <v>2.8867752180549901E-2</v>
      </c>
      <c r="BF609">
        <f>IF(AK609&lt;BE609,1,0)</f>
        <v>0</v>
      </c>
      <c r="BG609">
        <f>IF(AK609&lt;BC609,1,0)</f>
        <v>0</v>
      </c>
      <c r="BH609">
        <f>VLOOKUP($B609,[1]Data_Peer_with_peerVars!$B$2:$Z$1050,20,FALSE)</f>
        <v>11</v>
      </c>
      <c r="BI609">
        <f>VLOOKUP($B609,[1]Data_Peer_with_peerVars!$B$2:$Z$1050,21,FALSE)</f>
        <v>4</v>
      </c>
      <c r="BJ609">
        <f>VLOOKUP($B609,[1]Data_Peer_with_peerVars!$B$2:$Z$1050,22,FALSE)</f>
        <v>0.36363636399999999</v>
      </c>
      <c r="BK609">
        <f>VLOOKUP($B609,[1]Data_Peer_with_peerVars!$B$2:$Z$1050,23,FALSE)</f>
        <v>50</v>
      </c>
      <c r="BL609">
        <f>VLOOKUP($B609,[1]Data_Peer_with_peerVars!$B$2:$Z$1050,24,FALSE)</f>
        <v>20</v>
      </c>
      <c r="BM609">
        <f>VLOOKUP($B609,[1]Data_Peer_with_peerVars!$B$2:$Z$1050,25,FALSE)</f>
        <v>0.4</v>
      </c>
    </row>
    <row r="610" spans="1:65" x14ac:dyDescent="0.2">
      <c r="A610">
        <v>1</v>
      </c>
      <c r="B610" t="s">
        <v>977</v>
      </c>
      <c r="C610">
        <v>343</v>
      </c>
      <c r="D610" t="s">
        <v>68</v>
      </c>
      <c r="E610">
        <v>0</v>
      </c>
      <c r="F610">
        <v>22</v>
      </c>
      <c r="G610" t="s">
        <v>97</v>
      </c>
      <c r="H610" s="1">
        <v>7</v>
      </c>
      <c r="I610" t="s">
        <v>87</v>
      </c>
      <c r="J610" t="s">
        <v>111</v>
      </c>
      <c r="K610" t="s">
        <v>109</v>
      </c>
      <c r="L610">
        <v>1</v>
      </c>
      <c r="M610">
        <v>1</v>
      </c>
      <c r="N610">
        <v>1</v>
      </c>
      <c r="O610">
        <v>0</v>
      </c>
      <c r="P610">
        <v>0</v>
      </c>
      <c r="Q610">
        <v>5</v>
      </c>
      <c r="R610">
        <v>0</v>
      </c>
      <c r="S610">
        <v>0</v>
      </c>
      <c r="T610">
        <v>0</v>
      </c>
      <c r="U610">
        <v>0</v>
      </c>
      <c r="V610">
        <f t="shared" si="257"/>
        <v>0</v>
      </c>
      <c r="W610">
        <f t="shared" si="258"/>
        <v>0</v>
      </c>
      <c r="X610">
        <f t="shared" si="261"/>
        <v>0</v>
      </c>
      <c r="Y610">
        <f t="shared" si="259"/>
        <v>1</v>
      </c>
      <c r="Z610" t="s">
        <v>73</v>
      </c>
      <c r="AA610" s="5" t="s">
        <v>73</v>
      </c>
      <c r="AB610" s="5" t="s">
        <v>73</v>
      </c>
      <c r="AC610" t="s">
        <v>91</v>
      </c>
      <c r="AD610" t="s">
        <v>287</v>
      </c>
      <c r="AE610" s="5" t="s">
        <v>287</v>
      </c>
      <c r="AF610" t="s">
        <v>137</v>
      </c>
      <c r="AG610" t="s">
        <v>73</v>
      </c>
      <c r="AH610">
        <f>AN610</f>
        <v>0.14144736999999999</v>
      </c>
      <c r="AI610">
        <f t="shared" si="274"/>
        <v>0.11908691</v>
      </c>
      <c r="AJ610">
        <f t="shared" si="260"/>
        <v>0.11908691</v>
      </c>
      <c r="AK610">
        <v>0.11908691</v>
      </c>
      <c r="AL610">
        <v>0.12685337999999999</v>
      </c>
      <c r="AM610">
        <v>0.13768514000000001</v>
      </c>
      <c r="AN610">
        <v>0.14144736999999999</v>
      </c>
      <c r="AO610">
        <v>88.091308999999995</v>
      </c>
      <c r="AP610">
        <v>87.314661999999998</v>
      </c>
      <c r="AQ610">
        <v>86.231486000000004</v>
      </c>
      <c r="AR610">
        <v>85.855262999999994</v>
      </c>
      <c r="AS610" t="b">
        <v>0</v>
      </c>
      <c r="AT610" t="b">
        <v>0</v>
      </c>
      <c r="AU610" t="s">
        <v>78</v>
      </c>
      <c r="AV610" t="s">
        <v>78</v>
      </c>
      <c r="AW610" t="s">
        <v>783</v>
      </c>
      <c r="AX610" t="s">
        <v>812</v>
      </c>
      <c r="AY610" t="s">
        <v>958</v>
      </c>
      <c r="AZ610" t="s">
        <v>109</v>
      </c>
      <c r="BA610">
        <v>2</v>
      </c>
      <c r="BB610">
        <v>1.5</v>
      </c>
      <c r="BC610">
        <v>9.0659339999999995E-3</v>
      </c>
      <c r="BD610">
        <v>2.76583658862385E-3</v>
      </c>
      <c r="BE610">
        <v>1.1831770588623799E-2</v>
      </c>
      <c r="BF610">
        <f>IF(AK610&lt;BE610,1,0)</f>
        <v>0</v>
      </c>
      <c r="BG610">
        <f>IF(AK610&lt;BC610,1,0)</f>
        <v>0</v>
      </c>
      <c r="BH610">
        <f>VLOOKUP($B610,[1]Data_Peer_with_peerVars!$B$2:$Z$1050,20,FALSE)</f>
        <v>11</v>
      </c>
      <c r="BI610">
        <f>VLOOKUP($B610,[1]Data_Peer_with_peerVars!$B$2:$Z$1050,21,FALSE)</f>
        <v>4</v>
      </c>
      <c r="BJ610">
        <f>VLOOKUP($B610,[1]Data_Peer_with_peerVars!$B$2:$Z$1050,22,FALSE)</f>
        <v>0.36363636399999999</v>
      </c>
      <c r="BK610">
        <f>VLOOKUP($B610,[1]Data_Peer_with_peerVars!$B$2:$Z$1050,23,FALSE)</f>
        <v>50</v>
      </c>
      <c r="BL610">
        <f>VLOOKUP($B610,[1]Data_Peer_with_peerVars!$B$2:$Z$1050,24,FALSE)</f>
        <v>20</v>
      </c>
      <c r="BM610">
        <f>VLOOKUP($B610,[1]Data_Peer_with_peerVars!$B$2:$Z$1050,25,FALSE)</f>
        <v>0.4</v>
      </c>
    </row>
    <row r="611" spans="1:65" x14ac:dyDescent="0.2">
      <c r="A611">
        <v>1</v>
      </c>
      <c r="B611" t="s">
        <v>978</v>
      </c>
      <c r="C611">
        <v>344</v>
      </c>
      <c r="D611" t="s">
        <v>155</v>
      </c>
      <c r="E611">
        <v>0</v>
      </c>
      <c r="F611" s="14" t="s">
        <v>82</v>
      </c>
      <c r="G611" s="14" t="s">
        <v>82</v>
      </c>
      <c r="H611" s="1">
        <v>7</v>
      </c>
      <c r="I611" t="s">
        <v>87</v>
      </c>
      <c r="J611" t="s">
        <v>111</v>
      </c>
      <c r="K611" t="s">
        <v>109</v>
      </c>
      <c r="L611">
        <v>1</v>
      </c>
      <c r="M611">
        <v>1</v>
      </c>
      <c r="N611">
        <v>0</v>
      </c>
      <c r="O611">
        <v>0</v>
      </c>
      <c r="P611">
        <v>0</v>
      </c>
      <c r="Q611">
        <v>9</v>
      </c>
      <c r="R611">
        <v>1</v>
      </c>
      <c r="S611">
        <v>1</v>
      </c>
      <c r="T611">
        <v>1</v>
      </c>
      <c r="U611">
        <v>1</v>
      </c>
      <c r="V611">
        <f t="shared" si="257"/>
        <v>0</v>
      </c>
      <c r="W611">
        <f t="shared" si="258"/>
        <v>0</v>
      </c>
      <c r="X611">
        <f t="shared" si="261"/>
        <v>0</v>
      </c>
      <c r="Y611">
        <f t="shared" si="259"/>
        <v>0</v>
      </c>
      <c r="Z611" t="s">
        <v>177</v>
      </c>
      <c r="AA611" s="5" t="s">
        <v>107</v>
      </c>
      <c r="AB611" s="5" t="s">
        <v>107</v>
      </c>
      <c r="AC611" t="s">
        <v>107</v>
      </c>
      <c r="AD611" t="s">
        <v>95</v>
      </c>
      <c r="AE611" s="5" t="s">
        <v>95</v>
      </c>
      <c r="AF611" t="s">
        <v>173</v>
      </c>
      <c r="AG611" t="s">
        <v>174</v>
      </c>
      <c r="AH611">
        <f>AI611</f>
        <v>8.7912089999999995E-3</v>
      </c>
      <c r="AI611">
        <f t="shared" si="274"/>
        <v>8.7912089999999995E-3</v>
      </c>
      <c r="AJ611">
        <f t="shared" si="260"/>
        <v>8.7912089999999995E-3</v>
      </c>
      <c r="AK611">
        <v>8.7912089999999995E-3</v>
      </c>
      <c r="AL611">
        <v>7.7197804999999994E-2</v>
      </c>
      <c r="AM611">
        <v>9.3029639999999997E-2</v>
      </c>
      <c r="AN611">
        <v>9.7084710000000005E-2</v>
      </c>
      <c r="AO611">
        <v>99.120879099999996</v>
      </c>
      <c r="AP611">
        <v>92.280219500000001</v>
      </c>
      <c r="AQ611">
        <v>90.697035999999997</v>
      </c>
      <c r="AR611">
        <v>90.291528999999997</v>
      </c>
      <c r="AS611" t="b">
        <v>1</v>
      </c>
      <c r="AT611" t="b">
        <v>0</v>
      </c>
      <c r="AU611" t="s">
        <v>77</v>
      </c>
      <c r="AV611" t="s">
        <v>77</v>
      </c>
      <c r="AW611" t="s">
        <v>783</v>
      </c>
      <c r="AX611" t="s">
        <v>812</v>
      </c>
      <c r="AY611" t="s">
        <v>831</v>
      </c>
      <c r="AZ611" t="s">
        <v>109</v>
      </c>
      <c r="BA611">
        <v>2</v>
      </c>
      <c r="BB611">
        <v>0.7</v>
      </c>
      <c r="BC611">
        <v>2.6475456000000001E-2</v>
      </c>
      <c r="BD611">
        <v>8.8330364056477401E-3</v>
      </c>
      <c r="BE611">
        <v>3.53084924056477E-2</v>
      </c>
      <c r="BF611">
        <f>IF(AK611&lt;BE611,1,0)</f>
        <v>1</v>
      </c>
      <c r="BG611">
        <f>IF(AK611&lt;BC611,1,0)</f>
        <v>1</v>
      </c>
      <c r="BH611">
        <f>VLOOKUP($B611,[1]Data_Peer_with_peerVars!$B$2:$Z$1050,20,FALSE)</f>
        <v>2</v>
      </c>
      <c r="BI611">
        <f>VLOOKUP($B611,[1]Data_Peer_with_peerVars!$B$2:$Z$1050,21,FALSE)</f>
        <v>2</v>
      </c>
      <c r="BJ611">
        <f>VLOOKUP($B611,[1]Data_Peer_with_peerVars!$B$2:$Z$1050,22,FALSE)</f>
        <v>1</v>
      </c>
      <c r="BK611">
        <f>VLOOKUP($B611,[1]Data_Peer_with_peerVars!$B$2:$Z$1050,23,FALSE)</f>
        <v>12</v>
      </c>
      <c r="BL611">
        <f>VLOOKUP($B611,[1]Data_Peer_with_peerVars!$B$2:$Z$1050,24,FALSE)</f>
        <v>9</v>
      </c>
      <c r="BM611">
        <f>VLOOKUP($B611,[1]Data_Peer_with_peerVars!$B$2:$Z$1050,25,FALSE)</f>
        <v>0.75</v>
      </c>
    </row>
    <row r="612" spans="1:65" x14ac:dyDescent="0.2">
      <c r="A612">
        <v>1</v>
      </c>
      <c r="B612" t="s">
        <v>979</v>
      </c>
      <c r="C612">
        <v>344</v>
      </c>
      <c r="D612" t="s">
        <v>155</v>
      </c>
      <c r="E612">
        <v>0</v>
      </c>
      <c r="F612" s="14" t="s">
        <v>82</v>
      </c>
      <c r="G612" s="14" t="s">
        <v>82</v>
      </c>
      <c r="H612" s="1">
        <v>7</v>
      </c>
      <c r="I612" t="s">
        <v>87</v>
      </c>
      <c r="J612" t="s">
        <v>111</v>
      </c>
      <c r="K612" t="s">
        <v>109</v>
      </c>
      <c r="L612">
        <v>1</v>
      </c>
      <c r="M612">
        <v>1</v>
      </c>
      <c r="N612">
        <v>0</v>
      </c>
      <c r="O612">
        <v>0</v>
      </c>
      <c r="P612">
        <v>0</v>
      </c>
      <c r="Q612">
        <v>9</v>
      </c>
      <c r="R612">
        <v>0</v>
      </c>
      <c r="S612">
        <v>0</v>
      </c>
      <c r="T612">
        <v>0</v>
      </c>
      <c r="U612">
        <v>0</v>
      </c>
      <c r="V612">
        <f t="shared" si="257"/>
        <v>1</v>
      </c>
      <c r="W612">
        <v>1</v>
      </c>
      <c r="X612">
        <v>1</v>
      </c>
      <c r="Y612">
        <v>1</v>
      </c>
      <c r="Z612" t="s">
        <v>91</v>
      </c>
      <c r="AA612" s="5" t="s">
        <v>91</v>
      </c>
      <c r="AB612" s="5" t="s">
        <v>91</v>
      </c>
      <c r="AC612" t="s">
        <v>91</v>
      </c>
      <c r="AD612" t="s">
        <v>287</v>
      </c>
      <c r="AE612" s="5" t="s">
        <v>287</v>
      </c>
      <c r="AF612" t="s">
        <v>137</v>
      </c>
      <c r="AG612" t="s">
        <v>84</v>
      </c>
      <c r="AH612">
        <f>AI612</f>
        <v>8.5211660000000002E-3</v>
      </c>
      <c r="AI612">
        <f>AJ612</f>
        <v>8.5211660000000002E-3</v>
      </c>
      <c r="AJ612">
        <f t="shared" si="260"/>
        <v>8.5211660000000002E-3</v>
      </c>
      <c r="AK612">
        <v>8.5211660000000002E-3</v>
      </c>
      <c r="AL612">
        <v>0.11627268</v>
      </c>
      <c r="AM612">
        <v>0.12705817999999999</v>
      </c>
      <c r="AN612">
        <v>0.13294637000000001</v>
      </c>
      <c r="AO612">
        <v>99.147883399999998</v>
      </c>
      <c r="AP612">
        <v>88.372731999999999</v>
      </c>
      <c r="AQ612">
        <v>87.294182000000006</v>
      </c>
      <c r="AR612">
        <v>86.705363000000006</v>
      </c>
      <c r="AS612" t="b">
        <v>1</v>
      </c>
      <c r="AT612" t="b">
        <v>0</v>
      </c>
      <c r="AU612" t="s">
        <v>77</v>
      </c>
      <c r="AV612" t="s">
        <v>78</v>
      </c>
      <c r="AW612" t="s">
        <v>783</v>
      </c>
      <c r="AX612" t="s">
        <v>812</v>
      </c>
      <c r="AY612" t="s">
        <v>831</v>
      </c>
      <c r="AZ612" t="s">
        <v>109</v>
      </c>
      <c r="BA612">
        <v>9</v>
      </c>
      <c r="BB612">
        <v>2.5</v>
      </c>
      <c r="BC612">
        <v>9.0659339999999995E-3</v>
      </c>
      <c r="BD612">
        <v>2.76583658862385E-3</v>
      </c>
      <c r="BE612">
        <v>1.1831770588623799E-2</v>
      </c>
      <c r="BF612">
        <f>IF(AK612&lt;BE612,1,0)</f>
        <v>1</v>
      </c>
      <c r="BG612">
        <f>IF(AK612&lt;BC612,1,0)</f>
        <v>1</v>
      </c>
      <c r="BH612">
        <f>VLOOKUP($B612,[1]Data_Peer_with_peerVars!$B$2:$Z$1050,20,FALSE)</f>
        <v>2</v>
      </c>
      <c r="BI612">
        <f>VLOOKUP($B612,[1]Data_Peer_with_peerVars!$B$2:$Z$1050,21,FALSE)</f>
        <v>2</v>
      </c>
      <c r="BJ612">
        <f>VLOOKUP($B612,[1]Data_Peer_with_peerVars!$B$2:$Z$1050,22,FALSE)</f>
        <v>1</v>
      </c>
      <c r="BK612">
        <f>VLOOKUP($B612,[1]Data_Peer_with_peerVars!$B$2:$Z$1050,23,FALSE)</f>
        <v>12</v>
      </c>
      <c r="BL612">
        <f>VLOOKUP($B612,[1]Data_Peer_with_peerVars!$B$2:$Z$1050,24,FALSE)</f>
        <v>9</v>
      </c>
      <c r="BM612">
        <f>VLOOKUP($B612,[1]Data_Peer_with_peerVars!$B$2:$Z$1050,25,FALSE)</f>
        <v>0.75</v>
      </c>
    </row>
    <row r="613" spans="1:65" x14ac:dyDescent="0.2">
      <c r="A613">
        <v>1</v>
      </c>
      <c r="B613" t="s">
        <v>980</v>
      </c>
      <c r="C613">
        <v>345</v>
      </c>
      <c r="D613" t="s">
        <v>155</v>
      </c>
      <c r="E613">
        <v>0</v>
      </c>
      <c r="F613" s="14" t="s">
        <v>82</v>
      </c>
      <c r="G613" s="14" t="s">
        <v>82</v>
      </c>
      <c r="H613" s="1">
        <v>5.5</v>
      </c>
      <c r="I613" t="s">
        <v>70</v>
      </c>
      <c r="J613" t="s">
        <v>436</v>
      </c>
      <c r="K613" t="s">
        <v>72</v>
      </c>
      <c r="L613">
        <v>1</v>
      </c>
      <c r="M613">
        <v>1</v>
      </c>
      <c r="N613">
        <v>0</v>
      </c>
      <c r="O613">
        <v>0</v>
      </c>
      <c r="P613">
        <v>1</v>
      </c>
      <c r="Q613">
        <v>11</v>
      </c>
      <c r="R613">
        <v>0</v>
      </c>
      <c r="S613">
        <v>0</v>
      </c>
      <c r="T613">
        <v>0</v>
      </c>
      <c r="U613">
        <v>0</v>
      </c>
      <c r="V613">
        <f t="shared" si="257"/>
        <v>0</v>
      </c>
      <c r="W613">
        <f t="shared" si="258"/>
        <v>0</v>
      </c>
      <c r="X613">
        <f t="shared" si="261"/>
        <v>0</v>
      </c>
      <c r="Y613">
        <f t="shared" si="259"/>
        <v>0</v>
      </c>
      <c r="Z613" t="s">
        <v>73</v>
      </c>
      <c r="AA613" s="5" t="s">
        <v>73</v>
      </c>
      <c r="AB613" s="5" t="s">
        <v>73</v>
      </c>
      <c r="AC613" t="s">
        <v>91</v>
      </c>
      <c r="AD613" t="s">
        <v>287</v>
      </c>
      <c r="AE613" s="5" t="s">
        <v>287</v>
      </c>
      <c r="AF613" t="s">
        <v>137</v>
      </c>
      <c r="AG613" t="s">
        <v>113</v>
      </c>
      <c r="AH613">
        <f t="shared" ref="AH613:AH618" si="275">AI613</f>
        <v>2.2714833E-2</v>
      </c>
      <c r="AI613">
        <f t="shared" ref="AI613:AI618" si="276">AJ613</f>
        <v>2.2714833E-2</v>
      </c>
      <c r="AJ613">
        <f t="shared" si="260"/>
        <v>2.2714833E-2</v>
      </c>
      <c r="AK613">
        <v>2.2714833E-2</v>
      </c>
      <c r="AL613">
        <v>0.11925602</v>
      </c>
      <c r="AM613">
        <v>0.12896173999999999</v>
      </c>
      <c r="AN613">
        <v>0.13511281999999999</v>
      </c>
      <c r="AO613">
        <v>97.7285167</v>
      </c>
      <c r="AP613">
        <v>88.074398000000002</v>
      </c>
      <c r="AQ613">
        <v>87.103825999999998</v>
      </c>
      <c r="AR613">
        <v>86.488718000000006</v>
      </c>
      <c r="AS613" t="b">
        <v>0</v>
      </c>
      <c r="AT613" t="b">
        <v>0</v>
      </c>
      <c r="AU613" t="s">
        <v>77</v>
      </c>
      <c r="AV613" t="s">
        <v>78</v>
      </c>
      <c r="AW613" t="s">
        <v>783</v>
      </c>
      <c r="AX613" t="s">
        <v>812</v>
      </c>
      <c r="AY613" t="s">
        <v>954</v>
      </c>
      <c r="AZ613" t="s">
        <v>72</v>
      </c>
      <c r="BA613" t="s">
        <v>82</v>
      </c>
      <c r="BB613">
        <v>1</v>
      </c>
      <c r="BC613">
        <v>9.0659339999999995E-3</v>
      </c>
      <c r="BD613">
        <v>2.76583658862385E-3</v>
      </c>
      <c r="BE613">
        <v>1.1831770588623799E-2</v>
      </c>
      <c r="BF613">
        <f>IF(AK613&lt;BE613,1,0)</f>
        <v>0</v>
      </c>
      <c r="BG613">
        <f>IF(AK613&lt;BC613,1,0)</f>
        <v>0</v>
      </c>
      <c r="BH613">
        <f>VLOOKUP($B613,[1]Data_Peer_with_peerVars!$B$2:$Z$1050,20,FALSE)</f>
        <v>10</v>
      </c>
      <c r="BI613">
        <f>VLOOKUP($B613,[1]Data_Peer_with_peerVars!$B$2:$Z$1050,21,FALSE)</f>
        <v>3</v>
      </c>
      <c r="BJ613">
        <f>VLOOKUP($B613,[1]Data_Peer_with_peerVars!$B$2:$Z$1050,22,FALSE)</f>
        <v>0.3</v>
      </c>
      <c r="BK613">
        <f>VLOOKUP($B613,[1]Data_Peer_with_peerVars!$B$2:$Z$1050,23,FALSE)</f>
        <v>45</v>
      </c>
      <c r="BL613">
        <f>VLOOKUP($B613,[1]Data_Peer_with_peerVars!$B$2:$Z$1050,24,FALSE)</f>
        <v>18</v>
      </c>
      <c r="BM613">
        <f>VLOOKUP($B613,[1]Data_Peer_with_peerVars!$B$2:$Z$1050,25,FALSE)</f>
        <v>0.4</v>
      </c>
    </row>
    <row r="614" spans="1:65" x14ac:dyDescent="0.2">
      <c r="A614">
        <v>1</v>
      </c>
      <c r="B614" t="s">
        <v>981</v>
      </c>
      <c r="C614">
        <v>345</v>
      </c>
      <c r="D614" t="s">
        <v>155</v>
      </c>
      <c r="E614">
        <v>0</v>
      </c>
      <c r="F614" s="14" t="s">
        <v>82</v>
      </c>
      <c r="G614" s="14" t="s">
        <v>82</v>
      </c>
      <c r="H614" s="1">
        <v>5.5</v>
      </c>
      <c r="I614" t="s">
        <v>70</v>
      </c>
      <c r="J614" t="s">
        <v>436</v>
      </c>
      <c r="K614" t="s">
        <v>72</v>
      </c>
      <c r="L614">
        <v>1</v>
      </c>
      <c r="M614">
        <v>1</v>
      </c>
      <c r="N614">
        <v>0</v>
      </c>
      <c r="O614">
        <v>0</v>
      </c>
      <c r="P614">
        <v>1</v>
      </c>
      <c r="Q614">
        <v>11</v>
      </c>
      <c r="R614">
        <v>0</v>
      </c>
      <c r="S614">
        <v>0</v>
      </c>
      <c r="T614">
        <v>1</v>
      </c>
      <c r="U614">
        <v>1</v>
      </c>
      <c r="V614">
        <f t="shared" si="257"/>
        <v>0</v>
      </c>
      <c r="W614">
        <f t="shared" si="258"/>
        <v>0</v>
      </c>
      <c r="X614">
        <f t="shared" si="261"/>
        <v>0</v>
      </c>
      <c r="Y614">
        <f t="shared" si="259"/>
        <v>0</v>
      </c>
      <c r="Z614" t="s">
        <v>98</v>
      </c>
      <c r="AA614" s="5" t="s">
        <v>170</v>
      </c>
      <c r="AB614" s="5" t="s">
        <v>867</v>
      </c>
      <c r="AC614" t="s">
        <v>76</v>
      </c>
      <c r="AD614" t="s">
        <v>74</v>
      </c>
      <c r="AE614" s="5" t="s">
        <v>74</v>
      </c>
      <c r="AF614" t="s">
        <v>174</v>
      </c>
      <c r="AG614" t="s">
        <v>167</v>
      </c>
      <c r="AH614">
        <f t="shared" si="275"/>
        <v>7.8425969999999998E-2</v>
      </c>
      <c r="AI614">
        <f t="shared" si="276"/>
        <v>7.8425969999999998E-2</v>
      </c>
      <c r="AJ614">
        <f t="shared" si="260"/>
        <v>7.8425969999999998E-2</v>
      </c>
      <c r="AK614">
        <v>7.8425969999999998E-2</v>
      </c>
      <c r="AL614">
        <v>0.12658576999999999</v>
      </c>
      <c r="AM614">
        <v>0.12844543</v>
      </c>
      <c r="AN614">
        <v>0.12928176999999999</v>
      </c>
      <c r="AO614">
        <v>92.157403000000002</v>
      </c>
      <c r="AP614">
        <v>87.341423000000006</v>
      </c>
      <c r="AQ614">
        <v>87.155456999999998</v>
      </c>
      <c r="AR614">
        <v>87.071822999999995</v>
      </c>
      <c r="AS614" t="b">
        <v>0</v>
      </c>
      <c r="AT614" t="b">
        <v>0</v>
      </c>
      <c r="AU614" t="s">
        <v>92</v>
      </c>
      <c r="AV614" t="s">
        <v>92</v>
      </c>
      <c r="AW614" t="s">
        <v>783</v>
      </c>
      <c r="AX614" t="s">
        <v>812</v>
      </c>
      <c r="AY614" t="s">
        <v>954</v>
      </c>
      <c r="AZ614" t="s">
        <v>72</v>
      </c>
      <c r="BA614" t="s">
        <v>82</v>
      </c>
      <c r="BB614">
        <v>0.5</v>
      </c>
      <c r="BC614">
        <v>7.7070764999999999E-2</v>
      </c>
      <c r="BD614">
        <v>1.90190515067399E-3</v>
      </c>
      <c r="BE614">
        <v>7.8972670150673996E-2</v>
      </c>
      <c r="BF614">
        <f>IF(AK614&lt;BE614,1,0)</f>
        <v>1</v>
      </c>
      <c r="BG614">
        <f>IF(AK614&lt;BC614,1,0)</f>
        <v>0</v>
      </c>
      <c r="BH614">
        <f>VLOOKUP($B614,[1]Data_Peer_with_peerVars!$B$2:$Z$1050,20,FALSE)</f>
        <v>10</v>
      </c>
      <c r="BI614">
        <f>VLOOKUP($B614,[1]Data_Peer_with_peerVars!$B$2:$Z$1050,21,FALSE)</f>
        <v>3</v>
      </c>
      <c r="BJ614">
        <f>VLOOKUP($B614,[1]Data_Peer_with_peerVars!$B$2:$Z$1050,22,FALSE)</f>
        <v>0.3</v>
      </c>
      <c r="BK614">
        <f>VLOOKUP($B614,[1]Data_Peer_with_peerVars!$B$2:$Z$1050,23,FALSE)</f>
        <v>45</v>
      </c>
      <c r="BL614">
        <f>VLOOKUP($B614,[1]Data_Peer_with_peerVars!$B$2:$Z$1050,24,FALSE)</f>
        <v>18</v>
      </c>
      <c r="BM614">
        <f>VLOOKUP($B614,[1]Data_Peer_with_peerVars!$B$2:$Z$1050,25,FALSE)</f>
        <v>0.4</v>
      </c>
    </row>
    <row r="615" spans="1:65" x14ac:dyDescent="0.2">
      <c r="A615">
        <v>1</v>
      </c>
      <c r="B615" t="s">
        <v>982</v>
      </c>
      <c r="C615">
        <v>346</v>
      </c>
      <c r="D615" t="s">
        <v>155</v>
      </c>
      <c r="E615">
        <v>0</v>
      </c>
      <c r="F615" s="14" t="s">
        <v>82</v>
      </c>
      <c r="G615" s="14" t="s">
        <v>82</v>
      </c>
      <c r="H615" s="1">
        <v>6</v>
      </c>
      <c r="I615" t="s">
        <v>87</v>
      </c>
      <c r="J615" t="s">
        <v>111</v>
      </c>
      <c r="K615" t="s">
        <v>109</v>
      </c>
      <c r="L615">
        <v>1</v>
      </c>
      <c r="M615">
        <v>1</v>
      </c>
      <c r="N615">
        <v>0</v>
      </c>
      <c r="O615">
        <v>0</v>
      </c>
      <c r="P615">
        <v>0</v>
      </c>
      <c r="Q615">
        <v>6</v>
      </c>
      <c r="R615">
        <v>0</v>
      </c>
      <c r="S615">
        <v>0</v>
      </c>
      <c r="T615">
        <v>0</v>
      </c>
      <c r="U615">
        <v>0</v>
      </c>
      <c r="V615">
        <f t="shared" si="257"/>
        <v>1</v>
      </c>
      <c r="W615">
        <v>1</v>
      </c>
      <c r="X615">
        <v>1</v>
      </c>
      <c r="Y615">
        <v>1</v>
      </c>
      <c r="Z615" t="s">
        <v>73</v>
      </c>
      <c r="AA615" s="5" t="s">
        <v>73</v>
      </c>
      <c r="AB615" s="5" t="s">
        <v>73</v>
      </c>
      <c r="AC615" t="s">
        <v>73</v>
      </c>
      <c r="AD615" t="s">
        <v>91</v>
      </c>
      <c r="AE615" s="5" t="s">
        <v>983</v>
      </c>
      <c r="AF615" t="s">
        <v>75</v>
      </c>
      <c r="AG615" t="s">
        <v>137</v>
      </c>
      <c r="AH615">
        <f t="shared" si="275"/>
        <v>0.13444687</v>
      </c>
      <c r="AI615">
        <f t="shared" si="276"/>
        <v>0.13444687</v>
      </c>
      <c r="AJ615">
        <f t="shared" si="260"/>
        <v>0.13444687</v>
      </c>
      <c r="AK615">
        <v>0.13444687</v>
      </c>
      <c r="AL615">
        <v>0.13536519</v>
      </c>
      <c r="AM615">
        <v>0.13756177999999999</v>
      </c>
      <c r="AN615">
        <v>0.15443593</v>
      </c>
      <c r="AO615">
        <v>86.555312999999998</v>
      </c>
      <c r="AP615">
        <v>86.463481000000002</v>
      </c>
      <c r="AQ615">
        <v>86.243821999999994</v>
      </c>
      <c r="AR615">
        <v>84.556406999999993</v>
      </c>
      <c r="AS615" t="b">
        <v>0</v>
      </c>
      <c r="AT615" t="b">
        <v>0</v>
      </c>
      <c r="AU615" t="s">
        <v>108</v>
      </c>
      <c r="AV615" t="s">
        <v>108</v>
      </c>
      <c r="AW615" t="s">
        <v>783</v>
      </c>
      <c r="AX615" t="s">
        <v>812</v>
      </c>
      <c r="AY615" t="s">
        <v>831</v>
      </c>
      <c r="AZ615" t="s">
        <v>109</v>
      </c>
      <c r="BA615">
        <v>2</v>
      </c>
      <c r="BB615">
        <v>8</v>
      </c>
      <c r="BC615">
        <v>4.1163553999999996E-3</v>
      </c>
      <c r="BD615">
        <v>1.4279989108178799E-4</v>
      </c>
      <c r="BE615">
        <v>4.2591552910817903E-3</v>
      </c>
      <c r="BF615">
        <f>IF(AK615&lt;BE615,1,0)</f>
        <v>0</v>
      </c>
      <c r="BG615">
        <f>IF(AK615&lt;BC615,1,0)</f>
        <v>0</v>
      </c>
      <c r="BH615">
        <f>VLOOKUP($B615,[1]Data_Peer_with_peerVars!$B$2:$Z$1050,20,FALSE)</f>
        <v>13</v>
      </c>
      <c r="BI615">
        <f>VLOOKUP($B615,[1]Data_Peer_with_peerVars!$B$2:$Z$1050,21,FALSE)</f>
        <v>4</v>
      </c>
      <c r="BJ615">
        <f>VLOOKUP($B615,[1]Data_Peer_with_peerVars!$B$2:$Z$1050,22,FALSE)</f>
        <v>0.30769230800000003</v>
      </c>
      <c r="BK615">
        <f>VLOOKUP($B615,[1]Data_Peer_with_peerVars!$B$2:$Z$1050,23,FALSE)</f>
        <v>69</v>
      </c>
      <c r="BL615">
        <f>VLOOKUP($B615,[1]Data_Peer_with_peerVars!$B$2:$Z$1050,24,FALSE)</f>
        <v>34</v>
      </c>
      <c r="BM615">
        <f>VLOOKUP($B615,[1]Data_Peer_with_peerVars!$B$2:$Z$1050,25,FALSE)</f>
        <v>0.49275362299999997</v>
      </c>
    </row>
    <row r="616" spans="1:65" x14ac:dyDescent="0.2">
      <c r="A616">
        <v>1</v>
      </c>
      <c r="B616" t="s">
        <v>984</v>
      </c>
      <c r="C616">
        <v>347</v>
      </c>
      <c r="D616" t="s">
        <v>155</v>
      </c>
      <c r="E616">
        <v>0</v>
      </c>
      <c r="F616" s="14" t="s">
        <v>82</v>
      </c>
      <c r="G616" s="14" t="s">
        <v>82</v>
      </c>
      <c r="H616" s="1">
        <v>7</v>
      </c>
      <c r="I616" t="s">
        <v>87</v>
      </c>
      <c r="J616" t="s">
        <v>111</v>
      </c>
      <c r="K616" t="s">
        <v>109</v>
      </c>
      <c r="L616">
        <v>1</v>
      </c>
      <c r="M616">
        <v>1</v>
      </c>
      <c r="N616">
        <v>0</v>
      </c>
      <c r="O616">
        <v>0</v>
      </c>
      <c r="P616">
        <v>0</v>
      </c>
      <c r="Q616">
        <v>11</v>
      </c>
      <c r="R616">
        <v>0</v>
      </c>
      <c r="S616">
        <v>0</v>
      </c>
      <c r="T616">
        <v>1</v>
      </c>
      <c r="U616">
        <v>1</v>
      </c>
      <c r="V616">
        <f t="shared" si="257"/>
        <v>1</v>
      </c>
      <c r="W616">
        <v>1</v>
      </c>
      <c r="X616">
        <v>1</v>
      </c>
      <c r="Y616">
        <v>1</v>
      </c>
      <c r="Z616" t="s">
        <v>73</v>
      </c>
      <c r="AA616" s="5" t="s">
        <v>73</v>
      </c>
      <c r="AB616" s="5" t="s">
        <v>73</v>
      </c>
      <c r="AC616" t="s">
        <v>73</v>
      </c>
      <c r="AD616" t="s">
        <v>94</v>
      </c>
      <c r="AE616" s="5" t="s">
        <v>106</v>
      </c>
      <c r="AF616" t="s">
        <v>107</v>
      </c>
      <c r="AG616" t="s">
        <v>95</v>
      </c>
      <c r="AH616">
        <f t="shared" si="275"/>
        <v>3.8209606000000002E-3</v>
      </c>
      <c r="AI616">
        <f t="shared" si="276"/>
        <v>3.8209606000000002E-3</v>
      </c>
      <c r="AJ616">
        <f t="shared" si="260"/>
        <v>3.8209606000000002E-3</v>
      </c>
      <c r="AK616">
        <v>3.8209606000000002E-3</v>
      </c>
      <c r="AL616">
        <v>0.13183807</v>
      </c>
      <c r="AM616">
        <v>0.13666300000000001</v>
      </c>
      <c r="AN616">
        <v>0.13910185999999999</v>
      </c>
      <c r="AO616">
        <v>99.617903940000005</v>
      </c>
      <c r="AP616">
        <v>86.816192999999998</v>
      </c>
      <c r="AQ616">
        <v>86.333699999999993</v>
      </c>
      <c r="AR616">
        <v>86.089814000000004</v>
      </c>
      <c r="AS616" t="b">
        <v>1</v>
      </c>
      <c r="AT616" t="b">
        <v>0</v>
      </c>
      <c r="AU616" t="s">
        <v>77</v>
      </c>
      <c r="AV616" t="s">
        <v>108</v>
      </c>
      <c r="AW616" t="s">
        <v>783</v>
      </c>
      <c r="AX616" t="s">
        <v>812</v>
      </c>
      <c r="AY616" t="s">
        <v>813</v>
      </c>
      <c r="AZ616" t="s">
        <v>109</v>
      </c>
      <c r="BA616">
        <v>3</v>
      </c>
      <c r="BB616">
        <v>2</v>
      </c>
      <c r="BC616">
        <v>4.1163553999999996E-3</v>
      </c>
      <c r="BD616">
        <v>1.4279989108178799E-4</v>
      </c>
      <c r="BE616">
        <v>4.2591552910817903E-3</v>
      </c>
      <c r="BF616">
        <f>IF(AK616&lt;BE616,1,0)</f>
        <v>1</v>
      </c>
      <c r="BG616">
        <f>IF(AK616&lt;BC616,1,0)</f>
        <v>1</v>
      </c>
      <c r="BH616">
        <f>VLOOKUP($B616,[1]Data_Peer_with_peerVars!$B$2:$Z$1050,20,FALSE)</f>
        <v>3</v>
      </c>
      <c r="BI616">
        <f>VLOOKUP($B616,[1]Data_Peer_with_peerVars!$B$2:$Z$1050,21,FALSE)</f>
        <v>1</v>
      </c>
      <c r="BJ616">
        <f>VLOOKUP($B616,[1]Data_Peer_with_peerVars!$B$2:$Z$1050,22,FALSE)</f>
        <v>0.33333333300000001</v>
      </c>
      <c r="BK616">
        <f>VLOOKUP($B616,[1]Data_Peer_with_peerVars!$B$2:$Z$1050,23,FALSE)</f>
        <v>58</v>
      </c>
      <c r="BL616">
        <f>VLOOKUP($B616,[1]Data_Peer_with_peerVars!$B$2:$Z$1050,24,FALSE)</f>
        <v>30</v>
      </c>
      <c r="BM616">
        <f>VLOOKUP($B616,[1]Data_Peer_with_peerVars!$B$2:$Z$1050,25,FALSE)</f>
        <v>0.517241379</v>
      </c>
    </row>
    <row r="617" spans="1:65" x14ac:dyDescent="0.2">
      <c r="A617">
        <v>1</v>
      </c>
      <c r="B617" t="s">
        <v>985</v>
      </c>
      <c r="C617">
        <v>348</v>
      </c>
      <c r="D617" t="s">
        <v>155</v>
      </c>
      <c r="E617">
        <v>0</v>
      </c>
      <c r="F617" s="14" t="s">
        <v>82</v>
      </c>
      <c r="G617" s="14" t="s">
        <v>82</v>
      </c>
      <c r="H617" s="1">
        <v>5</v>
      </c>
      <c r="I617" t="s">
        <v>87</v>
      </c>
      <c r="J617" t="s">
        <v>150</v>
      </c>
      <c r="K617" t="s">
        <v>72</v>
      </c>
      <c r="L617">
        <v>1</v>
      </c>
      <c r="M617">
        <v>1</v>
      </c>
      <c r="N617">
        <v>0</v>
      </c>
      <c r="O617">
        <v>0</v>
      </c>
      <c r="P617">
        <v>0</v>
      </c>
      <c r="Q617">
        <v>11</v>
      </c>
      <c r="R617">
        <v>0</v>
      </c>
      <c r="S617">
        <v>0</v>
      </c>
      <c r="T617">
        <v>1</v>
      </c>
      <c r="U617">
        <v>1</v>
      </c>
      <c r="V617">
        <f t="shared" si="257"/>
        <v>1</v>
      </c>
      <c r="W617">
        <v>1</v>
      </c>
      <c r="X617">
        <v>1</v>
      </c>
      <c r="Y617">
        <v>1</v>
      </c>
      <c r="Z617" t="s">
        <v>73</v>
      </c>
      <c r="AA617" s="5" t="s">
        <v>73</v>
      </c>
      <c r="AB617" s="5" t="s">
        <v>73</v>
      </c>
      <c r="AC617" t="s">
        <v>73</v>
      </c>
      <c r="AD617" t="s">
        <v>94</v>
      </c>
      <c r="AE617" s="5" t="s">
        <v>106</v>
      </c>
      <c r="AF617" t="s">
        <v>107</v>
      </c>
      <c r="AG617" t="s">
        <v>95</v>
      </c>
      <c r="AH617">
        <f t="shared" si="275"/>
        <v>3.8314174999999999E-3</v>
      </c>
      <c r="AI617">
        <f t="shared" si="276"/>
        <v>3.8314174999999999E-3</v>
      </c>
      <c r="AJ617">
        <f t="shared" si="260"/>
        <v>3.8314174999999999E-3</v>
      </c>
      <c r="AK617">
        <v>3.8314174999999999E-3</v>
      </c>
      <c r="AL617">
        <v>0.13157895</v>
      </c>
      <c r="AM617">
        <v>0.1368132</v>
      </c>
      <c r="AN617">
        <v>0.13885839999999999</v>
      </c>
      <c r="AO617">
        <v>99.616858250000007</v>
      </c>
      <c r="AP617">
        <v>86.842105000000004</v>
      </c>
      <c r="AQ617">
        <v>86.318680000000001</v>
      </c>
      <c r="AR617">
        <v>86.114159999999998</v>
      </c>
      <c r="AS617" t="b">
        <v>1</v>
      </c>
      <c r="AT617" t="b">
        <v>0</v>
      </c>
      <c r="AU617" t="s">
        <v>77</v>
      </c>
      <c r="AV617" t="s">
        <v>108</v>
      </c>
      <c r="AW617" t="s">
        <v>783</v>
      </c>
      <c r="AX617" t="s">
        <v>812</v>
      </c>
      <c r="AY617" t="s">
        <v>813</v>
      </c>
      <c r="AZ617" t="s">
        <v>72</v>
      </c>
      <c r="BA617" t="s">
        <v>82</v>
      </c>
      <c r="BB617">
        <v>1</v>
      </c>
      <c r="BC617">
        <v>4.1163553999999996E-3</v>
      </c>
      <c r="BD617">
        <v>1.4279989108178799E-4</v>
      </c>
      <c r="BE617">
        <v>4.2591552910817903E-3</v>
      </c>
      <c r="BF617">
        <f>IF(AK617&lt;BE617,1,0)</f>
        <v>1</v>
      </c>
      <c r="BG617">
        <f>IF(AK617&lt;BC617,1,0)</f>
        <v>1</v>
      </c>
      <c r="BH617">
        <f>VLOOKUP($B617,[1]Data_Peer_with_peerVars!$B$2:$Z$1050,20,FALSE)</f>
        <v>2</v>
      </c>
      <c r="BI617">
        <f>VLOOKUP($B617,[1]Data_Peer_with_peerVars!$B$2:$Z$1050,21,FALSE)</f>
        <v>1</v>
      </c>
      <c r="BJ617">
        <f>VLOOKUP($B617,[1]Data_Peer_with_peerVars!$B$2:$Z$1050,22,FALSE)</f>
        <v>0.5</v>
      </c>
      <c r="BK617">
        <f>VLOOKUP($B617,[1]Data_Peer_with_peerVars!$B$2:$Z$1050,23,FALSE)</f>
        <v>52</v>
      </c>
      <c r="BL617">
        <f>VLOOKUP($B617,[1]Data_Peer_with_peerVars!$B$2:$Z$1050,24,FALSE)</f>
        <v>29</v>
      </c>
      <c r="BM617">
        <f>VLOOKUP($B617,[1]Data_Peer_with_peerVars!$B$2:$Z$1050,25,FALSE)</f>
        <v>0.55769230800000003</v>
      </c>
    </row>
    <row r="618" spans="1:65" x14ac:dyDescent="0.2">
      <c r="A618">
        <v>1</v>
      </c>
      <c r="B618" t="s">
        <v>986</v>
      </c>
      <c r="C618">
        <v>349</v>
      </c>
      <c r="D618" t="s">
        <v>155</v>
      </c>
      <c r="E618">
        <v>0</v>
      </c>
      <c r="F618" s="14" t="s">
        <v>82</v>
      </c>
      <c r="G618" s="14" t="s">
        <v>82</v>
      </c>
      <c r="H618" s="1">
        <v>7</v>
      </c>
      <c r="I618" t="s">
        <v>87</v>
      </c>
      <c r="J618" t="s">
        <v>88</v>
      </c>
      <c r="K618" t="s">
        <v>72</v>
      </c>
      <c r="L618">
        <v>1</v>
      </c>
      <c r="M618">
        <v>1</v>
      </c>
      <c r="N618">
        <v>0</v>
      </c>
      <c r="O618">
        <v>0</v>
      </c>
      <c r="P618">
        <v>0</v>
      </c>
      <c r="Q618">
        <v>6</v>
      </c>
      <c r="R618">
        <v>0</v>
      </c>
      <c r="S618">
        <v>0</v>
      </c>
      <c r="T618">
        <v>0</v>
      </c>
      <c r="U618">
        <v>0</v>
      </c>
      <c r="V618">
        <f t="shared" si="257"/>
        <v>1</v>
      </c>
      <c r="W618">
        <v>1</v>
      </c>
      <c r="X618">
        <v>1</v>
      </c>
      <c r="Y618">
        <v>1</v>
      </c>
      <c r="Z618" t="s">
        <v>76</v>
      </c>
      <c r="AA618" s="5" t="s">
        <v>76</v>
      </c>
      <c r="AB618" s="5" t="s">
        <v>76</v>
      </c>
      <c r="AC618" t="s">
        <v>76</v>
      </c>
      <c r="AD618" t="s">
        <v>74</v>
      </c>
      <c r="AE618" s="5" t="s">
        <v>74</v>
      </c>
      <c r="AF618" t="s">
        <v>120</v>
      </c>
      <c r="AG618" t="s">
        <v>75</v>
      </c>
      <c r="AH618">
        <f t="shared" si="275"/>
        <v>8.2468600000000003E-2</v>
      </c>
      <c r="AI618">
        <f t="shared" si="276"/>
        <v>8.2468600000000003E-2</v>
      </c>
      <c r="AJ618">
        <f t="shared" si="260"/>
        <v>8.2468600000000003E-2</v>
      </c>
      <c r="AK618">
        <v>8.2468600000000003E-2</v>
      </c>
      <c r="AL618">
        <v>0.10465753</v>
      </c>
      <c r="AM618">
        <v>0.12561442</v>
      </c>
      <c r="AN618">
        <v>0.12636760999999999</v>
      </c>
      <c r="AO618">
        <v>91.753140000000002</v>
      </c>
      <c r="AP618">
        <v>89.534246999999993</v>
      </c>
      <c r="AQ618">
        <v>87.438558</v>
      </c>
      <c r="AR618">
        <v>87.363238999999993</v>
      </c>
      <c r="AS618" t="b">
        <v>1</v>
      </c>
      <c r="AT618" t="b">
        <v>0</v>
      </c>
      <c r="AU618" t="s">
        <v>77</v>
      </c>
      <c r="AV618" t="s">
        <v>78</v>
      </c>
      <c r="AW618" t="s">
        <v>783</v>
      </c>
      <c r="AX618" t="s">
        <v>812</v>
      </c>
      <c r="AY618" t="s">
        <v>911</v>
      </c>
      <c r="AZ618" t="s">
        <v>72</v>
      </c>
      <c r="BA618" t="s">
        <v>82</v>
      </c>
      <c r="BB618">
        <v>0.7</v>
      </c>
      <c r="BC618">
        <v>7.7070764999999999E-2</v>
      </c>
      <c r="BD618">
        <v>1.90190515067399E-3</v>
      </c>
      <c r="BE618">
        <v>7.8972670150673996E-2</v>
      </c>
      <c r="BF618">
        <f>IF(AK618&lt;BE618,1,0)</f>
        <v>0</v>
      </c>
      <c r="BG618">
        <f>IF(AK618&lt;BC618,1,0)</f>
        <v>0</v>
      </c>
      <c r="BH618">
        <f>VLOOKUP($B618,[1]Data_Peer_with_peerVars!$B$2:$Z$1050,20,FALSE)</f>
        <v>0</v>
      </c>
      <c r="BI618">
        <f>VLOOKUP($B618,[1]Data_Peer_with_peerVars!$B$2:$Z$1050,21,FALSE)</f>
        <v>0</v>
      </c>
      <c r="BJ618">
        <v>0</v>
      </c>
      <c r="BK618">
        <f>VLOOKUP($B618,[1]Data_Peer_with_peerVars!$B$2:$Z$1050,23,FALSE)</f>
        <v>38</v>
      </c>
      <c r="BL618">
        <f>VLOOKUP($B618,[1]Data_Peer_with_peerVars!$B$2:$Z$1050,24,FALSE)</f>
        <v>19</v>
      </c>
      <c r="BM618">
        <f>VLOOKUP($B618,[1]Data_Peer_with_peerVars!$B$2:$Z$1050,25,FALSE)</f>
        <v>0.5</v>
      </c>
    </row>
    <row r="619" spans="1:65" x14ac:dyDescent="0.2">
      <c r="A619">
        <v>1</v>
      </c>
      <c r="B619" t="s">
        <v>987</v>
      </c>
      <c r="C619">
        <v>349</v>
      </c>
      <c r="D619" t="s">
        <v>155</v>
      </c>
      <c r="E619">
        <v>0</v>
      </c>
      <c r="F619" s="14" t="s">
        <v>82</v>
      </c>
      <c r="G619" s="14" t="s">
        <v>82</v>
      </c>
      <c r="H619" s="1">
        <v>7</v>
      </c>
      <c r="I619" t="s">
        <v>87</v>
      </c>
      <c r="J619" t="s">
        <v>88</v>
      </c>
      <c r="K619" t="s">
        <v>72</v>
      </c>
      <c r="L619">
        <v>1</v>
      </c>
      <c r="M619">
        <v>1</v>
      </c>
      <c r="N619">
        <v>0</v>
      </c>
      <c r="O619">
        <v>0</v>
      </c>
      <c r="P619">
        <v>0</v>
      </c>
      <c r="Q619">
        <v>6</v>
      </c>
      <c r="R619">
        <v>0</v>
      </c>
      <c r="S619">
        <v>0</v>
      </c>
      <c r="T619">
        <v>1</v>
      </c>
      <c r="U619">
        <v>1</v>
      </c>
      <c r="V619">
        <f t="shared" si="257"/>
        <v>0</v>
      </c>
      <c r="W619">
        <f t="shared" si="258"/>
        <v>0</v>
      </c>
      <c r="X619">
        <f t="shared" si="261"/>
        <v>0</v>
      </c>
      <c r="Y619">
        <f t="shared" si="259"/>
        <v>0</v>
      </c>
      <c r="Z619" t="s">
        <v>91</v>
      </c>
      <c r="AA619" s="5" t="s">
        <v>91</v>
      </c>
      <c r="AB619" s="5" t="s">
        <v>91</v>
      </c>
      <c r="AC619" t="s">
        <v>73</v>
      </c>
      <c r="AD619" t="s">
        <v>94</v>
      </c>
      <c r="AE619" s="5" t="s">
        <v>106</v>
      </c>
      <c r="AF619" t="s">
        <v>107</v>
      </c>
      <c r="AG619" t="s">
        <v>95</v>
      </c>
      <c r="AH619">
        <f t="shared" ref="AH619:AH622" si="277">AI619</f>
        <v>4.0983603999999998E-3</v>
      </c>
      <c r="AI619">
        <f t="shared" ref="AI619:AI622" si="278">AJ619</f>
        <v>4.0983603999999998E-3</v>
      </c>
      <c r="AJ619">
        <f t="shared" si="260"/>
        <v>4.0983603999999998E-3</v>
      </c>
      <c r="AK619">
        <v>4.0983603999999998E-3</v>
      </c>
      <c r="AL619">
        <v>0.13198248000000001</v>
      </c>
      <c r="AM619">
        <v>0.13611417000000001</v>
      </c>
      <c r="AN619">
        <v>0.13882804000000001</v>
      </c>
      <c r="AO619">
        <v>99.590163959999998</v>
      </c>
      <c r="AP619">
        <v>86.801751999999993</v>
      </c>
      <c r="AQ619">
        <v>86.388582999999997</v>
      </c>
      <c r="AR619">
        <v>86.117196000000007</v>
      </c>
      <c r="AS619" t="b">
        <v>0</v>
      </c>
      <c r="AT619" t="b">
        <v>0</v>
      </c>
      <c r="AU619" t="s">
        <v>77</v>
      </c>
      <c r="AV619" t="s">
        <v>108</v>
      </c>
      <c r="AW619" t="s">
        <v>783</v>
      </c>
      <c r="AX619" t="s">
        <v>812</v>
      </c>
      <c r="AY619" t="s">
        <v>911</v>
      </c>
      <c r="AZ619" t="s">
        <v>72</v>
      </c>
      <c r="BA619" t="s">
        <v>82</v>
      </c>
      <c r="BB619">
        <v>1.4</v>
      </c>
      <c r="BC619">
        <v>4.1163553999999996E-3</v>
      </c>
      <c r="BD619">
        <v>1.4279989108178799E-4</v>
      </c>
      <c r="BE619">
        <v>4.2591552910817903E-3</v>
      </c>
      <c r="BF619">
        <f>IF(AK619&lt;BE619,1,0)</f>
        <v>1</v>
      </c>
      <c r="BG619">
        <f>IF(AK619&lt;BC619,1,0)</f>
        <v>1</v>
      </c>
      <c r="BH619">
        <f>VLOOKUP($B619,[1]Data_Peer_with_peerVars!$B$2:$Z$1050,20,FALSE)</f>
        <v>0</v>
      </c>
      <c r="BI619">
        <f>VLOOKUP($B619,[1]Data_Peer_with_peerVars!$B$2:$Z$1050,21,FALSE)</f>
        <v>0</v>
      </c>
      <c r="BJ619">
        <v>0</v>
      </c>
      <c r="BK619">
        <f>VLOOKUP($B619,[1]Data_Peer_with_peerVars!$B$2:$Z$1050,23,FALSE)</f>
        <v>38</v>
      </c>
      <c r="BL619">
        <f>VLOOKUP($B619,[1]Data_Peer_with_peerVars!$B$2:$Z$1050,24,FALSE)</f>
        <v>19</v>
      </c>
      <c r="BM619">
        <f>VLOOKUP($B619,[1]Data_Peer_with_peerVars!$B$2:$Z$1050,25,FALSE)</f>
        <v>0.5</v>
      </c>
    </row>
    <row r="620" spans="1:65" x14ac:dyDescent="0.2">
      <c r="A620">
        <v>1</v>
      </c>
      <c r="B620" t="s">
        <v>988</v>
      </c>
      <c r="C620">
        <v>350</v>
      </c>
      <c r="D620" t="s">
        <v>155</v>
      </c>
      <c r="E620">
        <v>0</v>
      </c>
      <c r="F620" s="14" t="s">
        <v>82</v>
      </c>
      <c r="G620" s="14" t="s">
        <v>82</v>
      </c>
      <c r="H620" s="1">
        <v>7</v>
      </c>
      <c r="I620" t="s">
        <v>87</v>
      </c>
      <c r="J620" t="s">
        <v>111</v>
      </c>
      <c r="K620" t="s">
        <v>109</v>
      </c>
      <c r="L620">
        <v>1</v>
      </c>
      <c r="M620">
        <v>1</v>
      </c>
      <c r="N620">
        <v>0</v>
      </c>
      <c r="O620">
        <v>0</v>
      </c>
      <c r="P620">
        <v>0</v>
      </c>
      <c r="Q620">
        <v>5</v>
      </c>
      <c r="R620">
        <v>0</v>
      </c>
      <c r="S620">
        <v>0</v>
      </c>
      <c r="T620">
        <v>0</v>
      </c>
      <c r="U620">
        <v>0</v>
      </c>
      <c r="V620">
        <f t="shared" si="257"/>
        <v>0</v>
      </c>
      <c r="W620">
        <f t="shared" si="258"/>
        <v>0</v>
      </c>
      <c r="X620">
        <f t="shared" si="261"/>
        <v>0</v>
      </c>
      <c r="Y620">
        <f t="shared" si="259"/>
        <v>0</v>
      </c>
      <c r="Z620" t="s">
        <v>170</v>
      </c>
      <c r="AA620" s="5" t="s">
        <v>170</v>
      </c>
      <c r="AB620" s="5" t="s">
        <v>874</v>
      </c>
      <c r="AC620" t="s">
        <v>91</v>
      </c>
      <c r="AD620" t="s">
        <v>287</v>
      </c>
      <c r="AE620" s="5" t="s">
        <v>455</v>
      </c>
      <c r="AF620" t="s">
        <v>75</v>
      </c>
      <c r="AG620" t="s">
        <v>120</v>
      </c>
      <c r="AH620">
        <f t="shared" si="277"/>
        <v>5.9660646999999997E-2</v>
      </c>
      <c r="AI620">
        <f t="shared" si="278"/>
        <v>5.9660646999999997E-2</v>
      </c>
      <c r="AJ620">
        <f t="shared" si="260"/>
        <v>5.9660646999999997E-2</v>
      </c>
      <c r="AK620">
        <v>5.9660646999999997E-2</v>
      </c>
      <c r="AL620">
        <v>0.115700215</v>
      </c>
      <c r="AM620">
        <v>0.11726027999999999</v>
      </c>
      <c r="AN620">
        <v>0.13191022999999999</v>
      </c>
      <c r="AO620">
        <v>94.033935299999996</v>
      </c>
      <c r="AP620">
        <v>88.429978500000004</v>
      </c>
      <c r="AQ620">
        <v>88.273972000000001</v>
      </c>
      <c r="AR620">
        <v>86.808976999999999</v>
      </c>
      <c r="AS620" t="b">
        <v>0</v>
      </c>
      <c r="AT620" t="b">
        <v>0</v>
      </c>
      <c r="AU620" t="s">
        <v>92</v>
      </c>
      <c r="AV620" t="s">
        <v>92</v>
      </c>
      <c r="AW620" t="s">
        <v>783</v>
      </c>
      <c r="AX620" t="s">
        <v>812</v>
      </c>
      <c r="AY620" t="s">
        <v>911</v>
      </c>
      <c r="AZ620" t="s">
        <v>109</v>
      </c>
      <c r="BA620">
        <v>4</v>
      </c>
      <c r="BB620">
        <v>1</v>
      </c>
      <c r="BC620">
        <v>9.0659339999999995E-3</v>
      </c>
      <c r="BD620">
        <v>2.76583658862385E-3</v>
      </c>
      <c r="BE620">
        <v>1.1831770588623799E-2</v>
      </c>
      <c r="BF620">
        <f>IF(AK620&lt;BE620,1,0)</f>
        <v>0</v>
      </c>
      <c r="BG620">
        <f>IF(AK620&lt;BC620,1,0)</f>
        <v>0</v>
      </c>
      <c r="BH620">
        <f>VLOOKUP($B620,[1]Data_Peer_with_peerVars!$B$2:$Z$1050,20,FALSE)</f>
        <v>3</v>
      </c>
      <c r="BI620">
        <f>VLOOKUP($B620,[1]Data_Peer_with_peerVars!$B$2:$Z$1050,21,FALSE)</f>
        <v>1</v>
      </c>
      <c r="BJ620">
        <f>VLOOKUP($B620,[1]Data_Peer_with_peerVars!$B$2:$Z$1050,22,FALSE)</f>
        <v>0.33333333300000001</v>
      </c>
      <c r="BK620">
        <f>VLOOKUP($B620,[1]Data_Peer_with_peerVars!$B$2:$Z$1050,23,FALSE)</f>
        <v>41</v>
      </c>
      <c r="BL620">
        <f>VLOOKUP($B620,[1]Data_Peer_with_peerVars!$B$2:$Z$1050,24,FALSE)</f>
        <v>21</v>
      </c>
      <c r="BM620">
        <f>VLOOKUP($B620,[1]Data_Peer_with_peerVars!$B$2:$Z$1050,25,FALSE)</f>
        <v>0.51219512199999995</v>
      </c>
    </row>
    <row r="621" spans="1:65" x14ac:dyDescent="0.2">
      <c r="A621">
        <v>1</v>
      </c>
      <c r="B621" t="s">
        <v>989</v>
      </c>
      <c r="C621">
        <v>350</v>
      </c>
      <c r="D621" t="s">
        <v>155</v>
      </c>
      <c r="E621">
        <v>0</v>
      </c>
      <c r="F621" s="14" t="s">
        <v>82</v>
      </c>
      <c r="G621" s="14" t="s">
        <v>82</v>
      </c>
      <c r="H621" s="1">
        <v>7</v>
      </c>
      <c r="I621" t="s">
        <v>87</v>
      </c>
      <c r="J621" t="s">
        <v>111</v>
      </c>
      <c r="K621" t="s">
        <v>109</v>
      </c>
      <c r="L621">
        <v>1</v>
      </c>
      <c r="M621">
        <v>1</v>
      </c>
      <c r="N621">
        <v>0</v>
      </c>
      <c r="O621">
        <v>0</v>
      </c>
      <c r="P621">
        <v>0</v>
      </c>
      <c r="Q621">
        <v>5</v>
      </c>
      <c r="R621">
        <v>0</v>
      </c>
      <c r="S621">
        <v>0</v>
      </c>
      <c r="T621">
        <v>1</v>
      </c>
      <c r="U621">
        <v>1</v>
      </c>
      <c r="V621">
        <f t="shared" si="257"/>
        <v>1</v>
      </c>
      <c r="W621">
        <v>1</v>
      </c>
      <c r="X621">
        <v>1</v>
      </c>
      <c r="Y621">
        <v>1</v>
      </c>
      <c r="Z621" t="s">
        <v>73</v>
      </c>
      <c r="AA621" s="5" t="s">
        <v>73</v>
      </c>
      <c r="AB621" s="5" t="s">
        <v>73</v>
      </c>
      <c r="AC621" t="s">
        <v>73</v>
      </c>
      <c r="AD621" t="s">
        <v>94</v>
      </c>
      <c r="AE621" s="5" t="s">
        <v>106</v>
      </c>
      <c r="AF621" t="s">
        <v>107</v>
      </c>
      <c r="AG621" t="s">
        <v>95</v>
      </c>
      <c r="AH621">
        <f t="shared" si="277"/>
        <v>3.8251367000000001E-3</v>
      </c>
      <c r="AI621">
        <f t="shared" si="278"/>
        <v>3.8251367000000001E-3</v>
      </c>
      <c r="AJ621">
        <f t="shared" si="260"/>
        <v>3.8251367000000001E-3</v>
      </c>
      <c r="AK621">
        <v>3.8251367000000001E-3</v>
      </c>
      <c r="AL621">
        <v>0.13191022999999999</v>
      </c>
      <c r="AM621">
        <v>0.13618891</v>
      </c>
      <c r="AN621">
        <v>0.13855422000000001</v>
      </c>
      <c r="AO621">
        <v>99.617486330000006</v>
      </c>
      <c r="AP621">
        <v>86.808976999999999</v>
      </c>
      <c r="AQ621">
        <v>86.381108999999995</v>
      </c>
      <c r="AR621">
        <v>86.144577999999996</v>
      </c>
      <c r="AS621" t="b">
        <v>1</v>
      </c>
      <c r="AT621" t="b">
        <v>0</v>
      </c>
      <c r="AU621" t="s">
        <v>77</v>
      </c>
      <c r="AV621" t="s">
        <v>108</v>
      </c>
      <c r="AW621" t="s">
        <v>783</v>
      </c>
      <c r="AX621" t="s">
        <v>812</v>
      </c>
      <c r="AY621" t="s">
        <v>911</v>
      </c>
      <c r="AZ621" t="s">
        <v>72</v>
      </c>
      <c r="BA621" t="s">
        <v>82</v>
      </c>
      <c r="BB621">
        <v>0.7</v>
      </c>
      <c r="BC621">
        <v>4.1163553999999996E-3</v>
      </c>
      <c r="BD621">
        <v>1.4279989108178799E-4</v>
      </c>
      <c r="BE621">
        <v>4.2591552910817903E-3</v>
      </c>
      <c r="BF621">
        <f>IF(AK621&lt;BE621,1,0)</f>
        <v>1</v>
      </c>
      <c r="BG621">
        <f>IF(AK621&lt;BC621,1,0)</f>
        <v>1</v>
      </c>
      <c r="BH621">
        <f>VLOOKUP($B621,[1]Data_Peer_with_peerVars!$B$2:$Z$1050,20,FALSE)</f>
        <v>3</v>
      </c>
      <c r="BI621">
        <f>VLOOKUP($B621,[1]Data_Peer_with_peerVars!$B$2:$Z$1050,21,FALSE)</f>
        <v>1</v>
      </c>
      <c r="BJ621">
        <f>VLOOKUP($B621,[1]Data_Peer_with_peerVars!$B$2:$Z$1050,22,FALSE)</f>
        <v>0.33333333300000001</v>
      </c>
      <c r="BK621">
        <f>VLOOKUP($B621,[1]Data_Peer_with_peerVars!$B$2:$Z$1050,23,FALSE)</f>
        <v>41</v>
      </c>
      <c r="BL621">
        <f>VLOOKUP($B621,[1]Data_Peer_with_peerVars!$B$2:$Z$1050,24,FALSE)</f>
        <v>21</v>
      </c>
      <c r="BM621">
        <f>VLOOKUP($B621,[1]Data_Peer_with_peerVars!$B$2:$Z$1050,25,FALSE)</f>
        <v>0.51219512199999995</v>
      </c>
    </row>
    <row r="622" spans="1:65" x14ac:dyDescent="0.2">
      <c r="A622">
        <v>1</v>
      </c>
      <c r="B622" t="s">
        <v>990</v>
      </c>
      <c r="C622">
        <v>350</v>
      </c>
      <c r="D622" t="s">
        <v>155</v>
      </c>
      <c r="E622">
        <v>0</v>
      </c>
      <c r="F622" s="14" t="s">
        <v>82</v>
      </c>
      <c r="G622" s="14" t="s">
        <v>82</v>
      </c>
      <c r="H622" s="1">
        <v>7</v>
      </c>
      <c r="I622" t="s">
        <v>87</v>
      </c>
      <c r="J622" t="s">
        <v>111</v>
      </c>
      <c r="K622" t="s">
        <v>109</v>
      </c>
      <c r="L622">
        <v>1</v>
      </c>
      <c r="M622">
        <v>1</v>
      </c>
      <c r="N622">
        <v>0</v>
      </c>
      <c r="O622">
        <v>0</v>
      </c>
      <c r="P622">
        <v>0</v>
      </c>
      <c r="Q622">
        <v>5</v>
      </c>
      <c r="R622">
        <v>0</v>
      </c>
      <c r="S622">
        <v>0</v>
      </c>
      <c r="T622">
        <v>0</v>
      </c>
      <c r="U622">
        <v>0</v>
      </c>
      <c r="V622">
        <v>1</v>
      </c>
      <c r="W622">
        <v>1</v>
      </c>
      <c r="X622">
        <v>1</v>
      </c>
      <c r="Y622">
        <v>1</v>
      </c>
      <c r="Z622" t="s">
        <v>98</v>
      </c>
      <c r="AA622" s="5" t="s">
        <v>273</v>
      </c>
      <c r="AB622" s="5" t="s">
        <v>991</v>
      </c>
      <c r="AC622" t="s">
        <v>99</v>
      </c>
      <c r="AD622" t="s">
        <v>101</v>
      </c>
      <c r="AE622" s="5" t="s">
        <v>101</v>
      </c>
      <c r="AF622" t="s">
        <v>103</v>
      </c>
      <c r="AG622" t="s">
        <v>102</v>
      </c>
      <c r="AH622">
        <f t="shared" si="277"/>
        <v>4.0055250000000001E-2</v>
      </c>
      <c r="AI622">
        <f t="shared" si="278"/>
        <v>4.0055250000000001E-2</v>
      </c>
      <c r="AJ622">
        <f t="shared" si="260"/>
        <v>4.0055250000000001E-2</v>
      </c>
      <c r="AK622">
        <v>4.0055250000000001E-2</v>
      </c>
      <c r="AL622">
        <v>6.721763E-2</v>
      </c>
      <c r="AM622">
        <v>0.10840708</v>
      </c>
      <c r="AN622">
        <v>0.11635565</v>
      </c>
      <c r="AO622">
        <v>95.994474999999994</v>
      </c>
      <c r="AP622">
        <v>93.278237000000004</v>
      </c>
      <c r="AQ622">
        <v>89.159291999999994</v>
      </c>
      <c r="AR622">
        <v>88.364435</v>
      </c>
      <c r="AS622" t="b">
        <v>0</v>
      </c>
      <c r="AT622" t="b">
        <v>0</v>
      </c>
      <c r="AU622" t="s">
        <v>92</v>
      </c>
      <c r="AV622" t="s">
        <v>92</v>
      </c>
      <c r="AW622" t="s">
        <v>783</v>
      </c>
      <c r="AX622" t="s">
        <v>812</v>
      </c>
      <c r="AY622" t="s">
        <v>911</v>
      </c>
      <c r="AZ622" t="s">
        <v>109</v>
      </c>
      <c r="BA622">
        <v>10</v>
      </c>
      <c r="BB622">
        <v>0.35</v>
      </c>
      <c r="BC622">
        <v>2.4711695999999998E-2</v>
      </c>
      <c r="BD622">
        <v>1.72884756304863E-3</v>
      </c>
      <c r="BE622">
        <v>2.6440543563048601E-2</v>
      </c>
      <c r="BF622">
        <f>IF(AK622&lt;BE622,1,0)</f>
        <v>0</v>
      </c>
      <c r="BG622">
        <f>IF(AK622&lt;BC622,1,0)</f>
        <v>0</v>
      </c>
      <c r="BH622">
        <f>VLOOKUP($B622,[1]Data_Peer_with_peerVars!$B$2:$Z$1050,20,FALSE)</f>
        <v>3</v>
      </c>
      <c r="BI622">
        <f>VLOOKUP($B622,[1]Data_Peer_with_peerVars!$B$2:$Z$1050,21,FALSE)</f>
        <v>1</v>
      </c>
      <c r="BJ622">
        <f>VLOOKUP($B622,[1]Data_Peer_with_peerVars!$B$2:$Z$1050,22,FALSE)</f>
        <v>0.33333333300000001</v>
      </c>
      <c r="BK622">
        <f>VLOOKUP($B622,[1]Data_Peer_with_peerVars!$B$2:$Z$1050,23,FALSE)</f>
        <v>41</v>
      </c>
      <c r="BL622">
        <f>VLOOKUP($B622,[1]Data_Peer_with_peerVars!$B$2:$Z$1050,24,FALSE)</f>
        <v>21</v>
      </c>
      <c r="BM622">
        <f>VLOOKUP($B622,[1]Data_Peer_with_peerVars!$B$2:$Z$1050,25,FALSE)</f>
        <v>0.51219512199999995</v>
      </c>
    </row>
    <row r="623" spans="1:65" x14ac:dyDescent="0.2">
      <c r="A623">
        <v>1</v>
      </c>
      <c r="B623" t="s">
        <v>992</v>
      </c>
      <c r="C623">
        <v>351</v>
      </c>
      <c r="D623" t="s">
        <v>155</v>
      </c>
      <c r="E623">
        <v>0</v>
      </c>
      <c r="F623" s="14" t="s">
        <v>82</v>
      </c>
      <c r="G623" s="14" t="s">
        <v>82</v>
      </c>
      <c r="H623" s="1">
        <v>7</v>
      </c>
      <c r="I623" t="s">
        <v>87</v>
      </c>
      <c r="J623" t="s">
        <v>150</v>
      </c>
      <c r="K623" t="s">
        <v>72</v>
      </c>
      <c r="L623">
        <v>1</v>
      </c>
      <c r="M623">
        <v>1</v>
      </c>
      <c r="N623">
        <v>0</v>
      </c>
      <c r="O623">
        <v>0</v>
      </c>
      <c r="P623">
        <v>0</v>
      </c>
      <c r="Q623">
        <v>6</v>
      </c>
      <c r="R623">
        <v>0</v>
      </c>
      <c r="S623">
        <v>0</v>
      </c>
      <c r="T623">
        <v>0</v>
      </c>
      <c r="U623">
        <v>0</v>
      </c>
      <c r="V623">
        <f t="shared" si="257"/>
        <v>0</v>
      </c>
      <c r="W623">
        <f t="shared" si="258"/>
        <v>0</v>
      </c>
      <c r="X623">
        <f t="shared" si="261"/>
        <v>0</v>
      </c>
      <c r="Y623">
        <f t="shared" si="259"/>
        <v>0</v>
      </c>
      <c r="Z623" t="s">
        <v>98</v>
      </c>
      <c r="AA623" s="5" t="s">
        <v>170</v>
      </c>
      <c r="AB623" s="5" t="s">
        <v>867</v>
      </c>
      <c r="AC623" t="s">
        <v>91</v>
      </c>
      <c r="AD623" t="s">
        <v>137</v>
      </c>
      <c r="AE623" s="5" t="s">
        <v>497</v>
      </c>
      <c r="AF623" t="s">
        <v>287</v>
      </c>
      <c r="AG623" t="s">
        <v>113</v>
      </c>
      <c r="AH623">
        <f t="shared" ref="AH623:AH626" si="279">AI623</f>
        <v>6.1576354999999999E-2</v>
      </c>
      <c r="AI623">
        <f t="shared" ref="AI623:AI626" si="280">AJ623</f>
        <v>6.1576354999999999E-2</v>
      </c>
      <c r="AJ623">
        <f t="shared" si="260"/>
        <v>6.1576354999999999E-2</v>
      </c>
      <c r="AK623">
        <v>6.1576354999999999E-2</v>
      </c>
      <c r="AL623">
        <v>0.11071623999999999</v>
      </c>
      <c r="AM623">
        <v>0.12417942999999999</v>
      </c>
      <c r="AN623">
        <v>0.12919185999999999</v>
      </c>
      <c r="AO623">
        <v>93.842364500000002</v>
      </c>
      <c r="AP623">
        <v>88.928376</v>
      </c>
      <c r="AQ623">
        <v>87.582057000000006</v>
      </c>
      <c r="AR623">
        <v>87.080814000000004</v>
      </c>
      <c r="AS623" t="b">
        <v>0</v>
      </c>
      <c r="AT623" t="b">
        <v>0</v>
      </c>
      <c r="AU623" t="s">
        <v>92</v>
      </c>
      <c r="AV623" t="s">
        <v>92</v>
      </c>
      <c r="AW623" t="s">
        <v>783</v>
      </c>
      <c r="AX623" t="s">
        <v>812</v>
      </c>
      <c r="AY623" t="s">
        <v>805</v>
      </c>
      <c r="AZ623" t="s">
        <v>72</v>
      </c>
      <c r="BA623" t="s">
        <v>82</v>
      </c>
      <c r="BB623">
        <v>1.4</v>
      </c>
      <c r="BC623">
        <v>9.0659339999999995E-3</v>
      </c>
      <c r="BD623">
        <v>2.76583658862385E-3</v>
      </c>
      <c r="BE623">
        <v>1.1831770588623799E-2</v>
      </c>
      <c r="BF623">
        <f>IF(AK623&lt;BE623,1,0)</f>
        <v>0</v>
      </c>
      <c r="BG623">
        <f>IF(AK623&lt;BC623,1,0)</f>
        <v>0</v>
      </c>
      <c r="BH623">
        <f>VLOOKUP($B623,[1]Data_Peer_with_peerVars!$B$2:$Z$1050,20,FALSE)</f>
        <v>5</v>
      </c>
      <c r="BI623">
        <f>VLOOKUP($B623,[1]Data_Peer_with_peerVars!$B$2:$Z$1050,21,FALSE)</f>
        <v>3</v>
      </c>
      <c r="BJ623">
        <f>VLOOKUP($B623,[1]Data_Peer_with_peerVars!$B$2:$Z$1050,22,FALSE)</f>
        <v>0.6</v>
      </c>
      <c r="BK623">
        <f>VLOOKUP($B623,[1]Data_Peer_with_peerVars!$B$2:$Z$1050,23,FALSE)</f>
        <v>60</v>
      </c>
      <c r="BL623">
        <f>VLOOKUP($B623,[1]Data_Peer_with_peerVars!$B$2:$Z$1050,24,FALSE)</f>
        <v>24</v>
      </c>
      <c r="BM623">
        <f>VLOOKUP($B623,[1]Data_Peer_with_peerVars!$B$2:$Z$1050,25,FALSE)</f>
        <v>0.4</v>
      </c>
    </row>
    <row r="624" spans="1:65" x14ac:dyDescent="0.2">
      <c r="A624">
        <v>1</v>
      </c>
      <c r="B624" t="s">
        <v>993</v>
      </c>
      <c r="C624">
        <v>352</v>
      </c>
      <c r="D624" t="s">
        <v>68</v>
      </c>
      <c r="E624">
        <v>1</v>
      </c>
      <c r="F624">
        <v>59</v>
      </c>
      <c r="G624" t="s">
        <v>69</v>
      </c>
      <c r="H624" s="1">
        <v>7</v>
      </c>
      <c r="I624" t="s">
        <v>87</v>
      </c>
      <c r="J624" t="s">
        <v>88</v>
      </c>
      <c r="K624" t="s">
        <v>72</v>
      </c>
      <c r="L624">
        <v>1</v>
      </c>
      <c r="M624">
        <v>1</v>
      </c>
      <c r="N624">
        <v>1</v>
      </c>
      <c r="O624">
        <v>1</v>
      </c>
      <c r="P624">
        <v>1</v>
      </c>
      <c r="Q624">
        <v>6</v>
      </c>
      <c r="R624">
        <v>0</v>
      </c>
      <c r="S624">
        <v>0</v>
      </c>
      <c r="T624">
        <v>0</v>
      </c>
      <c r="U624">
        <v>1</v>
      </c>
      <c r="V624">
        <f t="shared" si="257"/>
        <v>0</v>
      </c>
      <c r="W624">
        <f t="shared" si="258"/>
        <v>0</v>
      </c>
      <c r="X624">
        <f t="shared" si="261"/>
        <v>0</v>
      </c>
      <c r="Y624">
        <f t="shared" si="259"/>
        <v>0</v>
      </c>
      <c r="Z624" t="s">
        <v>89</v>
      </c>
      <c r="AA624" s="5" t="s">
        <v>273</v>
      </c>
      <c r="AB624" s="5" t="s">
        <v>273</v>
      </c>
      <c r="AC624" t="s">
        <v>73</v>
      </c>
      <c r="AD624" t="s">
        <v>94</v>
      </c>
      <c r="AE624" s="5" t="s">
        <v>94</v>
      </c>
      <c r="AF624" t="s">
        <v>75</v>
      </c>
      <c r="AG624" t="s">
        <v>107</v>
      </c>
      <c r="AH624">
        <f t="shared" si="279"/>
        <v>2.8641570000000002E-2</v>
      </c>
      <c r="AI624">
        <f t="shared" si="280"/>
        <v>2.8641570000000002E-2</v>
      </c>
      <c r="AJ624">
        <f t="shared" si="260"/>
        <v>2.8641570000000002E-2</v>
      </c>
      <c r="AK624">
        <v>2.8641570000000002E-2</v>
      </c>
      <c r="AL624">
        <v>0.12247129499999999</v>
      </c>
      <c r="AM624">
        <v>0.13225629999999999</v>
      </c>
      <c r="AN624">
        <v>0.13795940000000001</v>
      </c>
      <c r="AO624">
        <v>97.135842999999994</v>
      </c>
      <c r="AP624">
        <v>87.7528705</v>
      </c>
      <c r="AQ624">
        <v>86.774370000000005</v>
      </c>
      <c r="AR624">
        <v>86.204059999999998</v>
      </c>
      <c r="AS624" t="b">
        <v>0</v>
      </c>
      <c r="AT624" t="b">
        <v>0</v>
      </c>
      <c r="AU624" t="s">
        <v>92</v>
      </c>
      <c r="AV624" t="s">
        <v>92</v>
      </c>
      <c r="AW624" t="s">
        <v>783</v>
      </c>
      <c r="AX624" t="s">
        <v>812</v>
      </c>
      <c r="AY624" t="s">
        <v>994</v>
      </c>
      <c r="AZ624" t="s">
        <v>72</v>
      </c>
      <c r="BA624" t="s">
        <v>82</v>
      </c>
      <c r="BB624">
        <v>0.25</v>
      </c>
      <c r="BC624">
        <v>4.1163553999999996E-3</v>
      </c>
      <c r="BD624">
        <v>1.4279989108178799E-4</v>
      </c>
      <c r="BE624">
        <v>4.2591552910817903E-3</v>
      </c>
      <c r="BF624">
        <f>IF(AK624&lt;BE624,1,0)</f>
        <v>0</v>
      </c>
      <c r="BG624">
        <f>IF(AK624&lt;BC624,1,0)</f>
        <v>0</v>
      </c>
      <c r="BH624">
        <f>VLOOKUP($B624,[1]Data_Peer_with_peerVars!$B$2:$Z$1050,20,FALSE)</f>
        <v>3</v>
      </c>
      <c r="BI624">
        <f>VLOOKUP($B624,[1]Data_Peer_with_peerVars!$B$2:$Z$1050,21,FALSE)</f>
        <v>2</v>
      </c>
      <c r="BJ624">
        <f>VLOOKUP($B624,[1]Data_Peer_with_peerVars!$B$2:$Z$1050,22,FALSE)</f>
        <v>0.66666666699999999</v>
      </c>
      <c r="BK624">
        <f>VLOOKUP($B624,[1]Data_Peer_with_peerVars!$B$2:$Z$1050,23,FALSE)</f>
        <v>42</v>
      </c>
      <c r="BL624">
        <f>VLOOKUP($B624,[1]Data_Peer_with_peerVars!$B$2:$Z$1050,24,FALSE)</f>
        <v>16</v>
      </c>
      <c r="BM624">
        <f>VLOOKUP($B624,[1]Data_Peer_with_peerVars!$B$2:$Z$1050,25,FALSE)</f>
        <v>0.38095238100000001</v>
      </c>
    </row>
    <row r="625" spans="1:65" x14ac:dyDescent="0.2">
      <c r="A625">
        <v>1</v>
      </c>
      <c r="B625" t="s">
        <v>995</v>
      </c>
      <c r="C625">
        <v>352</v>
      </c>
      <c r="D625" t="s">
        <v>68</v>
      </c>
      <c r="E625">
        <v>1</v>
      </c>
      <c r="F625">
        <v>59</v>
      </c>
      <c r="G625" t="s">
        <v>69</v>
      </c>
      <c r="H625" s="1">
        <v>7</v>
      </c>
      <c r="I625" t="s">
        <v>87</v>
      </c>
      <c r="J625" t="s">
        <v>88</v>
      </c>
      <c r="K625" t="s">
        <v>72</v>
      </c>
      <c r="L625">
        <v>1</v>
      </c>
      <c r="M625">
        <v>1</v>
      </c>
      <c r="N625">
        <v>1</v>
      </c>
      <c r="O625">
        <v>1</v>
      </c>
      <c r="P625">
        <v>1</v>
      </c>
      <c r="Q625">
        <v>6</v>
      </c>
      <c r="R625">
        <v>0</v>
      </c>
      <c r="S625">
        <v>0</v>
      </c>
      <c r="T625">
        <v>0</v>
      </c>
      <c r="U625">
        <v>0</v>
      </c>
      <c r="V625">
        <f t="shared" si="257"/>
        <v>0</v>
      </c>
      <c r="W625">
        <f t="shared" si="258"/>
        <v>0</v>
      </c>
      <c r="X625">
        <f t="shared" si="261"/>
        <v>0</v>
      </c>
      <c r="Y625">
        <f t="shared" si="259"/>
        <v>0</v>
      </c>
      <c r="Z625" t="s">
        <v>98</v>
      </c>
      <c r="AA625" s="5" t="s">
        <v>362</v>
      </c>
      <c r="AB625" s="5" t="s">
        <v>574</v>
      </c>
      <c r="AC625" t="s">
        <v>73</v>
      </c>
      <c r="AD625" t="s">
        <v>94</v>
      </c>
      <c r="AE625" s="5" t="s">
        <v>94</v>
      </c>
      <c r="AF625" t="s">
        <v>75</v>
      </c>
      <c r="AG625" t="s">
        <v>95</v>
      </c>
      <c r="AH625">
        <f t="shared" si="279"/>
        <v>7.0065429999999998E-2</v>
      </c>
      <c r="AI625">
        <f t="shared" si="280"/>
        <v>7.0065429999999998E-2</v>
      </c>
      <c r="AJ625">
        <f t="shared" si="260"/>
        <v>7.0065429999999998E-2</v>
      </c>
      <c r="AK625">
        <v>7.0065429999999998E-2</v>
      </c>
      <c r="AL625">
        <v>0.11708515</v>
      </c>
      <c r="AM625">
        <v>0.12910284</v>
      </c>
      <c r="AN625">
        <v>0.14071038</v>
      </c>
      <c r="AO625">
        <v>92.993457000000006</v>
      </c>
      <c r="AP625">
        <v>88.291484999999994</v>
      </c>
      <c r="AQ625">
        <v>87.089715999999996</v>
      </c>
      <c r="AR625">
        <v>85.928961999999999</v>
      </c>
      <c r="AS625" t="b">
        <v>0</v>
      </c>
      <c r="AT625" t="b">
        <v>0</v>
      </c>
      <c r="AU625" t="s">
        <v>77</v>
      </c>
      <c r="AV625" t="s">
        <v>78</v>
      </c>
      <c r="AW625" t="s">
        <v>783</v>
      </c>
      <c r="AX625" t="s">
        <v>812</v>
      </c>
      <c r="AY625" t="s">
        <v>994</v>
      </c>
      <c r="AZ625" t="s">
        <v>72</v>
      </c>
      <c r="BA625" t="s">
        <v>82</v>
      </c>
      <c r="BB625">
        <v>0.25</v>
      </c>
      <c r="BC625">
        <v>4.1163553999999996E-3</v>
      </c>
      <c r="BD625">
        <v>1.4279989108178799E-4</v>
      </c>
      <c r="BE625">
        <v>4.2591552910817903E-3</v>
      </c>
      <c r="BF625">
        <f>IF(AK625&lt;BE625,1,0)</f>
        <v>0</v>
      </c>
      <c r="BG625">
        <f>IF(AK625&lt;BC625,1,0)</f>
        <v>0</v>
      </c>
      <c r="BH625">
        <f>VLOOKUP($B625,[1]Data_Peer_with_peerVars!$B$2:$Z$1050,20,FALSE)</f>
        <v>3</v>
      </c>
      <c r="BI625">
        <f>VLOOKUP($B625,[1]Data_Peer_with_peerVars!$B$2:$Z$1050,21,FALSE)</f>
        <v>2</v>
      </c>
      <c r="BJ625">
        <f>VLOOKUP($B625,[1]Data_Peer_with_peerVars!$B$2:$Z$1050,22,FALSE)</f>
        <v>0.66666666699999999</v>
      </c>
      <c r="BK625">
        <f>VLOOKUP($B625,[1]Data_Peer_with_peerVars!$B$2:$Z$1050,23,FALSE)</f>
        <v>42</v>
      </c>
      <c r="BL625">
        <f>VLOOKUP($B625,[1]Data_Peer_with_peerVars!$B$2:$Z$1050,24,FALSE)</f>
        <v>16</v>
      </c>
      <c r="BM625">
        <f>VLOOKUP($B625,[1]Data_Peer_with_peerVars!$B$2:$Z$1050,25,FALSE)</f>
        <v>0.38095238100000001</v>
      </c>
    </row>
    <row r="626" spans="1:65" x14ac:dyDescent="0.2">
      <c r="A626">
        <v>1</v>
      </c>
      <c r="B626" t="s">
        <v>996</v>
      </c>
      <c r="C626">
        <v>353</v>
      </c>
      <c r="D626" t="s">
        <v>68</v>
      </c>
      <c r="E626">
        <v>1</v>
      </c>
      <c r="F626">
        <v>67</v>
      </c>
      <c r="G626" t="s">
        <v>69</v>
      </c>
      <c r="H626" s="1">
        <v>0</v>
      </c>
      <c r="I626" t="s">
        <v>87</v>
      </c>
      <c r="J626" t="s">
        <v>150</v>
      </c>
      <c r="K626" t="s">
        <v>72</v>
      </c>
      <c r="L626">
        <v>1</v>
      </c>
      <c r="M626">
        <v>1</v>
      </c>
      <c r="N626">
        <v>1</v>
      </c>
      <c r="O626">
        <v>0</v>
      </c>
      <c r="P626">
        <v>0</v>
      </c>
      <c r="Q626">
        <v>6</v>
      </c>
      <c r="R626">
        <v>0</v>
      </c>
      <c r="S626">
        <v>0</v>
      </c>
      <c r="T626">
        <v>0</v>
      </c>
      <c r="U626">
        <v>0</v>
      </c>
      <c r="V626">
        <f t="shared" si="257"/>
        <v>0</v>
      </c>
      <c r="W626">
        <f t="shared" si="258"/>
        <v>0</v>
      </c>
      <c r="X626">
        <f t="shared" si="261"/>
        <v>0</v>
      </c>
      <c r="Y626">
        <f t="shared" si="259"/>
        <v>0</v>
      </c>
      <c r="Z626" t="s">
        <v>89</v>
      </c>
      <c r="AA626" s="5" t="s">
        <v>268</v>
      </c>
      <c r="AB626" s="5" t="s">
        <v>268</v>
      </c>
      <c r="AC626" t="s">
        <v>75</v>
      </c>
      <c r="AD626" t="s">
        <v>91</v>
      </c>
      <c r="AE626" s="5" t="s">
        <v>91</v>
      </c>
      <c r="AF626" t="s">
        <v>74</v>
      </c>
      <c r="AG626" t="s">
        <v>120</v>
      </c>
      <c r="AH626">
        <f t="shared" si="279"/>
        <v>7.7996715999999994E-2</v>
      </c>
      <c r="AI626">
        <f t="shared" si="280"/>
        <v>7.7996715999999994E-2</v>
      </c>
      <c r="AJ626">
        <f t="shared" si="260"/>
        <v>7.7996715999999994E-2</v>
      </c>
      <c r="AK626">
        <v>7.7996715999999994E-2</v>
      </c>
      <c r="AL626">
        <v>9.3544855999999996E-2</v>
      </c>
      <c r="AM626">
        <v>0.11979166400000001</v>
      </c>
      <c r="AN626">
        <v>0.12704918000000001</v>
      </c>
      <c r="AO626">
        <v>92.200328400000004</v>
      </c>
      <c r="AP626">
        <v>90.645514399999996</v>
      </c>
      <c r="AQ626">
        <v>88.020833600000003</v>
      </c>
      <c r="AR626">
        <v>87.295081999999994</v>
      </c>
      <c r="AS626" t="b">
        <v>0</v>
      </c>
      <c r="AT626" t="b">
        <v>0</v>
      </c>
      <c r="AU626" t="s">
        <v>92</v>
      </c>
      <c r="AV626" t="s">
        <v>92</v>
      </c>
      <c r="AW626" t="s">
        <v>783</v>
      </c>
      <c r="AX626" t="s">
        <v>812</v>
      </c>
      <c r="AY626" t="s">
        <v>994</v>
      </c>
      <c r="AZ626" t="s">
        <v>72</v>
      </c>
      <c r="BA626" t="s">
        <v>82</v>
      </c>
      <c r="BB626">
        <v>0.5</v>
      </c>
      <c r="BC626">
        <v>2.3038946000000001E-2</v>
      </c>
      <c r="BD626">
        <v>2.6184719377746E-3</v>
      </c>
      <c r="BE626">
        <v>2.5657417937774599E-2</v>
      </c>
      <c r="BF626">
        <f>IF(AK626&lt;BE626,1,0)</f>
        <v>0</v>
      </c>
      <c r="BG626">
        <f>IF(AK626&lt;BC626,1,0)</f>
        <v>0</v>
      </c>
      <c r="BH626">
        <f>VLOOKUP($B626,[1]Data_Peer_with_peerVars!$B$2:$Z$1050,20,FALSE)</f>
        <v>3</v>
      </c>
      <c r="BI626">
        <f>VLOOKUP($B626,[1]Data_Peer_with_peerVars!$B$2:$Z$1050,21,FALSE)</f>
        <v>1</v>
      </c>
      <c r="BJ626">
        <f>VLOOKUP($B626,[1]Data_Peer_with_peerVars!$B$2:$Z$1050,22,FALSE)</f>
        <v>0.33333333300000001</v>
      </c>
      <c r="BK626">
        <f>VLOOKUP($B626,[1]Data_Peer_with_peerVars!$B$2:$Z$1050,23,FALSE)</f>
        <v>32</v>
      </c>
      <c r="BL626">
        <f>VLOOKUP($B626,[1]Data_Peer_with_peerVars!$B$2:$Z$1050,24,FALSE)</f>
        <v>12</v>
      </c>
      <c r="BM626">
        <f>VLOOKUP($B626,[1]Data_Peer_with_peerVars!$B$2:$Z$1050,25,FALSE)</f>
        <v>0.375</v>
      </c>
    </row>
    <row r="627" spans="1:65" x14ac:dyDescent="0.2">
      <c r="A627">
        <v>1</v>
      </c>
      <c r="B627" t="s">
        <v>997</v>
      </c>
      <c r="C627">
        <v>354</v>
      </c>
      <c r="D627" t="s">
        <v>68</v>
      </c>
      <c r="E627">
        <v>1</v>
      </c>
      <c r="F627">
        <v>803</v>
      </c>
      <c r="G627" t="s">
        <v>69</v>
      </c>
      <c r="H627" s="1">
        <v>6</v>
      </c>
      <c r="I627" t="s">
        <v>70</v>
      </c>
      <c r="J627" t="s">
        <v>436</v>
      </c>
      <c r="K627" t="s">
        <v>109</v>
      </c>
      <c r="L627">
        <v>2</v>
      </c>
      <c r="M627">
        <v>0</v>
      </c>
      <c r="N627">
        <v>1</v>
      </c>
      <c r="O627">
        <v>0</v>
      </c>
      <c r="P627">
        <v>1</v>
      </c>
      <c r="Q627">
        <v>3</v>
      </c>
      <c r="R627">
        <v>0</v>
      </c>
      <c r="S627">
        <v>0</v>
      </c>
      <c r="T627">
        <v>0</v>
      </c>
      <c r="U627">
        <v>0</v>
      </c>
      <c r="V627">
        <f t="shared" si="257"/>
        <v>1</v>
      </c>
      <c r="W627">
        <v>1</v>
      </c>
      <c r="X627">
        <v>1</v>
      </c>
      <c r="Y627">
        <v>1</v>
      </c>
      <c r="Z627" t="s">
        <v>91</v>
      </c>
      <c r="AA627" s="5" t="s">
        <v>91</v>
      </c>
      <c r="AB627" s="5" t="s">
        <v>998</v>
      </c>
      <c r="AC627" t="s">
        <v>91</v>
      </c>
      <c r="AD627" t="s">
        <v>287</v>
      </c>
      <c r="AE627" s="5" t="s">
        <v>287</v>
      </c>
      <c r="AF627" t="s">
        <v>137</v>
      </c>
      <c r="AG627" t="s">
        <v>84</v>
      </c>
      <c r="AH627">
        <f>AI627</f>
        <v>3.0087527999999998E-3</v>
      </c>
      <c r="AI627">
        <f>AJ627</f>
        <v>3.0087527999999998E-3</v>
      </c>
      <c r="AJ627">
        <f t="shared" si="260"/>
        <v>3.0087527999999998E-3</v>
      </c>
      <c r="AK627">
        <v>3.0087527999999998E-3</v>
      </c>
      <c r="AL627">
        <v>0.12055768</v>
      </c>
      <c r="AM627">
        <v>0.12821214</v>
      </c>
      <c r="AN627">
        <v>0.13413964</v>
      </c>
      <c r="AO627">
        <v>99.69912472</v>
      </c>
      <c r="AP627">
        <v>87.944232</v>
      </c>
      <c r="AQ627">
        <v>87.178786000000002</v>
      </c>
      <c r="AR627">
        <v>86.586036000000007</v>
      </c>
      <c r="AS627" t="b">
        <v>1</v>
      </c>
      <c r="AT627" t="b">
        <v>0</v>
      </c>
      <c r="AU627" t="s">
        <v>77</v>
      </c>
      <c r="AV627" t="s">
        <v>78</v>
      </c>
      <c r="AW627" t="s">
        <v>783</v>
      </c>
      <c r="AX627" t="s">
        <v>812</v>
      </c>
      <c r="AY627" t="s">
        <v>994</v>
      </c>
      <c r="AZ627" t="s">
        <v>109</v>
      </c>
      <c r="BA627">
        <v>5</v>
      </c>
      <c r="BB627">
        <v>1.5</v>
      </c>
      <c r="BC627">
        <v>9.0659339999999995E-3</v>
      </c>
      <c r="BD627">
        <v>2.76583658862385E-3</v>
      </c>
      <c r="BE627">
        <v>1.1831770588623799E-2</v>
      </c>
      <c r="BF627">
        <f>IF(AK627&lt;BE627,1,0)</f>
        <v>1</v>
      </c>
      <c r="BG627">
        <f>IF(AK627&lt;BC627,1,0)</f>
        <v>1</v>
      </c>
      <c r="BH627">
        <f>VLOOKUP($B627,[1]Data_Peer_with_peerVars!$B$2:$Z$1050,20,FALSE)</f>
        <v>6</v>
      </c>
      <c r="BI627">
        <f>VLOOKUP($B627,[1]Data_Peer_with_peerVars!$B$2:$Z$1050,21,FALSE)</f>
        <v>1</v>
      </c>
      <c r="BJ627">
        <f>VLOOKUP($B627,[1]Data_Peer_with_peerVars!$B$2:$Z$1050,22,FALSE)</f>
        <v>0.16666666699999999</v>
      </c>
      <c r="BK627">
        <f>VLOOKUP($B627,[1]Data_Peer_with_peerVars!$B$2:$Z$1050,23,FALSE)</f>
        <v>33</v>
      </c>
      <c r="BL627">
        <f>VLOOKUP($B627,[1]Data_Peer_with_peerVars!$B$2:$Z$1050,24,FALSE)</f>
        <v>12</v>
      </c>
      <c r="BM627">
        <f>VLOOKUP($B627,[1]Data_Peer_with_peerVars!$B$2:$Z$1050,25,FALSE)</f>
        <v>0.36363636399999999</v>
      </c>
    </row>
    <row r="628" spans="1:65" x14ac:dyDescent="0.2">
      <c r="A628">
        <v>1</v>
      </c>
      <c r="B628" t="s">
        <v>999</v>
      </c>
      <c r="C628">
        <v>355</v>
      </c>
      <c r="D628" t="s">
        <v>68</v>
      </c>
      <c r="E628">
        <v>1</v>
      </c>
      <c r="F628">
        <v>58</v>
      </c>
      <c r="G628" t="s">
        <v>86</v>
      </c>
      <c r="H628" s="1">
        <v>7</v>
      </c>
      <c r="I628" t="s">
        <v>87</v>
      </c>
      <c r="J628" t="s">
        <v>150</v>
      </c>
      <c r="L628">
        <v>1</v>
      </c>
      <c r="M628">
        <v>1</v>
      </c>
      <c r="N628">
        <v>1</v>
      </c>
      <c r="O628">
        <v>1</v>
      </c>
      <c r="P628">
        <v>0</v>
      </c>
      <c r="Q628">
        <v>6</v>
      </c>
      <c r="R628">
        <v>0</v>
      </c>
      <c r="S628">
        <v>0</v>
      </c>
      <c r="T628">
        <v>0</v>
      </c>
      <c r="U628">
        <v>0</v>
      </c>
      <c r="V628">
        <f t="shared" si="257"/>
        <v>0</v>
      </c>
      <c r="W628">
        <f t="shared" si="258"/>
        <v>0</v>
      </c>
      <c r="X628">
        <f t="shared" si="261"/>
        <v>0</v>
      </c>
      <c r="Y628">
        <f t="shared" si="259"/>
        <v>0</v>
      </c>
      <c r="Z628" t="s">
        <v>89</v>
      </c>
      <c r="AA628" s="5" t="s">
        <v>89</v>
      </c>
      <c r="AB628" s="5" t="s">
        <v>577</v>
      </c>
      <c r="AC628" t="s">
        <v>91</v>
      </c>
      <c r="AD628" t="s">
        <v>287</v>
      </c>
      <c r="AE628" s="5" t="s">
        <v>287</v>
      </c>
      <c r="AF628" t="s">
        <v>137</v>
      </c>
      <c r="AG628" t="s">
        <v>84</v>
      </c>
      <c r="AH628">
        <f>AI628</f>
        <v>3.2822757000000001E-3</v>
      </c>
      <c r="AI628">
        <f t="shared" ref="AI628:AI632" si="281">AJ628</f>
        <v>3.2822757000000001E-3</v>
      </c>
      <c r="AJ628">
        <f t="shared" si="260"/>
        <v>3.2822757000000001E-3</v>
      </c>
      <c r="AK628">
        <v>3.2822757000000001E-3</v>
      </c>
      <c r="AL628">
        <v>0.12055768</v>
      </c>
      <c r="AM628">
        <v>0.12896173999999999</v>
      </c>
      <c r="AN628">
        <v>0.13276525</v>
      </c>
      <c r="AO628">
        <v>99.671772430000004</v>
      </c>
      <c r="AP628">
        <v>87.944232</v>
      </c>
      <c r="AQ628">
        <v>87.103825999999998</v>
      </c>
      <c r="AR628">
        <v>86.723474999999993</v>
      </c>
      <c r="AS628" t="b">
        <v>0</v>
      </c>
      <c r="AT628" t="b">
        <v>0</v>
      </c>
      <c r="AU628" t="s">
        <v>92</v>
      </c>
      <c r="AV628" t="s">
        <v>92</v>
      </c>
      <c r="AW628" t="s">
        <v>783</v>
      </c>
      <c r="AX628" t="s">
        <v>812</v>
      </c>
      <c r="AY628" t="s">
        <v>994</v>
      </c>
      <c r="AZ628" t="s">
        <v>89</v>
      </c>
      <c r="BA628" t="s">
        <v>82</v>
      </c>
      <c r="BB628">
        <v>0.7</v>
      </c>
      <c r="BC628">
        <v>9.0659339999999995E-3</v>
      </c>
      <c r="BD628">
        <v>2.76583658862385E-3</v>
      </c>
      <c r="BE628">
        <v>1.1831770588623799E-2</v>
      </c>
      <c r="BF628">
        <f>IF(AK628&lt;BE628,1,0)</f>
        <v>1</v>
      </c>
      <c r="BG628">
        <f>IF(AK628&lt;BC628,1,0)</f>
        <v>1</v>
      </c>
      <c r="BH628">
        <f>VLOOKUP($B628,[1]Data_Peer_with_peerVars!$B$2:$Z$1050,20,FALSE)</f>
        <v>3</v>
      </c>
      <c r="BI628">
        <f>VLOOKUP($B628,[1]Data_Peer_with_peerVars!$B$2:$Z$1050,21,FALSE)</f>
        <v>1</v>
      </c>
      <c r="BJ628">
        <f>VLOOKUP($B628,[1]Data_Peer_with_peerVars!$B$2:$Z$1050,22,FALSE)</f>
        <v>0.33333333300000001</v>
      </c>
      <c r="BK628">
        <f>VLOOKUP($B628,[1]Data_Peer_with_peerVars!$B$2:$Z$1050,23,FALSE)</f>
        <v>33</v>
      </c>
      <c r="BL628">
        <f>VLOOKUP($B628,[1]Data_Peer_with_peerVars!$B$2:$Z$1050,24,FALSE)</f>
        <v>13</v>
      </c>
      <c r="BM628">
        <f>VLOOKUP($B628,[1]Data_Peer_with_peerVars!$B$2:$Z$1050,25,FALSE)</f>
        <v>0.393939394</v>
      </c>
    </row>
    <row r="629" spans="1:65" x14ac:dyDescent="0.2">
      <c r="A629">
        <v>1</v>
      </c>
      <c r="B629" t="s">
        <v>1000</v>
      </c>
      <c r="C629">
        <v>356</v>
      </c>
      <c r="D629" t="s">
        <v>68</v>
      </c>
      <c r="E629">
        <v>1</v>
      </c>
      <c r="F629">
        <v>61</v>
      </c>
      <c r="G629" t="s">
        <v>69</v>
      </c>
      <c r="H629" s="1">
        <v>6</v>
      </c>
      <c r="I629" t="s">
        <v>87</v>
      </c>
      <c r="J629" t="s">
        <v>111</v>
      </c>
      <c r="K629" t="s">
        <v>72</v>
      </c>
      <c r="L629">
        <v>1</v>
      </c>
      <c r="M629">
        <v>1</v>
      </c>
      <c r="N629">
        <v>1</v>
      </c>
      <c r="O629">
        <v>0</v>
      </c>
      <c r="P629">
        <v>0</v>
      </c>
      <c r="Q629">
        <v>0</v>
      </c>
      <c r="R629">
        <v>0</v>
      </c>
      <c r="S629">
        <v>0</v>
      </c>
      <c r="T629">
        <v>0</v>
      </c>
      <c r="U629">
        <v>0</v>
      </c>
      <c r="V629">
        <f t="shared" si="257"/>
        <v>0</v>
      </c>
      <c r="W629">
        <f t="shared" si="258"/>
        <v>1</v>
      </c>
      <c r="X629">
        <v>1</v>
      </c>
      <c r="Y629">
        <v>1</v>
      </c>
      <c r="Z629" t="s">
        <v>91</v>
      </c>
      <c r="AA629" s="5" t="s">
        <v>91</v>
      </c>
      <c r="AB629" s="5" t="s">
        <v>91</v>
      </c>
      <c r="AC629" t="s">
        <v>137</v>
      </c>
      <c r="AD629" t="s">
        <v>91</v>
      </c>
      <c r="AE629" s="5" t="s">
        <v>871</v>
      </c>
      <c r="AF629" t="s">
        <v>287</v>
      </c>
      <c r="AG629" t="s">
        <v>113</v>
      </c>
      <c r="AH629">
        <f>AI629</f>
        <v>0.121237</v>
      </c>
      <c r="AI629">
        <f t="shared" si="281"/>
        <v>0.121237</v>
      </c>
      <c r="AJ629">
        <f>AL629</f>
        <v>0.121237</v>
      </c>
      <c r="AK629">
        <v>0.11775956</v>
      </c>
      <c r="AL629">
        <v>0.121237</v>
      </c>
      <c r="AM629">
        <v>0.12759562999999999</v>
      </c>
      <c r="AN629">
        <v>0.13076924000000001</v>
      </c>
      <c r="AO629">
        <v>88.224044000000006</v>
      </c>
      <c r="AP629">
        <v>87.876300000000001</v>
      </c>
      <c r="AQ629">
        <v>87.240437</v>
      </c>
      <c r="AR629">
        <v>86.923075999999995</v>
      </c>
      <c r="AS629" t="b">
        <v>0</v>
      </c>
      <c r="AT629" t="b">
        <v>0</v>
      </c>
      <c r="AU629" t="s">
        <v>108</v>
      </c>
      <c r="AV629" t="s">
        <v>108</v>
      </c>
      <c r="AW629" t="s">
        <v>783</v>
      </c>
      <c r="AX629" t="s">
        <v>812</v>
      </c>
      <c r="AY629" t="s">
        <v>994</v>
      </c>
      <c r="AZ629" t="s">
        <v>72</v>
      </c>
      <c r="BA629" t="s">
        <v>82</v>
      </c>
      <c r="BB629">
        <v>0.17499999999999899</v>
      </c>
      <c r="BC629">
        <v>5.4824560000000001E-2</v>
      </c>
      <c r="BD629">
        <v>2.68252196314279E-2</v>
      </c>
      <c r="BE629">
        <v>8.1649779631427902E-2</v>
      </c>
      <c r="BF629">
        <f>IF(AK629&lt;BE629,1,0)</f>
        <v>0</v>
      </c>
      <c r="BG629">
        <f>IF(AK629&lt;BC629,1,0)</f>
        <v>0</v>
      </c>
      <c r="BH629">
        <f>VLOOKUP($B629,[1]Data_Peer_with_peerVars!$B$2:$Z$1050,20,FALSE)</f>
        <v>3</v>
      </c>
      <c r="BI629">
        <f>VLOOKUP($B629,[1]Data_Peer_with_peerVars!$B$2:$Z$1050,21,FALSE)</f>
        <v>0</v>
      </c>
      <c r="BJ629">
        <f>VLOOKUP($B629,[1]Data_Peer_with_peerVars!$B$2:$Z$1050,22,FALSE)</f>
        <v>0</v>
      </c>
      <c r="BK629">
        <f>VLOOKUP($B629,[1]Data_Peer_with_peerVars!$B$2:$Z$1050,23,FALSE)</f>
        <v>32</v>
      </c>
      <c r="BL629">
        <f>VLOOKUP($B629,[1]Data_Peer_with_peerVars!$B$2:$Z$1050,24,FALSE)</f>
        <v>11</v>
      </c>
      <c r="BM629">
        <f>VLOOKUP($B629,[1]Data_Peer_with_peerVars!$B$2:$Z$1050,25,FALSE)</f>
        <v>0.34375</v>
      </c>
    </row>
    <row r="630" spans="1:65" x14ac:dyDescent="0.2">
      <c r="A630">
        <v>1</v>
      </c>
      <c r="B630" t="s">
        <v>1001</v>
      </c>
      <c r="C630">
        <v>357</v>
      </c>
      <c r="D630" t="s">
        <v>68</v>
      </c>
      <c r="E630">
        <v>1</v>
      </c>
      <c r="F630">
        <v>63</v>
      </c>
      <c r="G630" t="s">
        <v>69</v>
      </c>
      <c r="H630" s="1">
        <v>7</v>
      </c>
      <c r="I630" t="s">
        <v>70</v>
      </c>
      <c r="J630" t="s">
        <v>436</v>
      </c>
      <c r="K630" t="s">
        <v>109</v>
      </c>
      <c r="L630">
        <v>1</v>
      </c>
      <c r="M630">
        <v>1</v>
      </c>
      <c r="N630">
        <v>1</v>
      </c>
      <c r="O630">
        <v>0</v>
      </c>
      <c r="P630">
        <v>0</v>
      </c>
      <c r="Q630">
        <v>4</v>
      </c>
      <c r="R630">
        <v>0</v>
      </c>
      <c r="S630">
        <v>0</v>
      </c>
      <c r="T630">
        <v>0</v>
      </c>
      <c r="U630">
        <v>0</v>
      </c>
      <c r="V630">
        <f t="shared" si="257"/>
        <v>0</v>
      </c>
      <c r="W630">
        <f t="shared" si="258"/>
        <v>0</v>
      </c>
      <c r="X630">
        <f t="shared" si="261"/>
        <v>0</v>
      </c>
      <c r="Y630">
        <f t="shared" si="259"/>
        <v>0</v>
      </c>
      <c r="Z630" t="s">
        <v>91</v>
      </c>
      <c r="AA630" s="5" t="s">
        <v>91</v>
      </c>
      <c r="AB630" s="5" t="s">
        <v>915</v>
      </c>
      <c r="AC630" t="s">
        <v>101</v>
      </c>
      <c r="AD630" t="s">
        <v>99</v>
      </c>
      <c r="AE630" s="5" t="s">
        <v>99</v>
      </c>
      <c r="AF630" t="s">
        <v>103</v>
      </c>
      <c r="AG630" t="s">
        <v>102</v>
      </c>
      <c r="AH630">
        <f t="shared" ref="AH630:AH633" si="282">AI630</f>
        <v>5.3021980000000003E-2</v>
      </c>
      <c r="AI630">
        <f t="shared" si="281"/>
        <v>5.3021980000000003E-2</v>
      </c>
      <c r="AJ630">
        <f t="shared" si="260"/>
        <v>5.3021980000000003E-2</v>
      </c>
      <c r="AK630">
        <v>5.3021980000000003E-2</v>
      </c>
      <c r="AL630">
        <v>6.6225160000000005E-2</v>
      </c>
      <c r="AM630">
        <v>9.9171270000000006E-2</v>
      </c>
      <c r="AN630">
        <v>0.13183807</v>
      </c>
      <c r="AO630">
        <v>94.697801999999996</v>
      </c>
      <c r="AP630">
        <v>93.377483999999995</v>
      </c>
      <c r="AQ630">
        <v>90.082873000000006</v>
      </c>
      <c r="AR630">
        <v>86.816192999999998</v>
      </c>
      <c r="AS630" t="b">
        <v>0</v>
      </c>
      <c r="AT630" t="b">
        <v>0</v>
      </c>
      <c r="AU630" t="s">
        <v>77</v>
      </c>
      <c r="AV630" t="s">
        <v>77</v>
      </c>
      <c r="AW630" t="s">
        <v>783</v>
      </c>
      <c r="AX630" t="s">
        <v>812</v>
      </c>
      <c r="AY630" t="s">
        <v>994</v>
      </c>
      <c r="AZ630" t="s">
        <v>109</v>
      </c>
      <c r="BA630">
        <v>2</v>
      </c>
      <c r="BB630">
        <v>1.4</v>
      </c>
      <c r="BC630">
        <v>1.4096186E-2</v>
      </c>
      <c r="BD630">
        <v>1.55088650053763E-3</v>
      </c>
      <c r="BE630">
        <v>1.5647072500537599E-2</v>
      </c>
      <c r="BF630">
        <f>IF(AK630&lt;BE630,1,0)</f>
        <v>0</v>
      </c>
      <c r="BG630">
        <f>IF(AK630&lt;BC630,1,0)</f>
        <v>0</v>
      </c>
      <c r="BH630">
        <f>VLOOKUP($B630,[1]Data_Peer_with_peerVars!$B$2:$Z$1050,20,FALSE)</f>
        <v>3</v>
      </c>
      <c r="BI630">
        <f>VLOOKUP($B630,[1]Data_Peer_with_peerVars!$B$2:$Z$1050,21,FALSE)</f>
        <v>2</v>
      </c>
      <c r="BJ630">
        <f>VLOOKUP($B630,[1]Data_Peer_with_peerVars!$B$2:$Z$1050,22,FALSE)</f>
        <v>0.66666666699999999</v>
      </c>
      <c r="BK630">
        <f>VLOOKUP($B630,[1]Data_Peer_with_peerVars!$B$2:$Z$1050,23,FALSE)</f>
        <v>32</v>
      </c>
      <c r="BL630">
        <f>VLOOKUP($B630,[1]Data_Peer_with_peerVars!$B$2:$Z$1050,24,FALSE)</f>
        <v>13</v>
      </c>
      <c r="BM630">
        <f>VLOOKUP($B630,[1]Data_Peer_with_peerVars!$B$2:$Z$1050,25,FALSE)</f>
        <v>0.40625</v>
      </c>
    </row>
    <row r="631" spans="1:65" x14ac:dyDescent="0.2">
      <c r="A631">
        <v>1</v>
      </c>
      <c r="B631" t="s">
        <v>1002</v>
      </c>
      <c r="C631">
        <v>357</v>
      </c>
      <c r="D631" t="s">
        <v>68</v>
      </c>
      <c r="E631">
        <v>1</v>
      </c>
      <c r="F631">
        <v>63</v>
      </c>
      <c r="G631" t="s">
        <v>69</v>
      </c>
      <c r="H631" s="1">
        <v>7</v>
      </c>
      <c r="I631" t="s">
        <v>70</v>
      </c>
      <c r="J631" t="s">
        <v>436</v>
      </c>
      <c r="K631" t="s">
        <v>109</v>
      </c>
      <c r="L631">
        <v>1</v>
      </c>
      <c r="M631">
        <v>1</v>
      </c>
      <c r="N631">
        <v>1</v>
      </c>
      <c r="O631">
        <v>0</v>
      </c>
      <c r="P631">
        <v>0</v>
      </c>
      <c r="Q631">
        <v>4</v>
      </c>
      <c r="R631">
        <v>0</v>
      </c>
      <c r="S631">
        <v>0</v>
      </c>
      <c r="T631">
        <v>1</v>
      </c>
      <c r="U631">
        <v>1</v>
      </c>
      <c r="V631">
        <f t="shared" si="257"/>
        <v>0</v>
      </c>
      <c r="W631">
        <f t="shared" si="258"/>
        <v>0</v>
      </c>
      <c r="X631">
        <f t="shared" si="261"/>
        <v>0</v>
      </c>
      <c r="Y631">
        <f t="shared" si="259"/>
        <v>0</v>
      </c>
      <c r="Z631" t="s">
        <v>89</v>
      </c>
      <c r="AA631" s="5" t="s">
        <v>273</v>
      </c>
      <c r="AB631" s="5" t="s">
        <v>273</v>
      </c>
      <c r="AC631" t="s">
        <v>73</v>
      </c>
      <c r="AD631" t="s">
        <v>94</v>
      </c>
      <c r="AE631" s="5" t="s">
        <v>106</v>
      </c>
      <c r="AF631" t="s">
        <v>107</v>
      </c>
      <c r="AG631" t="s">
        <v>95</v>
      </c>
      <c r="AH631">
        <f t="shared" si="282"/>
        <v>4.0938863999999998E-3</v>
      </c>
      <c r="AI631">
        <f t="shared" si="281"/>
        <v>4.0938863999999998E-3</v>
      </c>
      <c r="AJ631">
        <f t="shared" si="260"/>
        <v>4.0938863999999998E-3</v>
      </c>
      <c r="AK631">
        <v>4.0938863999999998E-3</v>
      </c>
      <c r="AL631">
        <v>0.1321116</v>
      </c>
      <c r="AM631">
        <v>0.13658803999999999</v>
      </c>
      <c r="AN631">
        <v>0.13917808000000001</v>
      </c>
      <c r="AO631">
        <v>99.590611359999997</v>
      </c>
      <c r="AP631">
        <v>86.788839999999993</v>
      </c>
      <c r="AQ631">
        <v>86.341195999999997</v>
      </c>
      <c r="AR631">
        <v>86.082192000000006</v>
      </c>
      <c r="AS631" t="b">
        <v>0</v>
      </c>
      <c r="AT631" t="b">
        <v>0</v>
      </c>
      <c r="AU631" t="s">
        <v>92</v>
      </c>
      <c r="AV631" t="s">
        <v>92</v>
      </c>
      <c r="AW631" t="s">
        <v>783</v>
      </c>
      <c r="AX631" t="s">
        <v>812</v>
      </c>
      <c r="AY631" t="s">
        <v>994</v>
      </c>
      <c r="AZ631" t="s">
        <v>82</v>
      </c>
      <c r="BA631" t="s">
        <v>82</v>
      </c>
      <c r="BB631">
        <v>0.4</v>
      </c>
      <c r="BC631">
        <v>4.1163553999999996E-3</v>
      </c>
      <c r="BD631">
        <v>1.4279989108178799E-4</v>
      </c>
      <c r="BE631">
        <v>4.2591552910817903E-3</v>
      </c>
      <c r="BF631">
        <f>IF(AK631&lt;BE631,1,0)</f>
        <v>1</v>
      </c>
      <c r="BG631">
        <f>IF(AK631&lt;BC631,1,0)</f>
        <v>1</v>
      </c>
      <c r="BH631">
        <f>VLOOKUP($B631,[1]Data_Peer_with_peerVars!$B$2:$Z$1050,20,FALSE)</f>
        <v>3</v>
      </c>
      <c r="BI631">
        <f>VLOOKUP($B631,[1]Data_Peer_with_peerVars!$B$2:$Z$1050,21,FALSE)</f>
        <v>2</v>
      </c>
      <c r="BJ631">
        <f>VLOOKUP($B631,[1]Data_Peer_with_peerVars!$B$2:$Z$1050,22,FALSE)</f>
        <v>0.66666666699999999</v>
      </c>
      <c r="BK631">
        <f>VLOOKUP($B631,[1]Data_Peer_with_peerVars!$B$2:$Z$1050,23,FALSE)</f>
        <v>32</v>
      </c>
      <c r="BL631">
        <f>VLOOKUP($B631,[1]Data_Peer_with_peerVars!$B$2:$Z$1050,24,FALSE)</f>
        <v>13</v>
      </c>
      <c r="BM631">
        <f>VLOOKUP($B631,[1]Data_Peer_with_peerVars!$B$2:$Z$1050,25,FALSE)</f>
        <v>0.40625</v>
      </c>
    </row>
    <row r="632" spans="1:65" x14ac:dyDescent="0.2">
      <c r="A632">
        <v>1</v>
      </c>
      <c r="B632" t="s">
        <v>1003</v>
      </c>
      <c r="C632">
        <v>358</v>
      </c>
      <c r="D632" t="s">
        <v>68</v>
      </c>
      <c r="E632">
        <v>1</v>
      </c>
      <c r="F632">
        <v>68</v>
      </c>
      <c r="G632" t="s">
        <v>86</v>
      </c>
      <c r="H632" s="1">
        <v>4</v>
      </c>
      <c r="I632" t="s">
        <v>87</v>
      </c>
      <c r="J632" t="s">
        <v>150</v>
      </c>
      <c r="K632" t="s">
        <v>72</v>
      </c>
      <c r="L632">
        <v>1</v>
      </c>
      <c r="M632">
        <v>0</v>
      </c>
      <c r="N632">
        <v>1</v>
      </c>
      <c r="O632">
        <v>0</v>
      </c>
      <c r="P632">
        <v>0</v>
      </c>
      <c r="Q632">
        <v>10</v>
      </c>
      <c r="R632">
        <v>0</v>
      </c>
      <c r="S632">
        <v>0</v>
      </c>
      <c r="T632">
        <v>0</v>
      </c>
      <c r="U632">
        <v>0</v>
      </c>
      <c r="V632">
        <f t="shared" si="257"/>
        <v>0</v>
      </c>
      <c r="W632">
        <f t="shared" si="258"/>
        <v>1</v>
      </c>
      <c r="X632">
        <v>1</v>
      </c>
      <c r="Y632">
        <v>1</v>
      </c>
      <c r="Z632" t="s">
        <v>91</v>
      </c>
      <c r="AA632" s="5" t="s">
        <v>91</v>
      </c>
      <c r="AB632" s="5" t="s">
        <v>915</v>
      </c>
      <c r="AC632" t="s">
        <v>73</v>
      </c>
      <c r="AD632" t="s">
        <v>91</v>
      </c>
      <c r="AE632" s="5" t="s">
        <v>91</v>
      </c>
      <c r="AF632" t="s">
        <v>287</v>
      </c>
      <c r="AG632" t="s">
        <v>137</v>
      </c>
      <c r="AH632">
        <f t="shared" si="282"/>
        <v>0.12007659</v>
      </c>
      <c r="AI632">
        <f t="shared" si="281"/>
        <v>0.12007659</v>
      </c>
      <c r="AJ632">
        <f>AL632</f>
        <v>0.12007659</v>
      </c>
      <c r="AK632">
        <v>0.113747954</v>
      </c>
      <c r="AL632">
        <v>0.12007659</v>
      </c>
      <c r="AM632">
        <v>0.12452212</v>
      </c>
      <c r="AN632">
        <v>0.14254506</v>
      </c>
      <c r="AO632">
        <v>88.625204600000004</v>
      </c>
      <c r="AP632">
        <v>87.992340999999996</v>
      </c>
      <c r="AQ632">
        <v>87.547787999999997</v>
      </c>
      <c r="AR632">
        <v>85.745493999999994</v>
      </c>
      <c r="AS632" t="b">
        <v>0</v>
      </c>
      <c r="AT632" t="b">
        <v>1</v>
      </c>
      <c r="AU632" t="s">
        <v>78</v>
      </c>
      <c r="AV632" t="s">
        <v>78</v>
      </c>
      <c r="AW632" t="s">
        <v>783</v>
      </c>
      <c r="AX632" t="s">
        <v>812</v>
      </c>
      <c r="AY632" t="s">
        <v>994</v>
      </c>
      <c r="AZ632" t="s">
        <v>72</v>
      </c>
      <c r="BA632" t="s">
        <v>82</v>
      </c>
      <c r="BB632">
        <v>1.4</v>
      </c>
      <c r="BC632">
        <v>4.1163553999999996E-3</v>
      </c>
      <c r="BD632">
        <v>1.4279989108178799E-4</v>
      </c>
      <c r="BE632">
        <v>4.2591552910817903E-3</v>
      </c>
      <c r="BF632">
        <f>IF(AK632&lt;BE632,1,0)</f>
        <v>0</v>
      </c>
      <c r="BG632">
        <f>IF(AK632&lt;BC632,1,0)</f>
        <v>0</v>
      </c>
      <c r="BH632">
        <f>VLOOKUP($B632,[1]Data_Peer_with_peerVars!$B$2:$Z$1050,20,FALSE)</f>
        <v>6</v>
      </c>
      <c r="BI632">
        <f>VLOOKUP($B632,[1]Data_Peer_with_peerVars!$B$2:$Z$1050,21,FALSE)</f>
        <v>1</v>
      </c>
      <c r="BJ632">
        <f>VLOOKUP($B632,[1]Data_Peer_with_peerVars!$B$2:$Z$1050,22,FALSE)</f>
        <v>0.16666666699999999</v>
      </c>
      <c r="BK632">
        <f>VLOOKUP($B632,[1]Data_Peer_with_peerVars!$B$2:$Z$1050,23,FALSE)</f>
        <v>33</v>
      </c>
      <c r="BL632">
        <f>VLOOKUP($B632,[1]Data_Peer_with_peerVars!$B$2:$Z$1050,24,FALSE)</f>
        <v>12</v>
      </c>
      <c r="BM632">
        <f>VLOOKUP($B632,[1]Data_Peer_with_peerVars!$B$2:$Z$1050,25,FALSE)</f>
        <v>0.36363636399999999</v>
      </c>
    </row>
    <row r="633" spans="1:65" x14ac:dyDescent="0.2">
      <c r="A633">
        <v>1</v>
      </c>
      <c r="B633" t="s">
        <v>1004</v>
      </c>
      <c r="C633">
        <v>359</v>
      </c>
      <c r="D633" t="s">
        <v>68</v>
      </c>
      <c r="E633">
        <v>1</v>
      </c>
      <c r="F633">
        <v>802</v>
      </c>
      <c r="G633" t="s">
        <v>69</v>
      </c>
      <c r="H633" s="1">
        <v>5.5</v>
      </c>
      <c r="I633" t="s">
        <v>70</v>
      </c>
      <c r="J633" t="s">
        <v>436</v>
      </c>
      <c r="K633" t="s">
        <v>72</v>
      </c>
      <c r="L633">
        <v>2</v>
      </c>
      <c r="M633">
        <v>0</v>
      </c>
      <c r="N633">
        <v>1</v>
      </c>
      <c r="O633">
        <v>1</v>
      </c>
      <c r="P633">
        <v>1</v>
      </c>
      <c r="Q633">
        <v>7</v>
      </c>
      <c r="R633">
        <v>0</v>
      </c>
      <c r="S633">
        <v>0</v>
      </c>
      <c r="T633">
        <v>0</v>
      </c>
      <c r="U633">
        <v>0</v>
      </c>
      <c r="V633">
        <f t="shared" si="257"/>
        <v>1</v>
      </c>
      <c r="W633">
        <v>1</v>
      </c>
      <c r="X633">
        <v>1</v>
      </c>
      <c r="Y633">
        <v>1</v>
      </c>
      <c r="Z633" t="s">
        <v>91</v>
      </c>
      <c r="AA633" s="5" t="s">
        <v>91</v>
      </c>
      <c r="AB633" s="5" t="s">
        <v>998</v>
      </c>
      <c r="AC633" t="s">
        <v>91</v>
      </c>
      <c r="AD633" t="s">
        <v>287</v>
      </c>
      <c r="AE633" s="5" t="s">
        <v>287</v>
      </c>
      <c r="AF633" t="s">
        <v>137</v>
      </c>
      <c r="AG633" t="s">
        <v>84</v>
      </c>
      <c r="AH633">
        <f t="shared" si="282"/>
        <v>9.8468270000000007E-3</v>
      </c>
      <c r="AI633">
        <f>AJ633</f>
        <v>9.8468270000000007E-3</v>
      </c>
      <c r="AJ633">
        <f t="shared" si="260"/>
        <v>9.8468270000000007E-3</v>
      </c>
      <c r="AK633">
        <v>9.8468270000000007E-3</v>
      </c>
      <c r="AL633">
        <v>0.11700383</v>
      </c>
      <c r="AM633">
        <v>0.12834516000000001</v>
      </c>
      <c r="AN633">
        <v>0.13358987999999999</v>
      </c>
      <c r="AO633">
        <v>99.015317300000007</v>
      </c>
      <c r="AP633">
        <v>88.299616999999998</v>
      </c>
      <c r="AQ633">
        <v>87.165484000000006</v>
      </c>
      <c r="AR633">
        <v>86.641012000000003</v>
      </c>
      <c r="AS633" t="b">
        <v>1</v>
      </c>
      <c r="AT633" t="b">
        <v>0</v>
      </c>
      <c r="AU633" t="s">
        <v>77</v>
      </c>
      <c r="AV633" t="s">
        <v>78</v>
      </c>
      <c r="AW633" t="s">
        <v>783</v>
      </c>
      <c r="AX633" t="s">
        <v>812</v>
      </c>
      <c r="AY633" t="s">
        <v>994</v>
      </c>
      <c r="AZ633" t="s">
        <v>72</v>
      </c>
      <c r="BA633" t="s">
        <v>82</v>
      </c>
      <c r="BB633">
        <v>1</v>
      </c>
      <c r="BC633">
        <v>9.0659339999999995E-3</v>
      </c>
      <c r="BD633">
        <v>2.76583658862385E-3</v>
      </c>
      <c r="BE633">
        <v>1.1831770588623799E-2</v>
      </c>
      <c r="BF633">
        <f>IF(AK633&lt;BE633,1,0)</f>
        <v>1</v>
      </c>
      <c r="BG633">
        <f>IF(AK633&lt;BC633,1,0)</f>
        <v>0</v>
      </c>
      <c r="BH633">
        <f>VLOOKUP($B633,[1]Data_Peer_with_peerVars!$B$2:$Z$1050,20,FALSE)</f>
        <v>9</v>
      </c>
      <c r="BI633">
        <f>VLOOKUP($B633,[1]Data_Peer_with_peerVars!$B$2:$Z$1050,21,FALSE)</f>
        <v>2</v>
      </c>
      <c r="BJ633">
        <f>VLOOKUP($B633,[1]Data_Peer_with_peerVars!$B$2:$Z$1050,22,FALSE)</f>
        <v>0.222222222</v>
      </c>
      <c r="BK633">
        <f>VLOOKUP($B633,[1]Data_Peer_with_peerVars!$B$2:$Z$1050,23,FALSE)</f>
        <v>46</v>
      </c>
      <c r="BL633">
        <f>VLOOKUP($B633,[1]Data_Peer_with_peerVars!$B$2:$Z$1050,24,FALSE)</f>
        <v>17</v>
      </c>
      <c r="BM633">
        <f>VLOOKUP($B633,[1]Data_Peer_with_peerVars!$B$2:$Z$1050,25,FALSE)</f>
        <v>0.369565217</v>
      </c>
    </row>
    <row r="634" spans="1:65" x14ac:dyDescent="0.2">
      <c r="A634">
        <v>1</v>
      </c>
      <c r="B634" t="s">
        <v>1005</v>
      </c>
      <c r="C634">
        <v>359</v>
      </c>
      <c r="D634" t="s">
        <v>68</v>
      </c>
      <c r="E634">
        <v>1</v>
      </c>
      <c r="F634">
        <v>802</v>
      </c>
      <c r="G634" t="s">
        <v>69</v>
      </c>
      <c r="H634" s="1">
        <v>5.5</v>
      </c>
      <c r="I634" t="s">
        <v>70</v>
      </c>
      <c r="J634" t="s">
        <v>436</v>
      </c>
      <c r="K634" t="s">
        <v>72</v>
      </c>
      <c r="L634">
        <v>2</v>
      </c>
      <c r="M634">
        <v>0</v>
      </c>
      <c r="N634">
        <v>1</v>
      </c>
      <c r="O634">
        <v>1</v>
      </c>
      <c r="P634">
        <v>1</v>
      </c>
      <c r="Q634">
        <v>7</v>
      </c>
      <c r="R634">
        <v>0</v>
      </c>
      <c r="S634">
        <v>0</v>
      </c>
      <c r="T634">
        <v>0</v>
      </c>
      <c r="U634">
        <v>0</v>
      </c>
      <c r="V634">
        <f t="shared" si="257"/>
        <v>0</v>
      </c>
      <c r="W634">
        <f t="shared" si="258"/>
        <v>0</v>
      </c>
      <c r="X634">
        <f t="shared" si="261"/>
        <v>0</v>
      </c>
      <c r="Y634">
        <f t="shared" si="259"/>
        <v>1</v>
      </c>
      <c r="Z634" t="s">
        <v>287</v>
      </c>
      <c r="AA634" s="5" t="s">
        <v>287</v>
      </c>
      <c r="AB634" s="5" t="s">
        <v>287</v>
      </c>
      <c r="AC634" t="s">
        <v>91</v>
      </c>
      <c r="AD634" t="s">
        <v>73</v>
      </c>
      <c r="AE634" s="5" t="s">
        <v>73</v>
      </c>
      <c r="AF634" t="s">
        <v>137</v>
      </c>
      <c r="AG634" t="s">
        <v>287</v>
      </c>
      <c r="AH634">
        <f>AN634</f>
        <v>0.14863388</v>
      </c>
      <c r="AI634">
        <f t="shared" ref="AI634:AI636" si="283">AJ634</f>
        <v>0.123426385</v>
      </c>
      <c r="AJ634">
        <f t="shared" si="260"/>
        <v>0.123426385</v>
      </c>
      <c r="AK634">
        <v>0.123426385</v>
      </c>
      <c r="AL634">
        <v>0.12882096000000001</v>
      </c>
      <c r="AM634">
        <v>0.14098361000000001</v>
      </c>
      <c r="AN634">
        <v>0.14863388</v>
      </c>
      <c r="AO634">
        <v>87.657361499999993</v>
      </c>
      <c r="AP634">
        <v>87.117903999999996</v>
      </c>
      <c r="AQ634">
        <v>85.901639000000003</v>
      </c>
      <c r="AR634">
        <v>85.136612</v>
      </c>
      <c r="AS634" t="b">
        <v>0</v>
      </c>
      <c r="AT634" t="b">
        <v>0</v>
      </c>
      <c r="AU634" t="s">
        <v>78</v>
      </c>
      <c r="AV634" t="s">
        <v>78</v>
      </c>
      <c r="AW634" t="s">
        <v>783</v>
      </c>
      <c r="AX634" t="s">
        <v>812</v>
      </c>
      <c r="AY634" t="s">
        <v>994</v>
      </c>
      <c r="AZ634" t="s">
        <v>72</v>
      </c>
      <c r="BA634" t="s">
        <v>82</v>
      </c>
      <c r="BB634">
        <v>1</v>
      </c>
      <c r="BC634">
        <v>9.0659339999999995E-3</v>
      </c>
      <c r="BD634">
        <v>2.76583658862385E-3</v>
      </c>
      <c r="BE634">
        <v>1.1831770588623799E-2</v>
      </c>
      <c r="BF634">
        <f>IF(AK634&lt;BE634,1,0)</f>
        <v>0</v>
      </c>
      <c r="BG634">
        <f>IF(AK634&lt;BC634,1,0)</f>
        <v>0</v>
      </c>
      <c r="BH634">
        <f>VLOOKUP($B634,[1]Data_Peer_with_peerVars!$B$2:$Z$1050,20,FALSE)</f>
        <v>9</v>
      </c>
      <c r="BI634">
        <f>VLOOKUP($B634,[1]Data_Peer_with_peerVars!$B$2:$Z$1050,21,FALSE)</f>
        <v>2</v>
      </c>
      <c r="BJ634">
        <f>VLOOKUP($B634,[1]Data_Peer_with_peerVars!$B$2:$Z$1050,22,FALSE)</f>
        <v>0.222222222</v>
      </c>
      <c r="BK634">
        <f>VLOOKUP($B634,[1]Data_Peer_with_peerVars!$B$2:$Z$1050,23,FALSE)</f>
        <v>46</v>
      </c>
      <c r="BL634">
        <f>VLOOKUP($B634,[1]Data_Peer_with_peerVars!$B$2:$Z$1050,24,FALSE)</f>
        <v>17</v>
      </c>
      <c r="BM634">
        <f>VLOOKUP($B634,[1]Data_Peer_with_peerVars!$B$2:$Z$1050,25,FALSE)</f>
        <v>0.369565217</v>
      </c>
    </row>
    <row r="635" spans="1:65" x14ac:dyDescent="0.2">
      <c r="A635">
        <v>1</v>
      </c>
      <c r="B635" t="s">
        <v>1006</v>
      </c>
      <c r="C635">
        <v>359</v>
      </c>
      <c r="D635" t="s">
        <v>68</v>
      </c>
      <c r="E635">
        <v>1</v>
      </c>
      <c r="F635">
        <v>802</v>
      </c>
      <c r="G635" t="s">
        <v>69</v>
      </c>
      <c r="H635" s="1">
        <v>5.5</v>
      </c>
      <c r="I635" t="s">
        <v>70</v>
      </c>
      <c r="J635" t="s">
        <v>436</v>
      </c>
      <c r="K635" t="s">
        <v>72</v>
      </c>
      <c r="L635">
        <v>2</v>
      </c>
      <c r="M635">
        <v>0</v>
      </c>
      <c r="N635">
        <v>1</v>
      </c>
      <c r="O635">
        <v>1</v>
      </c>
      <c r="P635">
        <v>1</v>
      </c>
      <c r="Q635">
        <v>7</v>
      </c>
      <c r="R635">
        <v>0</v>
      </c>
      <c r="S635">
        <v>0</v>
      </c>
      <c r="T635">
        <v>0</v>
      </c>
      <c r="U635">
        <v>0</v>
      </c>
      <c r="V635">
        <f t="shared" si="257"/>
        <v>0</v>
      </c>
      <c r="W635">
        <f t="shared" si="258"/>
        <v>0</v>
      </c>
      <c r="X635">
        <f t="shared" si="261"/>
        <v>0</v>
      </c>
      <c r="Y635">
        <f t="shared" si="259"/>
        <v>0</v>
      </c>
      <c r="Z635" t="s">
        <v>98</v>
      </c>
      <c r="AA635" s="5" t="s">
        <v>170</v>
      </c>
      <c r="AB635" s="5" t="s">
        <v>867</v>
      </c>
      <c r="AC635" t="s">
        <v>102</v>
      </c>
      <c r="AD635" t="s">
        <v>99</v>
      </c>
      <c r="AE635" s="5" t="s">
        <v>1007</v>
      </c>
      <c r="AF635" t="s">
        <v>74</v>
      </c>
      <c r="AG635" t="s">
        <v>113</v>
      </c>
      <c r="AH635">
        <f t="shared" ref="AH635:AH636" si="284">AI635</f>
        <v>0.13961749000000001</v>
      </c>
      <c r="AI635">
        <f t="shared" si="283"/>
        <v>0.13961749000000001</v>
      </c>
      <c r="AJ635">
        <f t="shared" si="260"/>
        <v>0.13961749000000001</v>
      </c>
      <c r="AK635">
        <v>0.13961749000000001</v>
      </c>
      <c r="AL635">
        <v>0.14798453</v>
      </c>
      <c r="AM635">
        <v>0.14818880000000001</v>
      </c>
      <c r="AN635">
        <v>0.14906490999999999</v>
      </c>
      <c r="AO635">
        <v>86.038251000000002</v>
      </c>
      <c r="AP635">
        <v>85.201547000000005</v>
      </c>
      <c r="AQ635">
        <v>85.181120000000007</v>
      </c>
      <c r="AR635">
        <v>85.093508999999997</v>
      </c>
      <c r="AS635" t="b">
        <v>0</v>
      </c>
      <c r="AT635" t="b">
        <v>0</v>
      </c>
      <c r="AU635" t="s">
        <v>92</v>
      </c>
      <c r="AV635" t="s">
        <v>92</v>
      </c>
      <c r="AW635" t="s">
        <v>783</v>
      </c>
      <c r="AX635" t="s">
        <v>812</v>
      </c>
      <c r="AY635" t="s">
        <v>994</v>
      </c>
      <c r="AZ635" t="s">
        <v>72</v>
      </c>
      <c r="BA635" t="s">
        <v>82</v>
      </c>
      <c r="BB635">
        <v>0.98</v>
      </c>
      <c r="BC635">
        <v>3.0153507999999998E-3</v>
      </c>
      <c r="BD635">
        <v>1.41556405228766E-4</v>
      </c>
      <c r="BE635">
        <v>3.1569072052287702E-3</v>
      </c>
      <c r="BF635">
        <f>IF(AK635&lt;BE635,1,0)</f>
        <v>0</v>
      </c>
      <c r="BG635">
        <f>IF(AK635&lt;BC635,1,0)</f>
        <v>0</v>
      </c>
      <c r="BH635">
        <f>VLOOKUP($B635,[1]Data_Peer_with_peerVars!$B$2:$Z$1050,20,FALSE)</f>
        <v>9</v>
      </c>
      <c r="BI635">
        <f>VLOOKUP($B635,[1]Data_Peer_with_peerVars!$B$2:$Z$1050,21,FALSE)</f>
        <v>2</v>
      </c>
      <c r="BJ635">
        <f>VLOOKUP($B635,[1]Data_Peer_with_peerVars!$B$2:$Z$1050,22,FALSE)</f>
        <v>0.222222222</v>
      </c>
      <c r="BK635">
        <f>VLOOKUP($B635,[1]Data_Peer_with_peerVars!$B$2:$Z$1050,23,FALSE)</f>
        <v>46</v>
      </c>
      <c r="BL635">
        <f>VLOOKUP($B635,[1]Data_Peer_with_peerVars!$B$2:$Z$1050,24,FALSE)</f>
        <v>17</v>
      </c>
      <c r="BM635">
        <f>VLOOKUP($B635,[1]Data_Peer_with_peerVars!$B$2:$Z$1050,25,FALSE)</f>
        <v>0.369565217</v>
      </c>
    </row>
    <row r="636" spans="1:65" x14ac:dyDescent="0.2">
      <c r="A636">
        <v>1</v>
      </c>
      <c r="B636" t="s">
        <v>1008</v>
      </c>
      <c r="C636">
        <v>360</v>
      </c>
      <c r="D636" t="s">
        <v>68</v>
      </c>
      <c r="E636">
        <v>0</v>
      </c>
      <c r="F636">
        <v>640</v>
      </c>
      <c r="G636" t="s">
        <v>97</v>
      </c>
      <c r="H636" s="1">
        <v>5</v>
      </c>
      <c r="I636" t="s">
        <v>87</v>
      </c>
      <c r="J636" t="s">
        <v>111</v>
      </c>
      <c r="K636" t="s">
        <v>109</v>
      </c>
      <c r="L636">
        <v>2</v>
      </c>
      <c r="M636">
        <v>1</v>
      </c>
      <c r="N636">
        <v>1</v>
      </c>
      <c r="O636">
        <v>0</v>
      </c>
      <c r="P636">
        <v>0</v>
      </c>
      <c r="Q636">
        <v>6</v>
      </c>
      <c r="R636">
        <v>1</v>
      </c>
      <c r="S636">
        <v>1</v>
      </c>
      <c r="T636">
        <v>1</v>
      </c>
      <c r="U636">
        <v>1</v>
      </c>
      <c r="V636">
        <f t="shared" si="257"/>
        <v>0</v>
      </c>
      <c r="W636">
        <f t="shared" si="258"/>
        <v>0</v>
      </c>
      <c r="X636">
        <f t="shared" si="261"/>
        <v>0</v>
      </c>
      <c r="Y636">
        <f t="shared" si="259"/>
        <v>0</v>
      </c>
      <c r="Z636" t="s">
        <v>137</v>
      </c>
      <c r="AA636" s="5" t="s">
        <v>137</v>
      </c>
      <c r="AB636" s="5" t="s">
        <v>137</v>
      </c>
      <c r="AC636" t="s">
        <v>174</v>
      </c>
      <c r="AD636" t="s">
        <v>198</v>
      </c>
      <c r="AE636" s="5" t="s">
        <v>506</v>
      </c>
      <c r="AF636" t="s">
        <v>173</v>
      </c>
      <c r="AG636" t="s">
        <v>95</v>
      </c>
      <c r="AH636">
        <f t="shared" si="284"/>
        <v>0.14789501999999999</v>
      </c>
      <c r="AI636">
        <f t="shared" si="283"/>
        <v>0.14789501999999999</v>
      </c>
      <c r="AJ636">
        <f t="shared" si="260"/>
        <v>0.14789501999999999</v>
      </c>
      <c r="AK636">
        <v>0.14789501999999999</v>
      </c>
      <c r="AL636">
        <v>0.15304443000000001</v>
      </c>
      <c r="AM636">
        <v>0.15365719999999999</v>
      </c>
      <c r="AN636">
        <v>0.15472937</v>
      </c>
      <c r="AO636">
        <v>85.210498000000001</v>
      </c>
      <c r="AP636">
        <v>84.695556999999994</v>
      </c>
      <c r="AQ636">
        <v>84.634280000000004</v>
      </c>
      <c r="AR636">
        <v>84.527062999999998</v>
      </c>
      <c r="AS636" t="b">
        <v>0</v>
      </c>
      <c r="AT636" t="b">
        <v>0</v>
      </c>
      <c r="AU636" t="s">
        <v>78</v>
      </c>
      <c r="AV636" t="s">
        <v>108</v>
      </c>
      <c r="AW636" t="s">
        <v>783</v>
      </c>
      <c r="AX636" t="s">
        <v>812</v>
      </c>
      <c r="AY636" t="s">
        <v>994</v>
      </c>
      <c r="AZ636" t="s">
        <v>109</v>
      </c>
      <c r="BA636">
        <v>17</v>
      </c>
      <c r="BB636">
        <v>0.5</v>
      </c>
      <c r="BC636">
        <v>6.6481995999999998E-3</v>
      </c>
      <c r="BD636">
        <v>2.8322716361753601E-4</v>
      </c>
      <c r="BE636">
        <v>6.9314267636175399E-3</v>
      </c>
      <c r="BF636">
        <f>IF(AK636&lt;BE636,1,0)</f>
        <v>0</v>
      </c>
      <c r="BG636">
        <f>IF(AK636&lt;BC636,1,0)</f>
        <v>0</v>
      </c>
      <c r="BH636">
        <f>VLOOKUP($B636,[1]Data_Peer_with_peerVars!$B$2:$Z$1050,20,FALSE)</f>
        <v>3</v>
      </c>
      <c r="BI636">
        <f>VLOOKUP($B636,[1]Data_Peer_with_peerVars!$B$2:$Z$1050,21,FALSE)</f>
        <v>1</v>
      </c>
      <c r="BJ636">
        <f>VLOOKUP($B636,[1]Data_Peer_with_peerVars!$B$2:$Z$1050,22,FALSE)</f>
        <v>0.33333333300000001</v>
      </c>
      <c r="BK636">
        <f>VLOOKUP($B636,[1]Data_Peer_with_peerVars!$B$2:$Z$1050,23,FALSE)</f>
        <v>32</v>
      </c>
      <c r="BL636">
        <f>VLOOKUP($B636,[1]Data_Peer_with_peerVars!$B$2:$Z$1050,24,FALSE)</f>
        <v>12</v>
      </c>
      <c r="BM636">
        <f>VLOOKUP($B636,[1]Data_Peer_with_peerVars!$B$2:$Z$1050,25,FALSE)</f>
        <v>0.375</v>
      </c>
    </row>
    <row r="637" spans="1:65" x14ac:dyDescent="0.2">
      <c r="A637">
        <v>1</v>
      </c>
      <c r="B637" t="s">
        <v>1009</v>
      </c>
      <c r="C637">
        <v>361</v>
      </c>
      <c r="D637" t="s">
        <v>68</v>
      </c>
      <c r="E637">
        <v>0</v>
      </c>
      <c r="F637">
        <v>641</v>
      </c>
      <c r="G637" t="s">
        <v>97</v>
      </c>
      <c r="H637" s="1">
        <v>0</v>
      </c>
      <c r="I637" t="s">
        <v>70</v>
      </c>
      <c r="J637" t="s">
        <v>436</v>
      </c>
      <c r="K637" t="s">
        <v>72</v>
      </c>
      <c r="L637">
        <v>2</v>
      </c>
      <c r="M637">
        <v>1</v>
      </c>
      <c r="N637">
        <v>0</v>
      </c>
      <c r="O637">
        <v>0</v>
      </c>
      <c r="P637">
        <v>0</v>
      </c>
      <c r="Q637">
        <v>11</v>
      </c>
      <c r="R637">
        <v>0</v>
      </c>
      <c r="S637">
        <v>0</v>
      </c>
      <c r="T637">
        <v>0</v>
      </c>
      <c r="U637">
        <v>0</v>
      </c>
      <c r="V637">
        <f t="shared" si="257"/>
        <v>0</v>
      </c>
      <c r="W637">
        <f t="shared" si="258"/>
        <v>0</v>
      </c>
      <c r="X637">
        <f t="shared" si="261"/>
        <v>1</v>
      </c>
      <c r="Y637">
        <v>1</v>
      </c>
      <c r="Z637" t="s">
        <v>91</v>
      </c>
      <c r="AA637" s="5" t="s">
        <v>91</v>
      </c>
      <c r="AB637" s="5" t="s">
        <v>998</v>
      </c>
      <c r="AC637" t="s">
        <v>137</v>
      </c>
      <c r="AD637" t="s">
        <v>287</v>
      </c>
      <c r="AE637" s="5" t="s">
        <v>1010</v>
      </c>
      <c r="AF637" t="s">
        <v>91</v>
      </c>
      <c r="AG637" t="s">
        <v>113</v>
      </c>
      <c r="AH637">
        <f>AI637</f>
        <v>0.13101750000000001</v>
      </c>
      <c r="AI637">
        <f>AM637</f>
        <v>0.13101750000000001</v>
      </c>
      <c r="AJ637">
        <f t="shared" si="260"/>
        <v>0.12588750000000001</v>
      </c>
      <c r="AK637">
        <v>0.12588750000000001</v>
      </c>
      <c r="AL637">
        <v>0.13080284</v>
      </c>
      <c r="AM637">
        <v>0.13101750000000001</v>
      </c>
      <c r="AN637">
        <v>0.13261944000000001</v>
      </c>
      <c r="AO637">
        <v>87.411249999999995</v>
      </c>
      <c r="AP637">
        <v>86.919715999999994</v>
      </c>
      <c r="AQ637">
        <v>86.898250000000004</v>
      </c>
      <c r="AR637">
        <v>86.738056</v>
      </c>
      <c r="AS637" t="b">
        <v>0</v>
      </c>
      <c r="AT637" t="b">
        <v>0</v>
      </c>
      <c r="AU637" t="s">
        <v>108</v>
      </c>
      <c r="AV637" t="s">
        <v>108</v>
      </c>
      <c r="AW637" t="s">
        <v>783</v>
      </c>
      <c r="AX637" t="s">
        <v>812</v>
      </c>
      <c r="AY637" t="s">
        <v>1011</v>
      </c>
      <c r="AZ637" t="s">
        <v>72</v>
      </c>
      <c r="BA637" t="s">
        <v>82</v>
      </c>
      <c r="BB637">
        <v>1</v>
      </c>
      <c r="BC637">
        <v>5.4824560000000001E-2</v>
      </c>
      <c r="BD637">
        <v>2.68252196314279E-2</v>
      </c>
      <c r="BE637">
        <v>8.1649779631427902E-2</v>
      </c>
      <c r="BF637">
        <f>IF(AK637&lt;BE637,1,0)</f>
        <v>0</v>
      </c>
      <c r="BG637">
        <f>IF(AK637&lt;BC637,1,0)</f>
        <v>0</v>
      </c>
      <c r="BH637">
        <f>VLOOKUP($B637,[1]Data_Peer_with_peerVars!$B$2:$Z$1050,20,FALSE)</f>
        <v>6</v>
      </c>
      <c r="BI637">
        <f>VLOOKUP($B637,[1]Data_Peer_with_peerVars!$B$2:$Z$1050,21,FALSE)</f>
        <v>3</v>
      </c>
      <c r="BJ637">
        <f>VLOOKUP($B637,[1]Data_Peer_with_peerVars!$B$2:$Z$1050,22,FALSE)</f>
        <v>0.5</v>
      </c>
      <c r="BK637">
        <f>VLOOKUP($B637,[1]Data_Peer_with_peerVars!$B$2:$Z$1050,23,FALSE)</f>
        <v>43</v>
      </c>
      <c r="BL637">
        <f>VLOOKUP($B637,[1]Data_Peer_with_peerVars!$B$2:$Z$1050,24,FALSE)</f>
        <v>16</v>
      </c>
      <c r="BM637">
        <f>VLOOKUP($B637,[1]Data_Peer_with_peerVars!$B$2:$Z$1050,25,FALSE)</f>
        <v>0.37209302300000002</v>
      </c>
    </row>
    <row r="638" spans="1:65" x14ac:dyDescent="0.2">
      <c r="A638">
        <v>1</v>
      </c>
      <c r="B638" t="s">
        <v>1012</v>
      </c>
      <c r="C638">
        <v>362</v>
      </c>
      <c r="D638" t="s">
        <v>68</v>
      </c>
      <c r="E638">
        <v>0</v>
      </c>
      <c r="F638">
        <v>642</v>
      </c>
      <c r="G638" t="s">
        <v>97</v>
      </c>
      <c r="H638" s="1">
        <v>0</v>
      </c>
      <c r="I638" t="s">
        <v>87</v>
      </c>
      <c r="J638" t="s">
        <v>111</v>
      </c>
      <c r="K638" t="s">
        <v>109</v>
      </c>
      <c r="L638">
        <v>2</v>
      </c>
      <c r="M638">
        <v>1</v>
      </c>
      <c r="N638">
        <v>0</v>
      </c>
      <c r="O638">
        <v>0</v>
      </c>
      <c r="P638">
        <v>0</v>
      </c>
      <c r="Q638">
        <v>6</v>
      </c>
      <c r="R638">
        <v>0</v>
      </c>
      <c r="S638">
        <v>0</v>
      </c>
      <c r="T638">
        <v>1</v>
      </c>
      <c r="U638">
        <v>1</v>
      </c>
      <c r="V638">
        <f t="shared" si="257"/>
        <v>0</v>
      </c>
      <c r="W638">
        <f t="shared" si="258"/>
        <v>0</v>
      </c>
      <c r="X638">
        <f t="shared" si="261"/>
        <v>0</v>
      </c>
      <c r="Y638">
        <f t="shared" si="259"/>
        <v>0</v>
      </c>
      <c r="Z638" t="s">
        <v>91</v>
      </c>
      <c r="AA638" s="5" t="s">
        <v>91</v>
      </c>
      <c r="AB638" s="5" t="s">
        <v>998</v>
      </c>
      <c r="AC638" t="s">
        <v>73</v>
      </c>
      <c r="AD638" t="s">
        <v>94</v>
      </c>
      <c r="AE638" s="5" t="s">
        <v>106</v>
      </c>
      <c r="AF638" t="s">
        <v>107</v>
      </c>
      <c r="AG638" t="s">
        <v>95</v>
      </c>
      <c r="AH638">
        <f t="shared" ref="AH638:AH639" si="285">AI638</f>
        <v>3.8209606000000002E-3</v>
      </c>
      <c r="AI638">
        <f t="shared" ref="AI638:AI639" si="286">AJ638</f>
        <v>3.8209606000000002E-3</v>
      </c>
      <c r="AJ638">
        <f t="shared" si="260"/>
        <v>3.8209606000000002E-3</v>
      </c>
      <c r="AK638">
        <v>3.8209606000000002E-3</v>
      </c>
      <c r="AL638">
        <v>0.13129103</v>
      </c>
      <c r="AM638">
        <v>0.13721185999999999</v>
      </c>
      <c r="AN638">
        <v>0.13882804000000001</v>
      </c>
      <c r="AO638">
        <v>99.617903940000005</v>
      </c>
      <c r="AP638">
        <v>86.870896999999999</v>
      </c>
      <c r="AQ638">
        <v>86.278813999999997</v>
      </c>
      <c r="AR638">
        <v>86.117196000000007</v>
      </c>
      <c r="AS638" t="b">
        <v>0</v>
      </c>
      <c r="AT638" t="b">
        <v>0</v>
      </c>
      <c r="AU638" t="s">
        <v>77</v>
      </c>
      <c r="AV638" t="s">
        <v>108</v>
      </c>
      <c r="AW638" t="s">
        <v>783</v>
      </c>
      <c r="AX638" t="s">
        <v>812</v>
      </c>
      <c r="AY638" t="s">
        <v>889</v>
      </c>
      <c r="AZ638" t="s">
        <v>109</v>
      </c>
      <c r="BA638">
        <v>4</v>
      </c>
      <c r="BB638">
        <v>1</v>
      </c>
      <c r="BC638">
        <v>4.1163553999999996E-3</v>
      </c>
      <c r="BD638">
        <v>1.4279989108178799E-4</v>
      </c>
      <c r="BE638">
        <v>4.2591552910817903E-3</v>
      </c>
      <c r="BF638">
        <f>IF(AK638&lt;BE638,1,0)</f>
        <v>1</v>
      </c>
      <c r="BG638">
        <f>IF(AK638&lt;BC638,1,0)</f>
        <v>1</v>
      </c>
      <c r="BH638">
        <f>VLOOKUP($B638,[1]Data_Peer_with_peerVars!$B$2:$Z$1050,20,FALSE)</f>
        <v>10</v>
      </c>
      <c r="BI638">
        <f>VLOOKUP($B638,[1]Data_Peer_with_peerVars!$B$2:$Z$1050,21,FALSE)</f>
        <v>5</v>
      </c>
      <c r="BJ638">
        <f>VLOOKUP($B638,[1]Data_Peer_with_peerVars!$B$2:$Z$1050,22,FALSE)</f>
        <v>0.5</v>
      </c>
      <c r="BK638">
        <f>VLOOKUP($B638,[1]Data_Peer_with_peerVars!$B$2:$Z$1050,23,FALSE)</f>
        <v>30</v>
      </c>
      <c r="BL638">
        <f>VLOOKUP($B638,[1]Data_Peer_with_peerVars!$B$2:$Z$1050,24,FALSE)</f>
        <v>13</v>
      </c>
      <c r="BM638">
        <f>VLOOKUP($B638,[1]Data_Peer_with_peerVars!$B$2:$Z$1050,25,FALSE)</f>
        <v>0.43333333299999999</v>
      </c>
    </row>
    <row r="639" spans="1:65" x14ac:dyDescent="0.2">
      <c r="A639">
        <v>1</v>
      </c>
      <c r="B639" t="s">
        <v>1013</v>
      </c>
      <c r="C639">
        <v>363</v>
      </c>
      <c r="D639" t="s">
        <v>68</v>
      </c>
      <c r="E639">
        <v>0</v>
      </c>
      <c r="F639">
        <v>644</v>
      </c>
      <c r="G639" t="s">
        <v>97</v>
      </c>
      <c r="H639" s="1">
        <v>7</v>
      </c>
      <c r="I639" t="s">
        <v>70</v>
      </c>
      <c r="J639" t="s">
        <v>71</v>
      </c>
      <c r="K639" t="s">
        <v>72</v>
      </c>
      <c r="L639">
        <v>1</v>
      </c>
      <c r="M639">
        <v>1</v>
      </c>
      <c r="N639">
        <v>0</v>
      </c>
      <c r="O639">
        <v>0</v>
      </c>
      <c r="P639">
        <v>0</v>
      </c>
      <c r="Q639">
        <v>2</v>
      </c>
      <c r="R639">
        <v>0</v>
      </c>
      <c r="S639">
        <v>0</v>
      </c>
      <c r="T639">
        <v>0</v>
      </c>
      <c r="U639">
        <v>0</v>
      </c>
      <c r="V639">
        <f t="shared" si="257"/>
        <v>0</v>
      </c>
      <c r="W639">
        <f t="shared" si="258"/>
        <v>0</v>
      </c>
      <c r="X639">
        <f t="shared" si="261"/>
        <v>0</v>
      </c>
      <c r="Y639">
        <f t="shared" si="259"/>
        <v>0</v>
      </c>
      <c r="Z639" t="s">
        <v>76</v>
      </c>
      <c r="AA639" s="5" t="s">
        <v>76</v>
      </c>
      <c r="AB639" s="5" t="s">
        <v>76</v>
      </c>
      <c r="AC639" t="s">
        <v>120</v>
      </c>
      <c r="AD639" t="s">
        <v>74</v>
      </c>
      <c r="AE639" s="5" t="s">
        <v>1014</v>
      </c>
      <c r="AF639" t="s">
        <v>75</v>
      </c>
      <c r="AG639" t="s">
        <v>167</v>
      </c>
      <c r="AH639">
        <f t="shared" si="285"/>
        <v>2.9524330000000001E-2</v>
      </c>
      <c r="AI639">
        <f t="shared" si="286"/>
        <v>2.9524330000000001E-2</v>
      </c>
      <c r="AJ639">
        <f t="shared" si="260"/>
        <v>2.9524330000000001E-2</v>
      </c>
      <c r="AK639">
        <v>2.9524330000000001E-2</v>
      </c>
      <c r="AL639">
        <v>8.7218870000000004E-2</v>
      </c>
      <c r="AM639">
        <v>8.7349399999999994E-2</v>
      </c>
      <c r="AN639">
        <v>0.10038398</v>
      </c>
      <c r="AO639">
        <v>97.047567000000001</v>
      </c>
      <c r="AP639">
        <v>91.278113000000005</v>
      </c>
      <c r="AQ639">
        <v>91.265060000000005</v>
      </c>
      <c r="AR639">
        <v>89.961601999999999</v>
      </c>
      <c r="AS639" t="b">
        <v>0</v>
      </c>
      <c r="AT639" t="b">
        <v>0</v>
      </c>
      <c r="AU639" t="s">
        <v>77</v>
      </c>
      <c r="AV639" t="s">
        <v>108</v>
      </c>
      <c r="AW639" t="s">
        <v>783</v>
      </c>
      <c r="AX639" t="s">
        <v>812</v>
      </c>
      <c r="AY639" t="s">
        <v>1015</v>
      </c>
      <c r="AZ639" t="s">
        <v>72</v>
      </c>
      <c r="BA639" t="s">
        <v>82</v>
      </c>
      <c r="BB639">
        <v>1</v>
      </c>
      <c r="BC639">
        <v>4.6849314000000003E-2</v>
      </c>
      <c r="BD639">
        <v>4.5250577219970098E-3</v>
      </c>
      <c r="BE639">
        <v>5.1374371721996999E-2</v>
      </c>
      <c r="BF639">
        <f>IF(AK639&lt;BE639,1,0)</f>
        <v>1</v>
      </c>
      <c r="BG639">
        <f>IF(AK639&lt;BC639,1,0)</f>
        <v>1</v>
      </c>
      <c r="BH639">
        <f>VLOOKUP($B639,[1]Data_Peer_with_peerVars!$B$2:$Z$1050,20,FALSE)</f>
        <v>4</v>
      </c>
      <c r="BI639">
        <f>VLOOKUP($B639,[1]Data_Peer_with_peerVars!$B$2:$Z$1050,21,FALSE)</f>
        <v>3</v>
      </c>
      <c r="BJ639">
        <f>VLOOKUP($B639,[1]Data_Peer_with_peerVars!$B$2:$Z$1050,22,FALSE)</f>
        <v>0.75</v>
      </c>
      <c r="BK639">
        <f>VLOOKUP($B639,[1]Data_Peer_with_peerVars!$B$2:$Z$1050,23,FALSE)</f>
        <v>43</v>
      </c>
      <c r="BL639">
        <f>VLOOKUP($B639,[1]Data_Peer_with_peerVars!$B$2:$Z$1050,24,FALSE)</f>
        <v>16</v>
      </c>
      <c r="BM639">
        <f>VLOOKUP($B639,[1]Data_Peer_with_peerVars!$B$2:$Z$1050,25,FALSE)</f>
        <v>0.37209302300000002</v>
      </c>
    </row>
    <row r="640" spans="1:65" x14ac:dyDescent="0.2">
      <c r="A640">
        <v>1</v>
      </c>
      <c r="B640" t="s">
        <v>1016</v>
      </c>
      <c r="C640">
        <v>364</v>
      </c>
      <c r="D640" t="s">
        <v>68</v>
      </c>
      <c r="E640">
        <v>1</v>
      </c>
      <c r="F640">
        <v>638</v>
      </c>
      <c r="G640" t="s">
        <v>69</v>
      </c>
      <c r="H640" s="1">
        <v>7</v>
      </c>
      <c r="I640" t="s">
        <v>87</v>
      </c>
      <c r="J640" t="s">
        <v>820</v>
      </c>
      <c r="K640" t="s">
        <v>72</v>
      </c>
      <c r="L640">
        <v>1</v>
      </c>
      <c r="M640">
        <v>1</v>
      </c>
      <c r="N640">
        <v>1</v>
      </c>
      <c r="O640">
        <v>0</v>
      </c>
      <c r="P640">
        <v>1</v>
      </c>
      <c r="Q640">
        <v>1</v>
      </c>
      <c r="R640">
        <v>0</v>
      </c>
      <c r="S640">
        <v>0</v>
      </c>
      <c r="T640">
        <v>0</v>
      </c>
      <c r="U640">
        <v>0</v>
      </c>
      <c r="V640">
        <f t="shared" si="257"/>
        <v>1</v>
      </c>
      <c r="W640">
        <v>1</v>
      </c>
      <c r="X640">
        <v>1</v>
      </c>
      <c r="Y640">
        <v>1</v>
      </c>
      <c r="Z640" t="s">
        <v>73</v>
      </c>
      <c r="AA640" s="5" t="s">
        <v>73</v>
      </c>
      <c r="AB640" s="5" t="s">
        <v>73</v>
      </c>
      <c r="AC640" t="s">
        <v>73</v>
      </c>
      <c r="AD640" t="s">
        <v>94</v>
      </c>
      <c r="AE640" s="5" t="s">
        <v>94</v>
      </c>
      <c r="AF640" t="s">
        <v>75</v>
      </c>
      <c r="AG640" t="s">
        <v>95</v>
      </c>
      <c r="AH640">
        <f t="shared" ref="AH640:AI644" si="287">AI640</f>
        <v>3.6065575000000002E-2</v>
      </c>
      <c r="AI640">
        <f t="shared" si="287"/>
        <v>3.6065575000000002E-2</v>
      </c>
      <c r="AJ640">
        <f t="shared" si="260"/>
        <v>3.6065575000000002E-2</v>
      </c>
      <c r="AK640">
        <v>3.6065575000000002E-2</v>
      </c>
      <c r="AL640">
        <v>0.12171772</v>
      </c>
      <c r="AM640">
        <v>0.13342465000000001</v>
      </c>
      <c r="AN640">
        <v>0.13519429999999999</v>
      </c>
      <c r="AO640">
        <v>96.393442500000006</v>
      </c>
      <c r="AP640">
        <v>87.828227999999996</v>
      </c>
      <c r="AQ640">
        <v>86.657534999999996</v>
      </c>
      <c r="AR640">
        <v>86.48057</v>
      </c>
      <c r="AS640" t="b">
        <v>1</v>
      </c>
      <c r="AT640" t="b">
        <v>0</v>
      </c>
      <c r="AU640" t="s">
        <v>77</v>
      </c>
      <c r="AV640" t="s">
        <v>78</v>
      </c>
      <c r="AW640" t="s">
        <v>783</v>
      </c>
      <c r="AX640" t="s">
        <v>812</v>
      </c>
      <c r="AY640" t="s">
        <v>1017</v>
      </c>
      <c r="AZ640" t="s">
        <v>72</v>
      </c>
      <c r="BA640" t="s">
        <v>82</v>
      </c>
      <c r="BB640">
        <v>2.1</v>
      </c>
      <c r="BC640">
        <v>4.1163553999999996E-3</v>
      </c>
      <c r="BD640">
        <v>1.4279989108178799E-4</v>
      </c>
      <c r="BE640">
        <v>4.2591552910817903E-3</v>
      </c>
      <c r="BF640">
        <f>IF(AK640&lt;BE640,1,0)</f>
        <v>0</v>
      </c>
      <c r="BG640">
        <f>IF(AK640&lt;BC640,1,0)</f>
        <v>0</v>
      </c>
      <c r="BH640">
        <f>VLOOKUP($B640,[1]Data_Peer_with_peerVars!$B$2:$Z$1050,20,FALSE)</f>
        <v>6</v>
      </c>
      <c r="BI640">
        <f>VLOOKUP($B640,[1]Data_Peer_with_peerVars!$B$2:$Z$1050,21,FALSE)</f>
        <v>1</v>
      </c>
      <c r="BJ640">
        <f>VLOOKUP($B640,[1]Data_Peer_with_peerVars!$B$2:$Z$1050,22,FALSE)</f>
        <v>0.16666666699999999</v>
      </c>
      <c r="BK640">
        <f>VLOOKUP($B640,[1]Data_Peer_with_peerVars!$B$2:$Z$1050,23,FALSE)</f>
        <v>13</v>
      </c>
      <c r="BL640">
        <f>VLOOKUP($B640,[1]Data_Peer_with_peerVars!$B$2:$Z$1050,24,FALSE)</f>
        <v>5</v>
      </c>
      <c r="BM640">
        <f>VLOOKUP($B640,[1]Data_Peer_with_peerVars!$B$2:$Z$1050,25,FALSE)</f>
        <v>0.38461538499999998</v>
      </c>
    </row>
    <row r="641" spans="1:65" x14ac:dyDescent="0.2">
      <c r="A641">
        <v>1</v>
      </c>
      <c r="B641" t="s">
        <v>1018</v>
      </c>
      <c r="C641">
        <v>364</v>
      </c>
      <c r="D641" t="s">
        <v>68</v>
      </c>
      <c r="E641">
        <v>1</v>
      </c>
      <c r="F641">
        <v>638</v>
      </c>
      <c r="G641" t="s">
        <v>69</v>
      </c>
      <c r="H641" s="1">
        <v>7</v>
      </c>
      <c r="I641" t="s">
        <v>87</v>
      </c>
      <c r="J641" t="s">
        <v>820</v>
      </c>
      <c r="K641" t="s">
        <v>72</v>
      </c>
      <c r="L641">
        <v>1</v>
      </c>
      <c r="M641">
        <v>1</v>
      </c>
      <c r="N641">
        <v>1</v>
      </c>
      <c r="O641">
        <v>0</v>
      </c>
      <c r="P641">
        <v>1</v>
      </c>
      <c r="Q641">
        <v>1</v>
      </c>
      <c r="R641">
        <v>0</v>
      </c>
      <c r="S641">
        <v>0</v>
      </c>
      <c r="T641">
        <v>0</v>
      </c>
      <c r="U641">
        <v>0</v>
      </c>
      <c r="V641">
        <f t="shared" si="257"/>
        <v>0</v>
      </c>
      <c r="W641">
        <f t="shared" si="258"/>
        <v>0</v>
      </c>
      <c r="X641">
        <f t="shared" si="261"/>
        <v>0</v>
      </c>
      <c r="Y641">
        <f t="shared" si="259"/>
        <v>0</v>
      </c>
      <c r="Z641" t="s">
        <v>170</v>
      </c>
      <c r="AA641" s="5" t="s">
        <v>170</v>
      </c>
      <c r="AB641" s="5" t="s">
        <v>1019</v>
      </c>
      <c r="AC641" t="s">
        <v>74</v>
      </c>
      <c r="AD641" t="s">
        <v>76</v>
      </c>
      <c r="AE641" s="5" t="s">
        <v>637</v>
      </c>
      <c r="AF641" t="s">
        <v>75</v>
      </c>
      <c r="AG641" t="s">
        <v>120</v>
      </c>
      <c r="AH641">
        <f t="shared" si="287"/>
        <v>3.6986302999999998E-2</v>
      </c>
      <c r="AI641">
        <f t="shared" si="287"/>
        <v>3.6986302999999998E-2</v>
      </c>
      <c r="AJ641">
        <f t="shared" si="260"/>
        <v>3.6986302999999998E-2</v>
      </c>
      <c r="AK641">
        <v>3.6986302999999998E-2</v>
      </c>
      <c r="AL641">
        <v>8.6065575000000005E-2</v>
      </c>
      <c r="AM641">
        <v>9.441708E-2</v>
      </c>
      <c r="AN641">
        <v>0.101912566</v>
      </c>
      <c r="AO641">
        <v>96.301369699999995</v>
      </c>
      <c r="AP641">
        <v>91.393442500000006</v>
      </c>
      <c r="AQ641">
        <v>90.558291999999994</v>
      </c>
      <c r="AR641">
        <v>89.808743399999997</v>
      </c>
      <c r="AS641" t="b">
        <v>0</v>
      </c>
      <c r="AT641" t="b">
        <v>0</v>
      </c>
      <c r="AU641" t="s">
        <v>92</v>
      </c>
      <c r="AV641" t="s">
        <v>92</v>
      </c>
      <c r="AW641" t="s">
        <v>783</v>
      </c>
      <c r="AX641" t="s">
        <v>812</v>
      </c>
      <c r="AY641" t="s">
        <v>1017</v>
      </c>
      <c r="AZ641" t="s">
        <v>109</v>
      </c>
      <c r="BA641">
        <v>10</v>
      </c>
      <c r="BB641">
        <v>2.1</v>
      </c>
      <c r="BC641">
        <v>2.4738868000000001E-3</v>
      </c>
      <c r="BD641">
        <v>1.4256942275279999E-4</v>
      </c>
      <c r="BE641">
        <v>2.6164562227527998E-3</v>
      </c>
      <c r="BF641">
        <f>IF(AK641&lt;BE641,1,0)</f>
        <v>0</v>
      </c>
      <c r="BG641">
        <f>IF(AK641&lt;BC641,1,0)</f>
        <v>0</v>
      </c>
      <c r="BH641">
        <f>VLOOKUP($B641,[1]Data_Peer_with_peerVars!$B$2:$Z$1050,20,FALSE)</f>
        <v>6</v>
      </c>
      <c r="BI641">
        <f>VLOOKUP($B641,[1]Data_Peer_with_peerVars!$B$2:$Z$1050,21,FALSE)</f>
        <v>1</v>
      </c>
      <c r="BJ641">
        <f>VLOOKUP($B641,[1]Data_Peer_with_peerVars!$B$2:$Z$1050,22,FALSE)</f>
        <v>0.16666666699999999</v>
      </c>
      <c r="BK641">
        <f>VLOOKUP($B641,[1]Data_Peer_with_peerVars!$B$2:$Z$1050,23,FALSE)</f>
        <v>13</v>
      </c>
      <c r="BL641">
        <f>VLOOKUP($B641,[1]Data_Peer_with_peerVars!$B$2:$Z$1050,24,FALSE)</f>
        <v>5</v>
      </c>
      <c r="BM641">
        <f>VLOOKUP($B641,[1]Data_Peer_with_peerVars!$B$2:$Z$1050,25,FALSE)</f>
        <v>0.38461538499999998</v>
      </c>
    </row>
    <row r="642" spans="1:65" x14ac:dyDescent="0.2">
      <c r="A642">
        <v>1</v>
      </c>
      <c r="B642" t="s">
        <v>1020</v>
      </c>
      <c r="C642">
        <v>365</v>
      </c>
      <c r="D642" t="s">
        <v>68</v>
      </c>
      <c r="E642">
        <v>1</v>
      </c>
      <c r="F642">
        <v>639</v>
      </c>
      <c r="G642" t="s">
        <v>69</v>
      </c>
      <c r="H642" s="1">
        <v>0</v>
      </c>
      <c r="I642" t="s">
        <v>87</v>
      </c>
      <c r="J642" t="s">
        <v>88</v>
      </c>
      <c r="K642" t="s">
        <v>109</v>
      </c>
      <c r="L642">
        <v>1</v>
      </c>
      <c r="M642">
        <v>1</v>
      </c>
      <c r="N642">
        <v>1</v>
      </c>
      <c r="O642">
        <v>0</v>
      </c>
      <c r="P642">
        <v>0</v>
      </c>
      <c r="Q642">
        <v>3</v>
      </c>
      <c r="R642">
        <v>0</v>
      </c>
      <c r="S642">
        <v>0</v>
      </c>
      <c r="T642">
        <v>0</v>
      </c>
      <c r="U642">
        <v>0</v>
      </c>
      <c r="V642">
        <f t="shared" si="257"/>
        <v>1</v>
      </c>
      <c r="W642">
        <v>1</v>
      </c>
      <c r="X642">
        <v>1</v>
      </c>
      <c r="Y642">
        <v>1</v>
      </c>
      <c r="Z642" t="s">
        <v>91</v>
      </c>
      <c r="AA642" s="5" t="s">
        <v>91</v>
      </c>
      <c r="AB642" s="5" t="s">
        <v>998</v>
      </c>
      <c r="AC642" t="s">
        <v>91</v>
      </c>
      <c r="AD642" t="s">
        <v>137</v>
      </c>
      <c r="AE642" s="5" t="s">
        <v>497</v>
      </c>
      <c r="AF642" t="s">
        <v>287</v>
      </c>
      <c r="AG642" t="s">
        <v>113</v>
      </c>
      <c r="AH642">
        <f t="shared" si="287"/>
        <v>0.10049288000000001</v>
      </c>
      <c r="AI642">
        <f t="shared" si="287"/>
        <v>0.10049288000000001</v>
      </c>
      <c r="AJ642">
        <f t="shared" si="260"/>
        <v>0.10049288000000001</v>
      </c>
      <c r="AK642">
        <v>0.10049288000000001</v>
      </c>
      <c r="AL642">
        <v>0.11420764999999999</v>
      </c>
      <c r="AM642">
        <v>0.13176599</v>
      </c>
      <c r="AN642">
        <v>0.13194063</v>
      </c>
      <c r="AO642">
        <v>89.950711999999996</v>
      </c>
      <c r="AP642">
        <v>88.579234999999997</v>
      </c>
      <c r="AQ642">
        <v>86.823401000000004</v>
      </c>
      <c r="AR642">
        <v>86.805937</v>
      </c>
      <c r="AS642" t="b">
        <v>1</v>
      </c>
      <c r="AT642" t="b">
        <v>0</v>
      </c>
      <c r="AU642" t="s">
        <v>78</v>
      </c>
      <c r="AV642" t="s">
        <v>108</v>
      </c>
      <c r="AW642" t="s">
        <v>783</v>
      </c>
      <c r="AX642" t="s">
        <v>812</v>
      </c>
      <c r="AY642" t="s">
        <v>1021</v>
      </c>
      <c r="AZ642" t="s">
        <v>109</v>
      </c>
      <c r="BA642">
        <v>10</v>
      </c>
      <c r="BB642">
        <v>1.05</v>
      </c>
      <c r="BC642">
        <v>9.0659339999999995E-3</v>
      </c>
      <c r="BD642">
        <v>2.76583658862385E-3</v>
      </c>
      <c r="BE642">
        <v>1.1831770588623799E-2</v>
      </c>
      <c r="BF642">
        <f>IF(AK642&lt;BE642,1,0)</f>
        <v>0</v>
      </c>
      <c r="BG642">
        <f>IF(AK642&lt;BC642,1,0)</f>
        <v>0</v>
      </c>
      <c r="BH642">
        <f>VLOOKUP($B642,[1]Data_Peer_with_peerVars!$B$2:$Z$1050,20,FALSE)</f>
        <v>4</v>
      </c>
      <c r="BI642">
        <f>VLOOKUP($B642,[1]Data_Peer_with_peerVars!$B$2:$Z$1050,21,FALSE)</f>
        <v>2</v>
      </c>
      <c r="BJ642">
        <f>VLOOKUP($B642,[1]Data_Peer_with_peerVars!$B$2:$Z$1050,22,FALSE)</f>
        <v>0.5</v>
      </c>
      <c r="BK642">
        <f>VLOOKUP($B642,[1]Data_Peer_with_peerVars!$B$2:$Z$1050,23,FALSE)</f>
        <v>19</v>
      </c>
      <c r="BL642">
        <f>VLOOKUP($B642,[1]Data_Peer_with_peerVars!$B$2:$Z$1050,24,FALSE)</f>
        <v>7</v>
      </c>
      <c r="BM642">
        <f>VLOOKUP($B642,[1]Data_Peer_with_peerVars!$B$2:$Z$1050,25,FALSE)</f>
        <v>0.368421053</v>
      </c>
    </row>
    <row r="643" spans="1:65" x14ac:dyDescent="0.2">
      <c r="A643">
        <v>1</v>
      </c>
      <c r="B643" t="s">
        <v>1022</v>
      </c>
      <c r="C643">
        <v>365</v>
      </c>
      <c r="D643" t="s">
        <v>68</v>
      </c>
      <c r="E643">
        <v>1</v>
      </c>
      <c r="F643">
        <v>639</v>
      </c>
      <c r="G643" t="s">
        <v>69</v>
      </c>
      <c r="H643" s="1">
        <v>0</v>
      </c>
      <c r="I643" t="s">
        <v>87</v>
      </c>
      <c r="J643" t="s">
        <v>88</v>
      </c>
      <c r="K643" t="s">
        <v>109</v>
      </c>
      <c r="L643">
        <v>1</v>
      </c>
      <c r="M643">
        <v>1</v>
      </c>
      <c r="N643">
        <v>1</v>
      </c>
      <c r="O643">
        <v>0</v>
      </c>
      <c r="P643">
        <v>0</v>
      </c>
      <c r="Q643">
        <v>3</v>
      </c>
      <c r="R643">
        <v>0</v>
      </c>
      <c r="S643">
        <v>0</v>
      </c>
      <c r="T643">
        <v>0</v>
      </c>
      <c r="U643">
        <v>0</v>
      </c>
      <c r="V643">
        <f t="shared" ref="V643:V706" si="288">IF(Z643=AC643,1,0)</f>
        <v>0</v>
      </c>
      <c r="W643">
        <f t="shared" ref="W643:W704" si="289">IF(Z643=AD643,1,0)</f>
        <v>0</v>
      </c>
      <c r="X643">
        <f t="shared" si="261"/>
        <v>0</v>
      </c>
      <c r="Y643">
        <f t="shared" ref="Y643:Y704" si="290">IF(Z643=AG643,1,0)</f>
        <v>0</v>
      </c>
      <c r="Z643" t="s">
        <v>89</v>
      </c>
      <c r="AA643" s="5" t="s">
        <v>273</v>
      </c>
      <c r="AB643" s="5" t="s">
        <v>1023</v>
      </c>
      <c r="AC643" t="s">
        <v>101</v>
      </c>
      <c r="AD643" t="s">
        <v>99</v>
      </c>
      <c r="AE643" s="5" t="s">
        <v>99</v>
      </c>
      <c r="AF643" t="s">
        <v>103</v>
      </c>
      <c r="AG643" t="s">
        <v>102</v>
      </c>
      <c r="AH643">
        <f t="shared" si="287"/>
        <v>5.6899394999999998E-2</v>
      </c>
      <c r="AI643">
        <f t="shared" si="287"/>
        <v>5.6899394999999998E-2</v>
      </c>
      <c r="AJ643">
        <f t="shared" ref="AJ643:AJ706" si="291">AK643</f>
        <v>5.6899394999999998E-2</v>
      </c>
      <c r="AK643">
        <v>5.6899394999999998E-2</v>
      </c>
      <c r="AL643">
        <v>8.3333335999999994E-2</v>
      </c>
      <c r="AM643">
        <v>9.5421955000000003E-2</v>
      </c>
      <c r="AN643">
        <v>0.125</v>
      </c>
      <c r="AO643">
        <v>94.310060500000006</v>
      </c>
      <c r="AP643">
        <v>91.666666399999997</v>
      </c>
      <c r="AQ643">
        <v>90.457804499999995</v>
      </c>
      <c r="AR643">
        <v>87.5</v>
      </c>
      <c r="AS643" t="b">
        <v>0</v>
      </c>
      <c r="AT643" t="b">
        <v>0</v>
      </c>
      <c r="AU643" t="s">
        <v>92</v>
      </c>
      <c r="AV643" t="s">
        <v>92</v>
      </c>
      <c r="AW643" t="s">
        <v>783</v>
      </c>
      <c r="AX643" t="s">
        <v>812</v>
      </c>
      <c r="AY643" t="s">
        <v>1021</v>
      </c>
      <c r="AZ643" t="s">
        <v>109</v>
      </c>
      <c r="BA643">
        <v>4</v>
      </c>
      <c r="BB643">
        <v>1.5</v>
      </c>
      <c r="BC643">
        <v>1.4096186E-2</v>
      </c>
      <c r="BD643">
        <v>1.55088650053763E-3</v>
      </c>
      <c r="BE643">
        <v>1.5647072500537599E-2</v>
      </c>
      <c r="BF643">
        <f>IF(AK643&lt;BE643,1,0)</f>
        <v>0</v>
      </c>
      <c r="BG643">
        <f>IF(AK643&lt;BC643,1,0)</f>
        <v>0</v>
      </c>
      <c r="BH643">
        <f>VLOOKUP($B643,[1]Data_Peer_with_peerVars!$B$2:$Z$1050,20,FALSE)</f>
        <v>4</v>
      </c>
      <c r="BI643">
        <f>VLOOKUP($B643,[1]Data_Peer_with_peerVars!$B$2:$Z$1050,21,FALSE)</f>
        <v>2</v>
      </c>
      <c r="BJ643">
        <f>VLOOKUP($B643,[1]Data_Peer_with_peerVars!$B$2:$Z$1050,22,FALSE)</f>
        <v>0.5</v>
      </c>
      <c r="BK643">
        <f>VLOOKUP($B643,[1]Data_Peer_with_peerVars!$B$2:$Z$1050,23,FALSE)</f>
        <v>19</v>
      </c>
      <c r="BL643">
        <f>VLOOKUP($B643,[1]Data_Peer_with_peerVars!$B$2:$Z$1050,24,FALSE)</f>
        <v>7</v>
      </c>
      <c r="BM643">
        <f>VLOOKUP($B643,[1]Data_Peer_with_peerVars!$B$2:$Z$1050,25,FALSE)</f>
        <v>0.368421053</v>
      </c>
    </row>
    <row r="644" spans="1:65" x14ac:dyDescent="0.2">
      <c r="A644">
        <v>1</v>
      </c>
      <c r="B644" t="s">
        <v>1024</v>
      </c>
      <c r="C644">
        <v>366</v>
      </c>
      <c r="D644" t="s">
        <v>68</v>
      </c>
      <c r="E644">
        <v>1</v>
      </c>
      <c r="F644">
        <v>647</v>
      </c>
      <c r="G644" t="s">
        <v>86</v>
      </c>
      <c r="H644" s="1">
        <v>7</v>
      </c>
      <c r="I644" t="s">
        <v>87</v>
      </c>
      <c r="J644" t="s">
        <v>150</v>
      </c>
      <c r="K644" t="s">
        <v>109</v>
      </c>
      <c r="L644">
        <v>1</v>
      </c>
      <c r="M644">
        <v>1</v>
      </c>
      <c r="N644">
        <v>1</v>
      </c>
      <c r="O644">
        <v>1</v>
      </c>
      <c r="P644">
        <v>0</v>
      </c>
      <c r="Q644">
        <v>6</v>
      </c>
      <c r="R644">
        <v>0</v>
      </c>
      <c r="S644">
        <v>0</v>
      </c>
      <c r="T644">
        <v>0</v>
      </c>
      <c r="U644">
        <v>0</v>
      </c>
      <c r="V644">
        <f t="shared" si="288"/>
        <v>1</v>
      </c>
      <c r="W644">
        <v>1</v>
      </c>
      <c r="X644">
        <v>1</v>
      </c>
      <c r="Y644">
        <v>1</v>
      </c>
      <c r="Z644" t="s">
        <v>91</v>
      </c>
      <c r="AA644" s="5" t="s">
        <v>91</v>
      </c>
      <c r="AB644" s="5" t="s">
        <v>1025</v>
      </c>
      <c r="AC644" t="s">
        <v>91</v>
      </c>
      <c r="AD644" t="s">
        <v>137</v>
      </c>
      <c r="AE644" s="5" t="s">
        <v>497</v>
      </c>
      <c r="AF644" t="s">
        <v>287</v>
      </c>
      <c r="AG644" t="s">
        <v>103</v>
      </c>
      <c r="AH644">
        <f t="shared" si="287"/>
        <v>5.4978117E-2</v>
      </c>
      <c r="AI644">
        <f t="shared" si="287"/>
        <v>5.4978117E-2</v>
      </c>
      <c r="AJ644">
        <f t="shared" si="291"/>
        <v>5.4978117E-2</v>
      </c>
      <c r="AK644">
        <v>5.4978117E-2</v>
      </c>
      <c r="AL644">
        <v>0.11196068000000001</v>
      </c>
      <c r="AM644">
        <v>0.1215183</v>
      </c>
      <c r="AN644">
        <v>0.12768299999999999</v>
      </c>
      <c r="AO644">
        <v>94.5021883</v>
      </c>
      <c r="AP644">
        <v>88.803932000000003</v>
      </c>
      <c r="AQ644">
        <v>87.848169999999996</v>
      </c>
      <c r="AR644">
        <v>87.231700000000004</v>
      </c>
      <c r="AS644" t="b">
        <v>1</v>
      </c>
      <c r="AT644" t="b">
        <v>0</v>
      </c>
      <c r="AU644" t="s">
        <v>77</v>
      </c>
      <c r="AV644" t="s">
        <v>108</v>
      </c>
      <c r="AW644" t="s">
        <v>783</v>
      </c>
      <c r="AX644" t="s">
        <v>812</v>
      </c>
      <c r="AY644" t="s">
        <v>1021</v>
      </c>
      <c r="AZ644" t="s">
        <v>109</v>
      </c>
      <c r="BA644">
        <v>7</v>
      </c>
      <c r="BB644">
        <v>1.4</v>
      </c>
      <c r="BC644">
        <v>9.0659339999999995E-3</v>
      </c>
      <c r="BD644">
        <v>2.76583658862385E-3</v>
      </c>
      <c r="BE644">
        <v>1.1831770588623799E-2</v>
      </c>
      <c r="BF644">
        <f>IF(AK644&lt;BE644,1,0)</f>
        <v>0</v>
      </c>
      <c r="BG644">
        <f>IF(AK644&lt;BC644,1,0)</f>
        <v>0</v>
      </c>
      <c r="BH644">
        <f>VLOOKUP($B644,[1]Data_Peer_with_peerVars!$B$2:$Z$1050,20,FALSE)</f>
        <v>7</v>
      </c>
      <c r="BI644">
        <f>VLOOKUP($B644,[1]Data_Peer_with_peerVars!$B$2:$Z$1050,21,FALSE)</f>
        <v>2</v>
      </c>
      <c r="BJ644">
        <f>VLOOKUP($B644,[1]Data_Peer_with_peerVars!$B$2:$Z$1050,22,FALSE)</f>
        <v>0.28571428599999998</v>
      </c>
      <c r="BK644">
        <f>VLOOKUP($B644,[1]Data_Peer_with_peerVars!$B$2:$Z$1050,23,FALSE)</f>
        <v>13</v>
      </c>
      <c r="BL644">
        <f>VLOOKUP($B644,[1]Data_Peer_with_peerVars!$B$2:$Z$1050,24,FALSE)</f>
        <v>5</v>
      </c>
      <c r="BM644">
        <f>VLOOKUP($B644,[1]Data_Peer_with_peerVars!$B$2:$Z$1050,25,FALSE)</f>
        <v>0.38461538499999998</v>
      </c>
    </row>
    <row r="645" spans="1:65" x14ac:dyDescent="0.2">
      <c r="A645">
        <v>1</v>
      </c>
      <c r="B645" t="s">
        <v>1026</v>
      </c>
      <c r="C645">
        <v>366</v>
      </c>
      <c r="D645" t="s">
        <v>68</v>
      </c>
      <c r="E645">
        <v>1</v>
      </c>
      <c r="F645">
        <v>647</v>
      </c>
      <c r="G645" t="s">
        <v>86</v>
      </c>
      <c r="H645" s="1">
        <v>7</v>
      </c>
      <c r="I645" t="s">
        <v>87</v>
      </c>
      <c r="J645" t="s">
        <v>150</v>
      </c>
      <c r="K645" t="s">
        <v>109</v>
      </c>
      <c r="L645">
        <v>1</v>
      </c>
      <c r="M645">
        <v>1</v>
      </c>
      <c r="N645">
        <v>1</v>
      </c>
      <c r="O645">
        <v>1</v>
      </c>
      <c r="P645">
        <v>0</v>
      </c>
      <c r="Q645">
        <v>6</v>
      </c>
      <c r="R645">
        <v>0</v>
      </c>
      <c r="S645">
        <v>0</v>
      </c>
      <c r="T645">
        <v>1</v>
      </c>
      <c r="U645">
        <v>1</v>
      </c>
      <c r="V645">
        <f t="shared" si="288"/>
        <v>0</v>
      </c>
      <c r="W645">
        <f t="shared" si="289"/>
        <v>0</v>
      </c>
      <c r="X645">
        <f t="shared" ref="X645:X707" si="292">IF(Z645=AF645,1,0)</f>
        <v>0</v>
      </c>
      <c r="Y645">
        <f t="shared" si="290"/>
        <v>0</v>
      </c>
      <c r="Z645" t="s">
        <v>76</v>
      </c>
      <c r="AA645" s="5" t="s">
        <v>76</v>
      </c>
      <c r="AB645" s="5" t="s">
        <v>1027</v>
      </c>
      <c r="AC645" t="s">
        <v>94</v>
      </c>
      <c r="AD645" t="s">
        <v>95</v>
      </c>
      <c r="AE645" s="5" t="s">
        <v>95</v>
      </c>
      <c r="AF645" t="s">
        <v>107</v>
      </c>
      <c r="AG645" t="s">
        <v>173</v>
      </c>
      <c r="AH645">
        <f t="shared" ref="AH645:AH647" si="293">AI645</f>
        <v>5.5708769999999998E-2</v>
      </c>
      <c r="AI645">
        <f t="shared" ref="AI645:AI647" si="294">AJ645</f>
        <v>5.5708769999999998E-2</v>
      </c>
      <c r="AJ645">
        <f t="shared" si="291"/>
        <v>5.5708769999999998E-2</v>
      </c>
      <c r="AK645">
        <v>5.5708769999999998E-2</v>
      </c>
      <c r="AL645">
        <v>9.1662064000000001E-2</v>
      </c>
      <c r="AM645">
        <v>0.104811944</v>
      </c>
      <c r="AN645">
        <v>0.11135612</v>
      </c>
      <c r="AO645">
        <v>94.429123000000004</v>
      </c>
      <c r="AP645">
        <v>90.833793600000007</v>
      </c>
      <c r="AQ645">
        <v>89.518805599999993</v>
      </c>
      <c r="AR645">
        <v>88.864388000000005</v>
      </c>
      <c r="AS645" t="b">
        <v>0</v>
      </c>
      <c r="AT645" t="b">
        <v>0</v>
      </c>
      <c r="AU645" t="s">
        <v>77</v>
      </c>
      <c r="AV645" t="s">
        <v>77</v>
      </c>
      <c r="AW645" t="s">
        <v>783</v>
      </c>
      <c r="AX645" t="s">
        <v>812</v>
      </c>
      <c r="AY645" t="s">
        <v>1021</v>
      </c>
      <c r="AZ645" t="s">
        <v>109</v>
      </c>
      <c r="BA645">
        <v>7</v>
      </c>
      <c r="BB645">
        <v>0.7</v>
      </c>
      <c r="BC645">
        <v>1.6447369E-2</v>
      </c>
      <c r="BD645">
        <v>4.2236161269162102E-4</v>
      </c>
      <c r="BE645">
        <v>1.6869730612691598E-2</v>
      </c>
      <c r="BF645">
        <f>IF(AK645&lt;BE645,1,0)</f>
        <v>0</v>
      </c>
      <c r="BG645">
        <f>IF(AK645&lt;BC645,1,0)</f>
        <v>0</v>
      </c>
      <c r="BH645">
        <f>VLOOKUP($B645,[1]Data_Peer_with_peerVars!$B$2:$Z$1050,20,FALSE)</f>
        <v>7</v>
      </c>
      <c r="BI645">
        <f>VLOOKUP($B645,[1]Data_Peer_with_peerVars!$B$2:$Z$1050,21,FALSE)</f>
        <v>2</v>
      </c>
      <c r="BJ645">
        <f>VLOOKUP($B645,[1]Data_Peer_with_peerVars!$B$2:$Z$1050,22,FALSE)</f>
        <v>0.28571428599999998</v>
      </c>
      <c r="BK645">
        <f>VLOOKUP($B645,[1]Data_Peer_with_peerVars!$B$2:$Z$1050,23,FALSE)</f>
        <v>13</v>
      </c>
      <c r="BL645">
        <f>VLOOKUP($B645,[1]Data_Peer_with_peerVars!$B$2:$Z$1050,24,FALSE)</f>
        <v>5</v>
      </c>
      <c r="BM645">
        <f>VLOOKUP($B645,[1]Data_Peer_with_peerVars!$B$2:$Z$1050,25,FALSE)</f>
        <v>0.38461538499999998</v>
      </c>
    </row>
    <row r="646" spans="1:65" x14ac:dyDescent="0.2">
      <c r="A646">
        <v>1</v>
      </c>
      <c r="B646" t="s">
        <v>1028</v>
      </c>
      <c r="C646">
        <v>367</v>
      </c>
      <c r="D646" t="s">
        <v>68</v>
      </c>
      <c r="E646">
        <v>0</v>
      </c>
      <c r="F646">
        <v>650</v>
      </c>
      <c r="G646" t="s">
        <v>97</v>
      </c>
      <c r="H646" s="1">
        <v>5</v>
      </c>
      <c r="I646" t="s">
        <v>87</v>
      </c>
      <c r="J646" t="s">
        <v>88</v>
      </c>
      <c r="K646" t="s">
        <v>109</v>
      </c>
      <c r="L646">
        <v>1</v>
      </c>
      <c r="M646">
        <v>0</v>
      </c>
      <c r="N646">
        <v>1</v>
      </c>
      <c r="O646">
        <v>0</v>
      </c>
      <c r="P646">
        <v>1</v>
      </c>
      <c r="Q646">
        <v>6</v>
      </c>
      <c r="R646">
        <v>0</v>
      </c>
      <c r="S646">
        <v>0</v>
      </c>
      <c r="T646">
        <v>0</v>
      </c>
      <c r="U646">
        <v>0</v>
      </c>
      <c r="V646">
        <f t="shared" si="288"/>
        <v>0</v>
      </c>
      <c r="W646">
        <f t="shared" si="289"/>
        <v>0</v>
      </c>
      <c r="X646">
        <f t="shared" si="292"/>
        <v>0</v>
      </c>
      <c r="Y646">
        <f t="shared" si="290"/>
        <v>0</v>
      </c>
      <c r="Z646" t="s">
        <v>89</v>
      </c>
      <c r="AA646" s="5" t="s">
        <v>76</v>
      </c>
      <c r="AB646" s="5" t="s">
        <v>1029</v>
      </c>
      <c r="AC646" t="s">
        <v>91</v>
      </c>
      <c r="AD646" t="s">
        <v>101</v>
      </c>
      <c r="AE646" s="5" t="s">
        <v>101</v>
      </c>
      <c r="AF646" t="s">
        <v>99</v>
      </c>
      <c r="AG646" t="s">
        <v>103</v>
      </c>
      <c r="AH646">
        <f t="shared" si="293"/>
        <v>0.1081453</v>
      </c>
      <c r="AI646">
        <f t="shared" si="294"/>
        <v>0.1081453</v>
      </c>
      <c r="AJ646">
        <f t="shared" si="291"/>
        <v>0.1081453</v>
      </c>
      <c r="AK646">
        <v>0.1081453</v>
      </c>
      <c r="AL646">
        <v>0.117825605</v>
      </c>
      <c r="AM646">
        <v>0.124861576</v>
      </c>
      <c r="AN646">
        <v>0.12569061000000001</v>
      </c>
      <c r="AO646">
        <v>89.185469999999995</v>
      </c>
      <c r="AP646">
        <v>88.217439499999998</v>
      </c>
      <c r="AQ646">
        <v>87.513842400000001</v>
      </c>
      <c r="AR646">
        <v>87.430938999999995</v>
      </c>
      <c r="AS646" t="b">
        <v>0</v>
      </c>
      <c r="AT646" t="b">
        <v>0</v>
      </c>
      <c r="AU646" t="s">
        <v>78</v>
      </c>
      <c r="AV646" t="s">
        <v>78</v>
      </c>
      <c r="AW646" t="s">
        <v>783</v>
      </c>
      <c r="AX646" t="s">
        <v>812</v>
      </c>
      <c r="AY646" t="s">
        <v>1030</v>
      </c>
      <c r="AZ646" t="s">
        <v>109</v>
      </c>
      <c r="BA646">
        <v>5</v>
      </c>
      <c r="BB646">
        <v>0.7</v>
      </c>
      <c r="BC646">
        <v>9.0659339999999995E-3</v>
      </c>
      <c r="BD646">
        <v>2.76583658862385E-3</v>
      </c>
      <c r="BE646">
        <v>1.1831770588623799E-2</v>
      </c>
      <c r="BF646">
        <f>IF(AK646&lt;BE646,1,0)</f>
        <v>0</v>
      </c>
      <c r="BG646">
        <f>IF(AK646&lt;BC646,1,0)</f>
        <v>0</v>
      </c>
      <c r="BH646">
        <f>VLOOKUP($B646,[1]Data_Peer_with_peerVars!$B$2:$Z$1050,20,FALSE)</f>
        <v>6</v>
      </c>
      <c r="BI646">
        <f>VLOOKUP($B646,[1]Data_Peer_with_peerVars!$B$2:$Z$1050,21,FALSE)</f>
        <v>2</v>
      </c>
      <c r="BJ646">
        <f>VLOOKUP($B646,[1]Data_Peer_with_peerVars!$B$2:$Z$1050,22,FALSE)</f>
        <v>0.33333333300000001</v>
      </c>
      <c r="BK646">
        <f>VLOOKUP($B646,[1]Data_Peer_with_peerVars!$B$2:$Z$1050,23,FALSE)</f>
        <v>13</v>
      </c>
      <c r="BL646">
        <f>VLOOKUP($B646,[1]Data_Peer_with_peerVars!$B$2:$Z$1050,24,FALSE)</f>
        <v>6</v>
      </c>
      <c r="BM646">
        <f>VLOOKUP($B646,[1]Data_Peer_with_peerVars!$B$2:$Z$1050,25,FALSE)</f>
        <v>0.46153846199999998</v>
      </c>
    </row>
    <row r="647" spans="1:65" x14ac:dyDescent="0.2">
      <c r="A647">
        <v>1</v>
      </c>
      <c r="B647" t="s">
        <v>1031</v>
      </c>
      <c r="C647">
        <v>367</v>
      </c>
      <c r="D647" t="s">
        <v>68</v>
      </c>
      <c r="E647">
        <v>0</v>
      </c>
      <c r="F647">
        <v>650</v>
      </c>
      <c r="G647" t="s">
        <v>97</v>
      </c>
      <c r="H647" s="1">
        <v>5</v>
      </c>
      <c r="I647" t="s">
        <v>87</v>
      </c>
      <c r="J647" t="s">
        <v>88</v>
      </c>
      <c r="K647" t="s">
        <v>109</v>
      </c>
      <c r="L647">
        <v>1</v>
      </c>
      <c r="M647">
        <v>0</v>
      </c>
      <c r="N647">
        <v>1</v>
      </c>
      <c r="O647">
        <v>0</v>
      </c>
      <c r="P647">
        <v>1</v>
      </c>
      <c r="Q647">
        <v>6</v>
      </c>
      <c r="R647">
        <v>0</v>
      </c>
      <c r="S647">
        <v>0</v>
      </c>
      <c r="T647">
        <v>0</v>
      </c>
      <c r="U647">
        <v>0</v>
      </c>
      <c r="V647">
        <f t="shared" si="288"/>
        <v>0</v>
      </c>
      <c r="W647">
        <f t="shared" si="289"/>
        <v>0</v>
      </c>
      <c r="X647">
        <f t="shared" si="292"/>
        <v>0</v>
      </c>
      <c r="Y647">
        <f t="shared" si="290"/>
        <v>0</v>
      </c>
      <c r="Z647" t="s">
        <v>98</v>
      </c>
      <c r="AA647" s="5" t="s">
        <v>170</v>
      </c>
      <c r="AB647" s="5" t="s">
        <v>1032</v>
      </c>
      <c r="AC647" t="s">
        <v>73</v>
      </c>
      <c r="AD647" t="s">
        <v>91</v>
      </c>
      <c r="AE647" s="5" t="s">
        <v>91</v>
      </c>
      <c r="AF647" t="s">
        <v>94</v>
      </c>
      <c r="AG647" t="s">
        <v>75</v>
      </c>
      <c r="AH647">
        <f t="shared" si="293"/>
        <v>0.11135370999999999</v>
      </c>
      <c r="AI647">
        <f t="shared" si="294"/>
        <v>0.11135370999999999</v>
      </c>
      <c r="AJ647">
        <f t="shared" si="291"/>
        <v>0.11135370999999999</v>
      </c>
      <c r="AK647">
        <v>0.11135370999999999</v>
      </c>
      <c r="AL647">
        <v>0.11193213</v>
      </c>
      <c r="AM647">
        <v>0.14098361000000001</v>
      </c>
      <c r="AN647">
        <v>0.14969895999999999</v>
      </c>
      <c r="AO647">
        <v>88.864628999999994</v>
      </c>
      <c r="AP647">
        <v>88.806787</v>
      </c>
      <c r="AQ647">
        <v>85.901639000000003</v>
      </c>
      <c r="AR647">
        <v>85.030103999999994</v>
      </c>
      <c r="AS647" t="b">
        <v>0</v>
      </c>
      <c r="AT647" t="b">
        <v>0</v>
      </c>
      <c r="AU647" t="s">
        <v>92</v>
      </c>
      <c r="AV647" t="s">
        <v>92</v>
      </c>
      <c r="AW647" t="s">
        <v>783</v>
      </c>
      <c r="AX647" t="s">
        <v>812</v>
      </c>
      <c r="AY647" t="s">
        <v>1030</v>
      </c>
      <c r="AZ647" t="s">
        <v>109</v>
      </c>
      <c r="BA647">
        <v>15</v>
      </c>
      <c r="BB647">
        <v>1.4</v>
      </c>
      <c r="BC647">
        <v>4.1163553999999996E-3</v>
      </c>
      <c r="BD647">
        <v>1.4279989108178799E-4</v>
      </c>
      <c r="BE647">
        <v>4.2591552910817903E-3</v>
      </c>
      <c r="BF647">
        <f>IF(AK647&lt;BE647,1,0)</f>
        <v>0</v>
      </c>
      <c r="BG647">
        <f>IF(AK647&lt;BC647,1,0)</f>
        <v>0</v>
      </c>
      <c r="BH647">
        <f>VLOOKUP($B647,[1]Data_Peer_with_peerVars!$B$2:$Z$1050,20,FALSE)</f>
        <v>6</v>
      </c>
      <c r="BI647">
        <f>VLOOKUP($B647,[1]Data_Peer_with_peerVars!$B$2:$Z$1050,21,FALSE)</f>
        <v>2</v>
      </c>
      <c r="BJ647">
        <f>VLOOKUP($B647,[1]Data_Peer_with_peerVars!$B$2:$Z$1050,22,FALSE)</f>
        <v>0.33333333300000001</v>
      </c>
      <c r="BK647">
        <f>VLOOKUP($B647,[1]Data_Peer_with_peerVars!$B$2:$Z$1050,23,FALSE)</f>
        <v>13</v>
      </c>
      <c r="BL647">
        <f>VLOOKUP($B647,[1]Data_Peer_with_peerVars!$B$2:$Z$1050,24,FALSE)</f>
        <v>6</v>
      </c>
      <c r="BM647">
        <f>VLOOKUP($B647,[1]Data_Peer_with_peerVars!$B$2:$Z$1050,25,FALSE)</f>
        <v>0.46153846199999998</v>
      </c>
    </row>
    <row r="648" spans="1:65" x14ac:dyDescent="0.2">
      <c r="A648">
        <v>1</v>
      </c>
      <c r="B648" t="s">
        <v>1033</v>
      </c>
      <c r="C648">
        <v>368</v>
      </c>
      <c r="D648" t="s">
        <v>68</v>
      </c>
      <c r="E648">
        <v>1</v>
      </c>
      <c r="F648">
        <v>651</v>
      </c>
      <c r="G648" t="s">
        <v>86</v>
      </c>
      <c r="H648" s="1">
        <v>0</v>
      </c>
      <c r="I648" t="s">
        <v>87</v>
      </c>
      <c r="J648" t="s">
        <v>150</v>
      </c>
      <c r="K648" t="s">
        <v>72</v>
      </c>
      <c r="L648">
        <v>1</v>
      </c>
      <c r="M648">
        <v>1</v>
      </c>
      <c r="N648">
        <v>1</v>
      </c>
      <c r="O648">
        <v>1</v>
      </c>
      <c r="P648">
        <v>0</v>
      </c>
      <c r="Q648">
        <v>12</v>
      </c>
      <c r="R648">
        <v>0</v>
      </c>
      <c r="S648">
        <v>0</v>
      </c>
      <c r="T648">
        <v>0</v>
      </c>
      <c r="U648">
        <v>0</v>
      </c>
      <c r="V648">
        <v>1</v>
      </c>
      <c r="W648">
        <v>1</v>
      </c>
      <c r="X648">
        <v>1</v>
      </c>
      <c r="Y648">
        <v>1</v>
      </c>
      <c r="Z648" t="s">
        <v>98</v>
      </c>
      <c r="AA648" s="5" t="s">
        <v>99</v>
      </c>
      <c r="AB648" s="5" t="s">
        <v>600</v>
      </c>
      <c r="AC648" t="s">
        <v>99</v>
      </c>
      <c r="AD648" t="s">
        <v>101</v>
      </c>
      <c r="AE648" s="5" t="s">
        <v>101</v>
      </c>
      <c r="AF648" t="s">
        <v>103</v>
      </c>
      <c r="AG648" t="s">
        <v>102</v>
      </c>
      <c r="AH648">
        <f>AI648</f>
        <v>0.113812156</v>
      </c>
      <c r="AI648">
        <f>AJ648</f>
        <v>0.113812156</v>
      </c>
      <c r="AJ648">
        <f t="shared" si="291"/>
        <v>0.113812156</v>
      </c>
      <c r="AK648">
        <v>0.113812156</v>
      </c>
      <c r="AL648">
        <v>0.120737076</v>
      </c>
      <c r="AM648">
        <v>0.12617339</v>
      </c>
      <c r="AN648">
        <v>0.12937636999999999</v>
      </c>
      <c r="AO648">
        <v>88.618784399999996</v>
      </c>
      <c r="AP648">
        <v>87.926292399999994</v>
      </c>
      <c r="AQ648">
        <v>87.382660999999999</v>
      </c>
      <c r="AR648">
        <v>87.062363000000005</v>
      </c>
      <c r="AS648" t="b">
        <v>1</v>
      </c>
      <c r="AT648" t="b">
        <v>0</v>
      </c>
      <c r="AU648" t="s">
        <v>78</v>
      </c>
      <c r="AV648" t="s">
        <v>78</v>
      </c>
      <c r="AW648" t="s">
        <v>783</v>
      </c>
      <c r="AX648" t="s">
        <v>812</v>
      </c>
      <c r="AY648" t="s">
        <v>1021</v>
      </c>
      <c r="AZ648" t="s">
        <v>72</v>
      </c>
      <c r="BA648" t="s">
        <v>82</v>
      </c>
      <c r="BB648">
        <v>0.5</v>
      </c>
      <c r="BC648">
        <v>2.4711695999999998E-2</v>
      </c>
      <c r="BD648">
        <v>1.72884756304863E-3</v>
      </c>
      <c r="BE648">
        <v>2.6440543563048601E-2</v>
      </c>
      <c r="BF648">
        <f>IF(AK648&lt;BE648,1,0)</f>
        <v>0</v>
      </c>
      <c r="BG648">
        <f>IF(AK648&lt;BC648,1,0)</f>
        <v>0</v>
      </c>
      <c r="BH648">
        <f>VLOOKUP($B648,[1]Data_Peer_with_peerVars!$B$2:$Z$1050,20,FALSE)</f>
        <v>9</v>
      </c>
      <c r="BI648">
        <f>VLOOKUP($B648,[1]Data_Peer_with_peerVars!$B$2:$Z$1050,21,FALSE)</f>
        <v>3</v>
      </c>
      <c r="BJ648">
        <f>VLOOKUP($B648,[1]Data_Peer_with_peerVars!$B$2:$Z$1050,22,FALSE)</f>
        <v>0.33333333300000001</v>
      </c>
      <c r="BK648">
        <f>VLOOKUP($B648,[1]Data_Peer_with_peerVars!$B$2:$Z$1050,23,FALSE)</f>
        <v>20</v>
      </c>
      <c r="BL648">
        <f>VLOOKUP($B648,[1]Data_Peer_with_peerVars!$B$2:$Z$1050,24,FALSE)</f>
        <v>7</v>
      </c>
      <c r="BM648">
        <f>VLOOKUP($B648,[1]Data_Peer_with_peerVars!$B$2:$Z$1050,25,FALSE)</f>
        <v>0.35</v>
      </c>
    </row>
    <row r="649" spans="1:65" x14ac:dyDescent="0.2">
      <c r="A649">
        <v>1</v>
      </c>
      <c r="B649" t="s">
        <v>1034</v>
      </c>
      <c r="C649">
        <v>369</v>
      </c>
      <c r="D649" t="s">
        <v>68</v>
      </c>
      <c r="E649">
        <v>1</v>
      </c>
      <c r="F649">
        <v>673</v>
      </c>
      <c r="G649" t="s">
        <v>69</v>
      </c>
      <c r="H649" s="1">
        <v>7</v>
      </c>
      <c r="I649" t="s">
        <v>87</v>
      </c>
      <c r="J649" t="s">
        <v>124</v>
      </c>
      <c r="K649" t="s">
        <v>109</v>
      </c>
      <c r="L649">
        <v>1</v>
      </c>
      <c r="M649">
        <v>0</v>
      </c>
      <c r="N649">
        <v>1</v>
      </c>
      <c r="O649">
        <v>0</v>
      </c>
      <c r="P649">
        <v>0</v>
      </c>
      <c r="Q649">
        <v>6</v>
      </c>
      <c r="R649">
        <v>0</v>
      </c>
      <c r="S649">
        <v>0</v>
      </c>
      <c r="T649">
        <v>0</v>
      </c>
      <c r="U649">
        <v>0</v>
      </c>
      <c r="V649">
        <f t="shared" si="288"/>
        <v>0</v>
      </c>
      <c r="W649">
        <f t="shared" si="289"/>
        <v>0</v>
      </c>
      <c r="X649">
        <f t="shared" si="292"/>
        <v>0</v>
      </c>
      <c r="Y649">
        <f t="shared" si="290"/>
        <v>0</v>
      </c>
      <c r="Z649" t="s">
        <v>91</v>
      </c>
      <c r="AA649" s="5" t="s">
        <v>91</v>
      </c>
      <c r="AB649" s="5" t="s">
        <v>915</v>
      </c>
      <c r="AC649" t="s">
        <v>73</v>
      </c>
      <c r="AD649" t="s">
        <v>94</v>
      </c>
      <c r="AE649" s="5" t="s">
        <v>94</v>
      </c>
      <c r="AF649" t="s">
        <v>75</v>
      </c>
      <c r="AG649" t="s">
        <v>95</v>
      </c>
      <c r="AH649">
        <f t="shared" ref="AH649:AH651" si="295">AI649</f>
        <v>5.4525629999999999E-2</v>
      </c>
      <c r="AI649">
        <f t="shared" ref="AI649:AI652" si="296">AJ649</f>
        <v>5.4525629999999999E-2</v>
      </c>
      <c r="AJ649">
        <f t="shared" si="291"/>
        <v>5.4525629999999999E-2</v>
      </c>
      <c r="AK649">
        <v>5.4525629999999999E-2</v>
      </c>
      <c r="AL649">
        <v>0.12145197000000001</v>
      </c>
      <c r="AM649">
        <v>0.1302682</v>
      </c>
      <c r="AN649">
        <v>0.14242755000000001</v>
      </c>
      <c r="AO649">
        <v>94.547437000000002</v>
      </c>
      <c r="AP649">
        <v>87.854803000000004</v>
      </c>
      <c r="AQ649">
        <v>86.973179999999999</v>
      </c>
      <c r="AR649">
        <v>85.757244999999998</v>
      </c>
      <c r="AS649" t="b">
        <v>0</v>
      </c>
      <c r="AT649" t="b">
        <v>0</v>
      </c>
      <c r="AU649" t="s">
        <v>77</v>
      </c>
      <c r="AV649" t="s">
        <v>78</v>
      </c>
      <c r="AW649" t="s">
        <v>783</v>
      </c>
      <c r="AX649" t="s">
        <v>812</v>
      </c>
      <c r="AY649" t="s">
        <v>1030</v>
      </c>
      <c r="AZ649" t="s">
        <v>109</v>
      </c>
      <c r="BA649">
        <v>20</v>
      </c>
      <c r="BB649">
        <v>2</v>
      </c>
      <c r="BC649">
        <v>4.1163553999999996E-3</v>
      </c>
      <c r="BD649">
        <v>1.4279989108178799E-4</v>
      </c>
      <c r="BE649">
        <v>4.2591552910817903E-3</v>
      </c>
      <c r="BF649">
        <f>IF(AK649&lt;BE649,1,0)</f>
        <v>0</v>
      </c>
      <c r="BG649">
        <f>IF(AK649&lt;BC649,1,0)</f>
        <v>0</v>
      </c>
      <c r="BH649">
        <f>VLOOKUP($B649,[1]Data_Peer_with_peerVars!$B$2:$Z$1050,20,FALSE)</f>
        <v>7</v>
      </c>
      <c r="BI649">
        <f>VLOOKUP($B649,[1]Data_Peer_with_peerVars!$B$2:$Z$1050,21,FALSE)</f>
        <v>3</v>
      </c>
      <c r="BJ649">
        <f>VLOOKUP($B649,[1]Data_Peer_with_peerVars!$B$2:$Z$1050,22,FALSE)</f>
        <v>0.428571429</v>
      </c>
      <c r="BK649">
        <f>VLOOKUP($B649,[1]Data_Peer_with_peerVars!$B$2:$Z$1050,23,FALSE)</f>
        <v>13</v>
      </c>
      <c r="BL649">
        <f>VLOOKUP($B649,[1]Data_Peer_with_peerVars!$B$2:$Z$1050,24,FALSE)</f>
        <v>6</v>
      </c>
      <c r="BM649">
        <f>VLOOKUP($B649,[1]Data_Peer_with_peerVars!$B$2:$Z$1050,25,FALSE)</f>
        <v>0.46153846199999998</v>
      </c>
    </row>
    <row r="650" spans="1:65" x14ac:dyDescent="0.2">
      <c r="A650">
        <v>1</v>
      </c>
      <c r="B650" t="s">
        <v>1035</v>
      </c>
      <c r="C650">
        <v>369</v>
      </c>
      <c r="D650" t="s">
        <v>68</v>
      </c>
      <c r="E650">
        <v>1</v>
      </c>
      <c r="F650">
        <v>673</v>
      </c>
      <c r="G650" t="s">
        <v>69</v>
      </c>
      <c r="H650" s="1">
        <v>7</v>
      </c>
      <c r="I650" t="s">
        <v>87</v>
      </c>
      <c r="J650" t="s">
        <v>124</v>
      </c>
      <c r="K650" t="s">
        <v>109</v>
      </c>
      <c r="L650">
        <v>1</v>
      </c>
      <c r="M650">
        <v>0</v>
      </c>
      <c r="N650">
        <v>1</v>
      </c>
      <c r="O650">
        <v>0</v>
      </c>
      <c r="P650">
        <v>0</v>
      </c>
      <c r="Q650">
        <v>6</v>
      </c>
      <c r="R650">
        <v>0</v>
      </c>
      <c r="S650">
        <v>0</v>
      </c>
      <c r="T650">
        <v>0</v>
      </c>
      <c r="U650">
        <v>0</v>
      </c>
      <c r="V650">
        <f t="shared" si="288"/>
        <v>0</v>
      </c>
      <c r="W650">
        <f t="shared" si="289"/>
        <v>0</v>
      </c>
      <c r="X650">
        <f t="shared" si="292"/>
        <v>0</v>
      </c>
      <c r="Y650">
        <f t="shared" si="290"/>
        <v>0</v>
      </c>
      <c r="Z650" t="s">
        <v>98</v>
      </c>
      <c r="AA650" s="5" t="s">
        <v>170</v>
      </c>
      <c r="AB650" s="5" t="s">
        <v>1036</v>
      </c>
      <c r="AC650" t="s">
        <v>101</v>
      </c>
      <c r="AD650" t="s">
        <v>99</v>
      </c>
      <c r="AE650" s="5" t="s">
        <v>99</v>
      </c>
      <c r="AF650" t="s">
        <v>103</v>
      </c>
      <c r="AG650" t="s">
        <v>102</v>
      </c>
      <c r="AH650">
        <f t="shared" si="295"/>
        <v>6.0539349999999999E-2</v>
      </c>
      <c r="AI650">
        <f t="shared" si="296"/>
        <v>6.0539349999999999E-2</v>
      </c>
      <c r="AJ650">
        <f t="shared" si="291"/>
        <v>6.0539349999999999E-2</v>
      </c>
      <c r="AK650">
        <v>6.0539349999999999E-2</v>
      </c>
      <c r="AL650">
        <v>8.3149169999999994E-2</v>
      </c>
      <c r="AM650">
        <v>9.8564330000000006E-2</v>
      </c>
      <c r="AN650">
        <v>0.12602738999999999</v>
      </c>
      <c r="AO650">
        <v>93.946065000000004</v>
      </c>
      <c r="AP650">
        <v>91.685083000000006</v>
      </c>
      <c r="AQ650">
        <v>90.143567000000004</v>
      </c>
      <c r="AR650">
        <v>87.397261</v>
      </c>
      <c r="AS650" t="b">
        <v>0</v>
      </c>
      <c r="AT650" t="b">
        <v>0</v>
      </c>
      <c r="AU650" t="s">
        <v>92</v>
      </c>
      <c r="AV650" t="s">
        <v>92</v>
      </c>
      <c r="AW650" t="s">
        <v>783</v>
      </c>
      <c r="AX650" t="s">
        <v>812</v>
      </c>
      <c r="AY650" t="s">
        <v>1030</v>
      </c>
      <c r="AZ650" t="s">
        <v>72</v>
      </c>
      <c r="BA650" t="s">
        <v>82</v>
      </c>
      <c r="BB650">
        <v>2</v>
      </c>
      <c r="BC650">
        <v>1.4096186E-2</v>
      </c>
      <c r="BD650">
        <v>1.55088650053763E-3</v>
      </c>
      <c r="BE650">
        <v>1.5647072500537599E-2</v>
      </c>
      <c r="BF650">
        <f>IF(AK650&lt;BE650,1,0)</f>
        <v>0</v>
      </c>
      <c r="BG650">
        <f>IF(AK650&lt;BC650,1,0)</f>
        <v>0</v>
      </c>
      <c r="BH650">
        <f>VLOOKUP($B650,[1]Data_Peer_with_peerVars!$B$2:$Z$1050,20,FALSE)</f>
        <v>7</v>
      </c>
      <c r="BI650">
        <f>VLOOKUP($B650,[1]Data_Peer_with_peerVars!$B$2:$Z$1050,21,FALSE)</f>
        <v>3</v>
      </c>
      <c r="BJ650">
        <f>VLOOKUP($B650,[1]Data_Peer_with_peerVars!$B$2:$Z$1050,22,FALSE)</f>
        <v>0.428571429</v>
      </c>
      <c r="BK650">
        <f>VLOOKUP($B650,[1]Data_Peer_with_peerVars!$B$2:$Z$1050,23,FALSE)</f>
        <v>13</v>
      </c>
      <c r="BL650">
        <f>VLOOKUP($B650,[1]Data_Peer_with_peerVars!$B$2:$Z$1050,24,FALSE)</f>
        <v>6</v>
      </c>
      <c r="BM650">
        <f>VLOOKUP($B650,[1]Data_Peer_with_peerVars!$B$2:$Z$1050,25,FALSE)</f>
        <v>0.46153846199999998</v>
      </c>
    </row>
    <row r="651" spans="1:65" x14ac:dyDescent="0.2">
      <c r="A651">
        <v>1</v>
      </c>
      <c r="B651" t="s">
        <v>1037</v>
      </c>
      <c r="C651">
        <v>370</v>
      </c>
      <c r="D651" t="s">
        <v>68</v>
      </c>
      <c r="E651">
        <v>1</v>
      </c>
      <c r="F651">
        <v>806</v>
      </c>
      <c r="G651" t="s">
        <v>86</v>
      </c>
      <c r="H651" s="1">
        <v>3</v>
      </c>
      <c r="I651" t="s">
        <v>87</v>
      </c>
      <c r="J651" t="s">
        <v>150</v>
      </c>
      <c r="K651" t="s">
        <v>109</v>
      </c>
      <c r="L651">
        <v>1</v>
      </c>
      <c r="M651">
        <v>0</v>
      </c>
      <c r="N651">
        <v>1</v>
      </c>
      <c r="O651">
        <v>0</v>
      </c>
      <c r="P651">
        <v>0</v>
      </c>
      <c r="Q651">
        <v>6</v>
      </c>
      <c r="R651">
        <v>0</v>
      </c>
      <c r="S651">
        <v>0</v>
      </c>
      <c r="T651">
        <v>0</v>
      </c>
      <c r="U651">
        <v>0</v>
      </c>
      <c r="V651">
        <f t="shared" si="288"/>
        <v>0</v>
      </c>
      <c r="W651">
        <f t="shared" si="289"/>
        <v>0</v>
      </c>
      <c r="X651">
        <f t="shared" si="292"/>
        <v>0</v>
      </c>
      <c r="Y651">
        <f t="shared" si="290"/>
        <v>0</v>
      </c>
      <c r="Z651" t="s">
        <v>98</v>
      </c>
      <c r="AA651" s="5" t="s">
        <v>273</v>
      </c>
      <c r="AB651" s="5" t="s">
        <v>1038</v>
      </c>
      <c r="AC651" t="s">
        <v>101</v>
      </c>
      <c r="AD651" t="s">
        <v>99</v>
      </c>
      <c r="AE651" s="5" t="s">
        <v>99</v>
      </c>
      <c r="AF651" t="s">
        <v>103</v>
      </c>
      <c r="AG651" t="s">
        <v>102</v>
      </c>
      <c r="AH651">
        <f t="shared" si="295"/>
        <v>6.1813186999999999E-2</v>
      </c>
      <c r="AI651">
        <f t="shared" si="296"/>
        <v>6.1813186999999999E-2</v>
      </c>
      <c r="AJ651">
        <f t="shared" si="291"/>
        <v>6.1813186999999999E-2</v>
      </c>
      <c r="AK651">
        <v>6.1813186999999999E-2</v>
      </c>
      <c r="AL651">
        <v>8.604523E-2</v>
      </c>
      <c r="AM651">
        <v>9.9779493999999996E-2</v>
      </c>
      <c r="AN651">
        <v>0.12650274</v>
      </c>
      <c r="AO651">
        <v>93.818681299999994</v>
      </c>
      <c r="AP651">
        <v>91.395477</v>
      </c>
      <c r="AQ651">
        <v>90.0220506</v>
      </c>
      <c r="AR651">
        <v>87.349726000000004</v>
      </c>
      <c r="AS651" t="b">
        <v>0</v>
      </c>
      <c r="AT651" t="b">
        <v>0</v>
      </c>
      <c r="AU651" t="s">
        <v>92</v>
      </c>
      <c r="AV651" t="s">
        <v>92</v>
      </c>
      <c r="AW651" t="s">
        <v>783</v>
      </c>
      <c r="AX651" t="s">
        <v>1039</v>
      </c>
      <c r="AY651" t="s">
        <v>1021</v>
      </c>
      <c r="AZ651" t="s">
        <v>109</v>
      </c>
      <c r="BA651">
        <v>20</v>
      </c>
      <c r="BB651">
        <v>1</v>
      </c>
      <c r="BC651">
        <v>1.4096186E-2</v>
      </c>
      <c r="BD651">
        <v>1.55088650053763E-3</v>
      </c>
      <c r="BE651">
        <v>1.5647072500537599E-2</v>
      </c>
      <c r="BF651">
        <f>IF(AK651&lt;BE651,1,0)</f>
        <v>0</v>
      </c>
      <c r="BG651">
        <f>IF(AK651&lt;BC651,1,0)</f>
        <v>0</v>
      </c>
      <c r="BH651">
        <f>VLOOKUP($B651,[1]Data_Peer_with_peerVars!$B$2:$Z$1050,20,FALSE)</f>
        <v>3</v>
      </c>
      <c r="BI651">
        <f>VLOOKUP($B651,[1]Data_Peer_with_peerVars!$B$2:$Z$1050,21,FALSE)</f>
        <v>2</v>
      </c>
      <c r="BJ651">
        <f>VLOOKUP($B651,[1]Data_Peer_with_peerVars!$B$2:$Z$1050,22,FALSE)</f>
        <v>0.66666666699999999</v>
      </c>
      <c r="BK651">
        <f>VLOOKUP($B651,[1]Data_Peer_with_peerVars!$B$2:$Z$1050,23,FALSE)</f>
        <v>18</v>
      </c>
      <c r="BL651">
        <f>VLOOKUP($B651,[1]Data_Peer_with_peerVars!$B$2:$Z$1050,24,FALSE)</f>
        <v>7</v>
      </c>
      <c r="BM651">
        <f>VLOOKUP($B651,[1]Data_Peer_with_peerVars!$B$2:$Z$1050,25,FALSE)</f>
        <v>0.38888888900000002</v>
      </c>
    </row>
    <row r="652" spans="1:65" x14ac:dyDescent="0.2">
      <c r="A652">
        <v>1</v>
      </c>
      <c r="B652" t="s">
        <v>1040</v>
      </c>
      <c r="C652">
        <v>370</v>
      </c>
      <c r="D652" t="s">
        <v>68</v>
      </c>
      <c r="E652">
        <v>1</v>
      </c>
      <c r="F652">
        <v>806</v>
      </c>
      <c r="G652" t="s">
        <v>86</v>
      </c>
      <c r="H652" s="1">
        <v>3</v>
      </c>
      <c r="I652" t="s">
        <v>87</v>
      </c>
      <c r="J652" t="s">
        <v>150</v>
      </c>
      <c r="K652" t="s">
        <v>109</v>
      </c>
      <c r="L652">
        <v>1</v>
      </c>
      <c r="M652">
        <v>0</v>
      </c>
      <c r="N652">
        <v>1</v>
      </c>
      <c r="O652">
        <v>0</v>
      </c>
      <c r="P652">
        <v>0</v>
      </c>
      <c r="Q652">
        <v>6</v>
      </c>
      <c r="R652">
        <v>0</v>
      </c>
      <c r="S652">
        <v>0</v>
      </c>
      <c r="T652">
        <v>0</v>
      </c>
      <c r="U652">
        <v>0</v>
      </c>
      <c r="V652">
        <f t="shared" si="288"/>
        <v>0</v>
      </c>
      <c r="W652">
        <f t="shared" si="289"/>
        <v>0</v>
      </c>
      <c r="X652">
        <f t="shared" si="292"/>
        <v>0</v>
      </c>
      <c r="Y652">
        <f t="shared" si="290"/>
        <v>1</v>
      </c>
      <c r="Z652" t="s">
        <v>76</v>
      </c>
      <c r="AA652" s="5" t="s">
        <v>76</v>
      </c>
      <c r="AB652" s="5" t="s">
        <v>1027</v>
      </c>
      <c r="AC652" t="s">
        <v>74</v>
      </c>
      <c r="AD652" t="s">
        <v>75</v>
      </c>
      <c r="AE652" s="5" t="s">
        <v>213</v>
      </c>
      <c r="AF652" t="s">
        <v>120</v>
      </c>
      <c r="AG652" t="s">
        <v>76</v>
      </c>
      <c r="AH652">
        <f>AN652</f>
        <v>8.9157953999999998E-2</v>
      </c>
      <c r="AI652">
        <f t="shared" si="296"/>
        <v>7.9801869999999997E-3</v>
      </c>
      <c r="AJ652">
        <f t="shared" si="291"/>
        <v>7.9801869999999997E-3</v>
      </c>
      <c r="AK652">
        <v>7.9801869999999997E-3</v>
      </c>
      <c r="AL652">
        <v>8.4848486000000001E-2</v>
      </c>
      <c r="AM652">
        <v>8.7458745000000004E-2</v>
      </c>
      <c r="AN652">
        <v>8.9157953999999998E-2</v>
      </c>
      <c r="AO652">
        <v>99.2019813</v>
      </c>
      <c r="AP652">
        <v>91.515151399999993</v>
      </c>
      <c r="AQ652">
        <v>91.254125500000001</v>
      </c>
      <c r="AR652">
        <v>91.084204600000007</v>
      </c>
      <c r="AS652" t="b">
        <v>0</v>
      </c>
      <c r="AT652" t="b">
        <v>0</v>
      </c>
      <c r="AU652" t="s">
        <v>77</v>
      </c>
      <c r="AV652" t="s">
        <v>108</v>
      </c>
      <c r="AW652" t="s">
        <v>783</v>
      </c>
      <c r="AX652" t="s">
        <v>1039</v>
      </c>
      <c r="AY652" t="s">
        <v>1021</v>
      </c>
      <c r="AZ652" t="s">
        <v>109</v>
      </c>
      <c r="BA652">
        <v>20</v>
      </c>
      <c r="BB652">
        <v>4</v>
      </c>
      <c r="BC652">
        <v>2.4738868000000001E-3</v>
      </c>
      <c r="BD652">
        <v>1.4256942275279999E-4</v>
      </c>
      <c r="BE652">
        <v>2.6164562227527998E-3</v>
      </c>
      <c r="BF652">
        <f>IF(AK652&lt;BE652,1,0)</f>
        <v>0</v>
      </c>
      <c r="BG652">
        <f>IF(AK652&lt;BC652,1,0)</f>
        <v>0</v>
      </c>
      <c r="BH652">
        <f>VLOOKUP($B652,[1]Data_Peer_with_peerVars!$B$2:$Z$1050,20,FALSE)</f>
        <v>3</v>
      </c>
      <c r="BI652">
        <f>VLOOKUP($B652,[1]Data_Peer_with_peerVars!$B$2:$Z$1050,21,FALSE)</f>
        <v>2</v>
      </c>
      <c r="BJ652">
        <f>VLOOKUP($B652,[1]Data_Peer_with_peerVars!$B$2:$Z$1050,22,FALSE)</f>
        <v>0.66666666699999999</v>
      </c>
      <c r="BK652">
        <f>VLOOKUP($B652,[1]Data_Peer_with_peerVars!$B$2:$Z$1050,23,FALSE)</f>
        <v>18</v>
      </c>
      <c r="BL652">
        <f>VLOOKUP($B652,[1]Data_Peer_with_peerVars!$B$2:$Z$1050,24,FALSE)</f>
        <v>7</v>
      </c>
      <c r="BM652">
        <f>VLOOKUP($B652,[1]Data_Peer_with_peerVars!$B$2:$Z$1050,25,FALSE)</f>
        <v>0.38888888900000002</v>
      </c>
    </row>
    <row r="653" spans="1:65" x14ac:dyDescent="0.2">
      <c r="A653">
        <v>1</v>
      </c>
      <c r="B653" t="s">
        <v>1041</v>
      </c>
      <c r="C653">
        <v>370</v>
      </c>
      <c r="D653" t="s">
        <v>68</v>
      </c>
      <c r="E653">
        <v>1</v>
      </c>
      <c r="F653">
        <v>806</v>
      </c>
      <c r="G653" t="s">
        <v>86</v>
      </c>
      <c r="H653" s="1">
        <v>3</v>
      </c>
      <c r="I653" t="s">
        <v>87</v>
      </c>
      <c r="J653" t="s">
        <v>150</v>
      </c>
      <c r="K653" t="s">
        <v>109</v>
      </c>
      <c r="L653">
        <v>1</v>
      </c>
      <c r="M653">
        <v>0</v>
      </c>
      <c r="N653">
        <v>1</v>
      </c>
      <c r="O653">
        <v>0</v>
      </c>
      <c r="P653">
        <v>0</v>
      </c>
      <c r="Q653">
        <v>6</v>
      </c>
      <c r="R653">
        <v>0</v>
      </c>
      <c r="S653">
        <v>0</v>
      </c>
      <c r="T653">
        <v>0</v>
      </c>
      <c r="U653">
        <v>0</v>
      </c>
      <c r="V653">
        <f t="shared" si="288"/>
        <v>1</v>
      </c>
      <c r="W653">
        <v>1</v>
      </c>
      <c r="X653">
        <v>1</v>
      </c>
      <c r="Y653">
        <v>1</v>
      </c>
      <c r="Z653" t="s">
        <v>73</v>
      </c>
      <c r="AA653" s="5" t="s">
        <v>73</v>
      </c>
      <c r="AB653" s="5" t="s">
        <v>73</v>
      </c>
      <c r="AC653" t="s">
        <v>73</v>
      </c>
      <c r="AD653" t="s">
        <v>94</v>
      </c>
      <c r="AE653" s="5" t="s">
        <v>94</v>
      </c>
      <c r="AF653" t="s">
        <v>75</v>
      </c>
      <c r="AG653" t="s">
        <v>95</v>
      </c>
      <c r="AH653">
        <f t="shared" ref="AH653:AH654" si="297">AI653</f>
        <v>4.5528899999999997E-2</v>
      </c>
      <c r="AI653">
        <f>AJ653</f>
        <v>4.5528899999999997E-2</v>
      </c>
      <c r="AJ653">
        <f t="shared" si="291"/>
        <v>4.5528899999999997E-2</v>
      </c>
      <c r="AK653">
        <v>4.5528899999999997E-2</v>
      </c>
      <c r="AL653">
        <v>0.13114753000000001</v>
      </c>
      <c r="AM653">
        <v>0.13855422000000001</v>
      </c>
      <c r="AN653">
        <v>0.14414660000000001</v>
      </c>
      <c r="AO653">
        <v>95.447109999999995</v>
      </c>
      <c r="AP653">
        <v>86.885247000000007</v>
      </c>
      <c r="AQ653">
        <v>86.144577999999996</v>
      </c>
      <c r="AR653">
        <v>85.585340000000002</v>
      </c>
      <c r="AS653" t="b">
        <v>1</v>
      </c>
      <c r="AT653" t="b">
        <v>0</v>
      </c>
      <c r="AU653" t="s">
        <v>77</v>
      </c>
      <c r="AV653" t="s">
        <v>78</v>
      </c>
      <c r="AW653" t="s">
        <v>783</v>
      </c>
      <c r="AX653" t="s">
        <v>1039</v>
      </c>
      <c r="AY653" t="s">
        <v>1021</v>
      </c>
      <c r="AZ653" t="s">
        <v>109</v>
      </c>
      <c r="BA653">
        <v>8</v>
      </c>
      <c r="BB653">
        <v>8</v>
      </c>
      <c r="BC653">
        <v>4.1163553999999996E-3</v>
      </c>
      <c r="BD653">
        <v>1.4279989108178799E-4</v>
      </c>
      <c r="BE653">
        <v>4.2591552910817903E-3</v>
      </c>
      <c r="BF653">
        <f>IF(AK653&lt;BE653,1,0)</f>
        <v>0</v>
      </c>
      <c r="BG653">
        <f>IF(AK653&lt;BC653,1,0)</f>
        <v>0</v>
      </c>
      <c r="BH653">
        <f>VLOOKUP($B653,[1]Data_Peer_with_peerVars!$B$2:$Z$1050,20,FALSE)</f>
        <v>3</v>
      </c>
      <c r="BI653">
        <f>VLOOKUP($B653,[1]Data_Peer_with_peerVars!$B$2:$Z$1050,21,FALSE)</f>
        <v>2</v>
      </c>
      <c r="BJ653">
        <f>VLOOKUP($B653,[1]Data_Peer_with_peerVars!$B$2:$Z$1050,22,FALSE)</f>
        <v>0.66666666699999999</v>
      </c>
      <c r="BK653">
        <f>VLOOKUP($B653,[1]Data_Peer_with_peerVars!$B$2:$Z$1050,23,FALSE)</f>
        <v>18</v>
      </c>
      <c r="BL653">
        <f>VLOOKUP($B653,[1]Data_Peer_with_peerVars!$B$2:$Z$1050,24,FALSE)</f>
        <v>7</v>
      </c>
      <c r="BM653">
        <f>VLOOKUP($B653,[1]Data_Peer_with_peerVars!$B$2:$Z$1050,25,FALSE)</f>
        <v>0.38888888900000002</v>
      </c>
    </row>
    <row r="654" spans="1:65" x14ac:dyDescent="0.2">
      <c r="A654">
        <v>1</v>
      </c>
      <c r="B654" t="s">
        <v>1042</v>
      </c>
      <c r="C654">
        <v>371</v>
      </c>
      <c r="D654" t="s">
        <v>68</v>
      </c>
      <c r="E654">
        <v>1</v>
      </c>
      <c r="F654">
        <v>808</v>
      </c>
      <c r="G654" t="s">
        <v>86</v>
      </c>
      <c r="H654" s="1">
        <v>6</v>
      </c>
      <c r="I654" t="s">
        <v>70</v>
      </c>
      <c r="J654" t="s">
        <v>436</v>
      </c>
      <c r="K654" t="s">
        <v>109</v>
      </c>
      <c r="L654">
        <v>1</v>
      </c>
      <c r="M654">
        <v>1</v>
      </c>
      <c r="N654">
        <v>0</v>
      </c>
      <c r="O654">
        <v>0</v>
      </c>
      <c r="P654">
        <v>0</v>
      </c>
      <c r="Q654">
        <v>5</v>
      </c>
      <c r="R654">
        <v>0</v>
      </c>
      <c r="S654">
        <v>0</v>
      </c>
      <c r="T654">
        <v>0</v>
      </c>
      <c r="U654">
        <v>0</v>
      </c>
      <c r="V654">
        <f t="shared" si="288"/>
        <v>0</v>
      </c>
      <c r="W654">
        <f t="shared" si="289"/>
        <v>0</v>
      </c>
      <c r="X654">
        <f t="shared" si="292"/>
        <v>1</v>
      </c>
      <c r="Y654">
        <v>1</v>
      </c>
      <c r="Z654" t="s">
        <v>137</v>
      </c>
      <c r="AA654" s="5" t="s">
        <v>137</v>
      </c>
      <c r="AB654" s="5" t="s">
        <v>137</v>
      </c>
      <c r="AC654" t="s">
        <v>91</v>
      </c>
      <c r="AD654" t="s">
        <v>287</v>
      </c>
      <c r="AE654" s="5" t="s">
        <v>287</v>
      </c>
      <c r="AF654" t="s">
        <v>137</v>
      </c>
      <c r="AG654" t="s">
        <v>84</v>
      </c>
      <c r="AH654">
        <f t="shared" si="297"/>
        <v>0.12957900999999999</v>
      </c>
      <c r="AI654">
        <f>AM654</f>
        <v>0.12957900999999999</v>
      </c>
      <c r="AJ654">
        <f t="shared" si="291"/>
        <v>3.0103996000000002E-3</v>
      </c>
      <c r="AK654">
        <v>3.0103996000000002E-3</v>
      </c>
      <c r="AL654">
        <v>0.12117068</v>
      </c>
      <c r="AM654">
        <v>0.12957900999999999</v>
      </c>
      <c r="AN654">
        <v>0.13338833999999999</v>
      </c>
      <c r="AO654">
        <v>99.698960040000003</v>
      </c>
      <c r="AP654">
        <v>87.882931999999997</v>
      </c>
      <c r="AQ654">
        <v>87.042098999999993</v>
      </c>
      <c r="AR654">
        <v>86.661165999999994</v>
      </c>
      <c r="AS654" t="b">
        <v>0</v>
      </c>
      <c r="AT654" t="b">
        <v>0</v>
      </c>
      <c r="AU654" t="s">
        <v>77</v>
      </c>
      <c r="AV654" t="s">
        <v>78</v>
      </c>
      <c r="AW654" t="s">
        <v>783</v>
      </c>
      <c r="AX654" t="s">
        <v>812</v>
      </c>
      <c r="AY654" t="s">
        <v>889</v>
      </c>
      <c r="AZ654" t="s">
        <v>109</v>
      </c>
      <c r="BA654">
        <v>20</v>
      </c>
      <c r="BB654">
        <v>1.4</v>
      </c>
      <c r="BC654">
        <v>9.0659339999999995E-3</v>
      </c>
      <c r="BD654">
        <v>2.76583658862385E-3</v>
      </c>
      <c r="BE654">
        <v>1.1831770588623799E-2</v>
      </c>
      <c r="BF654">
        <f>IF(AK654&lt;BE654,1,0)</f>
        <v>1</v>
      </c>
      <c r="BG654">
        <f>IF(AK654&lt;BC654,1,0)</f>
        <v>1</v>
      </c>
      <c r="BH654">
        <f>VLOOKUP($B654,[1]Data_Peer_with_peerVars!$B$2:$Z$1050,20,FALSE)</f>
        <v>9</v>
      </c>
      <c r="BI654">
        <f>VLOOKUP($B654,[1]Data_Peer_with_peerVars!$B$2:$Z$1050,21,FALSE)</f>
        <v>3</v>
      </c>
      <c r="BJ654">
        <f>VLOOKUP($B654,[1]Data_Peer_with_peerVars!$B$2:$Z$1050,22,FALSE)</f>
        <v>0.33333333300000001</v>
      </c>
      <c r="BK654">
        <f>VLOOKUP($B654,[1]Data_Peer_with_peerVars!$B$2:$Z$1050,23,FALSE)</f>
        <v>27</v>
      </c>
      <c r="BL654">
        <f>VLOOKUP($B654,[1]Data_Peer_with_peerVars!$B$2:$Z$1050,24,FALSE)</f>
        <v>10</v>
      </c>
      <c r="BM654">
        <f>VLOOKUP($B654,[1]Data_Peer_with_peerVars!$B$2:$Z$1050,25,FALSE)</f>
        <v>0.37037037</v>
      </c>
    </row>
    <row r="655" spans="1:65" x14ac:dyDescent="0.2">
      <c r="A655">
        <v>1</v>
      </c>
      <c r="B655" t="s">
        <v>1043</v>
      </c>
      <c r="C655">
        <v>372</v>
      </c>
      <c r="D655" t="s">
        <v>68</v>
      </c>
      <c r="E655">
        <v>1</v>
      </c>
      <c r="F655">
        <v>35</v>
      </c>
      <c r="G655" t="s">
        <v>69</v>
      </c>
      <c r="H655" s="1">
        <v>5</v>
      </c>
      <c r="I655" t="s">
        <v>70</v>
      </c>
      <c r="J655" t="s">
        <v>436</v>
      </c>
      <c r="K655" t="s">
        <v>109</v>
      </c>
      <c r="L655">
        <v>2</v>
      </c>
      <c r="M655">
        <v>1</v>
      </c>
      <c r="N655">
        <v>1</v>
      </c>
      <c r="O655">
        <v>1</v>
      </c>
      <c r="P655">
        <v>1</v>
      </c>
      <c r="Q655">
        <v>11</v>
      </c>
      <c r="R655">
        <v>0</v>
      </c>
      <c r="S655">
        <v>0</v>
      </c>
      <c r="T655">
        <v>0</v>
      </c>
      <c r="U655">
        <v>0</v>
      </c>
      <c r="V655">
        <f t="shared" si="288"/>
        <v>0</v>
      </c>
      <c r="W655">
        <f t="shared" si="289"/>
        <v>0</v>
      </c>
      <c r="X655">
        <f t="shared" si="292"/>
        <v>0</v>
      </c>
      <c r="Y655">
        <f t="shared" si="290"/>
        <v>0</v>
      </c>
      <c r="Z655" t="s">
        <v>73</v>
      </c>
      <c r="AA655" s="5" t="s">
        <v>73</v>
      </c>
      <c r="AB655" s="5" t="s">
        <v>73</v>
      </c>
      <c r="AC655" t="s">
        <v>76</v>
      </c>
      <c r="AD655" t="s">
        <v>74</v>
      </c>
      <c r="AE655" s="5" t="s">
        <v>74</v>
      </c>
      <c r="AF655" t="s">
        <v>75</v>
      </c>
      <c r="AG655" t="s">
        <v>120</v>
      </c>
      <c r="AH655">
        <f>AI655</f>
        <v>7.1545600000000001E-2</v>
      </c>
      <c r="AI655">
        <f>AJ655</f>
        <v>7.1545600000000001E-2</v>
      </c>
      <c r="AJ655">
        <f t="shared" si="291"/>
        <v>7.1545600000000001E-2</v>
      </c>
      <c r="AK655">
        <v>7.1545600000000001E-2</v>
      </c>
      <c r="AL655">
        <v>9.808219E-2</v>
      </c>
      <c r="AM655">
        <v>0.12199125</v>
      </c>
      <c r="AN655">
        <v>0.12424904000000001</v>
      </c>
      <c r="AO655">
        <v>92.845439999999996</v>
      </c>
      <c r="AP655">
        <v>90.191781000000006</v>
      </c>
      <c r="AQ655">
        <v>87.800875000000005</v>
      </c>
      <c r="AR655">
        <v>87.575096000000002</v>
      </c>
      <c r="AS655" t="b">
        <v>0</v>
      </c>
      <c r="AT655" t="b">
        <v>0</v>
      </c>
      <c r="AU655" t="s">
        <v>77</v>
      </c>
      <c r="AV655" t="s">
        <v>77</v>
      </c>
      <c r="AW655" t="s">
        <v>783</v>
      </c>
      <c r="AX655" t="s">
        <v>812</v>
      </c>
      <c r="AY655" t="s">
        <v>1044</v>
      </c>
      <c r="AZ655" t="s">
        <v>109</v>
      </c>
      <c r="BA655">
        <v>2</v>
      </c>
      <c r="BB655">
        <v>2</v>
      </c>
      <c r="BC655">
        <v>7.7070764999999999E-2</v>
      </c>
      <c r="BD655">
        <v>1.90190515067399E-3</v>
      </c>
      <c r="BE655">
        <v>7.8972670150673996E-2</v>
      </c>
      <c r="BF655">
        <f>IF(AK655&lt;BE655,1,0)</f>
        <v>1</v>
      </c>
      <c r="BG655">
        <f>IF(AK655&lt;BC655,1,0)</f>
        <v>1</v>
      </c>
      <c r="BH655">
        <f>VLOOKUP($B655,[1]Data_Peer_with_peerVars!$B$2:$Z$1050,20,FALSE)</f>
        <v>0</v>
      </c>
      <c r="BI655">
        <f>VLOOKUP($B655,[1]Data_Peer_with_peerVars!$B$2:$Z$1050,21,FALSE)</f>
        <v>0</v>
      </c>
      <c r="BJ655">
        <v>0</v>
      </c>
      <c r="BK655">
        <f>VLOOKUP($B655,[1]Data_Peer_with_peerVars!$B$2:$Z$1050,23,FALSE)</f>
        <v>0</v>
      </c>
      <c r="BL655">
        <f>VLOOKUP($B655,[1]Data_Peer_with_peerVars!$B$2:$Z$1050,24,FALSE)</f>
        <v>0</v>
      </c>
      <c r="BM655" t="str">
        <f>VLOOKUP($B655,[1]Data_Peer_with_peerVars!$B$2:$Z$1050,25,FALSE)</f>
        <v>NA</v>
      </c>
    </row>
    <row r="656" spans="1:65" x14ac:dyDescent="0.2">
      <c r="A656">
        <v>1</v>
      </c>
      <c r="B656" t="s">
        <v>1045</v>
      </c>
      <c r="C656">
        <v>372</v>
      </c>
      <c r="D656" t="s">
        <v>68</v>
      </c>
      <c r="E656">
        <v>1</v>
      </c>
      <c r="F656">
        <v>35</v>
      </c>
      <c r="G656" t="s">
        <v>69</v>
      </c>
      <c r="H656" s="1">
        <v>5</v>
      </c>
      <c r="I656" t="s">
        <v>70</v>
      </c>
      <c r="J656" t="s">
        <v>436</v>
      </c>
      <c r="K656" t="s">
        <v>109</v>
      </c>
      <c r="L656">
        <v>2</v>
      </c>
      <c r="M656">
        <v>1</v>
      </c>
      <c r="N656">
        <v>1</v>
      </c>
      <c r="O656">
        <v>1</v>
      </c>
      <c r="P656">
        <v>1</v>
      </c>
      <c r="Q656">
        <v>11</v>
      </c>
      <c r="R656">
        <v>0</v>
      </c>
      <c r="S656">
        <v>0</v>
      </c>
      <c r="T656">
        <v>0</v>
      </c>
      <c r="U656">
        <v>0</v>
      </c>
      <c r="V656">
        <f t="shared" si="288"/>
        <v>1</v>
      </c>
      <c r="W656">
        <v>1</v>
      </c>
      <c r="X656">
        <v>1</v>
      </c>
      <c r="Y656">
        <v>1</v>
      </c>
      <c r="Z656" t="s">
        <v>76</v>
      </c>
      <c r="AA656" s="5" t="s">
        <v>76</v>
      </c>
      <c r="AB656" s="5" t="s">
        <v>76</v>
      </c>
      <c r="AC656" t="s">
        <v>76</v>
      </c>
      <c r="AD656" t="s">
        <v>74</v>
      </c>
      <c r="AE656" s="5" t="s">
        <v>74</v>
      </c>
      <c r="AF656" t="s">
        <v>120</v>
      </c>
      <c r="AG656" t="s">
        <v>75</v>
      </c>
      <c r="AH656">
        <f>AI656</f>
        <v>7.3030635999999996E-2</v>
      </c>
      <c r="AI656">
        <f>AJ656</f>
        <v>7.3030635999999996E-2</v>
      </c>
      <c r="AJ656">
        <f t="shared" si="291"/>
        <v>7.3030635999999996E-2</v>
      </c>
      <c r="AK656">
        <v>7.3030635999999996E-2</v>
      </c>
      <c r="AL656">
        <v>0.106085524</v>
      </c>
      <c r="AM656">
        <v>0.11885245999999999</v>
      </c>
      <c r="AN656">
        <v>0.12349398</v>
      </c>
      <c r="AO656">
        <v>92.696936399999998</v>
      </c>
      <c r="AP656">
        <v>89.391447600000006</v>
      </c>
      <c r="AQ656">
        <v>88.114754000000005</v>
      </c>
      <c r="AR656">
        <v>87.650602000000006</v>
      </c>
      <c r="AS656" t="b">
        <v>1</v>
      </c>
      <c r="AT656" t="b">
        <v>0</v>
      </c>
      <c r="AU656" t="s">
        <v>77</v>
      </c>
      <c r="AV656" t="s">
        <v>78</v>
      </c>
      <c r="AW656" t="s">
        <v>783</v>
      </c>
      <c r="AX656" t="s">
        <v>812</v>
      </c>
      <c r="AY656" t="s">
        <v>1044</v>
      </c>
      <c r="AZ656" t="s">
        <v>72</v>
      </c>
      <c r="BA656" t="s">
        <v>82</v>
      </c>
      <c r="BB656">
        <v>2</v>
      </c>
      <c r="BC656">
        <v>7.7070764999999999E-2</v>
      </c>
      <c r="BD656">
        <v>1.90190515067399E-3</v>
      </c>
      <c r="BE656">
        <v>7.8972670150673996E-2</v>
      </c>
      <c r="BF656">
        <f>IF(AK656&lt;BE656,1,0)</f>
        <v>1</v>
      </c>
      <c r="BG656">
        <f>IF(AK656&lt;BC656,1,0)</f>
        <v>1</v>
      </c>
    </row>
    <row r="657" spans="1:65" x14ac:dyDescent="0.2">
      <c r="A657">
        <v>1</v>
      </c>
      <c r="B657" t="s">
        <v>1046</v>
      </c>
      <c r="C657">
        <v>373</v>
      </c>
      <c r="D657" t="s">
        <v>68</v>
      </c>
      <c r="E657">
        <v>0</v>
      </c>
      <c r="F657">
        <v>320</v>
      </c>
      <c r="G657" t="s">
        <v>97</v>
      </c>
      <c r="H657" s="1">
        <v>0</v>
      </c>
      <c r="I657" t="s">
        <v>87</v>
      </c>
      <c r="J657" t="s">
        <v>88</v>
      </c>
      <c r="L657">
        <v>2</v>
      </c>
      <c r="M657">
        <v>0</v>
      </c>
      <c r="N657">
        <v>1</v>
      </c>
      <c r="O657">
        <v>1</v>
      </c>
      <c r="P657">
        <v>1</v>
      </c>
      <c r="Q657">
        <v>9</v>
      </c>
      <c r="R657">
        <v>0</v>
      </c>
      <c r="S657">
        <v>0</v>
      </c>
      <c r="T657">
        <v>0</v>
      </c>
      <c r="U657">
        <v>0</v>
      </c>
      <c r="V657">
        <f t="shared" si="288"/>
        <v>0</v>
      </c>
      <c r="W657">
        <f t="shared" si="289"/>
        <v>0</v>
      </c>
      <c r="X657">
        <f t="shared" si="292"/>
        <v>0</v>
      </c>
      <c r="Y657">
        <f t="shared" si="290"/>
        <v>0</v>
      </c>
      <c r="Z657" t="s">
        <v>89</v>
      </c>
      <c r="AA657" s="5" t="s">
        <v>273</v>
      </c>
      <c r="AB657" s="5" t="s">
        <v>273</v>
      </c>
      <c r="AC657" t="s">
        <v>73</v>
      </c>
      <c r="AD657" t="s">
        <v>75</v>
      </c>
      <c r="AE657" s="5" t="s">
        <v>478</v>
      </c>
      <c r="AF657" t="s">
        <v>94</v>
      </c>
      <c r="AG657" t="s">
        <v>74</v>
      </c>
      <c r="AH657">
        <f t="shared" ref="AH657:AH658" si="298">AI657</f>
        <v>3.90497E-2</v>
      </c>
      <c r="AI657">
        <f t="shared" ref="AI657:AI661" si="299">AJ657</f>
        <v>3.90497E-2</v>
      </c>
      <c r="AJ657">
        <f t="shared" si="291"/>
        <v>3.90497E-2</v>
      </c>
      <c r="AK657">
        <v>3.90497E-2</v>
      </c>
      <c r="AL657">
        <v>0.13494239999999999</v>
      </c>
      <c r="AM657">
        <v>0.1381291</v>
      </c>
      <c r="AN657">
        <v>0.14415157000000001</v>
      </c>
      <c r="AO657">
        <v>96.095029999999994</v>
      </c>
      <c r="AP657">
        <v>86.505759999999995</v>
      </c>
      <c r="AQ657">
        <v>86.187089999999998</v>
      </c>
      <c r="AR657">
        <v>85.584843000000006</v>
      </c>
      <c r="AS657" t="b">
        <v>0</v>
      </c>
      <c r="AT657" t="b">
        <v>0</v>
      </c>
      <c r="AU657" t="s">
        <v>92</v>
      </c>
      <c r="AV657" t="s">
        <v>92</v>
      </c>
      <c r="AW657" t="s">
        <v>783</v>
      </c>
      <c r="AX657" t="s">
        <v>812</v>
      </c>
      <c r="AY657" t="s">
        <v>214</v>
      </c>
      <c r="AZ657" t="s">
        <v>89</v>
      </c>
      <c r="BA657" t="s">
        <v>82</v>
      </c>
      <c r="BB657">
        <v>0.91</v>
      </c>
      <c r="BC657">
        <v>4.1163553999999996E-3</v>
      </c>
      <c r="BD657">
        <v>1.4279989108178799E-4</v>
      </c>
      <c r="BE657">
        <v>4.2591552910817903E-3</v>
      </c>
      <c r="BF657">
        <f>IF(AK657&lt;BE657,1,0)</f>
        <v>0</v>
      </c>
      <c r="BG657">
        <f>IF(AK657&lt;BC657,1,0)</f>
        <v>0</v>
      </c>
      <c r="BH657">
        <f>VLOOKUP($B657,[1]Data_Peer_with_peerVars!$B$2:$Z$1050,20,FALSE)</f>
        <v>6</v>
      </c>
      <c r="BI657">
        <f>VLOOKUP($B657,[1]Data_Peer_with_peerVars!$B$2:$Z$1050,21,FALSE)</f>
        <v>3</v>
      </c>
      <c r="BJ657">
        <f>VLOOKUP($B657,[1]Data_Peer_with_peerVars!$B$2:$Z$1050,22,FALSE)</f>
        <v>0.5</v>
      </c>
      <c r="BK657">
        <f>VLOOKUP($B657,[1]Data_Peer_with_peerVars!$B$2:$Z$1050,23,FALSE)</f>
        <v>24</v>
      </c>
      <c r="BL657">
        <f>VLOOKUP($B657,[1]Data_Peer_with_peerVars!$B$2:$Z$1050,24,FALSE)</f>
        <v>9</v>
      </c>
      <c r="BM657">
        <f>VLOOKUP($B657,[1]Data_Peer_with_peerVars!$B$2:$Z$1050,25,FALSE)</f>
        <v>0.375</v>
      </c>
    </row>
    <row r="658" spans="1:65" x14ac:dyDescent="0.2">
      <c r="A658">
        <v>1</v>
      </c>
      <c r="B658" t="s">
        <v>1047</v>
      </c>
      <c r="C658">
        <v>374</v>
      </c>
      <c r="D658" t="s">
        <v>68</v>
      </c>
      <c r="E658">
        <v>1</v>
      </c>
      <c r="F658">
        <v>132</v>
      </c>
      <c r="G658" t="s">
        <v>69</v>
      </c>
      <c r="H658" s="1">
        <v>7</v>
      </c>
      <c r="I658" t="s">
        <v>87</v>
      </c>
      <c r="J658" t="s">
        <v>150</v>
      </c>
      <c r="K658" t="s">
        <v>109</v>
      </c>
      <c r="L658">
        <v>1</v>
      </c>
      <c r="M658">
        <v>0</v>
      </c>
      <c r="N658">
        <v>1</v>
      </c>
      <c r="O658">
        <v>0</v>
      </c>
      <c r="P658">
        <v>0</v>
      </c>
      <c r="Q658">
        <v>9</v>
      </c>
      <c r="R658">
        <v>0</v>
      </c>
      <c r="S658">
        <v>0</v>
      </c>
      <c r="T658">
        <v>1</v>
      </c>
      <c r="U658">
        <v>1</v>
      </c>
      <c r="V658">
        <f t="shared" si="288"/>
        <v>0</v>
      </c>
      <c r="W658">
        <f t="shared" si="289"/>
        <v>0</v>
      </c>
      <c r="X658">
        <f t="shared" si="292"/>
        <v>0</v>
      </c>
      <c r="Y658">
        <f t="shared" si="290"/>
        <v>0</v>
      </c>
      <c r="Z658" t="s">
        <v>91</v>
      </c>
      <c r="AA658" s="5" t="s">
        <v>91</v>
      </c>
      <c r="AB658" s="5" t="s">
        <v>915</v>
      </c>
      <c r="AC658" t="s">
        <v>73</v>
      </c>
      <c r="AD658" t="s">
        <v>94</v>
      </c>
      <c r="AE658" s="5" t="s">
        <v>106</v>
      </c>
      <c r="AF658" t="s">
        <v>107</v>
      </c>
      <c r="AG658" t="s">
        <v>95</v>
      </c>
      <c r="AH658">
        <f t="shared" si="298"/>
        <v>2.3186034000000001E-2</v>
      </c>
      <c r="AI658">
        <f t="shared" si="299"/>
        <v>2.3186034000000001E-2</v>
      </c>
      <c r="AJ658">
        <f t="shared" si="291"/>
        <v>2.3186034000000001E-2</v>
      </c>
      <c r="AK658">
        <v>2.3186034000000001E-2</v>
      </c>
      <c r="AL658">
        <v>0.14016392999999999</v>
      </c>
      <c r="AM658">
        <v>0.14226973000000001</v>
      </c>
      <c r="AN658">
        <v>0.14469366</v>
      </c>
      <c r="AO658">
        <v>97.681396599999999</v>
      </c>
      <c r="AP658">
        <v>85.983607000000006</v>
      </c>
      <c r="AQ658">
        <v>85.773026999999999</v>
      </c>
      <c r="AR658">
        <v>85.530634000000006</v>
      </c>
      <c r="AS658" t="b">
        <v>0</v>
      </c>
      <c r="AT658" t="b">
        <v>0</v>
      </c>
      <c r="AU658" t="s">
        <v>77</v>
      </c>
      <c r="AV658" t="s">
        <v>108</v>
      </c>
      <c r="AW658" t="s">
        <v>783</v>
      </c>
      <c r="AX658" t="s">
        <v>812</v>
      </c>
      <c r="AY658" t="s">
        <v>214</v>
      </c>
      <c r="AZ658" t="s">
        <v>109</v>
      </c>
      <c r="BA658">
        <v>2</v>
      </c>
      <c r="BB658">
        <v>1</v>
      </c>
      <c r="BC658">
        <v>4.1163553999999996E-3</v>
      </c>
      <c r="BD658">
        <v>1.4279989108178799E-4</v>
      </c>
      <c r="BE658">
        <v>4.2591552910817903E-3</v>
      </c>
      <c r="BF658">
        <f>IF(AK658&lt;BE658,1,0)</f>
        <v>0</v>
      </c>
      <c r="BG658">
        <f>IF(AK658&lt;BC658,1,0)</f>
        <v>0</v>
      </c>
      <c r="BH658">
        <f>VLOOKUP($B658,[1]Data_Peer_with_peerVars!$B$2:$Z$1050,20,FALSE)</f>
        <v>0</v>
      </c>
      <c r="BI658">
        <f>VLOOKUP($B658,[1]Data_Peer_with_peerVars!$B$2:$Z$1050,21,FALSE)</f>
        <v>0</v>
      </c>
      <c r="BJ658">
        <v>0</v>
      </c>
      <c r="BK658">
        <f>VLOOKUP($B658,[1]Data_Peer_with_peerVars!$B$2:$Z$1050,23,FALSE)</f>
        <v>21</v>
      </c>
      <c r="BL658">
        <f>VLOOKUP($B658,[1]Data_Peer_with_peerVars!$B$2:$Z$1050,24,FALSE)</f>
        <v>7</v>
      </c>
      <c r="BM658">
        <f>VLOOKUP($B658,[1]Data_Peer_with_peerVars!$B$2:$Z$1050,25,FALSE)</f>
        <v>0.33333333300000001</v>
      </c>
    </row>
    <row r="659" spans="1:65" x14ac:dyDescent="0.2">
      <c r="A659">
        <v>1</v>
      </c>
      <c r="B659" t="s">
        <v>1048</v>
      </c>
      <c r="C659">
        <v>374</v>
      </c>
      <c r="D659" t="s">
        <v>68</v>
      </c>
      <c r="E659">
        <v>1</v>
      </c>
      <c r="F659">
        <v>132</v>
      </c>
      <c r="G659" t="s">
        <v>69</v>
      </c>
      <c r="H659" s="1">
        <v>7</v>
      </c>
      <c r="I659" t="s">
        <v>87</v>
      </c>
      <c r="J659" t="s">
        <v>150</v>
      </c>
      <c r="K659" t="s">
        <v>109</v>
      </c>
      <c r="L659">
        <v>1</v>
      </c>
      <c r="M659">
        <v>0</v>
      </c>
      <c r="N659">
        <v>1</v>
      </c>
      <c r="O659">
        <v>0</v>
      </c>
      <c r="P659">
        <v>0</v>
      </c>
      <c r="Q659">
        <v>9</v>
      </c>
      <c r="R659">
        <v>0</v>
      </c>
      <c r="S659">
        <v>0</v>
      </c>
      <c r="T659">
        <v>0</v>
      </c>
      <c r="U659">
        <v>0</v>
      </c>
      <c r="V659">
        <f t="shared" si="288"/>
        <v>0</v>
      </c>
      <c r="W659">
        <f t="shared" si="289"/>
        <v>1</v>
      </c>
      <c r="X659">
        <v>1</v>
      </c>
      <c r="Y659">
        <v>1</v>
      </c>
      <c r="Z659" t="s">
        <v>76</v>
      </c>
      <c r="AA659" s="5" t="s">
        <v>76</v>
      </c>
      <c r="AB659" s="5" t="s">
        <v>76</v>
      </c>
      <c r="AC659" t="s">
        <v>74</v>
      </c>
      <c r="AD659" t="s">
        <v>76</v>
      </c>
      <c r="AE659" s="5" t="s">
        <v>76</v>
      </c>
      <c r="AF659" t="s">
        <v>167</v>
      </c>
      <c r="AG659" t="s">
        <v>102</v>
      </c>
      <c r="AH659">
        <f>AI659</f>
        <v>0.125</v>
      </c>
      <c r="AI659">
        <f t="shared" si="299"/>
        <v>0.125</v>
      </c>
      <c r="AJ659">
        <f>AL659</f>
        <v>0.125</v>
      </c>
      <c r="AK659">
        <v>0.1206802</v>
      </c>
      <c r="AL659">
        <v>0.125</v>
      </c>
      <c r="AM659">
        <v>0.14050493999999999</v>
      </c>
      <c r="AN659">
        <v>0.14172583999999999</v>
      </c>
      <c r="AO659">
        <v>87.931979999999996</v>
      </c>
      <c r="AP659">
        <v>87.5</v>
      </c>
      <c r="AQ659">
        <v>85.949506</v>
      </c>
      <c r="AR659">
        <v>85.827415999999999</v>
      </c>
      <c r="AS659" t="b">
        <v>0</v>
      </c>
      <c r="AT659" t="b">
        <v>1</v>
      </c>
      <c r="AU659" t="s">
        <v>78</v>
      </c>
      <c r="AV659" t="s">
        <v>78</v>
      </c>
      <c r="AW659" t="s">
        <v>783</v>
      </c>
      <c r="AX659" t="s">
        <v>812</v>
      </c>
      <c r="AY659" t="s">
        <v>214</v>
      </c>
      <c r="AZ659" t="s">
        <v>109</v>
      </c>
      <c r="BA659">
        <v>2</v>
      </c>
      <c r="BB659">
        <v>1</v>
      </c>
      <c r="BC659">
        <v>2.4738868000000001E-3</v>
      </c>
      <c r="BD659">
        <v>1.4256942275279999E-4</v>
      </c>
      <c r="BE659">
        <v>2.6164562227527998E-3</v>
      </c>
      <c r="BF659">
        <f>IF(AK659&lt;BE659,1,0)</f>
        <v>0</v>
      </c>
      <c r="BG659">
        <f>IF(AK659&lt;BC659,1,0)</f>
        <v>0</v>
      </c>
      <c r="BH659">
        <f>VLOOKUP($B659,[1]Data_Peer_with_peerVars!$B$2:$Z$1050,20,FALSE)</f>
        <v>0</v>
      </c>
      <c r="BI659">
        <f>VLOOKUP($B659,[1]Data_Peer_with_peerVars!$B$2:$Z$1050,21,FALSE)</f>
        <v>0</v>
      </c>
      <c r="BJ659">
        <v>0</v>
      </c>
      <c r="BK659">
        <f>VLOOKUP($B659,[1]Data_Peer_with_peerVars!$B$2:$Z$1050,23,FALSE)</f>
        <v>21</v>
      </c>
      <c r="BL659">
        <f>VLOOKUP($B659,[1]Data_Peer_with_peerVars!$B$2:$Z$1050,24,FALSE)</f>
        <v>7</v>
      </c>
      <c r="BM659">
        <f>VLOOKUP($B659,[1]Data_Peer_with_peerVars!$B$2:$Z$1050,25,FALSE)</f>
        <v>0.33333333300000001</v>
      </c>
    </row>
    <row r="660" spans="1:65" x14ac:dyDescent="0.2">
      <c r="A660">
        <v>1</v>
      </c>
      <c r="B660" t="s">
        <v>1049</v>
      </c>
      <c r="C660">
        <v>374</v>
      </c>
      <c r="D660" t="s">
        <v>68</v>
      </c>
      <c r="E660">
        <v>1</v>
      </c>
      <c r="F660">
        <v>132</v>
      </c>
      <c r="G660" t="s">
        <v>69</v>
      </c>
      <c r="H660" s="1">
        <v>7</v>
      </c>
      <c r="I660" t="s">
        <v>87</v>
      </c>
      <c r="J660" t="s">
        <v>150</v>
      </c>
      <c r="K660" t="s">
        <v>109</v>
      </c>
      <c r="L660">
        <v>1</v>
      </c>
      <c r="M660">
        <v>0</v>
      </c>
      <c r="N660">
        <v>1</v>
      </c>
      <c r="O660">
        <v>0</v>
      </c>
      <c r="P660">
        <v>0</v>
      </c>
      <c r="Q660">
        <v>9</v>
      </c>
      <c r="R660">
        <v>0</v>
      </c>
      <c r="S660">
        <v>0</v>
      </c>
      <c r="T660">
        <v>0</v>
      </c>
      <c r="U660">
        <v>0</v>
      </c>
      <c r="V660">
        <f t="shared" si="288"/>
        <v>0</v>
      </c>
      <c r="W660">
        <f t="shared" si="289"/>
        <v>0</v>
      </c>
      <c r="X660">
        <f t="shared" si="292"/>
        <v>0</v>
      </c>
      <c r="Y660">
        <f t="shared" si="290"/>
        <v>0</v>
      </c>
      <c r="Z660" t="s">
        <v>89</v>
      </c>
      <c r="AA660" s="5" t="s">
        <v>82</v>
      </c>
      <c r="AB660" s="5" t="s">
        <v>82</v>
      </c>
      <c r="AC660" t="s">
        <v>73</v>
      </c>
      <c r="AD660" t="s">
        <v>75</v>
      </c>
      <c r="AE660" s="5" t="s">
        <v>75</v>
      </c>
      <c r="AF660" t="s">
        <v>94</v>
      </c>
      <c r="AG660" t="s">
        <v>74</v>
      </c>
      <c r="AH660">
        <f t="shared" ref="AH660:AH661" si="300">AI660</f>
        <v>3.9552648000000003E-2</v>
      </c>
      <c r="AI660">
        <f t="shared" si="299"/>
        <v>3.9552648000000003E-2</v>
      </c>
      <c r="AJ660">
        <f t="shared" si="291"/>
        <v>3.9552648000000003E-2</v>
      </c>
      <c r="AK660">
        <v>3.9552648000000003E-2</v>
      </c>
      <c r="AL660">
        <v>0.10657534</v>
      </c>
      <c r="AM660">
        <v>0.12739201999999999</v>
      </c>
      <c r="AN660">
        <v>0.13638858000000001</v>
      </c>
      <c r="AO660">
        <v>96.044735200000005</v>
      </c>
      <c r="AP660">
        <v>89.342466000000002</v>
      </c>
      <c r="AQ660">
        <v>87.260797999999994</v>
      </c>
      <c r="AR660">
        <v>86.361142000000001</v>
      </c>
      <c r="AS660" t="s">
        <v>82</v>
      </c>
      <c r="AT660" t="s">
        <v>82</v>
      </c>
      <c r="AU660" t="s">
        <v>77</v>
      </c>
      <c r="AV660" t="s">
        <v>78</v>
      </c>
      <c r="AW660" t="s">
        <v>783</v>
      </c>
      <c r="AX660" t="s">
        <v>812</v>
      </c>
      <c r="AY660" t="s">
        <v>214</v>
      </c>
      <c r="AZ660" t="s">
        <v>82</v>
      </c>
      <c r="BA660" t="s">
        <v>82</v>
      </c>
      <c r="BB660" t="s">
        <v>82</v>
      </c>
      <c r="BC660">
        <v>4.1163553999999996E-3</v>
      </c>
      <c r="BD660">
        <v>1.4279989108178799E-4</v>
      </c>
      <c r="BE660">
        <v>4.2591552910817903E-3</v>
      </c>
      <c r="BF660">
        <f>IF(AK660&lt;BE660,1,0)</f>
        <v>0</v>
      </c>
      <c r="BG660">
        <f>IF(AK660&lt;BC660,1,0)</f>
        <v>0</v>
      </c>
    </row>
    <row r="661" spans="1:65" x14ac:dyDescent="0.2">
      <c r="A661">
        <v>1</v>
      </c>
      <c r="B661" t="s">
        <v>1050</v>
      </c>
      <c r="C661">
        <v>375</v>
      </c>
      <c r="D661" t="s">
        <v>68</v>
      </c>
      <c r="E661">
        <v>1</v>
      </c>
      <c r="F661">
        <v>133</v>
      </c>
      <c r="G661" t="s">
        <v>86</v>
      </c>
      <c r="H661" s="1">
        <v>6</v>
      </c>
      <c r="I661" t="s">
        <v>87</v>
      </c>
      <c r="J661" t="s">
        <v>792</v>
      </c>
      <c r="K661" t="s">
        <v>109</v>
      </c>
      <c r="L661">
        <v>1</v>
      </c>
      <c r="M661">
        <v>0</v>
      </c>
      <c r="N661">
        <v>1</v>
      </c>
      <c r="O661">
        <v>0</v>
      </c>
      <c r="P661">
        <v>0</v>
      </c>
      <c r="Q661">
        <v>8</v>
      </c>
      <c r="R661">
        <v>0</v>
      </c>
      <c r="S661">
        <v>0</v>
      </c>
      <c r="T661">
        <v>0</v>
      </c>
      <c r="U661">
        <v>0</v>
      </c>
      <c r="V661">
        <f t="shared" si="288"/>
        <v>0</v>
      </c>
      <c r="W661">
        <f t="shared" si="289"/>
        <v>0</v>
      </c>
      <c r="X661">
        <f t="shared" si="292"/>
        <v>0</v>
      </c>
      <c r="Y661">
        <f t="shared" si="290"/>
        <v>0</v>
      </c>
      <c r="Z661" t="s">
        <v>89</v>
      </c>
      <c r="AA661" s="5" t="s">
        <v>273</v>
      </c>
      <c r="AB661" s="5" t="s">
        <v>1023</v>
      </c>
      <c r="AC661" t="s">
        <v>101</v>
      </c>
      <c r="AD661" t="s">
        <v>99</v>
      </c>
      <c r="AE661" s="5" t="s">
        <v>99</v>
      </c>
      <c r="AF661" t="s">
        <v>103</v>
      </c>
      <c r="AG661" t="s">
        <v>102</v>
      </c>
      <c r="AH661">
        <f t="shared" si="300"/>
        <v>5.5892070000000002E-2</v>
      </c>
      <c r="AI661">
        <f t="shared" si="299"/>
        <v>5.5892070000000002E-2</v>
      </c>
      <c r="AJ661">
        <f t="shared" si="291"/>
        <v>5.5892070000000002E-2</v>
      </c>
      <c r="AK661">
        <v>5.5892070000000002E-2</v>
      </c>
      <c r="AL661">
        <v>7.8029886000000007E-2</v>
      </c>
      <c r="AM661">
        <v>9.7237569999999995E-2</v>
      </c>
      <c r="AN661">
        <v>0.12232584000000001</v>
      </c>
      <c r="AO661">
        <v>94.410792999999998</v>
      </c>
      <c r="AP661">
        <v>92.197011399999994</v>
      </c>
      <c r="AQ661">
        <v>90.276242999999994</v>
      </c>
      <c r="AR661">
        <v>87.767415999999997</v>
      </c>
      <c r="AS661" t="b">
        <v>0</v>
      </c>
      <c r="AT661" t="b">
        <v>0</v>
      </c>
      <c r="AU661" t="s">
        <v>92</v>
      </c>
      <c r="AV661" t="s">
        <v>92</v>
      </c>
      <c r="AW661" t="s">
        <v>783</v>
      </c>
      <c r="AX661" t="s">
        <v>812</v>
      </c>
      <c r="AY661" t="s">
        <v>214</v>
      </c>
      <c r="AZ661" t="s">
        <v>109</v>
      </c>
      <c r="BA661">
        <v>3</v>
      </c>
      <c r="BB661">
        <v>1</v>
      </c>
      <c r="BC661">
        <v>1.4096186E-2</v>
      </c>
      <c r="BD661">
        <v>1.55088650053763E-3</v>
      </c>
      <c r="BE661">
        <v>1.5647072500537599E-2</v>
      </c>
      <c r="BF661">
        <f>IF(AK661&lt;BE661,1,0)</f>
        <v>0</v>
      </c>
      <c r="BG661">
        <f>IF(AK661&lt;BC661,1,0)</f>
        <v>0</v>
      </c>
      <c r="BH661">
        <f>VLOOKUP($B661,[1]Data_Peer_with_peerVars!$B$2:$Z$1050,20,FALSE)</f>
        <v>0</v>
      </c>
      <c r="BI661">
        <f>VLOOKUP($B661,[1]Data_Peer_with_peerVars!$B$2:$Z$1050,21,FALSE)</f>
        <v>0</v>
      </c>
      <c r="BJ661">
        <v>0</v>
      </c>
      <c r="BK661">
        <f>VLOOKUP($B661,[1]Data_Peer_with_peerVars!$B$2:$Z$1050,23,FALSE)</f>
        <v>26</v>
      </c>
      <c r="BL661">
        <f>VLOOKUP($B661,[1]Data_Peer_with_peerVars!$B$2:$Z$1050,24,FALSE)</f>
        <v>10</v>
      </c>
      <c r="BM661">
        <f>VLOOKUP($B661,[1]Data_Peer_with_peerVars!$B$2:$Z$1050,25,FALSE)</f>
        <v>0.38461538499999998</v>
      </c>
    </row>
    <row r="662" spans="1:65" x14ac:dyDescent="0.2">
      <c r="A662">
        <v>1</v>
      </c>
      <c r="B662" t="s">
        <v>1051</v>
      </c>
      <c r="C662">
        <v>375</v>
      </c>
      <c r="D662" t="s">
        <v>68</v>
      </c>
      <c r="E662">
        <v>1</v>
      </c>
      <c r="F662">
        <v>133</v>
      </c>
      <c r="G662" t="s">
        <v>86</v>
      </c>
      <c r="H662" s="1">
        <v>6</v>
      </c>
      <c r="I662" t="s">
        <v>87</v>
      </c>
      <c r="J662" t="s">
        <v>792</v>
      </c>
      <c r="K662" t="s">
        <v>109</v>
      </c>
      <c r="L662">
        <v>1</v>
      </c>
      <c r="M662">
        <v>0</v>
      </c>
      <c r="N662">
        <v>1</v>
      </c>
      <c r="O662">
        <v>0</v>
      </c>
      <c r="P662">
        <v>0</v>
      </c>
      <c r="Q662">
        <v>8</v>
      </c>
      <c r="R662">
        <v>0</v>
      </c>
      <c r="S662">
        <v>0</v>
      </c>
      <c r="T662">
        <v>0</v>
      </c>
      <c r="U662">
        <v>0</v>
      </c>
      <c r="V662">
        <f t="shared" si="288"/>
        <v>0</v>
      </c>
      <c r="W662">
        <f t="shared" si="289"/>
        <v>0</v>
      </c>
      <c r="X662">
        <f t="shared" si="292"/>
        <v>1</v>
      </c>
      <c r="Y662">
        <v>1</v>
      </c>
      <c r="Z662" t="s">
        <v>91</v>
      </c>
      <c r="AA662" s="5" t="s">
        <v>91</v>
      </c>
      <c r="AB662" s="5" t="s">
        <v>915</v>
      </c>
      <c r="AC662" t="s">
        <v>287</v>
      </c>
      <c r="AD662" t="s">
        <v>137</v>
      </c>
      <c r="AE662" s="5" t="s">
        <v>305</v>
      </c>
      <c r="AF662" t="s">
        <v>91</v>
      </c>
      <c r="AG662" t="s">
        <v>113</v>
      </c>
      <c r="AH662">
        <f>AI662</f>
        <v>0.11627268</v>
      </c>
      <c r="AI662">
        <f>AM662</f>
        <v>0.11627268</v>
      </c>
      <c r="AJ662">
        <f t="shared" si="291"/>
        <v>5.704882E-2</v>
      </c>
      <c r="AK662">
        <v>5.704882E-2</v>
      </c>
      <c r="AL662">
        <v>0.11135491</v>
      </c>
      <c r="AM662">
        <v>0.11627268</v>
      </c>
      <c r="AN662">
        <v>0.12376238000000001</v>
      </c>
      <c r="AO662">
        <v>94.295118000000002</v>
      </c>
      <c r="AP662">
        <v>88.864508999999998</v>
      </c>
      <c r="AQ662">
        <v>88.372731999999999</v>
      </c>
      <c r="AR662">
        <v>87.623761999999999</v>
      </c>
      <c r="AS662" t="b">
        <v>0</v>
      </c>
      <c r="AT662" t="b">
        <v>0</v>
      </c>
      <c r="AU662" t="s">
        <v>77</v>
      </c>
      <c r="AV662" t="s">
        <v>108</v>
      </c>
      <c r="AW662" t="s">
        <v>783</v>
      </c>
      <c r="AX662" t="s">
        <v>812</v>
      </c>
      <c r="AY662" t="s">
        <v>214</v>
      </c>
      <c r="AZ662" t="s">
        <v>109</v>
      </c>
      <c r="BA662">
        <v>3</v>
      </c>
      <c r="BB662">
        <v>1</v>
      </c>
      <c r="BC662">
        <v>5.5106750000000003E-2</v>
      </c>
      <c r="BD662">
        <v>2.4361461616194298E-3</v>
      </c>
      <c r="BE662">
        <v>5.7542896161619402E-2</v>
      </c>
      <c r="BF662">
        <f>IF(AK662&lt;BE662,1,0)</f>
        <v>1</v>
      </c>
      <c r="BG662">
        <f>IF(AK662&lt;BC662,1,0)</f>
        <v>0</v>
      </c>
      <c r="BH662">
        <f>VLOOKUP($B662,[1]Data_Peer_with_peerVars!$B$2:$Z$1050,20,FALSE)</f>
        <v>0</v>
      </c>
      <c r="BI662">
        <f>VLOOKUP($B662,[1]Data_Peer_with_peerVars!$B$2:$Z$1050,21,FALSE)</f>
        <v>0</v>
      </c>
      <c r="BJ662">
        <v>0</v>
      </c>
      <c r="BK662">
        <f>VLOOKUP($B662,[1]Data_Peer_with_peerVars!$B$2:$Z$1050,23,FALSE)</f>
        <v>26</v>
      </c>
      <c r="BL662">
        <f>VLOOKUP($B662,[1]Data_Peer_with_peerVars!$B$2:$Z$1050,24,FALSE)</f>
        <v>10</v>
      </c>
      <c r="BM662">
        <f>VLOOKUP($B662,[1]Data_Peer_with_peerVars!$B$2:$Z$1050,25,FALSE)</f>
        <v>0.38461538499999998</v>
      </c>
    </row>
    <row r="663" spans="1:65" x14ac:dyDescent="0.2">
      <c r="A663">
        <v>1</v>
      </c>
      <c r="B663" t="s">
        <v>1052</v>
      </c>
      <c r="C663">
        <v>376</v>
      </c>
      <c r="D663" t="s">
        <v>68</v>
      </c>
      <c r="E663">
        <v>0</v>
      </c>
      <c r="F663">
        <v>123</v>
      </c>
      <c r="G663" t="s">
        <v>97</v>
      </c>
      <c r="H663" s="1">
        <v>7</v>
      </c>
      <c r="I663" t="s">
        <v>70</v>
      </c>
      <c r="J663" t="s">
        <v>436</v>
      </c>
      <c r="K663" t="s">
        <v>72</v>
      </c>
      <c r="L663">
        <v>1</v>
      </c>
      <c r="M663">
        <v>1</v>
      </c>
      <c r="N663">
        <v>0</v>
      </c>
      <c r="O663">
        <v>0</v>
      </c>
      <c r="P663">
        <v>0</v>
      </c>
      <c r="Q663">
        <v>6</v>
      </c>
      <c r="R663">
        <v>0</v>
      </c>
      <c r="S663">
        <v>0</v>
      </c>
      <c r="T663">
        <v>0</v>
      </c>
      <c r="U663">
        <v>0</v>
      </c>
      <c r="V663">
        <f t="shared" si="288"/>
        <v>0</v>
      </c>
      <c r="W663">
        <f t="shared" si="289"/>
        <v>0</v>
      </c>
      <c r="X663">
        <f t="shared" si="292"/>
        <v>0</v>
      </c>
      <c r="Y663">
        <f t="shared" si="290"/>
        <v>0</v>
      </c>
      <c r="Z663" t="s">
        <v>73</v>
      </c>
      <c r="AA663" s="5" t="s">
        <v>73</v>
      </c>
      <c r="AB663" s="5" t="s">
        <v>73</v>
      </c>
      <c r="AC663" t="s">
        <v>91</v>
      </c>
      <c r="AD663" t="s">
        <v>287</v>
      </c>
      <c r="AE663" s="5" t="s">
        <v>287</v>
      </c>
      <c r="AF663" t="s">
        <v>84</v>
      </c>
      <c r="AG663" t="s">
        <v>137</v>
      </c>
      <c r="AH663">
        <f>AI663</f>
        <v>1.45046525E-2</v>
      </c>
      <c r="AI663">
        <f t="shared" ref="AI663:AI664" si="301">AJ663</f>
        <v>1.45046525E-2</v>
      </c>
      <c r="AJ663">
        <f t="shared" si="291"/>
        <v>1.45046525E-2</v>
      </c>
      <c r="AK663">
        <v>1.45046525E-2</v>
      </c>
      <c r="AL663">
        <v>0.115763545</v>
      </c>
      <c r="AM663">
        <v>0.13346174</v>
      </c>
      <c r="AN663">
        <v>0.13375272999999999</v>
      </c>
      <c r="AO663">
        <v>98.549534750000007</v>
      </c>
      <c r="AP663">
        <v>88.423645500000006</v>
      </c>
      <c r="AQ663">
        <v>86.653825999999995</v>
      </c>
      <c r="AR663">
        <v>86.624726999999993</v>
      </c>
      <c r="AS663" t="b">
        <v>0</v>
      </c>
      <c r="AT663" t="b">
        <v>0</v>
      </c>
      <c r="AU663" t="s">
        <v>77</v>
      </c>
      <c r="AV663" t="s">
        <v>78</v>
      </c>
      <c r="AW663" t="s">
        <v>783</v>
      </c>
      <c r="AX663" t="s">
        <v>812</v>
      </c>
      <c r="AY663" t="s">
        <v>1053</v>
      </c>
      <c r="AZ663" t="s">
        <v>72</v>
      </c>
      <c r="BA663" t="s">
        <v>82</v>
      </c>
      <c r="BB663">
        <v>1</v>
      </c>
      <c r="BC663">
        <v>9.0659339999999995E-3</v>
      </c>
      <c r="BD663">
        <v>2.76583658862385E-3</v>
      </c>
      <c r="BE663">
        <v>1.1831770588623799E-2</v>
      </c>
      <c r="BF663">
        <f>IF(AK663&lt;BE663,1,0)</f>
        <v>0</v>
      </c>
      <c r="BG663">
        <f>IF(AK663&lt;BC663,1,0)</f>
        <v>0</v>
      </c>
      <c r="BH663">
        <f>VLOOKUP($B663,[1]Data_Peer_with_peerVars!$B$2:$Z$1050,20,FALSE)</f>
        <v>6</v>
      </c>
      <c r="BI663">
        <f>VLOOKUP($B663,[1]Data_Peer_with_peerVars!$B$2:$Z$1050,21,FALSE)</f>
        <v>2</v>
      </c>
      <c r="BJ663">
        <f>VLOOKUP($B663,[1]Data_Peer_with_peerVars!$B$2:$Z$1050,22,FALSE)</f>
        <v>0.33333333300000001</v>
      </c>
      <c r="BK663">
        <f>VLOOKUP($B663,[1]Data_Peer_with_peerVars!$B$2:$Z$1050,23,FALSE)</f>
        <v>58</v>
      </c>
      <c r="BL663">
        <f>VLOOKUP($B663,[1]Data_Peer_with_peerVars!$B$2:$Z$1050,24,FALSE)</f>
        <v>23</v>
      </c>
      <c r="BM663">
        <f>VLOOKUP($B663,[1]Data_Peer_with_peerVars!$B$2:$Z$1050,25,FALSE)</f>
        <v>0.39655172399999999</v>
      </c>
    </row>
    <row r="664" spans="1:65" x14ac:dyDescent="0.2">
      <c r="A664">
        <v>1</v>
      </c>
      <c r="B664" t="s">
        <v>1054</v>
      </c>
      <c r="C664">
        <v>376</v>
      </c>
      <c r="D664" t="s">
        <v>68</v>
      </c>
      <c r="E664">
        <v>0</v>
      </c>
      <c r="F664">
        <v>123</v>
      </c>
      <c r="G664" t="s">
        <v>97</v>
      </c>
      <c r="H664" s="1">
        <v>7</v>
      </c>
      <c r="I664" t="s">
        <v>70</v>
      </c>
      <c r="J664" t="s">
        <v>436</v>
      </c>
      <c r="K664" t="s">
        <v>72</v>
      </c>
      <c r="L664">
        <v>1</v>
      </c>
      <c r="M664">
        <v>1</v>
      </c>
      <c r="N664">
        <v>0</v>
      </c>
      <c r="O664">
        <v>0</v>
      </c>
      <c r="P664">
        <v>0</v>
      </c>
      <c r="Q664">
        <v>6</v>
      </c>
      <c r="R664">
        <v>0</v>
      </c>
      <c r="S664">
        <v>0</v>
      </c>
      <c r="T664">
        <v>0</v>
      </c>
      <c r="U664">
        <v>0</v>
      </c>
      <c r="V664">
        <f t="shared" si="288"/>
        <v>0</v>
      </c>
      <c r="W664">
        <f t="shared" si="289"/>
        <v>1</v>
      </c>
      <c r="X664">
        <v>1</v>
      </c>
      <c r="Y664">
        <v>1</v>
      </c>
      <c r="Z664" t="s">
        <v>76</v>
      </c>
      <c r="AA664" s="5" t="s">
        <v>76</v>
      </c>
      <c r="AB664" s="5" t="s">
        <v>76</v>
      </c>
      <c r="AC664" t="s">
        <v>74</v>
      </c>
      <c r="AD664" t="s">
        <v>76</v>
      </c>
      <c r="AE664" s="5" t="s">
        <v>76</v>
      </c>
      <c r="AF664" t="s">
        <v>75</v>
      </c>
      <c r="AG664" t="s">
        <v>120</v>
      </c>
      <c r="AH664">
        <f t="shared" ref="AH664:AH665" si="302">AI664</f>
        <v>8.4699449999999996E-2</v>
      </c>
      <c r="AI664">
        <f t="shared" si="301"/>
        <v>8.4699449999999996E-2</v>
      </c>
      <c r="AJ664">
        <f>AL664</f>
        <v>8.4699449999999996E-2</v>
      </c>
      <c r="AK664">
        <v>7.3972604999999997E-2</v>
      </c>
      <c r="AL664">
        <v>8.4699449999999996E-2</v>
      </c>
      <c r="AM664">
        <v>0.11433260000000001</v>
      </c>
      <c r="AN664">
        <v>0.11441835</v>
      </c>
      <c r="AO664">
        <v>92.602739499999998</v>
      </c>
      <c r="AP664">
        <v>91.530055000000004</v>
      </c>
      <c r="AQ664">
        <v>88.566739999999996</v>
      </c>
      <c r="AR664">
        <v>88.558165000000002</v>
      </c>
      <c r="AS664" t="b">
        <v>0</v>
      </c>
      <c r="AT664" t="b">
        <v>1</v>
      </c>
      <c r="AU664" t="s">
        <v>77</v>
      </c>
      <c r="AV664" t="s">
        <v>77</v>
      </c>
      <c r="AW664" t="s">
        <v>783</v>
      </c>
      <c r="AX664" t="s">
        <v>812</v>
      </c>
      <c r="AY664" t="s">
        <v>1053</v>
      </c>
      <c r="AZ664" t="s">
        <v>72</v>
      </c>
      <c r="BA664" t="s">
        <v>82</v>
      </c>
      <c r="BB664">
        <v>1</v>
      </c>
      <c r="BC664">
        <v>2.4738868000000001E-3</v>
      </c>
      <c r="BD664">
        <v>1.4256942275279999E-4</v>
      </c>
      <c r="BE664">
        <v>2.6164562227527998E-3</v>
      </c>
      <c r="BF664">
        <f>IF(AK664&lt;BE664,1,0)</f>
        <v>0</v>
      </c>
      <c r="BG664">
        <f>IF(AK664&lt;BC664,1,0)</f>
        <v>0</v>
      </c>
      <c r="BH664">
        <f>VLOOKUP($B664,[1]Data_Peer_with_peerVars!$B$2:$Z$1050,20,FALSE)</f>
        <v>6</v>
      </c>
      <c r="BI664">
        <f>VLOOKUP($B664,[1]Data_Peer_with_peerVars!$B$2:$Z$1050,21,FALSE)</f>
        <v>2</v>
      </c>
      <c r="BJ664">
        <f>VLOOKUP($B664,[1]Data_Peer_with_peerVars!$B$2:$Z$1050,22,FALSE)</f>
        <v>0.33333333300000001</v>
      </c>
      <c r="BK664">
        <f>VLOOKUP($B664,[1]Data_Peer_with_peerVars!$B$2:$Z$1050,23,FALSE)</f>
        <v>58</v>
      </c>
      <c r="BL664">
        <f>VLOOKUP($B664,[1]Data_Peer_with_peerVars!$B$2:$Z$1050,24,FALSE)</f>
        <v>23</v>
      </c>
      <c r="BM664">
        <f>VLOOKUP($B664,[1]Data_Peer_with_peerVars!$B$2:$Z$1050,25,FALSE)</f>
        <v>0.39655172399999999</v>
      </c>
    </row>
    <row r="665" spans="1:65" x14ac:dyDescent="0.2">
      <c r="A665">
        <v>1</v>
      </c>
      <c r="B665" t="s">
        <v>1055</v>
      </c>
      <c r="C665">
        <v>377</v>
      </c>
      <c r="D665" t="s">
        <v>68</v>
      </c>
      <c r="E665">
        <v>0</v>
      </c>
      <c r="F665">
        <v>124</v>
      </c>
      <c r="G665" t="s">
        <v>97</v>
      </c>
      <c r="H665" s="1">
        <v>7</v>
      </c>
      <c r="I665" t="s">
        <v>70</v>
      </c>
      <c r="J665" t="s">
        <v>436</v>
      </c>
      <c r="K665" t="s">
        <v>109</v>
      </c>
      <c r="L665">
        <v>1</v>
      </c>
      <c r="M665">
        <v>0</v>
      </c>
      <c r="N665">
        <v>0</v>
      </c>
      <c r="O665">
        <v>1</v>
      </c>
      <c r="P665">
        <v>0</v>
      </c>
      <c r="Q665">
        <v>16</v>
      </c>
      <c r="R665">
        <v>0</v>
      </c>
      <c r="S665">
        <v>0</v>
      </c>
      <c r="T665">
        <v>0</v>
      </c>
      <c r="U665">
        <v>1</v>
      </c>
      <c r="V665">
        <f t="shared" si="288"/>
        <v>1</v>
      </c>
      <c r="W665">
        <v>1</v>
      </c>
      <c r="X665">
        <v>1</v>
      </c>
      <c r="Y665">
        <v>1</v>
      </c>
      <c r="Z665" t="s">
        <v>73</v>
      </c>
      <c r="AA665" s="5" t="s">
        <v>73</v>
      </c>
      <c r="AB665" s="5" t="s">
        <v>73</v>
      </c>
      <c r="AC665" t="s">
        <v>73</v>
      </c>
      <c r="AD665" t="s">
        <v>75</v>
      </c>
      <c r="AE665" s="5" t="s">
        <v>478</v>
      </c>
      <c r="AF665" t="s">
        <v>94</v>
      </c>
      <c r="AG665" t="s">
        <v>107</v>
      </c>
      <c r="AH665">
        <f t="shared" si="302"/>
        <v>2.700491E-2</v>
      </c>
      <c r="AI665">
        <f>AJ665</f>
        <v>2.700491E-2</v>
      </c>
      <c r="AJ665">
        <f t="shared" si="291"/>
        <v>2.700491E-2</v>
      </c>
      <c r="AK665">
        <v>2.700491E-2</v>
      </c>
      <c r="AL665">
        <v>0.13253012</v>
      </c>
      <c r="AM665">
        <v>0.13415300999999999</v>
      </c>
      <c r="AN665">
        <v>0.13514255</v>
      </c>
      <c r="AO665">
        <v>97.299509</v>
      </c>
      <c r="AP665">
        <v>86.746988000000002</v>
      </c>
      <c r="AQ665">
        <v>86.584699000000001</v>
      </c>
      <c r="AR665">
        <v>86.485744999999994</v>
      </c>
      <c r="AS665" t="b">
        <v>1</v>
      </c>
      <c r="AT665" t="b">
        <v>0</v>
      </c>
      <c r="AU665" t="s">
        <v>77</v>
      </c>
      <c r="AV665" t="s">
        <v>108</v>
      </c>
      <c r="AW665" t="s">
        <v>783</v>
      </c>
      <c r="AX665" t="s">
        <v>812</v>
      </c>
      <c r="AY665" t="s">
        <v>214</v>
      </c>
      <c r="AZ665" t="s">
        <v>109</v>
      </c>
      <c r="BA665">
        <v>4</v>
      </c>
      <c r="BB665">
        <v>0.7</v>
      </c>
      <c r="BC665">
        <v>4.1163553999999996E-3</v>
      </c>
      <c r="BD665">
        <v>1.4279989108178799E-4</v>
      </c>
      <c r="BE665">
        <v>4.2591552910817903E-3</v>
      </c>
      <c r="BF665">
        <f>IF(AK665&lt;BE665,1,0)</f>
        <v>0</v>
      </c>
      <c r="BG665">
        <f>IF(AK665&lt;BC665,1,0)</f>
        <v>0</v>
      </c>
      <c r="BH665">
        <f>VLOOKUP($B665,[1]Data_Peer_with_peerVars!$B$2:$Z$1050,20,FALSE)</f>
        <v>5</v>
      </c>
      <c r="BI665">
        <f>VLOOKUP($B665,[1]Data_Peer_with_peerVars!$B$2:$Z$1050,21,FALSE)</f>
        <v>2</v>
      </c>
      <c r="BJ665">
        <f>VLOOKUP($B665,[1]Data_Peer_with_peerVars!$B$2:$Z$1050,22,FALSE)</f>
        <v>0.4</v>
      </c>
      <c r="BK665">
        <f>VLOOKUP($B665,[1]Data_Peer_with_peerVars!$B$2:$Z$1050,23,FALSE)</f>
        <v>24</v>
      </c>
      <c r="BL665">
        <f>VLOOKUP($B665,[1]Data_Peer_with_peerVars!$B$2:$Z$1050,24,FALSE)</f>
        <v>8</v>
      </c>
      <c r="BM665">
        <f>VLOOKUP($B665,[1]Data_Peer_with_peerVars!$B$2:$Z$1050,25,FALSE)</f>
        <v>0.33333333300000001</v>
      </c>
    </row>
    <row r="666" spans="1:65" x14ac:dyDescent="0.2">
      <c r="A666">
        <v>1</v>
      </c>
      <c r="B666" t="s">
        <v>1056</v>
      </c>
      <c r="C666">
        <v>377</v>
      </c>
      <c r="D666" t="s">
        <v>68</v>
      </c>
      <c r="E666">
        <v>0</v>
      </c>
      <c r="F666">
        <v>124</v>
      </c>
      <c r="G666" t="s">
        <v>97</v>
      </c>
      <c r="H666" s="1">
        <v>7</v>
      </c>
      <c r="I666" t="s">
        <v>70</v>
      </c>
      <c r="J666" t="s">
        <v>436</v>
      </c>
      <c r="K666" t="s">
        <v>109</v>
      </c>
      <c r="L666">
        <v>1</v>
      </c>
      <c r="M666">
        <v>0</v>
      </c>
      <c r="N666">
        <v>0</v>
      </c>
      <c r="O666">
        <v>1</v>
      </c>
      <c r="P666">
        <v>0</v>
      </c>
      <c r="Q666">
        <v>16</v>
      </c>
      <c r="R666">
        <v>1</v>
      </c>
      <c r="S666">
        <v>1</v>
      </c>
      <c r="T666">
        <v>1</v>
      </c>
      <c r="U666">
        <v>1</v>
      </c>
      <c r="V666">
        <f t="shared" si="288"/>
        <v>0</v>
      </c>
      <c r="W666">
        <f t="shared" si="289"/>
        <v>0</v>
      </c>
      <c r="X666">
        <f t="shared" si="292"/>
        <v>0</v>
      </c>
      <c r="Y666">
        <f t="shared" si="290"/>
        <v>0</v>
      </c>
      <c r="Z666" t="s">
        <v>89</v>
      </c>
      <c r="AA666" s="5" t="s">
        <v>170</v>
      </c>
      <c r="AB666" s="5" t="s">
        <v>82</v>
      </c>
      <c r="AC666" t="s">
        <v>174</v>
      </c>
      <c r="AD666" t="s">
        <v>173</v>
      </c>
      <c r="AE666" s="5" t="s">
        <v>1057</v>
      </c>
      <c r="AF666" t="s">
        <v>95</v>
      </c>
      <c r="AG666" t="s">
        <v>198</v>
      </c>
      <c r="AH666">
        <f t="shared" ref="AH666:AH667" si="303">AI666</f>
        <v>3.1437945000000002E-2</v>
      </c>
      <c r="AI666">
        <f t="shared" ref="AI666:AI667" si="304">AJ666</f>
        <v>3.1437945000000002E-2</v>
      </c>
      <c r="AJ666">
        <f t="shared" si="291"/>
        <v>3.1437945000000002E-2</v>
      </c>
      <c r="AK666">
        <v>3.1437945000000002E-2</v>
      </c>
      <c r="AL666">
        <v>4.5106616000000002E-2</v>
      </c>
      <c r="AM666">
        <v>4.5703340000000002E-2</v>
      </c>
      <c r="AN666">
        <v>5.0521690000000001E-2</v>
      </c>
      <c r="AO666">
        <v>96.856205500000002</v>
      </c>
      <c r="AP666">
        <v>95.489338399999994</v>
      </c>
      <c r="AQ666">
        <v>95.429665999999997</v>
      </c>
      <c r="AR666">
        <v>94.947830999999994</v>
      </c>
      <c r="AS666" t="b">
        <v>0</v>
      </c>
      <c r="AT666" t="b">
        <v>0</v>
      </c>
      <c r="AU666" t="s">
        <v>92</v>
      </c>
      <c r="AV666" t="s">
        <v>92</v>
      </c>
      <c r="AW666" t="s">
        <v>783</v>
      </c>
      <c r="AX666" t="s">
        <v>812</v>
      </c>
      <c r="AY666" t="s">
        <v>214</v>
      </c>
      <c r="AZ666" t="s">
        <v>82</v>
      </c>
      <c r="BA666" t="s">
        <v>82</v>
      </c>
      <c r="BB666">
        <v>1.4</v>
      </c>
      <c r="BC666">
        <v>6.6481995999999998E-3</v>
      </c>
      <c r="BD666">
        <v>2.8322716361753601E-4</v>
      </c>
      <c r="BE666">
        <v>6.9314267636175399E-3</v>
      </c>
      <c r="BF666">
        <f>IF(AK666&lt;BE666,1,0)</f>
        <v>0</v>
      </c>
      <c r="BG666">
        <f>IF(AK666&lt;BC666,1,0)</f>
        <v>0</v>
      </c>
      <c r="BH666">
        <f>VLOOKUP($B666,[1]Data_Peer_with_peerVars!$B$2:$Z$1050,20,FALSE)</f>
        <v>5</v>
      </c>
      <c r="BI666">
        <f>VLOOKUP($B666,[1]Data_Peer_with_peerVars!$B$2:$Z$1050,21,FALSE)</f>
        <v>2</v>
      </c>
      <c r="BJ666">
        <f>VLOOKUP($B666,[1]Data_Peer_with_peerVars!$B$2:$Z$1050,22,FALSE)</f>
        <v>0.4</v>
      </c>
      <c r="BK666">
        <f>VLOOKUP($B666,[1]Data_Peer_with_peerVars!$B$2:$Z$1050,23,FALSE)</f>
        <v>24</v>
      </c>
      <c r="BL666">
        <f>VLOOKUP($B666,[1]Data_Peer_with_peerVars!$B$2:$Z$1050,24,FALSE)</f>
        <v>8</v>
      </c>
      <c r="BM666">
        <f>VLOOKUP($B666,[1]Data_Peer_with_peerVars!$B$2:$Z$1050,25,FALSE)</f>
        <v>0.33333333300000001</v>
      </c>
    </row>
    <row r="667" spans="1:65" x14ac:dyDescent="0.2">
      <c r="A667">
        <v>1</v>
      </c>
      <c r="B667" t="s">
        <v>1058</v>
      </c>
      <c r="C667">
        <v>378</v>
      </c>
      <c r="D667" t="s">
        <v>68</v>
      </c>
      <c r="E667">
        <v>0</v>
      </c>
      <c r="F667">
        <v>125</v>
      </c>
      <c r="G667" t="s">
        <v>97</v>
      </c>
      <c r="H667" s="1">
        <v>0</v>
      </c>
      <c r="I667" t="s">
        <v>87</v>
      </c>
      <c r="J667" t="s">
        <v>150</v>
      </c>
      <c r="K667" t="s">
        <v>109</v>
      </c>
      <c r="L667">
        <v>1</v>
      </c>
      <c r="M667">
        <v>1</v>
      </c>
      <c r="N667">
        <v>0</v>
      </c>
      <c r="O667">
        <v>0</v>
      </c>
      <c r="P667">
        <v>0</v>
      </c>
      <c r="Q667">
        <v>0</v>
      </c>
      <c r="R667">
        <v>0</v>
      </c>
      <c r="S667">
        <v>0</v>
      </c>
      <c r="T667">
        <v>0</v>
      </c>
      <c r="U667">
        <v>0</v>
      </c>
      <c r="V667">
        <f t="shared" si="288"/>
        <v>0</v>
      </c>
      <c r="W667">
        <f t="shared" si="289"/>
        <v>0</v>
      </c>
      <c r="X667">
        <f t="shared" si="292"/>
        <v>0</v>
      </c>
      <c r="Y667">
        <f t="shared" si="290"/>
        <v>0</v>
      </c>
      <c r="Z667" t="s">
        <v>89</v>
      </c>
      <c r="AA667" s="5" t="s">
        <v>273</v>
      </c>
      <c r="AB667" s="5" t="s">
        <v>273</v>
      </c>
      <c r="AC667" t="s">
        <v>73</v>
      </c>
      <c r="AD667" t="s">
        <v>94</v>
      </c>
      <c r="AE667" s="5" t="s">
        <v>94</v>
      </c>
      <c r="AF667" t="s">
        <v>75</v>
      </c>
      <c r="AG667" t="s">
        <v>95</v>
      </c>
      <c r="AH667">
        <f t="shared" si="303"/>
        <v>5.0601750000000001E-2</v>
      </c>
      <c r="AI667">
        <f t="shared" si="304"/>
        <v>5.0601750000000001E-2</v>
      </c>
      <c r="AJ667">
        <f t="shared" si="291"/>
        <v>5.0601750000000001E-2</v>
      </c>
      <c r="AK667">
        <v>5.0601750000000001E-2</v>
      </c>
      <c r="AL667">
        <v>0.12657534000000001</v>
      </c>
      <c r="AM667">
        <v>0.13523914000000001</v>
      </c>
      <c r="AN667">
        <v>0.13940725000000001</v>
      </c>
      <c r="AO667">
        <v>94.939824999999999</v>
      </c>
      <c r="AP667">
        <v>87.342466000000002</v>
      </c>
      <c r="AQ667">
        <v>86.476085999999995</v>
      </c>
      <c r="AR667">
        <v>86.059275</v>
      </c>
      <c r="AS667" t="b">
        <v>0</v>
      </c>
      <c r="AT667" t="b">
        <v>0</v>
      </c>
      <c r="AU667" t="s">
        <v>92</v>
      </c>
      <c r="AV667" t="s">
        <v>92</v>
      </c>
      <c r="AW667" t="s">
        <v>783</v>
      </c>
      <c r="AX667" t="s">
        <v>812</v>
      </c>
      <c r="AY667" t="s">
        <v>1044</v>
      </c>
      <c r="AZ667" t="s">
        <v>109</v>
      </c>
      <c r="BA667">
        <v>1</v>
      </c>
      <c r="BB667">
        <v>3</v>
      </c>
      <c r="BC667">
        <v>4.1163553999999996E-3</v>
      </c>
      <c r="BD667">
        <v>1.4279989108178799E-4</v>
      </c>
      <c r="BE667">
        <v>4.2591552910817903E-3</v>
      </c>
      <c r="BF667">
        <f>IF(AK667&lt;BE667,1,0)</f>
        <v>0</v>
      </c>
      <c r="BG667">
        <f>IF(AK667&lt;BC667,1,0)</f>
        <v>0</v>
      </c>
      <c r="BH667">
        <f>VLOOKUP($B667,[1]Data_Peer_with_peerVars!$B$2:$Z$1050,20,FALSE)</f>
        <v>6</v>
      </c>
      <c r="BI667">
        <f>VLOOKUP($B667,[1]Data_Peer_with_peerVars!$B$2:$Z$1050,21,FALSE)</f>
        <v>3</v>
      </c>
      <c r="BJ667">
        <f>VLOOKUP($B667,[1]Data_Peer_with_peerVars!$B$2:$Z$1050,22,FALSE)</f>
        <v>0.5</v>
      </c>
      <c r="BK667">
        <f>VLOOKUP($B667,[1]Data_Peer_with_peerVars!$B$2:$Z$1050,23,FALSE)</f>
        <v>23</v>
      </c>
      <c r="BL667">
        <f>VLOOKUP($B667,[1]Data_Peer_with_peerVars!$B$2:$Z$1050,24,FALSE)</f>
        <v>8</v>
      </c>
      <c r="BM667">
        <f>VLOOKUP($B667,[1]Data_Peer_with_peerVars!$B$2:$Z$1050,25,FALSE)</f>
        <v>0.34782608700000001</v>
      </c>
    </row>
    <row r="668" spans="1:65" x14ac:dyDescent="0.2">
      <c r="A668">
        <v>1</v>
      </c>
      <c r="B668" t="s">
        <v>1059</v>
      </c>
      <c r="C668">
        <v>380</v>
      </c>
      <c r="D668" t="s">
        <v>68</v>
      </c>
      <c r="E668">
        <v>0</v>
      </c>
      <c r="F668">
        <v>128</v>
      </c>
      <c r="G668" t="s">
        <v>97</v>
      </c>
      <c r="H668" s="1">
        <v>0</v>
      </c>
      <c r="I668" t="s">
        <v>87</v>
      </c>
      <c r="J668" t="s">
        <v>88</v>
      </c>
      <c r="K668" t="s">
        <v>109</v>
      </c>
      <c r="L668">
        <v>1</v>
      </c>
      <c r="M668">
        <v>1</v>
      </c>
      <c r="N668">
        <v>0</v>
      </c>
      <c r="O668">
        <v>0</v>
      </c>
      <c r="P668">
        <v>0</v>
      </c>
      <c r="Q668">
        <v>6</v>
      </c>
      <c r="R668">
        <v>0</v>
      </c>
      <c r="S668">
        <v>0</v>
      </c>
      <c r="T668">
        <v>0</v>
      </c>
      <c r="U668">
        <v>0</v>
      </c>
      <c r="V668">
        <f t="shared" si="288"/>
        <v>1</v>
      </c>
      <c r="W668">
        <v>1</v>
      </c>
      <c r="X668">
        <v>1</v>
      </c>
      <c r="Y668">
        <v>1</v>
      </c>
      <c r="Z668" t="s">
        <v>76</v>
      </c>
      <c r="AA668" s="5" t="s">
        <v>76</v>
      </c>
      <c r="AB668" s="5" t="s">
        <v>1060</v>
      </c>
      <c r="AC668" t="s">
        <v>76</v>
      </c>
      <c r="AD668" t="s">
        <v>74</v>
      </c>
      <c r="AE668" s="5" t="s">
        <v>74</v>
      </c>
      <c r="AF668" t="s">
        <v>75</v>
      </c>
      <c r="AG668" t="s">
        <v>120</v>
      </c>
      <c r="AH668">
        <f>AI668</f>
        <v>7.5177690000000005E-2</v>
      </c>
      <c r="AI668">
        <f>AJ668</f>
        <v>7.5177690000000005E-2</v>
      </c>
      <c r="AJ668">
        <f t="shared" si="291"/>
        <v>7.5177690000000005E-2</v>
      </c>
      <c r="AK668">
        <v>7.5177690000000005E-2</v>
      </c>
      <c r="AL668">
        <v>9.6491225E-2</v>
      </c>
      <c r="AM668">
        <v>0.1230137</v>
      </c>
      <c r="AN668">
        <v>0.123838164</v>
      </c>
      <c r="AO668">
        <v>92.482230999999999</v>
      </c>
      <c r="AP668">
        <v>90.350877499999996</v>
      </c>
      <c r="AQ668">
        <v>87.698629999999994</v>
      </c>
      <c r="AR668">
        <v>87.616183599999999</v>
      </c>
      <c r="AS668" t="b">
        <v>1</v>
      </c>
      <c r="AT668" t="b">
        <v>0</v>
      </c>
      <c r="AU668" t="s">
        <v>77</v>
      </c>
      <c r="AV668" t="s">
        <v>77</v>
      </c>
      <c r="AW668" t="s">
        <v>783</v>
      </c>
      <c r="AX668" t="s">
        <v>812</v>
      </c>
      <c r="AY668" t="s">
        <v>214</v>
      </c>
      <c r="AZ668" t="s">
        <v>109</v>
      </c>
      <c r="BA668">
        <v>5</v>
      </c>
      <c r="BB668">
        <v>1.4</v>
      </c>
      <c r="BC668">
        <v>7.7070764999999999E-2</v>
      </c>
      <c r="BD668">
        <v>1.90190515067399E-3</v>
      </c>
      <c r="BE668">
        <v>7.8972670150673996E-2</v>
      </c>
      <c r="BF668">
        <f>IF(AK668&lt;BE668,1,0)</f>
        <v>1</v>
      </c>
      <c r="BG668">
        <f>IF(AK668&lt;BC668,1,0)</f>
        <v>1</v>
      </c>
      <c r="BH668">
        <f>VLOOKUP($B668,[1]Data_Peer_with_peerVars!$B$2:$Z$1050,20,FALSE)</f>
        <v>6</v>
      </c>
      <c r="BI668">
        <f>VLOOKUP($B668,[1]Data_Peer_with_peerVars!$B$2:$Z$1050,21,FALSE)</f>
        <v>2</v>
      </c>
      <c r="BJ668">
        <f>VLOOKUP($B668,[1]Data_Peer_with_peerVars!$B$2:$Z$1050,22,FALSE)</f>
        <v>0.33333333300000001</v>
      </c>
      <c r="BK668">
        <f>VLOOKUP($B668,[1]Data_Peer_with_peerVars!$B$2:$Z$1050,23,FALSE)</f>
        <v>25</v>
      </c>
      <c r="BL668">
        <f>VLOOKUP($B668,[1]Data_Peer_with_peerVars!$B$2:$Z$1050,24,FALSE)</f>
        <v>8</v>
      </c>
      <c r="BM668">
        <f>VLOOKUP($B668,[1]Data_Peer_with_peerVars!$B$2:$Z$1050,25,FALSE)</f>
        <v>0.32</v>
      </c>
    </row>
    <row r="669" spans="1:65" x14ac:dyDescent="0.2">
      <c r="A669">
        <v>1</v>
      </c>
      <c r="B669" t="s">
        <v>1061</v>
      </c>
      <c r="C669">
        <v>381</v>
      </c>
      <c r="D669" t="s">
        <v>68</v>
      </c>
      <c r="E669">
        <v>0</v>
      </c>
      <c r="F669">
        <v>130</v>
      </c>
      <c r="G669" t="s">
        <v>97</v>
      </c>
      <c r="H669" s="1">
        <v>5</v>
      </c>
      <c r="J669" t="s">
        <v>82</v>
      </c>
      <c r="L669">
        <v>2</v>
      </c>
      <c r="M669">
        <v>0</v>
      </c>
      <c r="N669">
        <v>1</v>
      </c>
      <c r="O669">
        <v>1</v>
      </c>
      <c r="P669">
        <v>1</v>
      </c>
      <c r="Q669">
        <v>6</v>
      </c>
      <c r="R669">
        <v>0</v>
      </c>
      <c r="S669">
        <v>0</v>
      </c>
      <c r="T669">
        <v>0</v>
      </c>
      <c r="U669">
        <v>0</v>
      </c>
      <c r="V669">
        <f t="shared" si="288"/>
        <v>0</v>
      </c>
      <c r="W669">
        <f t="shared" si="289"/>
        <v>0</v>
      </c>
      <c r="X669">
        <f t="shared" si="292"/>
        <v>0</v>
      </c>
      <c r="Y669">
        <f t="shared" si="290"/>
        <v>0</v>
      </c>
      <c r="Z669" t="s">
        <v>89</v>
      </c>
      <c r="AA669" s="5" t="s">
        <v>82</v>
      </c>
      <c r="AB669" s="5" t="s">
        <v>82</v>
      </c>
      <c r="AC669" t="s">
        <v>91</v>
      </c>
      <c r="AD669" t="s">
        <v>287</v>
      </c>
      <c r="AE669" s="5" t="s">
        <v>287</v>
      </c>
      <c r="AF669" t="s">
        <v>113</v>
      </c>
      <c r="AG669" t="s">
        <v>137</v>
      </c>
      <c r="AH669">
        <f t="shared" ref="AH669:AH674" si="305">AI669</f>
        <v>7.1623839999999994E-2</v>
      </c>
      <c r="AI669">
        <f t="shared" ref="AI669:AI674" si="306">AJ669</f>
        <v>7.1623839999999994E-2</v>
      </c>
      <c r="AJ669">
        <f t="shared" si="291"/>
        <v>7.1623839999999994E-2</v>
      </c>
      <c r="AK669">
        <v>7.1623839999999994E-2</v>
      </c>
      <c r="AL669">
        <v>0.12227074</v>
      </c>
      <c r="AM669">
        <v>0.13014828000000001</v>
      </c>
      <c r="AN669">
        <v>0.13100435999999999</v>
      </c>
      <c r="AO669">
        <v>92.837615999999997</v>
      </c>
      <c r="AP669">
        <v>87.772925999999998</v>
      </c>
      <c r="AQ669">
        <v>86.985172000000006</v>
      </c>
      <c r="AR669">
        <v>86.899563999999998</v>
      </c>
      <c r="AS669" t="s">
        <v>82</v>
      </c>
      <c r="AT669" t="s">
        <v>82</v>
      </c>
      <c r="AU669" t="s">
        <v>77</v>
      </c>
      <c r="AV669" t="s">
        <v>78</v>
      </c>
      <c r="AW669" t="s">
        <v>783</v>
      </c>
      <c r="AX669" t="s">
        <v>812</v>
      </c>
      <c r="AY669" t="s">
        <v>1044</v>
      </c>
      <c r="AZ669" t="s">
        <v>82</v>
      </c>
      <c r="BA669" t="s">
        <v>82</v>
      </c>
      <c r="BB669" t="s">
        <v>82</v>
      </c>
      <c r="BC669">
        <v>9.0659339999999995E-3</v>
      </c>
      <c r="BD669">
        <v>2.76583658862385E-3</v>
      </c>
      <c r="BE669">
        <v>1.1831770588623799E-2</v>
      </c>
      <c r="BF669">
        <f>IF(AK669&lt;BE669,1,0)</f>
        <v>0</v>
      </c>
      <c r="BG669">
        <f>IF(AK669&lt;BC669,1,0)</f>
        <v>0</v>
      </c>
    </row>
    <row r="670" spans="1:65" x14ac:dyDescent="0.2">
      <c r="A670">
        <v>1</v>
      </c>
      <c r="B670" t="s">
        <v>1062</v>
      </c>
      <c r="C670">
        <v>381</v>
      </c>
      <c r="D670" t="s">
        <v>68</v>
      </c>
      <c r="E670">
        <v>0</v>
      </c>
      <c r="F670">
        <v>130</v>
      </c>
      <c r="G670" t="s">
        <v>97</v>
      </c>
      <c r="H670" s="1">
        <v>5</v>
      </c>
      <c r="J670" t="s">
        <v>82</v>
      </c>
      <c r="L670">
        <v>2</v>
      </c>
      <c r="M670">
        <v>0</v>
      </c>
      <c r="N670">
        <v>1</v>
      </c>
      <c r="O670">
        <v>1</v>
      </c>
      <c r="P670">
        <v>1</v>
      </c>
      <c r="Q670">
        <v>6</v>
      </c>
      <c r="R670">
        <v>0</v>
      </c>
      <c r="S670">
        <v>0</v>
      </c>
      <c r="T670">
        <v>1</v>
      </c>
      <c r="U670">
        <v>1</v>
      </c>
      <c r="V670">
        <f t="shared" si="288"/>
        <v>0</v>
      </c>
      <c r="W670">
        <f t="shared" si="289"/>
        <v>0</v>
      </c>
      <c r="X670">
        <f t="shared" si="292"/>
        <v>0</v>
      </c>
      <c r="Y670">
        <f t="shared" si="290"/>
        <v>0</v>
      </c>
      <c r="Z670" t="s">
        <v>170</v>
      </c>
      <c r="AA670" s="5" t="s">
        <v>170</v>
      </c>
      <c r="AB670" s="5" t="s">
        <v>1063</v>
      </c>
      <c r="AC670" t="s">
        <v>95</v>
      </c>
      <c r="AD670" t="s">
        <v>94</v>
      </c>
      <c r="AE670" s="5" t="s">
        <v>94</v>
      </c>
      <c r="AF670" t="s">
        <v>107</v>
      </c>
      <c r="AG670" t="s">
        <v>173</v>
      </c>
      <c r="AH670">
        <f t="shared" si="305"/>
        <v>0.10491803</v>
      </c>
      <c r="AI670">
        <f t="shared" si="306"/>
        <v>0.10491803</v>
      </c>
      <c r="AJ670">
        <f t="shared" si="291"/>
        <v>0.10491803</v>
      </c>
      <c r="AK670">
        <v>0.10491803</v>
      </c>
      <c r="AL670">
        <v>0.11408297000000001</v>
      </c>
      <c r="AM670">
        <v>0.12102957</v>
      </c>
      <c r="AN670">
        <v>0.12193126</v>
      </c>
      <c r="AO670">
        <v>89.508196999999996</v>
      </c>
      <c r="AP670">
        <v>88.591702999999995</v>
      </c>
      <c r="AQ670">
        <v>87.897042999999996</v>
      </c>
      <c r="AR670">
        <v>87.806873999999993</v>
      </c>
      <c r="AS670" t="b">
        <v>0</v>
      </c>
      <c r="AT670" t="b">
        <v>0</v>
      </c>
      <c r="AU670" t="s">
        <v>92</v>
      </c>
      <c r="AV670" t="s">
        <v>92</v>
      </c>
      <c r="AW670" t="s">
        <v>783</v>
      </c>
      <c r="AX670" t="s">
        <v>812</v>
      </c>
      <c r="AY670" t="s">
        <v>1044</v>
      </c>
      <c r="AZ670" t="s">
        <v>82</v>
      </c>
      <c r="BA670" t="s">
        <v>82</v>
      </c>
      <c r="BB670">
        <v>0.5</v>
      </c>
      <c r="BC670">
        <v>4.2676209999999999E-2</v>
      </c>
      <c r="BD670">
        <v>1.50718657428557E-3</v>
      </c>
      <c r="BE670">
        <v>4.4183396574285598E-2</v>
      </c>
      <c r="BF670">
        <f>IF(AK670&lt;BE670,1,0)</f>
        <v>0</v>
      </c>
      <c r="BG670">
        <f>IF(AK670&lt;BC670,1,0)</f>
        <v>0</v>
      </c>
      <c r="BH670">
        <f>VLOOKUP($B670,[1]Data_Peer_with_peerVars!$B$2:$Z$1050,20,FALSE)</f>
        <v>6</v>
      </c>
      <c r="BI670">
        <f>VLOOKUP($B670,[1]Data_Peer_with_peerVars!$B$2:$Z$1050,21,FALSE)</f>
        <v>3</v>
      </c>
      <c r="BJ670">
        <f>VLOOKUP($B670,[1]Data_Peer_with_peerVars!$B$2:$Z$1050,22,FALSE)</f>
        <v>0.5</v>
      </c>
      <c r="BK670">
        <f>VLOOKUP($B670,[1]Data_Peer_with_peerVars!$B$2:$Z$1050,23,FALSE)</f>
        <v>24</v>
      </c>
      <c r="BL670">
        <f>VLOOKUP($B670,[1]Data_Peer_with_peerVars!$B$2:$Z$1050,24,FALSE)</f>
        <v>9</v>
      </c>
      <c r="BM670">
        <f>VLOOKUP($B670,[1]Data_Peer_with_peerVars!$B$2:$Z$1050,25,FALSE)</f>
        <v>0.375</v>
      </c>
    </row>
    <row r="671" spans="1:65" x14ac:dyDescent="0.2">
      <c r="A671">
        <v>1</v>
      </c>
      <c r="B671" t="s">
        <v>1064</v>
      </c>
      <c r="C671">
        <v>383</v>
      </c>
      <c r="D671" t="s">
        <v>68</v>
      </c>
      <c r="E671">
        <v>0</v>
      </c>
      <c r="F671">
        <v>134</v>
      </c>
      <c r="G671" t="s">
        <v>97</v>
      </c>
      <c r="H671" s="1">
        <v>7</v>
      </c>
      <c r="I671" t="s">
        <v>87</v>
      </c>
      <c r="J671" t="s">
        <v>111</v>
      </c>
      <c r="K671" t="s">
        <v>109</v>
      </c>
      <c r="L671">
        <v>1</v>
      </c>
      <c r="M671">
        <v>1</v>
      </c>
      <c r="N671">
        <v>0</v>
      </c>
      <c r="O671">
        <v>0</v>
      </c>
      <c r="P671">
        <v>0</v>
      </c>
      <c r="Q671">
        <v>1</v>
      </c>
      <c r="R671">
        <v>0</v>
      </c>
      <c r="S671">
        <v>0</v>
      </c>
      <c r="T671">
        <v>0</v>
      </c>
      <c r="U671">
        <v>0</v>
      </c>
      <c r="V671">
        <f t="shared" si="288"/>
        <v>0</v>
      </c>
      <c r="W671">
        <f t="shared" si="289"/>
        <v>0</v>
      </c>
      <c r="X671">
        <f t="shared" si="292"/>
        <v>0</v>
      </c>
      <c r="Y671">
        <f t="shared" si="290"/>
        <v>0</v>
      </c>
      <c r="Z671" t="s">
        <v>91</v>
      </c>
      <c r="AA671" s="5" t="s">
        <v>91</v>
      </c>
      <c r="AB671" s="5" t="s">
        <v>91</v>
      </c>
      <c r="AC671" t="s">
        <v>137</v>
      </c>
      <c r="AD671" t="s">
        <v>103</v>
      </c>
      <c r="AE671" s="5" t="s">
        <v>103</v>
      </c>
      <c r="AF671" t="s">
        <v>113</v>
      </c>
      <c r="AG671" t="s">
        <v>287</v>
      </c>
      <c r="AH671">
        <f t="shared" si="305"/>
        <v>8.852459E-2</v>
      </c>
      <c r="AI671">
        <f t="shared" si="306"/>
        <v>8.852459E-2</v>
      </c>
      <c r="AJ671">
        <f t="shared" si="291"/>
        <v>8.852459E-2</v>
      </c>
      <c r="AK671">
        <v>8.852459E-2</v>
      </c>
      <c r="AL671">
        <v>0.10798898</v>
      </c>
      <c r="AM671">
        <v>0.12067070000000001</v>
      </c>
      <c r="AN671">
        <v>0.12349727000000001</v>
      </c>
      <c r="AO671">
        <v>91.147541000000004</v>
      </c>
      <c r="AP671">
        <v>89.201102000000006</v>
      </c>
      <c r="AQ671">
        <v>87.932929999999999</v>
      </c>
      <c r="AR671">
        <v>87.650272999999999</v>
      </c>
      <c r="AS671" t="b">
        <v>0</v>
      </c>
      <c r="AT671" t="b">
        <v>0</v>
      </c>
      <c r="AU671" t="s">
        <v>77</v>
      </c>
      <c r="AV671" t="s">
        <v>78</v>
      </c>
      <c r="AW671" t="s">
        <v>783</v>
      </c>
      <c r="AX671" t="s">
        <v>812</v>
      </c>
      <c r="AY671" t="s">
        <v>1065</v>
      </c>
      <c r="AZ671" t="s">
        <v>109</v>
      </c>
      <c r="BA671">
        <v>7</v>
      </c>
      <c r="BB671">
        <v>1.75</v>
      </c>
      <c r="BC671">
        <v>5.4824560000000001E-2</v>
      </c>
      <c r="BD671">
        <v>2.68252196314279E-2</v>
      </c>
      <c r="BE671">
        <v>8.1649779631427902E-2</v>
      </c>
      <c r="BF671">
        <f>IF(AK671&lt;BE671,1,0)</f>
        <v>0</v>
      </c>
      <c r="BG671">
        <f>IF(AK671&lt;BC671,1,0)</f>
        <v>0</v>
      </c>
      <c r="BH671">
        <f>VLOOKUP($B671,[1]Data_Peer_with_peerVars!$B$2:$Z$1050,20,FALSE)</f>
        <v>1</v>
      </c>
      <c r="BI671">
        <f>VLOOKUP($B671,[1]Data_Peer_with_peerVars!$B$2:$Z$1050,21,FALSE)</f>
        <v>1</v>
      </c>
      <c r="BJ671">
        <f>VLOOKUP($B671,[1]Data_Peer_with_peerVars!$B$2:$Z$1050,22,FALSE)</f>
        <v>1</v>
      </c>
      <c r="BK671">
        <f>VLOOKUP($B671,[1]Data_Peer_with_peerVars!$B$2:$Z$1050,23,FALSE)</f>
        <v>16</v>
      </c>
      <c r="BL671">
        <f>VLOOKUP($B671,[1]Data_Peer_with_peerVars!$B$2:$Z$1050,24,FALSE)</f>
        <v>7</v>
      </c>
      <c r="BM671">
        <f>VLOOKUP($B671,[1]Data_Peer_with_peerVars!$B$2:$Z$1050,25,FALSE)</f>
        <v>0.4375</v>
      </c>
    </row>
    <row r="672" spans="1:65" x14ac:dyDescent="0.2">
      <c r="A672">
        <v>1</v>
      </c>
      <c r="B672" t="s">
        <v>1066</v>
      </c>
      <c r="C672">
        <v>383</v>
      </c>
      <c r="D672" t="s">
        <v>68</v>
      </c>
      <c r="E672">
        <v>0</v>
      </c>
      <c r="F672">
        <v>134</v>
      </c>
      <c r="G672" t="s">
        <v>97</v>
      </c>
      <c r="H672" s="1">
        <v>7</v>
      </c>
      <c r="I672" t="s">
        <v>87</v>
      </c>
      <c r="J672" t="s">
        <v>111</v>
      </c>
      <c r="K672" t="s">
        <v>109</v>
      </c>
      <c r="L672">
        <v>1</v>
      </c>
      <c r="M672">
        <v>1</v>
      </c>
      <c r="N672">
        <v>0</v>
      </c>
      <c r="O672">
        <v>0</v>
      </c>
      <c r="P672">
        <v>0</v>
      </c>
      <c r="Q672">
        <v>1</v>
      </c>
      <c r="R672">
        <v>0</v>
      </c>
      <c r="S672">
        <v>0</v>
      </c>
      <c r="T672">
        <v>0</v>
      </c>
      <c r="U672">
        <v>0</v>
      </c>
      <c r="V672">
        <f t="shared" si="288"/>
        <v>0</v>
      </c>
      <c r="W672">
        <f t="shared" si="289"/>
        <v>0</v>
      </c>
      <c r="X672">
        <f t="shared" si="292"/>
        <v>0</v>
      </c>
      <c r="Y672">
        <f t="shared" si="290"/>
        <v>0</v>
      </c>
      <c r="Z672" t="s">
        <v>170</v>
      </c>
      <c r="AA672" s="5" t="s">
        <v>170</v>
      </c>
      <c r="AB672" s="5" t="s">
        <v>1067</v>
      </c>
      <c r="AC672" t="s">
        <v>91</v>
      </c>
      <c r="AD672" t="s">
        <v>101</v>
      </c>
      <c r="AE672" s="5" t="s">
        <v>101</v>
      </c>
      <c r="AF672" t="s">
        <v>99</v>
      </c>
      <c r="AG672" t="s">
        <v>103</v>
      </c>
      <c r="AH672">
        <f t="shared" si="305"/>
        <v>0.10743575499999999</v>
      </c>
      <c r="AI672">
        <f t="shared" si="306"/>
        <v>0.10743575499999999</v>
      </c>
      <c r="AJ672">
        <f t="shared" si="291"/>
        <v>0.10743575499999999</v>
      </c>
      <c r="AK672">
        <v>0.10743575499999999</v>
      </c>
      <c r="AL672">
        <v>0.11834156999999999</v>
      </c>
      <c r="AM672">
        <v>0.12458655</v>
      </c>
      <c r="AN672">
        <v>0.12775329999999999</v>
      </c>
      <c r="AO672">
        <v>89.256424499999994</v>
      </c>
      <c r="AP672">
        <v>88.165842999999995</v>
      </c>
      <c r="AQ672">
        <v>87.541345000000007</v>
      </c>
      <c r="AR672">
        <v>87.224670000000003</v>
      </c>
      <c r="AS672" t="b">
        <v>0</v>
      </c>
      <c r="AT672" t="b">
        <v>0</v>
      </c>
      <c r="AU672" t="s">
        <v>92</v>
      </c>
      <c r="AV672" t="s">
        <v>92</v>
      </c>
      <c r="AW672" t="s">
        <v>783</v>
      </c>
      <c r="AX672" t="s">
        <v>812</v>
      </c>
      <c r="AY672" t="s">
        <v>1065</v>
      </c>
      <c r="AZ672" t="s">
        <v>109</v>
      </c>
      <c r="BA672">
        <v>7</v>
      </c>
      <c r="BB672">
        <v>1.75</v>
      </c>
      <c r="BC672">
        <v>9.0659339999999995E-3</v>
      </c>
      <c r="BD672">
        <v>2.76583658862385E-3</v>
      </c>
      <c r="BE672">
        <v>1.1831770588623799E-2</v>
      </c>
      <c r="BF672">
        <f>IF(AK672&lt;BE672,1,0)</f>
        <v>0</v>
      </c>
      <c r="BG672">
        <f>IF(AK672&lt;BC672,1,0)</f>
        <v>0</v>
      </c>
      <c r="BH672">
        <f>VLOOKUP($B672,[1]Data_Peer_with_peerVars!$B$2:$Z$1050,20,FALSE)</f>
        <v>1</v>
      </c>
      <c r="BI672">
        <f>VLOOKUP($B672,[1]Data_Peer_with_peerVars!$B$2:$Z$1050,21,FALSE)</f>
        <v>1</v>
      </c>
      <c r="BJ672">
        <f>VLOOKUP($B672,[1]Data_Peer_with_peerVars!$B$2:$Z$1050,22,FALSE)</f>
        <v>1</v>
      </c>
      <c r="BK672">
        <f>VLOOKUP($B672,[1]Data_Peer_with_peerVars!$B$2:$Z$1050,23,FALSE)</f>
        <v>16</v>
      </c>
      <c r="BL672">
        <f>VLOOKUP($B672,[1]Data_Peer_with_peerVars!$B$2:$Z$1050,24,FALSE)</f>
        <v>7</v>
      </c>
      <c r="BM672">
        <f>VLOOKUP($B672,[1]Data_Peer_with_peerVars!$B$2:$Z$1050,25,FALSE)</f>
        <v>0.4375</v>
      </c>
    </row>
    <row r="673" spans="1:65" x14ac:dyDescent="0.2">
      <c r="A673">
        <v>1</v>
      </c>
      <c r="B673" t="s">
        <v>1068</v>
      </c>
      <c r="C673">
        <v>384</v>
      </c>
      <c r="D673" t="s">
        <v>68</v>
      </c>
      <c r="E673">
        <v>0</v>
      </c>
      <c r="F673">
        <v>135</v>
      </c>
      <c r="G673" t="s">
        <v>97</v>
      </c>
      <c r="H673" s="1">
        <v>7</v>
      </c>
      <c r="I673" t="s">
        <v>87</v>
      </c>
      <c r="J673" t="s">
        <v>111</v>
      </c>
      <c r="K673" t="s">
        <v>109</v>
      </c>
      <c r="L673">
        <v>1</v>
      </c>
      <c r="M673">
        <v>0</v>
      </c>
      <c r="N673">
        <v>1</v>
      </c>
      <c r="O673">
        <v>0</v>
      </c>
      <c r="P673">
        <v>0</v>
      </c>
      <c r="Q673">
        <v>6</v>
      </c>
      <c r="R673">
        <v>0</v>
      </c>
      <c r="S673">
        <v>0</v>
      </c>
      <c r="T673">
        <v>0</v>
      </c>
      <c r="U673">
        <v>0</v>
      </c>
      <c r="V673">
        <f t="shared" si="288"/>
        <v>1</v>
      </c>
      <c r="W673">
        <v>1</v>
      </c>
      <c r="X673">
        <v>1</v>
      </c>
      <c r="Y673">
        <v>1</v>
      </c>
      <c r="Z673" t="s">
        <v>73</v>
      </c>
      <c r="AA673" s="5" t="s">
        <v>73</v>
      </c>
      <c r="AB673" s="5" t="s">
        <v>73</v>
      </c>
      <c r="AC673" t="s">
        <v>73</v>
      </c>
      <c r="AD673" t="s">
        <v>91</v>
      </c>
      <c r="AE673" s="5" t="s">
        <v>91</v>
      </c>
      <c r="AF673" t="s">
        <v>94</v>
      </c>
      <c r="AG673" t="s">
        <v>75</v>
      </c>
      <c r="AH673">
        <f t="shared" si="305"/>
        <v>0.1046892</v>
      </c>
      <c r="AI673">
        <f t="shared" si="306"/>
        <v>0.1046892</v>
      </c>
      <c r="AJ673">
        <f t="shared" si="291"/>
        <v>0.1046892</v>
      </c>
      <c r="AK673">
        <v>0.1046892</v>
      </c>
      <c r="AL673">
        <v>0.10606889</v>
      </c>
      <c r="AM673">
        <v>0.13810043</v>
      </c>
      <c r="AN673">
        <v>0.14195843</v>
      </c>
      <c r="AO673">
        <v>89.531080000000003</v>
      </c>
      <c r="AP673">
        <v>89.393111000000005</v>
      </c>
      <c r="AQ673">
        <v>86.189957000000007</v>
      </c>
      <c r="AR673">
        <v>85.804157000000004</v>
      </c>
      <c r="AS673" t="b">
        <v>1</v>
      </c>
      <c r="AT673" t="b">
        <v>0</v>
      </c>
      <c r="AU673" t="s">
        <v>78</v>
      </c>
      <c r="AV673" t="s">
        <v>78</v>
      </c>
      <c r="AW673" t="s">
        <v>783</v>
      </c>
      <c r="AX673" t="s">
        <v>812</v>
      </c>
      <c r="AY673" t="s">
        <v>1044</v>
      </c>
      <c r="AZ673" t="s">
        <v>109</v>
      </c>
      <c r="BA673">
        <v>5</v>
      </c>
      <c r="BB673">
        <v>1</v>
      </c>
      <c r="BC673">
        <v>4.1163553999999996E-3</v>
      </c>
      <c r="BD673">
        <v>1.4279989108178799E-4</v>
      </c>
      <c r="BE673">
        <v>4.2591552910817903E-3</v>
      </c>
      <c r="BF673">
        <f>IF(AK673&lt;BE673,1,0)</f>
        <v>0</v>
      </c>
      <c r="BG673">
        <f>IF(AK673&lt;BC673,1,0)</f>
        <v>0</v>
      </c>
      <c r="BH673">
        <f>VLOOKUP($B673,[1]Data_Peer_with_peerVars!$B$2:$Z$1050,20,FALSE)</f>
        <v>6</v>
      </c>
      <c r="BI673">
        <f>VLOOKUP($B673,[1]Data_Peer_with_peerVars!$B$2:$Z$1050,21,FALSE)</f>
        <v>2</v>
      </c>
      <c r="BJ673">
        <f>VLOOKUP($B673,[1]Data_Peer_with_peerVars!$B$2:$Z$1050,22,FALSE)</f>
        <v>0.33333333300000001</v>
      </c>
      <c r="BK673">
        <f>VLOOKUP($B673,[1]Data_Peer_with_peerVars!$B$2:$Z$1050,23,FALSE)</f>
        <v>23</v>
      </c>
      <c r="BL673">
        <f>VLOOKUP($B673,[1]Data_Peer_with_peerVars!$B$2:$Z$1050,24,FALSE)</f>
        <v>7</v>
      </c>
      <c r="BM673">
        <f>VLOOKUP($B673,[1]Data_Peer_with_peerVars!$B$2:$Z$1050,25,FALSE)</f>
        <v>0.30434782599999999</v>
      </c>
    </row>
    <row r="674" spans="1:65" x14ac:dyDescent="0.2">
      <c r="A674">
        <v>1</v>
      </c>
      <c r="B674" t="s">
        <v>1069</v>
      </c>
      <c r="C674">
        <v>385</v>
      </c>
      <c r="D674" t="s">
        <v>68</v>
      </c>
      <c r="E674">
        <v>1</v>
      </c>
      <c r="F674">
        <v>31</v>
      </c>
      <c r="G674" t="s">
        <v>69</v>
      </c>
      <c r="H674" s="1">
        <v>0</v>
      </c>
      <c r="I674" t="s">
        <v>87</v>
      </c>
      <c r="J674" t="s">
        <v>792</v>
      </c>
      <c r="K674" t="s">
        <v>72</v>
      </c>
      <c r="L674">
        <v>1</v>
      </c>
      <c r="M674">
        <v>1</v>
      </c>
      <c r="N674">
        <v>0</v>
      </c>
      <c r="O674">
        <v>0</v>
      </c>
      <c r="P674">
        <v>0</v>
      </c>
      <c r="Q674">
        <v>6</v>
      </c>
      <c r="R674">
        <v>0</v>
      </c>
      <c r="S674">
        <v>0</v>
      </c>
      <c r="T674">
        <v>0</v>
      </c>
      <c r="U674">
        <v>0</v>
      </c>
      <c r="V674">
        <f t="shared" si="288"/>
        <v>1</v>
      </c>
      <c r="W674">
        <v>1</v>
      </c>
      <c r="X674">
        <v>1</v>
      </c>
      <c r="Y674">
        <v>1</v>
      </c>
      <c r="Z674" t="s">
        <v>101</v>
      </c>
      <c r="AA674" s="5" t="s">
        <v>876</v>
      </c>
      <c r="AB674" s="5" t="s">
        <v>877</v>
      </c>
      <c r="AC674" t="s">
        <v>101</v>
      </c>
      <c r="AD674" t="s">
        <v>99</v>
      </c>
      <c r="AE674" s="5" t="s">
        <v>99</v>
      </c>
      <c r="AF674" t="s">
        <v>103</v>
      </c>
      <c r="AG674" t="s">
        <v>102</v>
      </c>
      <c r="AH674">
        <f t="shared" si="305"/>
        <v>5.4120880000000003E-2</v>
      </c>
      <c r="AI674">
        <f t="shared" si="306"/>
        <v>5.4120880000000003E-2</v>
      </c>
      <c r="AJ674">
        <f t="shared" si="291"/>
        <v>5.4120880000000003E-2</v>
      </c>
      <c r="AK674">
        <v>5.4120880000000003E-2</v>
      </c>
      <c r="AL674">
        <v>8.1125825999999998E-2</v>
      </c>
      <c r="AM674">
        <v>9.6196249999999997E-2</v>
      </c>
      <c r="AN674">
        <v>0.12704918000000001</v>
      </c>
      <c r="AO674">
        <v>94.587912000000003</v>
      </c>
      <c r="AP674">
        <v>91.887417400000004</v>
      </c>
      <c r="AQ674">
        <v>90.380375000000001</v>
      </c>
      <c r="AR674">
        <v>87.295081999999994</v>
      </c>
      <c r="AS674" t="b">
        <v>0</v>
      </c>
      <c r="AT674" t="b">
        <v>0</v>
      </c>
      <c r="AU674" t="s">
        <v>92</v>
      </c>
      <c r="AV674" t="s">
        <v>92</v>
      </c>
      <c r="AW674" t="s">
        <v>783</v>
      </c>
      <c r="AX674" t="s">
        <v>812</v>
      </c>
      <c r="AY674" t="s">
        <v>1044</v>
      </c>
      <c r="AZ674" t="s">
        <v>72</v>
      </c>
      <c r="BA674" t="s">
        <v>82</v>
      </c>
      <c r="BB674">
        <v>2</v>
      </c>
      <c r="BC674">
        <v>1.4096186E-2</v>
      </c>
      <c r="BD674">
        <v>1.55088650053763E-3</v>
      </c>
      <c r="BE674">
        <v>1.5647072500537599E-2</v>
      </c>
      <c r="BF674">
        <f>IF(AK674&lt;BE674,1,0)</f>
        <v>0</v>
      </c>
      <c r="BG674">
        <f>IF(AK674&lt;BC674,1,0)</f>
        <v>0</v>
      </c>
      <c r="BH674">
        <f>VLOOKUP($B674,[1]Data_Peer_with_peerVars!$B$2:$Z$1050,20,FALSE)</f>
        <v>3</v>
      </c>
      <c r="BI674">
        <f>VLOOKUP($B674,[1]Data_Peer_with_peerVars!$B$2:$Z$1050,21,FALSE)</f>
        <v>1</v>
      </c>
      <c r="BJ674">
        <f>VLOOKUP($B674,[1]Data_Peer_with_peerVars!$B$2:$Z$1050,22,FALSE)</f>
        <v>0.33333333300000001</v>
      </c>
      <c r="BK674">
        <f>VLOOKUP($B674,[1]Data_Peer_with_peerVars!$B$2:$Z$1050,23,FALSE)</f>
        <v>18</v>
      </c>
      <c r="BL674">
        <f>VLOOKUP($B674,[1]Data_Peer_with_peerVars!$B$2:$Z$1050,24,FALSE)</f>
        <v>6</v>
      </c>
      <c r="BM674">
        <f>VLOOKUP($B674,[1]Data_Peer_with_peerVars!$B$2:$Z$1050,25,FALSE)</f>
        <v>0.33333333300000001</v>
      </c>
    </row>
    <row r="675" spans="1:65" x14ac:dyDescent="0.2">
      <c r="A675">
        <v>1</v>
      </c>
      <c r="B675" t="s">
        <v>1070</v>
      </c>
      <c r="C675">
        <v>386</v>
      </c>
      <c r="D675" t="s">
        <v>68</v>
      </c>
      <c r="E675">
        <v>0</v>
      </c>
      <c r="F675">
        <v>25</v>
      </c>
      <c r="G675" t="s">
        <v>97</v>
      </c>
      <c r="H675" s="1">
        <v>5.3333333333333304</v>
      </c>
      <c r="I675" t="s">
        <v>87</v>
      </c>
      <c r="J675" t="s">
        <v>792</v>
      </c>
      <c r="K675" t="s">
        <v>72</v>
      </c>
      <c r="L675">
        <v>2</v>
      </c>
      <c r="M675">
        <v>0</v>
      </c>
      <c r="N675">
        <v>1</v>
      </c>
      <c r="O675">
        <v>0</v>
      </c>
      <c r="P675">
        <v>0</v>
      </c>
      <c r="Q675">
        <v>5</v>
      </c>
      <c r="R675">
        <v>0</v>
      </c>
      <c r="S675">
        <v>0</v>
      </c>
      <c r="T675">
        <v>0</v>
      </c>
      <c r="U675">
        <v>0</v>
      </c>
      <c r="V675">
        <f t="shared" si="288"/>
        <v>0</v>
      </c>
      <c r="W675">
        <f t="shared" si="289"/>
        <v>0</v>
      </c>
      <c r="X675">
        <f t="shared" si="292"/>
        <v>0</v>
      </c>
      <c r="Y675">
        <f t="shared" si="290"/>
        <v>0</v>
      </c>
      <c r="Z675" t="s">
        <v>170</v>
      </c>
      <c r="AA675" s="5" t="s">
        <v>170</v>
      </c>
      <c r="AB675" s="5" t="s">
        <v>1071</v>
      </c>
      <c r="AC675" t="s">
        <v>75</v>
      </c>
      <c r="AD675" t="s">
        <v>137</v>
      </c>
      <c r="AE675" s="5" t="s">
        <v>137</v>
      </c>
      <c r="AF675" t="s">
        <v>113</v>
      </c>
      <c r="AG675" t="s">
        <v>103</v>
      </c>
      <c r="AH675">
        <f t="shared" ref="AH675:AH676" si="307">AI675</f>
        <v>0.13512035</v>
      </c>
      <c r="AI675">
        <f t="shared" ref="AI675:AI676" si="308">AJ675</f>
        <v>0.13512035</v>
      </c>
      <c r="AJ675">
        <f t="shared" si="291"/>
        <v>0.13512035</v>
      </c>
      <c r="AK675">
        <v>0.13512035</v>
      </c>
      <c r="AL675">
        <v>0.14137553999999999</v>
      </c>
      <c r="AM675">
        <v>0.14881933</v>
      </c>
      <c r="AN675">
        <v>0.15079802</v>
      </c>
      <c r="AO675">
        <v>86.487965000000003</v>
      </c>
      <c r="AP675">
        <v>85.862446000000006</v>
      </c>
      <c r="AQ675">
        <v>85.118066999999996</v>
      </c>
      <c r="AR675">
        <v>84.920197999999999</v>
      </c>
      <c r="AS675" t="b">
        <v>0</v>
      </c>
      <c r="AT675" t="b">
        <v>0</v>
      </c>
      <c r="AU675" t="s">
        <v>92</v>
      </c>
      <c r="AV675" t="s">
        <v>92</v>
      </c>
      <c r="AW675" t="s">
        <v>783</v>
      </c>
      <c r="AX675" t="s">
        <v>812</v>
      </c>
      <c r="AY675" t="s">
        <v>587</v>
      </c>
      <c r="AZ675" t="s">
        <v>72</v>
      </c>
      <c r="BA675" t="s">
        <v>82</v>
      </c>
      <c r="BB675">
        <v>1</v>
      </c>
      <c r="BC675">
        <v>2.3038946000000001E-2</v>
      </c>
      <c r="BD675">
        <v>2.6184719377746E-3</v>
      </c>
      <c r="BE675">
        <v>2.5657417937774599E-2</v>
      </c>
      <c r="BF675">
        <f>IF(AK675&lt;BE675,1,0)</f>
        <v>0</v>
      </c>
      <c r="BG675">
        <f>IF(AK675&lt;BC675,1,0)</f>
        <v>0</v>
      </c>
      <c r="BH675">
        <f>VLOOKUP($B675,[1]Data_Peer_with_peerVars!$B$2:$Z$1050,20,FALSE)</f>
        <v>7</v>
      </c>
      <c r="BI675">
        <f>VLOOKUP($B675,[1]Data_Peer_with_peerVars!$B$2:$Z$1050,21,FALSE)</f>
        <v>1</v>
      </c>
      <c r="BJ675">
        <f>VLOOKUP($B675,[1]Data_Peer_with_peerVars!$B$2:$Z$1050,22,FALSE)</f>
        <v>0.14285714299999999</v>
      </c>
      <c r="BK675">
        <f>VLOOKUP($B675,[1]Data_Peer_with_peerVars!$B$2:$Z$1050,23,FALSE)</f>
        <v>13</v>
      </c>
      <c r="BL675">
        <f>VLOOKUP($B675,[1]Data_Peer_with_peerVars!$B$2:$Z$1050,24,FALSE)</f>
        <v>3</v>
      </c>
      <c r="BM675">
        <f>VLOOKUP($B675,[1]Data_Peer_with_peerVars!$B$2:$Z$1050,25,FALSE)</f>
        <v>0.23076923099999999</v>
      </c>
    </row>
    <row r="676" spans="1:65" x14ac:dyDescent="0.2">
      <c r="A676">
        <v>1</v>
      </c>
      <c r="B676" t="s">
        <v>1072</v>
      </c>
      <c r="C676">
        <v>386</v>
      </c>
      <c r="D676" t="s">
        <v>68</v>
      </c>
      <c r="E676">
        <v>0</v>
      </c>
      <c r="F676">
        <v>25</v>
      </c>
      <c r="G676" t="s">
        <v>97</v>
      </c>
      <c r="H676" s="1">
        <v>5.3333333333333304</v>
      </c>
      <c r="I676" t="s">
        <v>87</v>
      </c>
      <c r="J676" t="s">
        <v>792</v>
      </c>
      <c r="K676" t="s">
        <v>72</v>
      </c>
      <c r="L676">
        <v>2</v>
      </c>
      <c r="M676">
        <v>0</v>
      </c>
      <c r="N676">
        <v>1</v>
      </c>
      <c r="O676">
        <v>0</v>
      </c>
      <c r="P676">
        <v>0</v>
      </c>
      <c r="Q676">
        <v>5</v>
      </c>
      <c r="R676">
        <v>0</v>
      </c>
      <c r="S676">
        <v>0</v>
      </c>
      <c r="T676">
        <v>0</v>
      </c>
      <c r="U676">
        <v>0</v>
      </c>
      <c r="V676">
        <f t="shared" si="288"/>
        <v>0</v>
      </c>
      <c r="W676">
        <f t="shared" si="289"/>
        <v>0</v>
      </c>
      <c r="X676">
        <f t="shared" si="292"/>
        <v>0</v>
      </c>
      <c r="Y676">
        <f t="shared" si="290"/>
        <v>0</v>
      </c>
      <c r="Z676" t="s">
        <v>76</v>
      </c>
      <c r="AA676" s="5" t="s">
        <v>76</v>
      </c>
      <c r="AB676" s="5" t="s">
        <v>76</v>
      </c>
      <c r="AC676" t="s">
        <v>74</v>
      </c>
      <c r="AD676" t="s">
        <v>101</v>
      </c>
      <c r="AE676" s="5" t="s">
        <v>101</v>
      </c>
      <c r="AF676" t="s">
        <v>167</v>
      </c>
      <c r="AG676" t="s">
        <v>102</v>
      </c>
      <c r="AH676">
        <f t="shared" si="307"/>
        <v>8.4429820000000003E-2</v>
      </c>
      <c r="AI676">
        <f t="shared" si="308"/>
        <v>8.4429820000000003E-2</v>
      </c>
      <c r="AJ676">
        <f t="shared" si="291"/>
        <v>8.4429820000000003E-2</v>
      </c>
      <c r="AK676">
        <v>8.4429820000000003E-2</v>
      </c>
      <c r="AL676">
        <v>0.103296705</v>
      </c>
      <c r="AM676">
        <v>0.11738891999999999</v>
      </c>
      <c r="AN676">
        <v>0.118176855</v>
      </c>
      <c r="AO676">
        <v>91.557017999999999</v>
      </c>
      <c r="AP676">
        <v>89.670329499999994</v>
      </c>
      <c r="AQ676">
        <v>88.261107999999993</v>
      </c>
      <c r="AR676">
        <v>88.182314500000004</v>
      </c>
      <c r="AS676" t="b">
        <v>0</v>
      </c>
      <c r="AT676" t="b">
        <v>0</v>
      </c>
      <c r="AU676" t="s">
        <v>77</v>
      </c>
      <c r="AV676" t="s">
        <v>78</v>
      </c>
      <c r="AW676" t="s">
        <v>783</v>
      </c>
      <c r="AX676" t="s">
        <v>812</v>
      </c>
      <c r="AY676" t="s">
        <v>587</v>
      </c>
      <c r="AZ676" t="s">
        <v>109</v>
      </c>
      <c r="BA676">
        <v>3</v>
      </c>
      <c r="BB676">
        <v>1</v>
      </c>
      <c r="BC676">
        <v>2.4738868000000001E-3</v>
      </c>
      <c r="BD676">
        <v>1.4256942275279999E-4</v>
      </c>
      <c r="BE676">
        <v>2.6164562227527998E-3</v>
      </c>
      <c r="BF676">
        <f>IF(AK676&lt;BE676,1,0)</f>
        <v>0</v>
      </c>
      <c r="BG676">
        <f>IF(AK676&lt;BC676,1,0)</f>
        <v>0</v>
      </c>
      <c r="BH676">
        <f>VLOOKUP($B676,[1]Data_Peer_with_peerVars!$B$2:$Z$1050,20,FALSE)</f>
        <v>7</v>
      </c>
      <c r="BI676">
        <f>VLOOKUP($B676,[1]Data_Peer_with_peerVars!$B$2:$Z$1050,21,FALSE)</f>
        <v>1</v>
      </c>
      <c r="BJ676">
        <f>VLOOKUP($B676,[1]Data_Peer_with_peerVars!$B$2:$Z$1050,22,FALSE)</f>
        <v>0.14285714299999999</v>
      </c>
      <c r="BK676">
        <f>VLOOKUP($B676,[1]Data_Peer_with_peerVars!$B$2:$Z$1050,23,FALSE)</f>
        <v>13</v>
      </c>
      <c r="BL676">
        <f>VLOOKUP($B676,[1]Data_Peer_with_peerVars!$B$2:$Z$1050,24,FALSE)</f>
        <v>3</v>
      </c>
      <c r="BM676">
        <f>VLOOKUP($B676,[1]Data_Peer_with_peerVars!$B$2:$Z$1050,25,FALSE)</f>
        <v>0.23076923099999999</v>
      </c>
    </row>
    <row r="677" spans="1:65" x14ac:dyDescent="0.2">
      <c r="A677">
        <v>1</v>
      </c>
      <c r="B677" t="s">
        <v>1073</v>
      </c>
      <c r="C677">
        <v>386</v>
      </c>
      <c r="D677" t="s">
        <v>68</v>
      </c>
      <c r="E677">
        <v>0</v>
      </c>
      <c r="F677">
        <v>25</v>
      </c>
      <c r="G677" t="s">
        <v>97</v>
      </c>
      <c r="H677" s="1">
        <v>5.3333333333333304</v>
      </c>
      <c r="I677" t="s">
        <v>87</v>
      </c>
      <c r="J677" t="s">
        <v>792</v>
      </c>
      <c r="K677" t="s">
        <v>72</v>
      </c>
      <c r="L677">
        <v>2</v>
      </c>
      <c r="M677">
        <v>0</v>
      </c>
      <c r="N677">
        <v>1</v>
      </c>
      <c r="O677">
        <v>0</v>
      </c>
      <c r="P677">
        <v>0</v>
      </c>
      <c r="Q677">
        <v>5</v>
      </c>
      <c r="R677">
        <v>0</v>
      </c>
      <c r="S677">
        <v>0</v>
      </c>
      <c r="T677">
        <v>0</v>
      </c>
      <c r="U677">
        <v>0</v>
      </c>
      <c r="V677">
        <f t="shared" si="288"/>
        <v>1</v>
      </c>
      <c r="W677">
        <v>1</v>
      </c>
      <c r="X677">
        <v>1</v>
      </c>
      <c r="Y677">
        <v>1</v>
      </c>
      <c r="Z677" t="s">
        <v>73</v>
      </c>
      <c r="AA677" s="5" t="s">
        <v>73</v>
      </c>
      <c r="AB677" s="5" t="s">
        <v>73</v>
      </c>
      <c r="AC677" t="s">
        <v>73</v>
      </c>
      <c r="AD677" t="s">
        <v>94</v>
      </c>
      <c r="AE677" s="5" t="s">
        <v>94</v>
      </c>
      <c r="AF677" t="s">
        <v>75</v>
      </c>
      <c r="AG677" t="s">
        <v>95</v>
      </c>
      <c r="AH677">
        <f>AI677</f>
        <v>7.0414850000000001E-2</v>
      </c>
      <c r="AI677">
        <f>AJ677</f>
        <v>7.0414850000000001E-2</v>
      </c>
      <c r="AJ677">
        <f t="shared" si="291"/>
        <v>7.0414850000000001E-2</v>
      </c>
      <c r="AK677">
        <v>7.0414850000000001E-2</v>
      </c>
      <c r="AL677">
        <v>0.11584699</v>
      </c>
      <c r="AM677">
        <v>0.12739724999999999</v>
      </c>
      <c r="AN677">
        <v>0.14203613000000001</v>
      </c>
      <c r="AO677">
        <v>92.958515000000006</v>
      </c>
      <c r="AP677">
        <v>88.415300999999999</v>
      </c>
      <c r="AQ677">
        <v>87.260274999999993</v>
      </c>
      <c r="AR677">
        <v>85.796386999999996</v>
      </c>
      <c r="AS677" t="b">
        <v>1</v>
      </c>
      <c r="AT677" t="b">
        <v>0</v>
      </c>
      <c r="AU677" t="s">
        <v>77</v>
      </c>
      <c r="AV677" t="s">
        <v>78</v>
      </c>
      <c r="AW677" t="s">
        <v>783</v>
      </c>
      <c r="AX677" t="s">
        <v>812</v>
      </c>
      <c r="AY677" t="s">
        <v>587</v>
      </c>
      <c r="AZ677" t="s">
        <v>109</v>
      </c>
      <c r="BA677">
        <v>3</v>
      </c>
      <c r="BB677">
        <v>1</v>
      </c>
      <c r="BC677">
        <v>4.1163553999999996E-3</v>
      </c>
      <c r="BD677">
        <v>1.4279989108178799E-4</v>
      </c>
      <c r="BE677">
        <v>4.2591552910817903E-3</v>
      </c>
      <c r="BF677">
        <f>IF(AK677&lt;BE677,1,0)</f>
        <v>0</v>
      </c>
      <c r="BG677">
        <f>IF(AK677&lt;BC677,1,0)</f>
        <v>0</v>
      </c>
      <c r="BH677">
        <f>VLOOKUP($B677,[1]Data_Peer_with_peerVars!$B$2:$Z$1050,20,FALSE)</f>
        <v>7</v>
      </c>
      <c r="BI677">
        <f>VLOOKUP($B677,[1]Data_Peer_with_peerVars!$B$2:$Z$1050,21,FALSE)</f>
        <v>1</v>
      </c>
      <c r="BJ677">
        <f>VLOOKUP($B677,[1]Data_Peer_with_peerVars!$B$2:$Z$1050,22,FALSE)</f>
        <v>0.14285714299999999</v>
      </c>
      <c r="BK677">
        <f>VLOOKUP($B677,[1]Data_Peer_with_peerVars!$B$2:$Z$1050,23,FALSE)</f>
        <v>13</v>
      </c>
      <c r="BL677">
        <f>VLOOKUP($B677,[1]Data_Peer_with_peerVars!$B$2:$Z$1050,24,FALSE)</f>
        <v>3</v>
      </c>
      <c r="BM677">
        <f>VLOOKUP($B677,[1]Data_Peer_with_peerVars!$B$2:$Z$1050,25,FALSE)</f>
        <v>0.23076923099999999</v>
      </c>
    </row>
    <row r="678" spans="1:65" x14ac:dyDescent="0.2">
      <c r="A678">
        <v>1</v>
      </c>
      <c r="B678" t="s">
        <v>1074</v>
      </c>
      <c r="C678">
        <v>386</v>
      </c>
      <c r="D678" t="s">
        <v>68</v>
      </c>
      <c r="E678">
        <v>0</v>
      </c>
      <c r="F678">
        <v>25</v>
      </c>
      <c r="G678" t="s">
        <v>97</v>
      </c>
      <c r="H678" s="1">
        <v>5.3333333333333304</v>
      </c>
      <c r="I678" t="s">
        <v>87</v>
      </c>
      <c r="J678" t="s">
        <v>792</v>
      </c>
      <c r="K678" t="s">
        <v>72</v>
      </c>
      <c r="L678">
        <v>2</v>
      </c>
      <c r="M678">
        <v>0</v>
      </c>
      <c r="N678">
        <v>1</v>
      </c>
      <c r="O678">
        <v>0</v>
      </c>
      <c r="P678">
        <v>0</v>
      </c>
      <c r="Q678">
        <v>5</v>
      </c>
      <c r="R678">
        <v>0</v>
      </c>
      <c r="S678">
        <v>0</v>
      </c>
      <c r="T678">
        <v>0</v>
      </c>
      <c r="U678">
        <v>0</v>
      </c>
      <c r="V678">
        <f t="shared" si="288"/>
        <v>0</v>
      </c>
      <c r="W678">
        <f t="shared" si="289"/>
        <v>0</v>
      </c>
      <c r="X678">
        <f t="shared" si="292"/>
        <v>0</v>
      </c>
      <c r="Y678">
        <f t="shared" si="290"/>
        <v>0</v>
      </c>
      <c r="Z678" t="s">
        <v>98</v>
      </c>
      <c r="AA678" s="5" t="s">
        <v>99</v>
      </c>
      <c r="AB678" s="5" t="s">
        <v>600</v>
      </c>
      <c r="AC678" t="s">
        <v>74</v>
      </c>
      <c r="AD678" t="s">
        <v>75</v>
      </c>
      <c r="AE678" s="5" t="s">
        <v>75</v>
      </c>
      <c r="AF678" t="s">
        <v>120</v>
      </c>
      <c r="AG678" t="s">
        <v>167</v>
      </c>
      <c r="AH678">
        <f t="shared" ref="AH678:AH685" si="309">AI678</f>
        <v>6.5861690000000001E-2</v>
      </c>
      <c r="AI678">
        <f t="shared" ref="AI678:AI685" si="310">AJ678</f>
        <v>6.5861690000000001E-2</v>
      </c>
      <c r="AJ678">
        <f t="shared" si="291"/>
        <v>6.5861690000000001E-2</v>
      </c>
      <c r="AK678">
        <v>6.5861690000000001E-2</v>
      </c>
      <c r="AL678">
        <v>7.9178079999999998E-2</v>
      </c>
      <c r="AM678">
        <v>8.3971550000000006E-2</v>
      </c>
      <c r="AN678">
        <v>9.1931949999999998E-2</v>
      </c>
      <c r="AO678">
        <v>93.413831000000002</v>
      </c>
      <c r="AP678">
        <v>92.082192000000006</v>
      </c>
      <c r="AQ678">
        <v>91.602845000000002</v>
      </c>
      <c r="AR678">
        <v>90.806804999999997</v>
      </c>
      <c r="AS678" t="b">
        <v>0</v>
      </c>
      <c r="AT678" t="b">
        <v>0</v>
      </c>
      <c r="AU678" t="s">
        <v>77</v>
      </c>
      <c r="AV678" t="s">
        <v>77</v>
      </c>
      <c r="AW678" t="s">
        <v>783</v>
      </c>
      <c r="AX678" t="s">
        <v>812</v>
      </c>
      <c r="AY678" t="s">
        <v>587</v>
      </c>
      <c r="AZ678" t="s">
        <v>109</v>
      </c>
      <c r="BA678">
        <v>2</v>
      </c>
      <c r="BB678">
        <v>1</v>
      </c>
      <c r="BC678">
        <v>2.4738868000000001E-3</v>
      </c>
      <c r="BD678">
        <v>1.4256942275279999E-4</v>
      </c>
      <c r="BE678">
        <v>2.6164562227527998E-3</v>
      </c>
      <c r="BF678">
        <f>IF(AK678&lt;BE678,1,0)</f>
        <v>0</v>
      </c>
      <c r="BG678">
        <f>IF(AK678&lt;BC678,1,0)</f>
        <v>0</v>
      </c>
      <c r="BH678">
        <f>VLOOKUP($B678,[1]Data_Peer_with_peerVars!$B$2:$Z$1050,20,FALSE)</f>
        <v>7</v>
      </c>
      <c r="BI678">
        <f>VLOOKUP($B678,[1]Data_Peer_with_peerVars!$B$2:$Z$1050,21,FALSE)</f>
        <v>1</v>
      </c>
      <c r="BJ678">
        <f>VLOOKUP($B678,[1]Data_Peer_with_peerVars!$B$2:$Z$1050,22,FALSE)</f>
        <v>0.14285714299999999</v>
      </c>
      <c r="BK678">
        <f>VLOOKUP($B678,[1]Data_Peer_with_peerVars!$B$2:$Z$1050,23,FALSE)</f>
        <v>13</v>
      </c>
      <c r="BL678">
        <f>VLOOKUP($B678,[1]Data_Peer_with_peerVars!$B$2:$Z$1050,24,FALSE)</f>
        <v>3</v>
      </c>
      <c r="BM678">
        <f>VLOOKUP($B678,[1]Data_Peer_with_peerVars!$B$2:$Z$1050,25,FALSE)</f>
        <v>0.23076923099999999</v>
      </c>
    </row>
    <row r="679" spans="1:65" x14ac:dyDescent="0.2">
      <c r="A679">
        <v>1</v>
      </c>
      <c r="B679" t="s">
        <v>1075</v>
      </c>
      <c r="C679">
        <v>387</v>
      </c>
      <c r="D679" t="s">
        <v>68</v>
      </c>
      <c r="E679">
        <v>1</v>
      </c>
      <c r="F679">
        <v>26</v>
      </c>
      <c r="G679" t="s">
        <v>69</v>
      </c>
      <c r="H679" s="1">
        <v>5</v>
      </c>
      <c r="I679" t="s">
        <v>87</v>
      </c>
      <c r="J679" t="s">
        <v>124</v>
      </c>
      <c r="K679" t="s">
        <v>72</v>
      </c>
      <c r="L679">
        <v>1</v>
      </c>
      <c r="M679">
        <v>0</v>
      </c>
      <c r="N679">
        <v>1</v>
      </c>
      <c r="O679">
        <v>0</v>
      </c>
      <c r="P679">
        <v>0</v>
      </c>
      <c r="Q679">
        <v>10</v>
      </c>
      <c r="R679">
        <v>1</v>
      </c>
      <c r="S679">
        <v>1</v>
      </c>
      <c r="T679">
        <v>1</v>
      </c>
      <c r="U679">
        <v>1</v>
      </c>
      <c r="V679">
        <f t="shared" si="288"/>
        <v>0</v>
      </c>
      <c r="W679">
        <f t="shared" si="289"/>
        <v>0</v>
      </c>
      <c r="X679">
        <f t="shared" si="292"/>
        <v>0</v>
      </c>
      <c r="Y679">
        <f t="shared" si="290"/>
        <v>0</v>
      </c>
      <c r="Z679" t="s">
        <v>89</v>
      </c>
      <c r="AA679" s="5" t="s">
        <v>273</v>
      </c>
      <c r="AB679" s="5" t="s">
        <v>1023</v>
      </c>
      <c r="AC679" t="s">
        <v>174</v>
      </c>
      <c r="AD679" t="s">
        <v>173</v>
      </c>
      <c r="AE679" s="5" t="s">
        <v>506</v>
      </c>
      <c r="AF679" t="s">
        <v>198</v>
      </c>
      <c r="AG679" t="s">
        <v>196</v>
      </c>
      <c r="AH679">
        <f t="shared" si="309"/>
        <v>6.2910285999999999E-3</v>
      </c>
      <c r="AI679">
        <f t="shared" si="310"/>
        <v>6.2910285999999999E-3</v>
      </c>
      <c r="AJ679">
        <f t="shared" si="291"/>
        <v>6.2910285999999999E-3</v>
      </c>
      <c r="AK679">
        <v>6.2910285999999999E-3</v>
      </c>
      <c r="AL679">
        <v>3.2768980000000003E-2</v>
      </c>
      <c r="AM679">
        <v>3.4851809999999997E-2</v>
      </c>
      <c r="AN679">
        <v>5.2414928E-2</v>
      </c>
      <c r="AO679">
        <v>99.370897139999997</v>
      </c>
      <c r="AP679">
        <v>96.723101999999997</v>
      </c>
      <c r="AQ679">
        <v>96.514819000000003</v>
      </c>
      <c r="AR679">
        <v>94.758507199999997</v>
      </c>
      <c r="AS679" t="b">
        <v>0</v>
      </c>
      <c r="AT679" t="b">
        <v>0</v>
      </c>
      <c r="AU679" t="s">
        <v>92</v>
      </c>
      <c r="AV679" t="s">
        <v>92</v>
      </c>
      <c r="AW679" t="s">
        <v>783</v>
      </c>
      <c r="AX679" t="s">
        <v>812</v>
      </c>
      <c r="AY679" t="s">
        <v>587</v>
      </c>
      <c r="AZ679" t="s">
        <v>72</v>
      </c>
      <c r="BA679" t="s">
        <v>82</v>
      </c>
      <c r="BB679">
        <v>0.7</v>
      </c>
      <c r="BC679">
        <v>6.6481995999999998E-3</v>
      </c>
      <c r="BD679">
        <v>2.8322716361753601E-4</v>
      </c>
      <c r="BE679">
        <v>6.9314267636175399E-3</v>
      </c>
      <c r="BF679">
        <f>IF(AK679&lt;BE679,1,0)</f>
        <v>1</v>
      </c>
      <c r="BG679">
        <f>IF(AK679&lt;BC679,1,0)</f>
        <v>1</v>
      </c>
      <c r="BH679">
        <f>VLOOKUP($B679,[1]Data_Peer_with_peerVars!$B$2:$Z$1050,20,FALSE)</f>
        <v>8</v>
      </c>
      <c r="BI679">
        <f>VLOOKUP($B679,[1]Data_Peer_with_peerVars!$B$2:$Z$1050,21,FALSE)</f>
        <v>2</v>
      </c>
      <c r="BJ679">
        <f>VLOOKUP($B679,[1]Data_Peer_with_peerVars!$B$2:$Z$1050,22,FALSE)</f>
        <v>0.25</v>
      </c>
      <c r="BK679">
        <f>VLOOKUP($B679,[1]Data_Peer_with_peerVars!$B$2:$Z$1050,23,FALSE)</f>
        <v>13</v>
      </c>
      <c r="BL679">
        <f>VLOOKUP($B679,[1]Data_Peer_with_peerVars!$B$2:$Z$1050,24,FALSE)</f>
        <v>4</v>
      </c>
      <c r="BM679">
        <f>VLOOKUP($B679,[1]Data_Peer_with_peerVars!$B$2:$Z$1050,25,FALSE)</f>
        <v>0.30769230800000003</v>
      </c>
    </row>
    <row r="680" spans="1:65" x14ac:dyDescent="0.2">
      <c r="A680">
        <v>1</v>
      </c>
      <c r="B680" t="s">
        <v>1076</v>
      </c>
      <c r="C680">
        <v>387</v>
      </c>
      <c r="D680" t="s">
        <v>68</v>
      </c>
      <c r="E680">
        <v>1</v>
      </c>
      <c r="F680">
        <v>26</v>
      </c>
      <c r="G680" t="s">
        <v>69</v>
      </c>
      <c r="H680" s="1">
        <v>5</v>
      </c>
      <c r="I680" t="s">
        <v>87</v>
      </c>
      <c r="J680" t="s">
        <v>124</v>
      </c>
      <c r="K680" t="s">
        <v>72</v>
      </c>
      <c r="L680">
        <v>1</v>
      </c>
      <c r="M680">
        <v>0</v>
      </c>
      <c r="N680">
        <v>1</v>
      </c>
      <c r="O680">
        <v>0</v>
      </c>
      <c r="P680">
        <v>0</v>
      </c>
      <c r="Q680">
        <v>10</v>
      </c>
      <c r="R680">
        <v>0</v>
      </c>
      <c r="S680">
        <v>0</v>
      </c>
      <c r="T680">
        <v>1</v>
      </c>
      <c r="U680">
        <v>1</v>
      </c>
      <c r="V680">
        <f t="shared" si="288"/>
        <v>0</v>
      </c>
      <c r="W680">
        <f t="shared" si="289"/>
        <v>0</v>
      </c>
      <c r="X680">
        <f t="shared" si="292"/>
        <v>0</v>
      </c>
      <c r="Y680">
        <f t="shared" si="290"/>
        <v>0</v>
      </c>
      <c r="Z680" t="s">
        <v>98</v>
      </c>
      <c r="AA680" s="5" t="s">
        <v>829</v>
      </c>
      <c r="AB680" s="5" t="s">
        <v>829</v>
      </c>
      <c r="AC680" t="s">
        <v>73</v>
      </c>
      <c r="AD680" t="s">
        <v>94</v>
      </c>
      <c r="AE680" s="5" t="s">
        <v>106</v>
      </c>
      <c r="AF680" t="s">
        <v>107</v>
      </c>
      <c r="AG680" t="s">
        <v>95</v>
      </c>
      <c r="AH680">
        <f t="shared" si="309"/>
        <v>4.0894219999999997E-3</v>
      </c>
      <c r="AI680">
        <f t="shared" si="310"/>
        <v>4.0894219999999997E-3</v>
      </c>
      <c r="AJ680">
        <f t="shared" si="291"/>
        <v>4.0894219999999997E-3</v>
      </c>
      <c r="AK680">
        <v>4.0894219999999997E-3</v>
      </c>
      <c r="AL680">
        <v>0.13169399000000001</v>
      </c>
      <c r="AM680">
        <v>0.13623904000000001</v>
      </c>
      <c r="AN680">
        <v>0.13840263</v>
      </c>
      <c r="AO680">
        <v>99.591057800000002</v>
      </c>
      <c r="AP680">
        <v>86.830601000000001</v>
      </c>
      <c r="AQ680">
        <v>86.376096000000004</v>
      </c>
      <c r="AR680">
        <v>86.159737000000007</v>
      </c>
      <c r="AS680" t="b">
        <v>0</v>
      </c>
      <c r="AT680" t="b">
        <v>0</v>
      </c>
      <c r="AU680" t="s">
        <v>77</v>
      </c>
      <c r="AV680" t="s">
        <v>108</v>
      </c>
      <c r="AW680" t="s">
        <v>783</v>
      </c>
      <c r="AX680" t="s">
        <v>812</v>
      </c>
      <c r="AY680" t="s">
        <v>587</v>
      </c>
      <c r="AZ680" t="s">
        <v>109</v>
      </c>
      <c r="BA680">
        <v>2</v>
      </c>
      <c r="BB680">
        <v>0.7</v>
      </c>
      <c r="BC680">
        <v>4.1163553999999996E-3</v>
      </c>
      <c r="BD680">
        <v>1.4279989108178799E-4</v>
      </c>
      <c r="BE680">
        <v>4.2591552910817903E-3</v>
      </c>
      <c r="BF680">
        <f>IF(AK680&lt;BE680,1,0)</f>
        <v>1</v>
      </c>
      <c r="BG680">
        <f>IF(AK680&lt;BC680,1,0)</f>
        <v>1</v>
      </c>
      <c r="BH680">
        <f>VLOOKUP($B680,[1]Data_Peer_with_peerVars!$B$2:$Z$1050,20,FALSE)</f>
        <v>8</v>
      </c>
      <c r="BI680">
        <f>VLOOKUP($B680,[1]Data_Peer_with_peerVars!$B$2:$Z$1050,21,FALSE)</f>
        <v>2</v>
      </c>
      <c r="BJ680">
        <f>VLOOKUP($B680,[1]Data_Peer_with_peerVars!$B$2:$Z$1050,22,FALSE)</f>
        <v>0.25</v>
      </c>
      <c r="BK680">
        <f>VLOOKUP($B680,[1]Data_Peer_with_peerVars!$B$2:$Z$1050,23,FALSE)</f>
        <v>13</v>
      </c>
      <c r="BL680">
        <f>VLOOKUP($B680,[1]Data_Peer_with_peerVars!$B$2:$Z$1050,24,FALSE)</f>
        <v>4</v>
      </c>
      <c r="BM680">
        <f>VLOOKUP($B680,[1]Data_Peer_with_peerVars!$B$2:$Z$1050,25,FALSE)</f>
        <v>0.30769230800000003</v>
      </c>
    </row>
    <row r="681" spans="1:65" x14ac:dyDescent="0.2">
      <c r="A681">
        <v>1</v>
      </c>
      <c r="B681" t="s">
        <v>1077</v>
      </c>
      <c r="C681">
        <v>387</v>
      </c>
      <c r="D681" t="s">
        <v>68</v>
      </c>
      <c r="E681">
        <v>1</v>
      </c>
      <c r="F681">
        <v>26</v>
      </c>
      <c r="G681" t="s">
        <v>69</v>
      </c>
      <c r="H681" s="1">
        <v>5</v>
      </c>
      <c r="I681" t="s">
        <v>87</v>
      </c>
      <c r="J681" t="s">
        <v>124</v>
      </c>
      <c r="K681" t="s">
        <v>72</v>
      </c>
      <c r="L681">
        <v>1</v>
      </c>
      <c r="M681">
        <v>0</v>
      </c>
      <c r="N681">
        <v>1</v>
      </c>
      <c r="O681">
        <v>0</v>
      </c>
      <c r="P681">
        <v>0</v>
      </c>
      <c r="Q681">
        <v>10</v>
      </c>
      <c r="R681">
        <v>0</v>
      </c>
      <c r="S681">
        <v>0</v>
      </c>
      <c r="T681">
        <v>0</v>
      </c>
      <c r="U681">
        <v>0</v>
      </c>
      <c r="V681">
        <f t="shared" si="288"/>
        <v>0</v>
      </c>
      <c r="W681">
        <f t="shared" si="289"/>
        <v>0</v>
      </c>
      <c r="X681">
        <f t="shared" si="292"/>
        <v>0</v>
      </c>
      <c r="Y681">
        <f t="shared" si="290"/>
        <v>0</v>
      </c>
      <c r="Z681" t="s">
        <v>91</v>
      </c>
      <c r="AA681" s="5" t="s">
        <v>91</v>
      </c>
      <c r="AB681" s="5" t="s">
        <v>915</v>
      </c>
      <c r="AC681" t="s">
        <v>113</v>
      </c>
      <c r="AD681" t="s">
        <v>287</v>
      </c>
      <c r="AE681" s="5" t="s">
        <v>1078</v>
      </c>
      <c r="AF681" t="s">
        <v>103</v>
      </c>
      <c r="AG681" t="s">
        <v>99</v>
      </c>
      <c r="AH681">
        <f t="shared" si="309"/>
        <v>0.12258953</v>
      </c>
      <c r="AI681">
        <f t="shared" si="310"/>
        <v>0.12258953</v>
      </c>
      <c r="AJ681">
        <f t="shared" si="291"/>
        <v>0.12258953</v>
      </c>
      <c r="AK681">
        <v>0.12258953</v>
      </c>
      <c r="AL681">
        <v>0.12356164</v>
      </c>
      <c r="AM681">
        <v>0.12790056</v>
      </c>
      <c r="AN681">
        <v>0.13184080000000001</v>
      </c>
      <c r="AO681">
        <v>87.741046999999995</v>
      </c>
      <c r="AP681">
        <v>87.643835999999993</v>
      </c>
      <c r="AQ681">
        <v>87.209943999999993</v>
      </c>
      <c r="AR681">
        <v>86.815920000000006</v>
      </c>
      <c r="AS681" t="b">
        <v>0</v>
      </c>
      <c r="AT681" t="b">
        <v>0</v>
      </c>
      <c r="AU681" t="s">
        <v>108</v>
      </c>
      <c r="AV681" t="s">
        <v>108</v>
      </c>
      <c r="AW681" t="s">
        <v>783</v>
      </c>
      <c r="AX681" t="s">
        <v>812</v>
      </c>
      <c r="AY681" t="s">
        <v>587</v>
      </c>
      <c r="AZ681" t="s">
        <v>109</v>
      </c>
      <c r="BA681">
        <v>5</v>
      </c>
      <c r="BB681">
        <v>0.7</v>
      </c>
      <c r="BC681">
        <v>4.9945115999999998E-2</v>
      </c>
      <c r="BD681">
        <v>7.0553271253887603E-3</v>
      </c>
      <c r="BE681">
        <v>5.7000443125388801E-2</v>
      </c>
      <c r="BF681">
        <f>IF(AK681&lt;BE681,1,0)</f>
        <v>0</v>
      </c>
      <c r="BG681">
        <f>IF(AK681&lt;BC681,1,0)</f>
        <v>0</v>
      </c>
      <c r="BH681">
        <f>VLOOKUP($B681,[1]Data_Peer_with_peerVars!$B$2:$Z$1050,20,FALSE)</f>
        <v>8</v>
      </c>
      <c r="BI681">
        <f>VLOOKUP($B681,[1]Data_Peer_with_peerVars!$B$2:$Z$1050,21,FALSE)</f>
        <v>2</v>
      </c>
      <c r="BJ681">
        <f>VLOOKUP($B681,[1]Data_Peer_with_peerVars!$B$2:$Z$1050,22,FALSE)</f>
        <v>0.25</v>
      </c>
      <c r="BK681">
        <f>VLOOKUP($B681,[1]Data_Peer_with_peerVars!$B$2:$Z$1050,23,FALSE)</f>
        <v>13</v>
      </c>
      <c r="BL681">
        <f>VLOOKUP($B681,[1]Data_Peer_with_peerVars!$B$2:$Z$1050,24,FALSE)</f>
        <v>4</v>
      </c>
      <c r="BM681">
        <f>VLOOKUP($B681,[1]Data_Peer_with_peerVars!$B$2:$Z$1050,25,FALSE)</f>
        <v>0.30769230800000003</v>
      </c>
    </row>
    <row r="682" spans="1:65" x14ac:dyDescent="0.2">
      <c r="A682">
        <v>1</v>
      </c>
      <c r="B682" t="s">
        <v>1079</v>
      </c>
      <c r="C682">
        <v>388</v>
      </c>
      <c r="D682" t="s">
        <v>68</v>
      </c>
      <c r="E682">
        <v>0</v>
      </c>
      <c r="F682">
        <v>144</v>
      </c>
      <c r="G682" t="s">
        <v>97</v>
      </c>
      <c r="H682" s="1">
        <v>6.5</v>
      </c>
      <c r="I682" t="s">
        <v>87</v>
      </c>
      <c r="J682" t="s">
        <v>1080</v>
      </c>
      <c r="K682" t="s">
        <v>72</v>
      </c>
      <c r="L682">
        <v>2</v>
      </c>
      <c r="M682">
        <v>0</v>
      </c>
      <c r="N682">
        <v>1</v>
      </c>
      <c r="O682">
        <v>0</v>
      </c>
      <c r="P682">
        <v>0</v>
      </c>
      <c r="Q682">
        <v>0</v>
      </c>
      <c r="R682">
        <v>0</v>
      </c>
      <c r="S682">
        <v>0</v>
      </c>
      <c r="T682">
        <v>0</v>
      </c>
      <c r="U682">
        <v>0</v>
      </c>
      <c r="V682">
        <f t="shared" si="288"/>
        <v>0</v>
      </c>
      <c r="W682">
        <f t="shared" si="289"/>
        <v>0</v>
      </c>
      <c r="X682">
        <f t="shared" si="292"/>
        <v>0</v>
      </c>
      <c r="Y682">
        <f t="shared" si="290"/>
        <v>0</v>
      </c>
      <c r="Z682" t="s">
        <v>89</v>
      </c>
      <c r="AA682" s="5" t="s">
        <v>268</v>
      </c>
      <c r="AB682" s="5" t="s">
        <v>268</v>
      </c>
      <c r="AC682" t="s">
        <v>103</v>
      </c>
      <c r="AD682" t="s">
        <v>101</v>
      </c>
      <c r="AE682" s="5" t="s">
        <v>101</v>
      </c>
      <c r="AF682" t="s">
        <v>99</v>
      </c>
      <c r="AG682" t="s">
        <v>137</v>
      </c>
      <c r="AH682">
        <f t="shared" si="309"/>
        <v>3.3333334999999999E-2</v>
      </c>
      <c r="AI682">
        <f t="shared" si="310"/>
        <v>3.3333334999999999E-2</v>
      </c>
      <c r="AJ682">
        <f t="shared" si="291"/>
        <v>3.3333334999999999E-2</v>
      </c>
      <c r="AK682">
        <v>3.3333334999999999E-2</v>
      </c>
      <c r="AL682">
        <v>6.9818580000000005E-2</v>
      </c>
      <c r="AM682">
        <v>0.10381005</v>
      </c>
      <c r="AN682">
        <v>0.13367961</v>
      </c>
      <c r="AO682">
        <v>96.666666500000005</v>
      </c>
      <c r="AP682">
        <v>93.018141999999997</v>
      </c>
      <c r="AQ682">
        <v>89.618994999999998</v>
      </c>
      <c r="AR682">
        <v>86.632039000000006</v>
      </c>
      <c r="AS682" t="b">
        <v>0</v>
      </c>
      <c r="AT682" t="b">
        <v>0</v>
      </c>
      <c r="AU682" t="s">
        <v>92</v>
      </c>
      <c r="AV682" t="s">
        <v>92</v>
      </c>
      <c r="AW682" t="s">
        <v>783</v>
      </c>
      <c r="AX682" t="s">
        <v>812</v>
      </c>
      <c r="AY682" t="s">
        <v>1081</v>
      </c>
      <c r="AZ682" t="s">
        <v>72</v>
      </c>
      <c r="BA682" t="s">
        <v>82</v>
      </c>
      <c r="BB682">
        <v>1</v>
      </c>
      <c r="BC682">
        <v>1.8406593999999998E-2</v>
      </c>
      <c r="BD682">
        <v>3.30705390234067E-4</v>
      </c>
      <c r="BE682">
        <v>1.8737299390234101E-2</v>
      </c>
      <c r="BF682">
        <f>IF(AK682&lt;BE682,1,0)</f>
        <v>0</v>
      </c>
      <c r="BG682">
        <f>IF(AK682&lt;BC682,1,0)</f>
        <v>0</v>
      </c>
    </row>
    <row r="683" spans="1:65" x14ac:dyDescent="0.2">
      <c r="A683">
        <v>1</v>
      </c>
      <c r="B683" t="s">
        <v>1082</v>
      </c>
      <c r="C683">
        <v>389</v>
      </c>
      <c r="D683" t="s">
        <v>68</v>
      </c>
      <c r="E683">
        <v>1</v>
      </c>
      <c r="F683">
        <v>145</v>
      </c>
      <c r="G683" t="s">
        <v>86</v>
      </c>
      <c r="H683" s="1">
        <v>5.75</v>
      </c>
      <c r="I683" t="s">
        <v>87</v>
      </c>
      <c r="J683" t="s">
        <v>111</v>
      </c>
      <c r="K683" t="s">
        <v>109</v>
      </c>
      <c r="L683">
        <v>2</v>
      </c>
      <c r="M683">
        <v>1</v>
      </c>
      <c r="N683">
        <v>0</v>
      </c>
      <c r="O683">
        <v>0</v>
      </c>
      <c r="P683">
        <v>0</v>
      </c>
      <c r="Q683">
        <v>16</v>
      </c>
      <c r="R683">
        <v>0</v>
      </c>
      <c r="S683">
        <v>0</v>
      </c>
      <c r="T683">
        <v>0</v>
      </c>
      <c r="U683">
        <v>0</v>
      </c>
      <c r="V683">
        <f t="shared" si="288"/>
        <v>0</v>
      </c>
      <c r="W683">
        <f t="shared" si="289"/>
        <v>0</v>
      </c>
      <c r="X683">
        <f t="shared" si="292"/>
        <v>0</v>
      </c>
      <c r="Y683">
        <f t="shared" si="290"/>
        <v>0</v>
      </c>
      <c r="Z683" t="s">
        <v>89</v>
      </c>
      <c r="AA683" s="5" t="s">
        <v>268</v>
      </c>
      <c r="AB683" s="5" t="s">
        <v>268</v>
      </c>
      <c r="AC683" t="s">
        <v>287</v>
      </c>
      <c r="AD683" t="s">
        <v>91</v>
      </c>
      <c r="AE683" s="5" t="s">
        <v>871</v>
      </c>
      <c r="AF683" t="s">
        <v>137</v>
      </c>
      <c r="AG683" t="s">
        <v>113</v>
      </c>
      <c r="AH683">
        <f t="shared" si="309"/>
        <v>6.0928963000000003E-2</v>
      </c>
      <c r="AI683">
        <f t="shared" si="310"/>
        <v>6.0928963000000003E-2</v>
      </c>
      <c r="AJ683">
        <f t="shared" si="291"/>
        <v>6.0928963000000003E-2</v>
      </c>
      <c r="AK683">
        <v>6.0928963000000003E-2</v>
      </c>
      <c r="AL683">
        <v>0.11850027</v>
      </c>
      <c r="AM683">
        <v>0.11851447</v>
      </c>
      <c r="AN683">
        <v>0.13221550000000001</v>
      </c>
      <c r="AO683">
        <v>93.907103699999993</v>
      </c>
      <c r="AP683">
        <v>88.149973000000003</v>
      </c>
      <c r="AQ683">
        <v>88.148553000000007</v>
      </c>
      <c r="AR683">
        <v>86.778450000000007</v>
      </c>
      <c r="AS683" t="b">
        <v>0</v>
      </c>
      <c r="AT683" t="b">
        <v>0</v>
      </c>
      <c r="AU683" t="s">
        <v>92</v>
      </c>
      <c r="AV683" t="s">
        <v>92</v>
      </c>
      <c r="AW683" t="s">
        <v>783</v>
      </c>
      <c r="AX683" t="s">
        <v>812</v>
      </c>
      <c r="AY683" t="s">
        <v>889</v>
      </c>
      <c r="AZ683" t="s">
        <v>109</v>
      </c>
      <c r="BA683">
        <v>4</v>
      </c>
      <c r="BB683">
        <v>1.5</v>
      </c>
      <c r="BC683">
        <v>5.5106750000000003E-2</v>
      </c>
      <c r="BD683">
        <v>2.4361461616194298E-3</v>
      </c>
      <c r="BE683">
        <v>5.7542896161619402E-2</v>
      </c>
      <c r="BF683">
        <f>IF(AK683&lt;BE683,1,0)</f>
        <v>0</v>
      </c>
      <c r="BG683">
        <f>IF(AK683&lt;BC683,1,0)</f>
        <v>0</v>
      </c>
      <c r="BH683">
        <f>VLOOKUP($B683,[1]Data_Peer_with_peerVars!$B$2:$Z$1050,20,FALSE)</f>
        <v>11</v>
      </c>
      <c r="BI683">
        <f>VLOOKUP($B683,[1]Data_Peer_with_peerVars!$B$2:$Z$1050,21,FALSE)</f>
        <v>2</v>
      </c>
      <c r="BJ683">
        <f>VLOOKUP($B683,[1]Data_Peer_with_peerVars!$B$2:$Z$1050,22,FALSE)</f>
        <v>0.18181818199999999</v>
      </c>
      <c r="BK683">
        <f>VLOOKUP($B683,[1]Data_Peer_with_peerVars!$B$2:$Z$1050,23,FALSE)</f>
        <v>24</v>
      </c>
      <c r="BL683">
        <f>VLOOKUP($B683,[1]Data_Peer_with_peerVars!$B$2:$Z$1050,24,FALSE)</f>
        <v>10</v>
      </c>
      <c r="BM683">
        <f>VLOOKUP($B683,[1]Data_Peer_with_peerVars!$B$2:$Z$1050,25,FALSE)</f>
        <v>0.41666666699999999</v>
      </c>
    </row>
    <row r="684" spans="1:65" x14ac:dyDescent="0.2">
      <c r="A684">
        <v>1</v>
      </c>
      <c r="B684" t="s">
        <v>1083</v>
      </c>
      <c r="C684">
        <v>389</v>
      </c>
      <c r="D684" t="s">
        <v>68</v>
      </c>
      <c r="E684">
        <v>1</v>
      </c>
      <c r="F684">
        <v>145</v>
      </c>
      <c r="G684" t="s">
        <v>86</v>
      </c>
      <c r="H684" s="1">
        <v>5.75</v>
      </c>
      <c r="I684" t="s">
        <v>87</v>
      </c>
      <c r="J684" t="s">
        <v>111</v>
      </c>
      <c r="K684" t="s">
        <v>109</v>
      </c>
      <c r="L684">
        <v>2</v>
      </c>
      <c r="M684">
        <v>1</v>
      </c>
      <c r="N684">
        <v>0</v>
      </c>
      <c r="O684">
        <v>0</v>
      </c>
      <c r="P684">
        <v>0</v>
      </c>
      <c r="Q684">
        <v>16</v>
      </c>
      <c r="R684">
        <v>0</v>
      </c>
      <c r="S684">
        <v>0</v>
      </c>
      <c r="T684">
        <v>0</v>
      </c>
      <c r="U684">
        <v>0</v>
      </c>
      <c r="V684">
        <f t="shared" si="288"/>
        <v>0</v>
      </c>
      <c r="W684">
        <f t="shared" si="289"/>
        <v>0</v>
      </c>
      <c r="X684">
        <f t="shared" si="292"/>
        <v>0</v>
      </c>
      <c r="Y684">
        <f t="shared" si="290"/>
        <v>0</v>
      </c>
      <c r="Z684" t="s">
        <v>89</v>
      </c>
      <c r="AA684" s="5" t="s">
        <v>273</v>
      </c>
      <c r="AB684" s="5" t="s">
        <v>273</v>
      </c>
      <c r="AC684" t="s">
        <v>101</v>
      </c>
      <c r="AD684" t="s">
        <v>99</v>
      </c>
      <c r="AE684" s="5" t="s">
        <v>99</v>
      </c>
      <c r="AF684" t="s">
        <v>103</v>
      </c>
      <c r="AG684" t="s">
        <v>102</v>
      </c>
      <c r="AH684">
        <f t="shared" si="309"/>
        <v>5.8516484000000001E-2</v>
      </c>
      <c r="AI684">
        <f t="shared" si="310"/>
        <v>5.8516484000000001E-2</v>
      </c>
      <c r="AJ684">
        <f t="shared" si="291"/>
        <v>5.8516484000000001E-2</v>
      </c>
      <c r="AK684">
        <v>5.8516484000000001E-2</v>
      </c>
      <c r="AL684">
        <v>8.6596800000000002E-2</v>
      </c>
      <c r="AM684">
        <v>0.10088203</v>
      </c>
      <c r="AN684">
        <v>0.12807209999999999</v>
      </c>
      <c r="AO684">
        <v>94.148351599999998</v>
      </c>
      <c r="AP684">
        <v>91.340320000000006</v>
      </c>
      <c r="AQ684">
        <v>89.911797000000007</v>
      </c>
      <c r="AR684">
        <v>87.192790000000002</v>
      </c>
      <c r="AS684" t="b">
        <v>0</v>
      </c>
      <c r="AT684" t="b">
        <v>0</v>
      </c>
      <c r="AU684" t="s">
        <v>92</v>
      </c>
      <c r="AV684" t="s">
        <v>92</v>
      </c>
      <c r="AW684" t="s">
        <v>783</v>
      </c>
      <c r="AX684" t="s">
        <v>812</v>
      </c>
      <c r="AY684" t="s">
        <v>889</v>
      </c>
      <c r="AZ684" t="s">
        <v>109</v>
      </c>
      <c r="BA684">
        <v>4</v>
      </c>
      <c r="BB684">
        <v>0.5</v>
      </c>
      <c r="BC684">
        <v>1.4096186E-2</v>
      </c>
      <c r="BD684">
        <v>1.55088650053763E-3</v>
      </c>
      <c r="BE684">
        <v>1.5647072500537599E-2</v>
      </c>
      <c r="BF684">
        <f>IF(AK684&lt;BE684,1,0)</f>
        <v>0</v>
      </c>
      <c r="BG684">
        <f>IF(AK684&lt;BC684,1,0)</f>
        <v>0</v>
      </c>
      <c r="BH684">
        <f>VLOOKUP($B684,[1]Data_Peer_with_peerVars!$B$2:$Z$1050,20,FALSE)</f>
        <v>11</v>
      </c>
      <c r="BI684">
        <f>VLOOKUP($B684,[1]Data_Peer_with_peerVars!$B$2:$Z$1050,21,FALSE)</f>
        <v>2</v>
      </c>
      <c r="BJ684">
        <f>VLOOKUP($B684,[1]Data_Peer_with_peerVars!$B$2:$Z$1050,22,FALSE)</f>
        <v>0.18181818199999999</v>
      </c>
      <c r="BK684">
        <f>VLOOKUP($B684,[1]Data_Peer_with_peerVars!$B$2:$Z$1050,23,FALSE)</f>
        <v>24</v>
      </c>
      <c r="BL684">
        <f>VLOOKUP($B684,[1]Data_Peer_with_peerVars!$B$2:$Z$1050,24,FALSE)</f>
        <v>10</v>
      </c>
      <c r="BM684">
        <f>VLOOKUP($B684,[1]Data_Peer_with_peerVars!$B$2:$Z$1050,25,FALSE)</f>
        <v>0.41666666699999999</v>
      </c>
    </row>
    <row r="685" spans="1:65" x14ac:dyDescent="0.2">
      <c r="A685">
        <v>1</v>
      </c>
      <c r="B685" t="s">
        <v>1084</v>
      </c>
      <c r="C685">
        <v>389</v>
      </c>
      <c r="D685" t="s">
        <v>68</v>
      </c>
      <c r="E685">
        <v>1</v>
      </c>
      <c r="F685">
        <v>145</v>
      </c>
      <c r="G685" t="s">
        <v>86</v>
      </c>
      <c r="H685" s="1">
        <v>5.75</v>
      </c>
      <c r="I685" t="s">
        <v>87</v>
      </c>
      <c r="J685" t="s">
        <v>111</v>
      </c>
      <c r="K685" t="s">
        <v>109</v>
      </c>
      <c r="L685">
        <v>2</v>
      </c>
      <c r="M685">
        <v>1</v>
      </c>
      <c r="N685">
        <v>0</v>
      </c>
      <c r="O685">
        <v>0</v>
      </c>
      <c r="P685">
        <v>0</v>
      </c>
      <c r="Q685">
        <v>16</v>
      </c>
      <c r="R685">
        <v>0</v>
      </c>
      <c r="S685">
        <v>0</v>
      </c>
      <c r="T685">
        <v>0</v>
      </c>
      <c r="U685">
        <v>0</v>
      </c>
      <c r="V685">
        <f t="shared" si="288"/>
        <v>0</v>
      </c>
      <c r="W685">
        <f t="shared" si="289"/>
        <v>0</v>
      </c>
      <c r="X685">
        <f t="shared" si="292"/>
        <v>0</v>
      </c>
      <c r="Y685">
        <f t="shared" si="290"/>
        <v>0</v>
      </c>
      <c r="Z685" t="s">
        <v>98</v>
      </c>
      <c r="AA685" s="5" t="s">
        <v>938</v>
      </c>
      <c r="AB685" s="5" t="s">
        <v>939</v>
      </c>
      <c r="AC685" t="s">
        <v>101</v>
      </c>
      <c r="AD685" t="s">
        <v>99</v>
      </c>
      <c r="AE685" s="5" t="s">
        <v>1085</v>
      </c>
      <c r="AF685" t="s">
        <v>103</v>
      </c>
      <c r="AG685" t="s">
        <v>102</v>
      </c>
      <c r="AH685">
        <f t="shared" si="309"/>
        <v>9.7306214000000002E-2</v>
      </c>
      <c r="AI685">
        <f t="shared" si="310"/>
        <v>9.7306214000000002E-2</v>
      </c>
      <c r="AJ685">
        <f t="shared" si="291"/>
        <v>9.7306214000000002E-2</v>
      </c>
      <c r="AK685">
        <v>9.7306214000000002E-2</v>
      </c>
      <c r="AL685">
        <v>9.9889619999999998E-2</v>
      </c>
      <c r="AM685">
        <v>0.11527854</v>
      </c>
      <c r="AN685">
        <v>0.13087431999999999</v>
      </c>
      <c r="AO685">
        <v>90.269378599999996</v>
      </c>
      <c r="AP685">
        <v>90.011037999999999</v>
      </c>
      <c r="AQ685">
        <v>88.472145999999995</v>
      </c>
      <c r="AR685">
        <v>86.912567999999993</v>
      </c>
      <c r="AS685" t="b">
        <v>0</v>
      </c>
      <c r="AT685" t="b">
        <v>0</v>
      </c>
      <c r="AU685" t="s">
        <v>108</v>
      </c>
      <c r="AV685" t="s">
        <v>108</v>
      </c>
      <c r="AW685" t="s">
        <v>783</v>
      </c>
      <c r="AX685" t="s">
        <v>812</v>
      </c>
      <c r="AY685" t="s">
        <v>889</v>
      </c>
      <c r="AZ685" t="s">
        <v>109</v>
      </c>
      <c r="BA685">
        <v>2</v>
      </c>
      <c r="BB685">
        <v>0.28000000000000003</v>
      </c>
      <c r="BC685">
        <v>1.4096186E-2</v>
      </c>
      <c r="BD685">
        <v>1.55088650053763E-3</v>
      </c>
      <c r="BE685">
        <v>1.5647072500537599E-2</v>
      </c>
      <c r="BF685">
        <f>IF(AK685&lt;BE685,1,0)</f>
        <v>0</v>
      </c>
      <c r="BG685">
        <f>IF(AK685&lt;BC685,1,0)</f>
        <v>0</v>
      </c>
      <c r="BH685">
        <f>VLOOKUP($B685,[1]Data_Peer_with_peerVars!$B$2:$Z$1050,20,FALSE)</f>
        <v>11</v>
      </c>
      <c r="BI685">
        <f>VLOOKUP($B685,[1]Data_Peer_with_peerVars!$B$2:$Z$1050,21,FALSE)</f>
        <v>2</v>
      </c>
      <c r="BJ685">
        <f>VLOOKUP($B685,[1]Data_Peer_with_peerVars!$B$2:$Z$1050,22,FALSE)</f>
        <v>0.18181818199999999</v>
      </c>
      <c r="BK685">
        <f>VLOOKUP($B685,[1]Data_Peer_with_peerVars!$B$2:$Z$1050,23,FALSE)</f>
        <v>24</v>
      </c>
      <c r="BL685">
        <f>VLOOKUP($B685,[1]Data_Peer_with_peerVars!$B$2:$Z$1050,24,FALSE)</f>
        <v>10</v>
      </c>
      <c r="BM685">
        <f>VLOOKUP($B685,[1]Data_Peer_with_peerVars!$B$2:$Z$1050,25,FALSE)</f>
        <v>0.41666666699999999</v>
      </c>
    </row>
    <row r="686" spans="1:65" x14ac:dyDescent="0.2">
      <c r="A686">
        <v>1</v>
      </c>
      <c r="B686" t="s">
        <v>1086</v>
      </c>
      <c r="C686">
        <v>389</v>
      </c>
      <c r="D686" t="s">
        <v>68</v>
      </c>
      <c r="E686">
        <v>1</v>
      </c>
      <c r="F686">
        <v>145</v>
      </c>
      <c r="G686" t="s">
        <v>86</v>
      </c>
      <c r="H686" s="1">
        <v>5.75</v>
      </c>
      <c r="I686" t="s">
        <v>87</v>
      </c>
      <c r="J686" t="s">
        <v>111</v>
      </c>
      <c r="K686" t="s">
        <v>109</v>
      </c>
      <c r="L686">
        <v>2</v>
      </c>
      <c r="M686">
        <v>1</v>
      </c>
      <c r="N686">
        <v>0</v>
      </c>
      <c r="O686">
        <v>0</v>
      </c>
      <c r="P686">
        <v>0</v>
      </c>
      <c r="Q686">
        <v>16</v>
      </c>
      <c r="R686">
        <v>0</v>
      </c>
      <c r="S686">
        <v>0</v>
      </c>
      <c r="T686">
        <v>0</v>
      </c>
      <c r="U686">
        <v>0</v>
      </c>
      <c r="V686">
        <f t="shared" si="288"/>
        <v>1</v>
      </c>
      <c r="W686">
        <v>1</v>
      </c>
      <c r="X686">
        <v>1</v>
      </c>
      <c r="Y686">
        <v>1</v>
      </c>
      <c r="Z686" t="s">
        <v>103</v>
      </c>
      <c r="AA686" s="5" t="s">
        <v>103</v>
      </c>
      <c r="AB686" s="5" t="s">
        <v>103</v>
      </c>
      <c r="AC686" t="s">
        <v>103</v>
      </c>
      <c r="AD686" t="s">
        <v>101</v>
      </c>
      <c r="AE686" s="5" t="s">
        <v>101</v>
      </c>
      <c r="AF686" t="s">
        <v>99</v>
      </c>
      <c r="AG686" t="s">
        <v>137</v>
      </c>
      <c r="AH686">
        <f>AI686</f>
        <v>1.9018743000000001E-2</v>
      </c>
      <c r="AI686">
        <f>AJ686</f>
        <v>1.9018743000000001E-2</v>
      </c>
      <c r="AJ686">
        <f t="shared" si="291"/>
        <v>1.9018743000000001E-2</v>
      </c>
      <c r="AK686">
        <v>1.9018743000000001E-2</v>
      </c>
      <c r="AL686">
        <v>7.8614619999999996E-2</v>
      </c>
      <c r="AM686">
        <v>0.11071230999999999</v>
      </c>
      <c r="AN686">
        <v>0.12773523000000001</v>
      </c>
      <c r="AO686">
        <v>98.098125699999997</v>
      </c>
      <c r="AP686">
        <v>92.138537999999997</v>
      </c>
      <c r="AQ686">
        <v>88.928769000000003</v>
      </c>
      <c r="AR686">
        <v>87.226477000000003</v>
      </c>
      <c r="AS686" t="b">
        <v>1</v>
      </c>
      <c r="AT686" t="b">
        <v>0</v>
      </c>
      <c r="AU686" t="s">
        <v>77</v>
      </c>
      <c r="AV686" t="s">
        <v>77</v>
      </c>
      <c r="AW686" t="s">
        <v>783</v>
      </c>
      <c r="AX686" t="s">
        <v>812</v>
      </c>
      <c r="AY686" t="s">
        <v>889</v>
      </c>
      <c r="AZ686" t="s">
        <v>109</v>
      </c>
      <c r="BA686">
        <v>4</v>
      </c>
      <c r="BB686">
        <v>0.5</v>
      </c>
      <c r="BC686">
        <v>1.8406593999999998E-2</v>
      </c>
      <c r="BD686">
        <v>3.30705390234067E-4</v>
      </c>
      <c r="BE686">
        <v>1.8737299390234101E-2</v>
      </c>
      <c r="BF686">
        <f>IF(AK686&lt;BE686,1,0)</f>
        <v>0</v>
      </c>
      <c r="BG686">
        <f>IF(AK686&lt;BC686,1,0)</f>
        <v>0</v>
      </c>
      <c r="BH686">
        <f>VLOOKUP($B686,[1]Data_Peer_with_peerVars!$B$2:$Z$1050,20,FALSE)</f>
        <v>11</v>
      </c>
      <c r="BI686">
        <f>VLOOKUP($B686,[1]Data_Peer_with_peerVars!$B$2:$Z$1050,21,FALSE)</f>
        <v>2</v>
      </c>
      <c r="BJ686">
        <f>VLOOKUP($B686,[1]Data_Peer_with_peerVars!$B$2:$Z$1050,22,FALSE)</f>
        <v>0.18181818199999999</v>
      </c>
      <c r="BK686">
        <f>VLOOKUP($B686,[1]Data_Peer_with_peerVars!$B$2:$Z$1050,23,FALSE)</f>
        <v>24</v>
      </c>
      <c r="BL686">
        <f>VLOOKUP($B686,[1]Data_Peer_with_peerVars!$B$2:$Z$1050,24,FALSE)</f>
        <v>10</v>
      </c>
      <c r="BM686">
        <f>VLOOKUP($B686,[1]Data_Peer_with_peerVars!$B$2:$Z$1050,25,FALSE)</f>
        <v>0.41666666699999999</v>
      </c>
    </row>
    <row r="687" spans="1:65" x14ac:dyDescent="0.2">
      <c r="A687">
        <v>1</v>
      </c>
      <c r="B687" t="s">
        <v>1087</v>
      </c>
      <c r="C687">
        <v>390</v>
      </c>
      <c r="D687" t="s">
        <v>68</v>
      </c>
      <c r="E687">
        <v>0</v>
      </c>
      <c r="F687">
        <v>23</v>
      </c>
      <c r="G687" t="s">
        <v>119</v>
      </c>
      <c r="H687" s="1">
        <v>0</v>
      </c>
      <c r="I687" t="s">
        <v>87</v>
      </c>
      <c r="J687" t="s">
        <v>150</v>
      </c>
      <c r="K687" t="s">
        <v>72</v>
      </c>
      <c r="L687">
        <v>1</v>
      </c>
      <c r="M687">
        <v>0</v>
      </c>
      <c r="N687">
        <v>0</v>
      </c>
      <c r="O687">
        <v>0</v>
      </c>
      <c r="P687">
        <v>0</v>
      </c>
      <c r="Q687">
        <v>11</v>
      </c>
      <c r="R687">
        <v>0</v>
      </c>
      <c r="S687">
        <v>0</v>
      </c>
      <c r="T687">
        <v>0</v>
      </c>
      <c r="U687">
        <v>0</v>
      </c>
      <c r="V687">
        <f t="shared" si="288"/>
        <v>0</v>
      </c>
      <c r="W687">
        <f t="shared" si="289"/>
        <v>0</v>
      </c>
      <c r="X687">
        <f t="shared" si="292"/>
        <v>0</v>
      </c>
      <c r="Y687">
        <f t="shared" si="290"/>
        <v>0</v>
      </c>
      <c r="Z687" t="s">
        <v>89</v>
      </c>
      <c r="AA687" s="5" t="s">
        <v>273</v>
      </c>
      <c r="AB687" s="5" t="s">
        <v>273</v>
      </c>
      <c r="AC687" t="s">
        <v>101</v>
      </c>
      <c r="AD687" t="s">
        <v>99</v>
      </c>
      <c r="AE687" s="5" t="s">
        <v>99</v>
      </c>
      <c r="AF687" t="s">
        <v>103</v>
      </c>
      <c r="AG687" t="s">
        <v>102</v>
      </c>
      <c r="AH687">
        <f t="shared" ref="AH687:AH691" si="311">AI687</f>
        <v>6.0506049999999999E-2</v>
      </c>
      <c r="AI687">
        <f t="shared" ref="AI687:AI691" si="312">AJ687</f>
        <v>6.0506049999999999E-2</v>
      </c>
      <c r="AJ687">
        <f t="shared" si="291"/>
        <v>6.0506049999999999E-2</v>
      </c>
      <c r="AK687">
        <v>6.0506049999999999E-2</v>
      </c>
      <c r="AL687">
        <v>8.2044199999999998E-2</v>
      </c>
      <c r="AM687">
        <v>9.6907789999999994E-2</v>
      </c>
      <c r="AN687">
        <v>0.13047044999999999</v>
      </c>
      <c r="AO687">
        <v>93.949394999999996</v>
      </c>
      <c r="AP687">
        <v>91.795580000000001</v>
      </c>
      <c r="AQ687">
        <v>90.309220999999994</v>
      </c>
      <c r="AR687">
        <v>86.952955000000003</v>
      </c>
      <c r="AS687" t="b">
        <v>0</v>
      </c>
      <c r="AT687" t="b">
        <v>0</v>
      </c>
      <c r="AU687" t="s">
        <v>92</v>
      </c>
      <c r="AV687" t="s">
        <v>92</v>
      </c>
      <c r="AW687" t="s">
        <v>783</v>
      </c>
      <c r="AX687" t="s">
        <v>812</v>
      </c>
      <c r="AY687" t="s">
        <v>1088</v>
      </c>
      <c r="AZ687" t="s">
        <v>72</v>
      </c>
      <c r="BA687" t="s">
        <v>82</v>
      </c>
      <c r="BB687">
        <v>2</v>
      </c>
      <c r="BC687">
        <v>1.4096186E-2</v>
      </c>
      <c r="BD687">
        <v>1.55088650053763E-3</v>
      </c>
      <c r="BE687">
        <v>1.5647072500537599E-2</v>
      </c>
      <c r="BF687">
        <f>IF(AK687&lt;BE687,1,0)</f>
        <v>0</v>
      </c>
      <c r="BG687">
        <f>IF(AK687&lt;BC687,1,0)</f>
        <v>0</v>
      </c>
      <c r="BH687">
        <f>VLOOKUP($B687,[1]Data_Peer_with_peerVars!$B$2:$Z$1050,20,FALSE)</f>
        <v>3</v>
      </c>
      <c r="BI687">
        <f>VLOOKUP($B687,[1]Data_Peer_with_peerVars!$B$2:$Z$1050,21,FALSE)</f>
        <v>2</v>
      </c>
      <c r="BJ687">
        <f>VLOOKUP($B687,[1]Data_Peer_with_peerVars!$B$2:$Z$1050,22,FALSE)</f>
        <v>0.66666666699999999</v>
      </c>
      <c r="BK687">
        <f>VLOOKUP($B687,[1]Data_Peer_with_peerVars!$B$2:$Z$1050,23,FALSE)</f>
        <v>37</v>
      </c>
      <c r="BL687">
        <f>VLOOKUP($B687,[1]Data_Peer_with_peerVars!$B$2:$Z$1050,24,FALSE)</f>
        <v>13</v>
      </c>
      <c r="BM687">
        <f>VLOOKUP($B687,[1]Data_Peer_with_peerVars!$B$2:$Z$1050,25,FALSE)</f>
        <v>0.35135135099999998</v>
      </c>
    </row>
    <row r="688" spans="1:65" x14ac:dyDescent="0.2">
      <c r="A688">
        <v>1</v>
      </c>
      <c r="B688" t="s">
        <v>1089</v>
      </c>
      <c r="C688">
        <v>390</v>
      </c>
      <c r="D688" t="s">
        <v>68</v>
      </c>
      <c r="E688">
        <v>0</v>
      </c>
      <c r="F688">
        <v>23</v>
      </c>
      <c r="G688" t="s">
        <v>119</v>
      </c>
      <c r="H688" s="1">
        <v>0</v>
      </c>
      <c r="I688" t="s">
        <v>87</v>
      </c>
      <c r="J688" t="s">
        <v>150</v>
      </c>
      <c r="K688" t="s">
        <v>72</v>
      </c>
      <c r="L688">
        <v>1</v>
      </c>
      <c r="M688">
        <v>0</v>
      </c>
      <c r="N688">
        <v>0</v>
      </c>
      <c r="O688">
        <v>0</v>
      </c>
      <c r="P688">
        <v>0</v>
      </c>
      <c r="Q688">
        <v>11</v>
      </c>
      <c r="R688">
        <v>0</v>
      </c>
      <c r="S688">
        <v>0</v>
      </c>
      <c r="T688">
        <v>0</v>
      </c>
      <c r="U688">
        <v>0</v>
      </c>
      <c r="V688">
        <f t="shared" si="288"/>
        <v>0</v>
      </c>
      <c r="W688">
        <f t="shared" si="289"/>
        <v>0</v>
      </c>
      <c r="X688">
        <f t="shared" si="292"/>
        <v>0</v>
      </c>
      <c r="Y688">
        <f t="shared" si="290"/>
        <v>0</v>
      </c>
      <c r="Z688" t="s">
        <v>89</v>
      </c>
      <c r="AA688" s="5" t="s">
        <v>268</v>
      </c>
      <c r="AB688" s="5" t="s">
        <v>268</v>
      </c>
      <c r="AC688" t="s">
        <v>73</v>
      </c>
      <c r="AD688" t="s">
        <v>94</v>
      </c>
      <c r="AE688" s="5" t="s">
        <v>94</v>
      </c>
      <c r="AF688" t="s">
        <v>75</v>
      </c>
      <c r="AG688" t="s">
        <v>95</v>
      </c>
      <c r="AH688">
        <f t="shared" si="311"/>
        <v>6.082924E-2</v>
      </c>
      <c r="AI688">
        <f t="shared" si="312"/>
        <v>6.082924E-2</v>
      </c>
      <c r="AJ688">
        <f t="shared" si="291"/>
        <v>6.082924E-2</v>
      </c>
      <c r="AK688">
        <v>6.082924E-2</v>
      </c>
      <c r="AL688">
        <v>0.1193337</v>
      </c>
      <c r="AM688">
        <v>0.12910284</v>
      </c>
      <c r="AN688">
        <v>0.14043716000000001</v>
      </c>
      <c r="AO688">
        <v>93.917075999999994</v>
      </c>
      <c r="AP688">
        <v>88.066630000000004</v>
      </c>
      <c r="AQ688">
        <v>87.089715999999996</v>
      </c>
      <c r="AR688">
        <v>85.956283999999997</v>
      </c>
      <c r="AS688" t="b">
        <v>0</v>
      </c>
      <c r="AT688" t="b">
        <v>0</v>
      </c>
      <c r="AU688" t="s">
        <v>92</v>
      </c>
      <c r="AV688" t="s">
        <v>92</v>
      </c>
      <c r="AW688" t="s">
        <v>783</v>
      </c>
      <c r="AX688" t="s">
        <v>812</v>
      </c>
      <c r="AY688" t="s">
        <v>1088</v>
      </c>
      <c r="AZ688" t="s">
        <v>72</v>
      </c>
      <c r="BA688" t="s">
        <v>82</v>
      </c>
      <c r="BB688">
        <v>2</v>
      </c>
      <c r="BC688">
        <v>4.1163553999999996E-3</v>
      </c>
      <c r="BD688">
        <v>1.4279989108178799E-4</v>
      </c>
      <c r="BE688">
        <v>4.2591552910817903E-3</v>
      </c>
      <c r="BF688">
        <f>IF(AK688&lt;BE688,1,0)</f>
        <v>0</v>
      </c>
      <c r="BG688">
        <f>IF(AK688&lt;BC688,1,0)</f>
        <v>0</v>
      </c>
      <c r="BH688">
        <f>VLOOKUP($B688,[1]Data_Peer_with_peerVars!$B$2:$Z$1050,20,FALSE)</f>
        <v>3</v>
      </c>
      <c r="BI688">
        <f>VLOOKUP($B688,[1]Data_Peer_with_peerVars!$B$2:$Z$1050,21,FALSE)</f>
        <v>2</v>
      </c>
      <c r="BJ688">
        <f>VLOOKUP($B688,[1]Data_Peer_with_peerVars!$B$2:$Z$1050,22,FALSE)</f>
        <v>0.66666666699999999</v>
      </c>
      <c r="BK688">
        <f>VLOOKUP($B688,[1]Data_Peer_with_peerVars!$B$2:$Z$1050,23,FALSE)</f>
        <v>37</v>
      </c>
      <c r="BL688">
        <f>VLOOKUP($B688,[1]Data_Peer_with_peerVars!$B$2:$Z$1050,24,FALSE)</f>
        <v>13</v>
      </c>
      <c r="BM688">
        <f>VLOOKUP($B688,[1]Data_Peer_with_peerVars!$B$2:$Z$1050,25,FALSE)</f>
        <v>0.35135135099999998</v>
      </c>
    </row>
    <row r="689" spans="1:65" x14ac:dyDescent="0.2">
      <c r="A689">
        <v>1</v>
      </c>
      <c r="B689" t="s">
        <v>1090</v>
      </c>
      <c r="C689">
        <v>391</v>
      </c>
      <c r="D689" t="s">
        <v>68</v>
      </c>
      <c r="E689">
        <v>0</v>
      </c>
      <c r="F689">
        <v>24</v>
      </c>
      <c r="G689" t="s">
        <v>119</v>
      </c>
      <c r="H689" s="1">
        <v>7</v>
      </c>
      <c r="I689" t="s">
        <v>87</v>
      </c>
      <c r="J689" t="s">
        <v>111</v>
      </c>
      <c r="K689" t="s">
        <v>109</v>
      </c>
      <c r="L689">
        <v>2</v>
      </c>
      <c r="M689">
        <v>1</v>
      </c>
      <c r="N689">
        <v>0</v>
      </c>
      <c r="O689">
        <v>0</v>
      </c>
      <c r="P689">
        <v>0</v>
      </c>
      <c r="Q689">
        <v>2</v>
      </c>
      <c r="R689">
        <v>0</v>
      </c>
      <c r="S689">
        <v>0</v>
      </c>
      <c r="T689">
        <v>0</v>
      </c>
      <c r="U689">
        <v>0</v>
      </c>
      <c r="V689">
        <f t="shared" si="288"/>
        <v>0</v>
      </c>
      <c r="W689">
        <f t="shared" si="289"/>
        <v>0</v>
      </c>
      <c r="X689">
        <f t="shared" si="292"/>
        <v>0</v>
      </c>
      <c r="Y689">
        <f t="shared" si="290"/>
        <v>0</v>
      </c>
      <c r="Z689" t="s">
        <v>98</v>
      </c>
      <c r="AA689" s="5" t="s">
        <v>268</v>
      </c>
      <c r="AB689" s="5" t="s">
        <v>1091</v>
      </c>
      <c r="AC689" t="s">
        <v>91</v>
      </c>
      <c r="AD689" t="s">
        <v>287</v>
      </c>
      <c r="AE689" s="5" t="s">
        <v>287</v>
      </c>
      <c r="AF689" t="s">
        <v>137</v>
      </c>
      <c r="AG689" t="s">
        <v>84</v>
      </c>
      <c r="AH689">
        <f t="shared" si="311"/>
        <v>3.0071076E-3</v>
      </c>
      <c r="AI689">
        <f t="shared" si="312"/>
        <v>3.0071076E-3</v>
      </c>
      <c r="AJ689">
        <f t="shared" si="291"/>
        <v>3.0071076E-3</v>
      </c>
      <c r="AK689">
        <v>3.0071076E-3</v>
      </c>
      <c r="AL689">
        <v>0.1204918</v>
      </c>
      <c r="AM689">
        <v>0.12868853</v>
      </c>
      <c r="AN689">
        <v>0.13406593999999999</v>
      </c>
      <c r="AO689">
        <v>99.699289239999999</v>
      </c>
      <c r="AP689">
        <v>87.950819999999993</v>
      </c>
      <c r="AQ689">
        <v>87.131146999999999</v>
      </c>
      <c r="AR689">
        <v>86.593406000000002</v>
      </c>
      <c r="AS689" t="b">
        <v>0</v>
      </c>
      <c r="AT689" t="b">
        <v>0</v>
      </c>
      <c r="AU689" t="s">
        <v>92</v>
      </c>
      <c r="AV689" t="s">
        <v>92</v>
      </c>
      <c r="AW689" t="s">
        <v>783</v>
      </c>
      <c r="AX689" t="s">
        <v>812</v>
      </c>
      <c r="AY689" t="s">
        <v>954</v>
      </c>
      <c r="AZ689" t="s">
        <v>109</v>
      </c>
      <c r="BA689">
        <v>2</v>
      </c>
      <c r="BB689">
        <v>0.35</v>
      </c>
      <c r="BC689">
        <v>9.0659339999999995E-3</v>
      </c>
      <c r="BD689">
        <v>2.76583658862385E-3</v>
      </c>
      <c r="BE689">
        <v>1.1831770588623799E-2</v>
      </c>
      <c r="BF689">
        <f>IF(AK689&lt;BE689,1,0)</f>
        <v>1</v>
      </c>
      <c r="BG689">
        <f>IF(AK689&lt;BC689,1,0)</f>
        <v>1</v>
      </c>
      <c r="BH689">
        <f>VLOOKUP($B689,[1]Data_Peer_with_peerVars!$B$2:$Z$1050,20,FALSE)</f>
        <v>7</v>
      </c>
      <c r="BI689">
        <f>VLOOKUP($B689,[1]Data_Peer_with_peerVars!$B$2:$Z$1050,21,FALSE)</f>
        <v>3</v>
      </c>
      <c r="BJ689">
        <f>VLOOKUP($B689,[1]Data_Peer_with_peerVars!$B$2:$Z$1050,22,FALSE)</f>
        <v>0.428571429</v>
      </c>
      <c r="BK689">
        <f>VLOOKUP($B689,[1]Data_Peer_with_peerVars!$B$2:$Z$1050,23,FALSE)</f>
        <v>55</v>
      </c>
      <c r="BL689">
        <f>VLOOKUP($B689,[1]Data_Peer_with_peerVars!$B$2:$Z$1050,24,FALSE)</f>
        <v>23</v>
      </c>
      <c r="BM689">
        <f>VLOOKUP($B689,[1]Data_Peer_with_peerVars!$B$2:$Z$1050,25,FALSE)</f>
        <v>0.41818181799999998</v>
      </c>
    </row>
    <row r="690" spans="1:65" x14ac:dyDescent="0.2">
      <c r="A690">
        <v>1</v>
      </c>
      <c r="B690" t="s">
        <v>1092</v>
      </c>
      <c r="C690">
        <v>392</v>
      </c>
      <c r="D690" t="s">
        <v>68</v>
      </c>
      <c r="E690">
        <v>1</v>
      </c>
      <c r="F690">
        <v>801</v>
      </c>
      <c r="G690" t="s">
        <v>86</v>
      </c>
      <c r="H690" s="1">
        <v>7</v>
      </c>
      <c r="I690" t="s">
        <v>87</v>
      </c>
      <c r="J690" t="s">
        <v>111</v>
      </c>
      <c r="K690" t="s">
        <v>109</v>
      </c>
      <c r="L690">
        <v>1</v>
      </c>
      <c r="M690">
        <v>1</v>
      </c>
      <c r="N690">
        <v>0</v>
      </c>
      <c r="O690">
        <v>0</v>
      </c>
      <c r="P690">
        <v>0</v>
      </c>
      <c r="Q690">
        <v>6</v>
      </c>
      <c r="R690">
        <v>0</v>
      </c>
      <c r="S690">
        <v>0</v>
      </c>
      <c r="T690">
        <v>0</v>
      </c>
      <c r="U690">
        <v>0</v>
      </c>
      <c r="V690">
        <f t="shared" si="288"/>
        <v>0</v>
      </c>
      <c r="W690">
        <f t="shared" si="289"/>
        <v>0</v>
      </c>
      <c r="X690">
        <f t="shared" si="292"/>
        <v>0</v>
      </c>
      <c r="Y690">
        <f t="shared" si="290"/>
        <v>0</v>
      </c>
      <c r="Z690" t="s">
        <v>98</v>
      </c>
      <c r="AA690" s="5" t="s">
        <v>268</v>
      </c>
      <c r="AB690" s="5" t="s">
        <v>1091</v>
      </c>
      <c r="AC690" t="s">
        <v>91</v>
      </c>
      <c r="AD690" t="s">
        <v>287</v>
      </c>
      <c r="AE690" s="5" t="s">
        <v>287</v>
      </c>
      <c r="AF690" t="s">
        <v>84</v>
      </c>
      <c r="AG690" t="s">
        <v>137</v>
      </c>
      <c r="AH690">
        <f t="shared" si="311"/>
        <v>1.7260273999999999E-2</v>
      </c>
      <c r="AI690">
        <f t="shared" si="312"/>
        <v>1.7260273999999999E-2</v>
      </c>
      <c r="AJ690">
        <f t="shared" si="291"/>
        <v>1.7260273999999999E-2</v>
      </c>
      <c r="AK690">
        <v>1.7260273999999999E-2</v>
      </c>
      <c r="AL690">
        <v>0.11308872</v>
      </c>
      <c r="AM690">
        <v>0.13243392000000001</v>
      </c>
      <c r="AN690">
        <v>0.13265864999999999</v>
      </c>
      <c r="AO690">
        <v>98.273972599999993</v>
      </c>
      <c r="AP690">
        <v>88.691128000000006</v>
      </c>
      <c r="AQ690">
        <v>86.756608</v>
      </c>
      <c r="AR690">
        <v>86.734134999999995</v>
      </c>
      <c r="AS690" t="b">
        <v>0</v>
      </c>
      <c r="AT690" t="b">
        <v>0</v>
      </c>
      <c r="AU690" t="s">
        <v>92</v>
      </c>
      <c r="AV690" t="s">
        <v>92</v>
      </c>
      <c r="AW690" t="s">
        <v>783</v>
      </c>
      <c r="AX690" t="s">
        <v>812</v>
      </c>
      <c r="AY690" t="s">
        <v>954</v>
      </c>
      <c r="AZ690" t="s">
        <v>109</v>
      </c>
      <c r="BA690">
        <v>2</v>
      </c>
      <c r="BB690">
        <v>0.35</v>
      </c>
      <c r="BC690">
        <v>9.0659339999999995E-3</v>
      </c>
      <c r="BD690">
        <v>2.76583658862385E-3</v>
      </c>
      <c r="BE690">
        <v>1.1831770588623799E-2</v>
      </c>
      <c r="BF690">
        <f>IF(AK690&lt;BE690,1,0)</f>
        <v>0</v>
      </c>
      <c r="BG690">
        <f>IF(AK690&lt;BC690,1,0)</f>
        <v>0</v>
      </c>
      <c r="BH690">
        <f>VLOOKUP($B690,[1]Data_Peer_with_peerVars!$B$2:$Z$1050,20,FALSE)</f>
        <v>7</v>
      </c>
      <c r="BI690">
        <f>VLOOKUP($B690,[1]Data_Peer_with_peerVars!$B$2:$Z$1050,21,FALSE)</f>
        <v>3</v>
      </c>
      <c r="BJ690">
        <f>VLOOKUP($B690,[1]Data_Peer_with_peerVars!$B$2:$Z$1050,22,FALSE)</f>
        <v>0.428571429</v>
      </c>
      <c r="BK690">
        <f>VLOOKUP($B690,[1]Data_Peer_with_peerVars!$B$2:$Z$1050,23,FALSE)</f>
        <v>55</v>
      </c>
      <c r="BL690">
        <f>VLOOKUP($B690,[1]Data_Peer_with_peerVars!$B$2:$Z$1050,24,FALSE)</f>
        <v>23</v>
      </c>
      <c r="BM690">
        <f>VLOOKUP($B690,[1]Data_Peer_with_peerVars!$B$2:$Z$1050,25,FALSE)</f>
        <v>0.41818181799999998</v>
      </c>
    </row>
    <row r="691" spans="1:65" x14ac:dyDescent="0.2">
      <c r="A691">
        <v>1</v>
      </c>
      <c r="B691" t="s">
        <v>1093</v>
      </c>
      <c r="C691">
        <v>393</v>
      </c>
      <c r="D691" t="s">
        <v>68</v>
      </c>
      <c r="E691">
        <v>0</v>
      </c>
      <c r="F691">
        <v>21</v>
      </c>
      <c r="G691" t="s">
        <v>119</v>
      </c>
      <c r="H691" s="1">
        <v>7</v>
      </c>
      <c r="I691" t="s">
        <v>87</v>
      </c>
      <c r="J691" t="s">
        <v>1080</v>
      </c>
      <c r="K691" t="s">
        <v>72</v>
      </c>
      <c r="L691">
        <v>1</v>
      </c>
      <c r="M691">
        <v>1</v>
      </c>
      <c r="N691">
        <v>0</v>
      </c>
      <c r="O691">
        <v>0</v>
      </c>
      <c r="P691">
        <v>0</v>
      </c>
      <c r="Q691">
        <v>6</v>
      </c>
      <c r="R691">
        <v>0</v>
      </c>
      <c r="S691">
        <v>0</v>
      </c>
      <c r="T691">
        <v>0</v>
      </c>
      <c r="U691">
        <v>0</v>
      </c>
      <c r="V691">
        <f t="shared" si="288"/>
        <v>0</v>
      </c>
      <c r="W691">
        <f t="shared" si="289"/>
        <v>0</v>
      </c>
      <c r="X691">
        <f t="shared" si="292"/>
        <v>0</v>
      </c>
      <c r="Y691">
        <f t="shared" si="290"/>
        <v>0</v>
      </c>
      <c r="Z691" t="s">
        <v>98</v>
      </c>
      <c r="AA691" s="5" t="s">
        <v>170</v>
      </c>
      <c r="AB691" s="5" t="s">
        <v>1094</v>
      </c>
      <c r="AC691" t="s">
        <v>91</v>
      </c>
      <c r="AD691" t="s">
        <v>287</v>
      </c>
      <c r="AE691" s="5" t="s">
        <v>287</v>
      </c>
      <c r="AF691" t="s">
        <v>137</v>
      </c>
      <c r="AG691" t="s">
        <v>84</v>
      </c>
      <c r="AH691">
        <f t="shared" si="311"/>
        <v>3.5557987E-3</v>
      </c>
      <c r="AI691">
        <f t="shared" si="312"/>
        <v>3.5557987E-3</v>
      </c>
      <c r="AJ691">
        <f t="shared" si="291"/>
        <v>3.5557987E-3</v>
      </c>
      <c r="AK691">
        <v>3.5557987E-3</v>
      </c>
      <c r="AL691">
        <v>0.12192455000000001</v>
      </c>
      <c r="AM691">
        <v>0.12950819999999999</v>
      </c>
      <c r="AN691">
        <v>0.13331501000000001</v>
      </c>
      <c r="AO691">
        <v>99.64442013</v>
      </c>
      <c r="AP691">
        <v>87.807545000000005</v>
      </c>
      <c r="AQ691">
        <v>87.049180000000007</v>
      </c>
      <c r="AR691">
        <v>86.668498999999997</v>
      </c>
      <c r="AS691" t="b">
        <v>0</v>
      </c>
      <c r="AT691" t="b">
        <v>0</v>
      </c>
      <c r="AU691" t="s">
        <v>92</v>
      </c>
      <c r="AV691" t="s">
        <v>92</v>
      </c>
      <c r="AW691" t="s">
        <v>783</v>
      </c>
      <c r="AX691" t="s">
        <v>812</v>
      </c>
      <c r="AY691" t="s">
        <v>1095</v>
      </c>
      <c r="AZ691" t="s">
        <v>72</v>
      </c>
      <c r="BA691" t="s">
        <v>82</v>
      </c>
      <c r="BB691">
        <v>1</v>
      </c>
      <c r="BC691">
        <v>9.0659339999999995E-3</v>
      </c>
      <c r="BD691">
        <v>2.76583658862385E-3</v>
      </c>
      <c r="BE691">
        <v>1.1831770588623799E-2</v>
      </c>
      <c r="BF691">
        <f>IF(AK691&lt;BE691,1,0)</f>
        <v>1</v>
      </c>
      <c r="BG691">
        <f>IF(AK691&lt;BC691,1,0)</f>
        <v>1</v>
      </c>
      <c r="BH691">
        <f>VLOOKUP($B691,[1]Data_Peer_with_peerVars!$B$2:$Z$1050,20,FALSE)</f>
        <v>2</v>
      </c>
      <c r="BI691">
        <f>VLOOKUP($B691,[1]Data_Peer_with_peerVars!$B$2:$Z$1050,21,FALSE)</f>
        <v>1</v>
      </c>
      <c r="BJ691">
        <f>VLOOKUP($B691,[1]Data_Peer_with_peerVars!$B$2:$Z$1050,22,FALSE)</f>
        <v>0.5</v>
      </c>
      <c r="BK691">
        <f>VLOOKUP($B691,[1]Data_Peer_with_peerVars!$B$2:$Z$1050,23,FALSE)</f>
        <v>33</v>
      </c>
      <c r="BL691">
        <f>VLOOKUP($B691,[1]Data_Peer_with_peerVars!$B$2:$Z$1050,24,FALSE)</f>
        <v>13</v>
      </c>
      <c r="BM691">
        <f>VLOOKUP($B691,[1]Data_Peer_with_peerVars!$B$2:$Z$1050,25,FALSE)</f>
        <v>0.393939394</v>
      </c>
    </row>
    <row r="692" spans="1:65" x14ac:dyDescent="0.2">
      <c r="A692">
        <v>1</v>
      </c>
      <c r="B692" t="s">
        <v>1096</v>
      </c>
      <c r="C692">
        <v>394</v>
      </c>
      <c r="D692" t="s">
        <v>68</v>
      </c>
      <c r="E692">
        <v>0</v>
      </c>
      <c r="F692">
        <v>27</v>
      </c>
      <c r="G692" t="s">
        <v>119</v>
      </c>
      <c r="H692" s="1">
        <v>7</v>
      </c>
      <c r="I692" t="s">
        <v>87</v>
      </c>
      <c r="J692" t="s">
        <v>150</v>
      </c>
      <c r="K692" t="s">
        <v>109</v>
      </c>
      <c r="L692">
        <v>1</v>
      </c>
      <c r="M692">
        <v>1</v>
      </c>
      <c r="N692">
        <v>0</v>
      </c>
      <c r="O692">
        <v>0</v>
      </c>
      <c r="P692">
        <v>0</v>
      </c>
      <c r="Q692">
        <v>6</v>
      </c>
      <c r="R692">
        <v>0</v>
      </c>
      <c r="S692">
        <v>0</v>
      </c>
      <c r="T692">
        <v>0</v>
      </c>
      <c r="U692">
        <v>0</v>
      </c>
      <c r="V692">
        <f t="shared" si="288"/>
        <v>1</v>
      </c>
      <c r="W692">
        <v>1</v>
      </c>
      <c r="X692">
        <v>1</v>
      </c>
      <c r="Y692">
        <v>1</v>
      </c>
      <c r="Z692" t="s">
        <v>91</v>
      </c>
      <c r="AA692" s="5" t="s">
        <v>91</v>
      </c>
      <c r="AB692" s="5" t="s">
        <v>91</v>
      </c>
      <c r="AC692" t="s">
        <v>91</v>
      </c>
      <c r="AD692" t="s">
        <v>137</v>
      </c>
      <c r="AE692" s="5" t="s">
        <v>497</v>
      </c>
      <c r="AF692" t="s">
        <v>287</v>
      </c>
      <c r="AG692" t="s">
        <v>113</v>
      </c>
      <c r="AH692">
        <f>AI692</f>
        <v>7.1663019999999994E-2</v>
      </c>
      <c r="AI692">
        <f>AJ692</f>
        <v>7.1663019999999994E-2</v>
      </c>
      <c r="AJ692">
        <f t="shared" si="291"/>
        <v>7.1663019999999994E-2</v>
      </c>
      <c r="AK692">
        <v>7.1663019999999994E-2</v>
      </c>
      <c r="AL692">
        <v>0.114480875</v>
      </c>
      <c r="AM692">
        <v>0.11557377000000001</v>
      </c>
      <c r="AN692">
        <v>0.12479384</v>
      </c>
      <c r="AO692">
        <v>92.833697999999998</v>
      </c>
      <c r="AP692">
        <v>88.5519125</v>
      </c>
      <c r="AQ692">
        <v>88.442622999999998</v>
      </c>
      <c r="AR692">
        <v>87.520616000000004</v>
      </c>
      <c r="AS692" t="b">
        <v>1</v>
      </c>
      <c r="AT692" t="b">
        <v>0</v>
      </c>
      <c r="AU692" t="s">
        <v>77</v>
      </c>
      <c r="AV692" t="s">
        <v>108</v>
      </c>
      <c r="AW692" t="s">
        <v>783</v>
      </c>
      <c r="AX692" t="s">
        <v>812</v>
      </c>
      <c r="AY692" t="s">
        <v>1088</v>
      </c>
      <c r="AZ692" t="s">
        <v>109</v>
      </c>
      <c r="BA692">
        <v>2</v>
      </c>
      <c r="BB692">
        <v>0.5</v>
      </c>
      <c r="BC692">
        <v>9.0659339999999995E-3</v>
      </c>
      <c r="BD692">
        <v>2.76583658862385E-3</v>
      </c>
      <c r="BE692">
        <v>1.1831770588623799E-2</v>
      </c>
      <c r="BF692">
        <f>IF(AK692&lt;BE692,1,0)</f>
        <v>0</v>
      </c>
      <c r="BG692">
        <f>IF(AK692&lt;BC692,1,0)</f>
        <v>0</v>
      </c>
      <c r="BH692">
        <f>VLOOKUP($B692,[1]Data_Peer_with_peerVars!$B$2:$Z$1050,20,FALSE)</f>
        <v>4</v>
      </c>
      <c r="BI692">
        <f>VLOOKUP($B692,[1]Data_Peer_with_peerVars!$B$2:$Z$1050,21,FALSE)</f>
        <v>1</v>
      </c>
      <c r="BJ692">
        <f>VLOOKUP($B692,[1]Data_Peer_with_peerVars!$B$2:$Z$1050,22,FALSE)</f>
        <v>0.25</v>
      </c>
      <c r="BK692">
        <f>VLOOKUP($B692,[1]Data_Peer_with_peerVars!$B$2:$Z$1050,23,FALSE)</f>
        <v>33</v>
      </c>
      <c r="BL692">
        <f>VLOOKUP($B692,[1]Data_Peer_with_peerVars!$B$2:$Z$1050,24,FALSE)</f>
        <v>9</v>
      </c>
      <c r="BM692">
        <f>VLOOKUP($B692,[1]Data_Peer_with_peerVars!$B$2:$Z$1050,25,FALSE)</f>
        <v>0.27272727299999999</v>
      </c>
    </row>
    <row r="693" spans="1:65" x14ac:dyDescent="0.2">
      <c r="A693">
        <v>1</v>
      </c>
      <c r="B693" t="s">
        <v>1097</v>
      </c>
      <c r="C693">
        <v>395</v>
      </c>
      <c r="D693" t="s">
        <v>68</v>
      </c>
      <c r="E693">
        <v>0</v>
      </c>
      <c r="F693">
        <v>28</v>
      </c>
      <c r="G693" t="s">
        <v>119</v>
      </c>
      <c r="H693" s="1">
        <v>7</v>
      </c>
      <c r="I693" t="s">
        <v>87</v>
      </c>
      <c r="J693" t="s">
        <v>111</v>
      </c>
      <c r="K693" t="s">
        <v>109</v>
      </c>
      <c r="L693">
        <v>1</v>
      </c>
      <c r="M693">
        <v>1</v>
      </c>
      <c r="N693">
        <v>1</v>
      </c>
      <c r="O693">
        <v>0</v>
      </c>
      <c r="P693">
        <v>0</v>
      </c>
      <c r="Q693">
        <v>3</v>
      </c>
      <c r="R693">
        <v>0</v>
      </c>
      <c r="S693">
        <v>0</v>
      </c>
      <c r="T693">
        <v>0</v>
      </c>
      <c r="U693">
        <v>0</v>
      </c>
      <c r="V693">
        <f t="shared" si="288"/>
        <v>0</v>
      </c>
      <c r="W693">
        <f t="shared" si="289"/>
        <v>0</v>
      </c>
      <c r="X693">
        <f t="shared" si="292"/>
        <v>0</v>
      </c>
      <c r="Y693">
        <f t="shared" si="290"/>
        <v>0</v>
      </c>
      <c r="Z693" t="s">
        <v>98</v>
      </c>
      <c r="AA693" s="5" t="s">
        <v>268</v>
      </c>
      <c r="AB693" s="5" t="s">
        <v>1091</v>
      </c>
      <c r="AC693" t="s">
        <v>73</v>
      </c>
      <c r="AD693" t="s">
        <v>94</v>
      </c>
      <c r="AE693" s="5" t="s">
        <v>94</v>
      </c>
      <c r="AF693" t="s">
        <v>75</v>
      </c>
      <c r="AG693" t="s">
        <v>137</v>
      </c>
      <c r="AH693">
        <f t="shared" ref="AH693:AH698" si="313">AI693</f>
        <v>4.1757642999999997E-2</v>
      </c>
      <c r="AI693">
        <f t="shared" ref="AI693:AI698" si="314">AJ693</f>
        <v>4.1757642999999997E-2</v>
      </c>
      <c r="AJ693">
        <f t="shared" si="291"/>
        <v>4.1757642999999997E-2</v>
      </c>
      <c r="AK693">
        <v>4.1757642999999997E-2</v>
      </c>
      <c r="AL693">
        <v>0.12691467000000001</v>
      </c>
      <c r="AM693">
        <v>0.13486843000000001</v>
      </c>
      <c r="AN693">
        <v>0.14442013000000001</v>
      </c>
      <c r="AO693">
        <v>95.824235700000003</v>
      </c>
      <c r="AP693">
        <v>87.308532999999997</v>
      </c>
      <c r="AQ693">
        <v>86.513157000000007</v>
      </c>
      <c r="AR693">
        <v>85.557986999999997</v>
      </c>
      <c r="AS693" t="b">
        <v>0</v>
      </c>
      <c r="AT693" t="b">
        <v>0</v>
      </c>
      <c r="AU693" t="s">
        <v>92</v>
      </c>
      <c r="AV693" t="s">
        <v>92</v>
      </c>
      <c r="AW693" t="s">
        <v>783</v>
      </c>
      <c r="AX693" t="s">
        <v>812</v>
      </c>
      <c r="AY693" t="s">
        <v>954</v>
      </c>
      <c r="AZ693" t="s">
        <v>109</v>
      </c>
      <c r="BA693">
        <v>2</v>
      </c>
      <c r="BB693">
        <v>0.35</v>
      </c>
      <c r="BC693">
        <v>4.1163553999999996E-3</v>
      </c>
      <c r="BD693">
        <v>1.4279989108178799E-4</v>
      </c>
      <c r="BE693">
        <v>4.2591552910817903E-3</v>
      </c>
      <c r="BF693">
        <f>IF(AK693&lt;BE693,1,0)</f>
        <v>0</v>
      </c>
      <c r="BG693">
        <f>IF(AK693&lt;BC693,1,0)</f>
        <v>0</v>
      </c>
      <c r="BH693">
        <f>VLOOKUP($B693,[1]Data_Peer_with_peerVars!$B$2:$Z$1050,20,FALSE)</f>
        <v>7</v>
      </c>
      <c r="BI693">
        <f>VLOOKUP($B693,[1]Data_Peer_with_peerVars!$B$2:$Z$1050,21,FALSE)</f>
        <v>3</v>
      </c>
      <c r="BJ693">
        <f>VLOOKUP($B693,[1]Data_Peer_with_peerVars!$B$2:$Z$1050,22,FALSE)</f>
        <v>0.428571429</v>
      </c>
      <c r="BK693">
        <f>VLOOKUP($B693,[1]Data_Peer_with_peerVars!$B$2:$Z$1050,23,FALSE)</f>
        <v>59</v>
      </c>
      <c r="BL693">
        <f>VLOOKUP($B693,[1]Data_Peer_with_peerVars!$B$2:$Z$1050,24,FALSE)</f>
        <v>24</v>
      </c>
      <c r="BM693">
        <f>VLOOKUP($B693,[1]Data_Peer_with_peerVars!$B$2:$Z$1050,25,FALSE)</f>
        <v>0.40677966100000001</v>
      </c>
    </row>
    <row r="694" spans="1:65" x14ac:dyDescent="0.2">
      <c r="A694">
        <v>1</v>
      </c>
      <c r="B694" t="s">
        <v>1098</v>
      </c>
      <c r="C694">
        <v>396</v>
      </c>
      <c r="D694" t="s">
        <v>68</v>
      </c>
      <c r="E694">
        <v>0</v>
      </c>
      <c r="F694">
        <v>29</v>
      </c>
      <c r="G694" t="s">
        <v>119</v>
      </c>
      <c r="H694" s="1">
        <v>0</v>
      </c>
      <c r="I694" t="s">
        <v>87</v>
      </c>
      <c r="J694" t="s">
        <v>150</v>
      </c>
      <c r="K694" t="s">
        <v>109</v>
      </c>
      <c r="L694">
        <v>1</v>
      </c>
      <c r="M694">
        <v>1</v>
      </c>
      <c r="N694">
        <v>0</v>
      </c>
      <c r="O694">
        <v>0</v>
      </c>
      <c r="P694">
        <v>0</v>
      </c>
      <c r="Q694">
        <v>6</v>
      </c>
      <c r="R694">
        <v>0</v>
      </c>
      <c r="S694">
        <v>0</v>
      </c>
      <c r="T694">
        <v>0</v>
      </c>
      <c r="U694">
        <v>0</v>
      </c>
      <c r="V694">
        <f t="shared" si="288"/>
        <v>0</v>
      </c>
      <c r="W694">
        <f t="shared" si="289"/>
        <v>0</v>
      </c>
      <c r="X694">
        <f t="shared" si="292"/>
        <v>0</v>
      </c>
      <c r="Y694">
        <f t="shared" si="290"/>
        <v>0</v>
      </c>
      <c r="Z694" t="s">
        <v>89</v>
      </c>
      <c r="AA694" s="5" t="s">
        <v>273</v>
      </c>
      <c r="AB694" s="5" t="s">
        <v>1023</v>
      </c>
      <c r="AC694" t="s">
        <v>73</v>
      </c>
      <c r="AD694" t="s">
        <v>74</v>
      </c>
      <c r="AE694" s="5" t="s">
        <v>74</v>
      </c>
      <c r="AF694" t="s">
        <v>76</v>
      </c>
      <c r="AG694" t="s">
        <v>94</v>
      </c>
      <c r="AH694">
        <f t="shared" si="313"/>
        <v>8.4061140000000006E-2</v>
      </c>
      <c r="AI694">
        <f t="shared" si="314"/>
        <v>8.4061140000000006E-2</v>
      </c>
      <c r="AJ694">
        <f t="shared" si="291"/>
        <v>8.4061140000000006E-2</v>
      </c>
      <c r="AK694">
        <v>8.4061140000000006E-2</v>
      </c>
      <c r="AL694">
        <v>0.11513158</v>
      </c>
      <c r="AM694">
        <v>0.12923497</v>
      </c>
      <c r="AN694">
        <v>0.13114753000000001</v>
      </c>
      <c r="AO694">
        <v>91.593885999999998</v>
      </c>
      <c r="AP694">
        <v>88.486841999999996</v>
      </c>
      <c r="AQ694">
        <v>87.076503000000002</v>
      </c>
      <c r="AR694">
        <v>86.885247000000007</v>
      </c>
      <c r="AS694" t="b">
        <v>0</v>
      </c>
      <c r="AT694" t="b">
        <v>0</v>
      </c>
      <c r="AU694" t="s">
        <v>92</v>
      </c>
      <c r="AV694" t="s">
        <v>92</v>
      </c>
      <c r="AW694" t="s">
        <v>783</v>
      </c>
      <c r="AX694" t="s">
        <v>812</v>
      </c>
      <c r="AY694" t="s">
        <v>587</v>
      </c>
      <c r="AZ694" t="s">
        <v>109</v>
      </c>
      <c r="BA694" t="s">
        <v>82</v>
      </c>
      <c r="BB694">
        <v>1.5</v>
      </c>
      <c r="BC694">
        <v>4.1163553999999996E-3</v>
      </c>
      <c r="BD694">
        <v>1.4279989108178799E-4</v>
      </c>
      <c r="BE694">
        <v>4.2591552910817903E-3</v>
      </c>
      <c r="BF694">
        <f>IF(AK694&lt;BE694,1,0)</f>
        <v>0</v>
      </c>
      <c r="BG694">
        <f>IF(AK694&lt;BC694,1,0)</f>
        <v>0</v>
      </c>
      <c r="BH694">
        <f>VLOOKUP($B694,[1]Data_Peer_with_peerVars!$B$2:$Z$1050,20,FALSE)</f>
        <v>9</v>
      </c>
      <c r="BI694">
        <f>VLOOKUP($B694,[1]Data_Peer_with_peerVars!$B$2:$Z$1050,21,FALSE)</f>
        <v>2</v>
      </c>
      <c r="BJ694">
        <f>VLOOKUP($B694,[1]Data_Peer_with_peerVars!$B$2:$Z$1050,22,FALSE)</f>
        <v>0.222222222</v>
      </c>
      <c r="BK694">
        <f>VLOOKUP($B694,[1]Data_Peer_with_peerVars!$B$2:$Z$1050,23,FALSE)</f>
        <v>15</v>
      </c>
      <c r="BL694">
        <f>VLOOKUP($B694,[1]Data_Peer_with_peerVars!$B$2:$Z$1050,24,FALSE)</f>
        <v>4</v>
      </c>
      <c r="BM694">
        <f>VLOOKUP($B694,[1]Data_Peer_with_peerVars!$B$2:$Z$1050,25,FALSE)</f>
        <v>0.26666666700000002</v>
      </c>
    </row>
    <row r="695" spans="1:65" x14ac:dyDescent="0.2">
      <c r="A695">
        <v>1</v>
      </c>
      <c r="B695" t="s">
        <v>1099</v>
      </c>
      <c r="C695">
        <v>396</v>
      </c>
      <c r="D695" t="s">
        <v>68</v>
      </c>
      <c r="E695">
        <v>0</v>
      </c>
      <c r="F695">
        <v>29</v>
      </c>
      <c r="G695" t="s">
        <v>119</v>
      </c>
      <c r="H695" s="1">
        <v>0</v>
      </c>
      <c r="I695" t="s">
        <v>87</v>
      </c>
      <c r="J695" t="s">
        <v>150</v>
      </c>
      <c r="K695" t="s">
        <v>109</v>
      </c>
      <c r="L695">
        <v>1</v>
      </c>
      <c r="M695">
        <v>1</v>
      </c>
      <c r="N695">
        <v>0</v>
      </c>
      <c r="O695">
        <v>0</v>
      </c>
      <c r="P695">
        <v>0</v>
      </c>
      <c r="Q695">
        <v>6</v>
      </c>
      <c r="R695">
        <v>0</v>
      </c>
      <c r="S695">
        <v>0</v>
      </c>
      <c r="T695">
        <v>1</v>
      </c>
      <c r="U695">
        <v>1</v>
      </c>
      <c r="V695">
        <f t="shared" si="288"/>
        <v>0</v>
      </c>
      <c r="W695">
        <f t="shared" si="289"/>
        <v>0</v>
      </c>
      <c r="X695">
        <f t="shared" si="292"/>
        <v>0</v>
      </c>
      <c r="Y695">
        <f t="shared" si="290"/>
        <v>0</v>
      </c>
      <c r="Z695" t="s">
        <v>89</v>
      </c>
      <c r="AA695" s="5" t="s">
        <v>268</v>
      </c>
      <c r="AB695" s="5" t="s">
        <v>268</v>
      </c>
      <c r="AC695" t="s">
        <v>73</v>
      </c>
      <c r="AD695" t="s">
        <v>94</v>
      </c>
      <c r="AE695" s="5" t="s">
        <v>106</v>
      </c>
      <c r="AF695" t="s">
        <v>107</v>
      </c>
      <c r="AG695" t="s">
        <v>95</v>
      </c>
      <c r="AH695">
        <f t="shared" si="313"/>
        <v>3.8167940000000001E-3</v>
      </c>
      <c r="AI695">
        <f t="shared" si="314"/>
        <v>3.8167940000000001E-3</v>
      </c>
      <c r="AJ695">
        <f t="shared" si="291"/>
        <v>3.8167940000000001E-3</v>
      </c>
      <c r="AK695">
        <v>3.8167940000000001E-3</v>
      </c>
      <c r="AL695">
        <v>0.13169399000000001</v>
      </c>
      <c r="AM695">
        <v>0.13623904000000001</v>
      </c>
      <c r="AN695">
        <v>0.13867615</v>
      </c>
      <c r="AO695">
        <v>99.618320600000004</v>
      </c>
      <c r="AP695">
        <v>86.830601000000001</v>
      </c>
      <c r="AQ695">
        <v>86.376096000000004</v>
      </c>
      <c r="AR695">
        <v>86.132384999999999</v>
      </c>
      <c r="AS695" t="b">
        <v>0</v>
      </c>
      <c r="AT695" t="b">
        <v>0</v>
      </c>
      <c r="AU695" t="s">
        <v>92</v>
      </c>
      <c r="AV695" t="s">
        <v>92</v>
      </c>
      <c r="AW695" t="s">
        <v>783</v>
      </c>
      <c r="AX695" t="s">
        <v>812</v>
      </c>
      <c r="AY695" t="s">
        <v>587</v>
      </c>
      <c r="AZ695" t="s">
        <v>109</v>
      </c>
      <c r="BA695">
        <v>2</v>
      </c>
      <c r="BB695">
        <v>1</v>
      </c>
      <c r="BC695">
        <v>4.1163553999999996E-3</v>
      </c>
      <c r="BD695">
        <v>1.4279989108178799E-4</v>
      </c>
      <c r="BE695">
        <v>4.2591552910817903E-3</v>
      </c>
      <c r="BF695">
        <f>IF(AK695&lt;BE695,1,0)</f>
        <v>1</v>
      </c>
      <c r="BG695">
        <f>IF(AK695&lt;BC695,1,0)</f>
        <v>1</v>
      </c>
      <c r="BH695">
        <f>VLOOKUP($B695,[1]Data_Peer_with_peerVars!$B$2:$Z$1050,20,FALSE)</f>
        <v>9</v>
      </c>
      <c r="BI695">
        <f>VLOOKUP($B695,[1]Data_Peer_with_peerVars!$B$2:$Z$1050,21,FALSE)</f>
        <v>2</v>
      </c>
      <c r="BJ695">
        <f>VLOOKUP($B695,[1]Data_Peer_with_peerVars!$B$2:$Z$1050,22,FALSE)</f>
        <v>0.222222222</v>
      </c>
      <c r="BK695">
        <f>VLOOKUP($B695,[1]Data_Peer_with_peerVars!$B$2:$Z$1050,23,FALSE)</f>
        <v>15</v>
      </c>
      <c r="BL695">
        <f>VLOOKUP($B695,[1]Data_Peer_with_peerVars!$B$2:$Z$1050,24,FALSE)</f>
        <v>4</v>
      </c>
      <c r="BM695">
        <f>VLOOKUP($B695,[1]Data_Peer_with_peerVars!$B$2:$Z$1050,25,FALSE)</f>
        <v>0.26666666700000002</v>
      </c>
    </row>
    <row r="696" spans="1:65" x14ac:dyDescent="0.2">
      <c r="A696">
        <v>1</v>
      </c>
      <c r="B696" t="s">
        <v>1100</v>
      </c>
      <c r="C696">
        <v>397</v>
      </c>
      <c r="D696" t="s">
        <v>68</v>
      </c>
      <c r="E696">
        <v>0</v>
      </c>
      <c r="F696">
        <v>30</v>
      </c>
      <c r="G696" t="s">
        <v>97</v>
      </c>
      <c r="H696" s="1">
        <v>7</v>
      </c>
      <c r="I696" t="s">
        <v>70</v>
      </c>
      <c r="J696" t="s">
        <v>436</v>
      </c>
      <c r="K696" t="s">
        <v>72</v>
      </c>
      <c r="L696">
        <v>1</v>
      </c>
      <c r="M696">
        <v>1</v>
      </c>
      <c r="N696">
        <v>0</v>
      </c>
      <c r="O696">
        <v>0</v>
      </c>
      <c r="P696">
        <v>0</v>
      </c>
      <c r="Q696">
        <v>7</v>
      </c>
      <c r="R696">
        <v>0</v>
      </c>
      <c r="S696">
        <v>0</v>
      </c>
      <c r="T696">
        <v>0</v>
      </c>
      <c r="U696">
        <v>0</v>
      </c>
      <c r="V696">
        <f t="shared" si="288"/>
        <v>1</v>
      </c>
      <c r="W696">
        <v>1</v>
      </c>
      <c r="X696">
        <v>1</v>
      </c>
      <c r="Y696">
        <v>1</v>
      </c>
      <c r="Z696" t="s">
        <v>91</v>
      </c>
      <c r="AA696" s="5" t="s">
        <v>91</v>
      </c>
      <c r="AB696" s="5" t="s">
        <v>91</v>
      </c>
      <c r="AC696" t="s">
        <v>91</v>
      </c>
      <c r="AD696" t="s">
        <v>75</v>
      </c>
      <c r="AE696" s="5" t="s">
        <v>75</v>
      </c>
      <c r="AF696" t="s">
        <v>287</v>
      </c>
      <c r="AG696" t="s">
        <v>74</v>
      </c>
      <c r="AH696">
        <f t="shared" si="313"/>
        <v>3.2258064000000003E-2</v>
      </c>
      <c r="AI696">
        <f t="shared" si="314"/>
        <v>3.2258064000000003E-2</v>
      </c>
      <c r="AJ696">
        <f t="shared" si="291"/>
        <v>3.2258064000000003E-2</v>
      </c>
      <c r="AK696">
        <v>3.2258064000000003E-2</v>
      </c>
      <c r="AL696">
        <v>0.11460613</v>
      </c>
      <c r="AM696">
        <v>0.12936681999999999</v>
      </c>
      <c r="AN696">
        <v>0.13041095</v>
      </c>
      <c r="AO696">
        <v>96.774193600000004</v>
      </c>
      <c r="AP696">
        <v>88.539387000000005</v>
      </c>
      <c r="AQ696">
        <v>87.063317999999995</v>
      </c>
      <c r="AR696">
        <v>86.958905000000001</v>
      </c>
      <c r="AS696" t="b">
        <v>1</v>
      </c>
      <c r="AT696" t="b">
        <v>0</v>
      </c>
      <c r="AU696" t="s">
        <v>77</v>
      </c>
      <c r="AV696" t="s">
        <v>78</v>
      </c>
      <c r="AW696" t="s">
        <v>783</v>
      </c>
      <c r="AX696" t="s">
        <v>812</v>
      </c>
      <c r="AY696" t="s">
        <v>1101</v>
      </c>
      <c r="AZ696" t="s">
        <v>72</v>
      </c>
      <c r="BA696" t="s">
        <v>82</v>
      </c>
      <c r="BB696">
        <v>0.7</v>
      </c>
      <c r="BC696">
        <v>9.0659339999999995E-3</v>
      </c>
      <c r="BD696">
        <v>2.76583658862385E-3</v>
      </c>
      <c r="BE696">
        <v>1.1831770588623799E-2</v>
      </c>
      <c r="BF696">
        <f>IF(AK696&lt;BE696,1,0)</f>
        <v>0</v>
      </c>
      <c r="BG696">
        <f>IF(AK696&lt;BC696,1,0)</f>
        <v>0</v>
      </c>
      <c r="BH696">
        <f>VLOOKUP($B696,[1]Data_Peer_with_peerVars!$B$2:$Z$1050,20,FALSE)</f>
        <v>2</v>
      </c>
      <c r="BI696">
        <f>VLOOKUP($B696,[1]Data_Peer_with_peerVars!$B$2:$Z$1050,21,FALSE)</f>
        <v>0</v>
      </c>
      <c r="BJ696">
        <f>VLOOKUP($B696,[1]Data_Peer_with_peerVars!$B$2:$Z$1050,22,FALSE)</f>
        <v>0</v>
      </c>
      <c r="BK696">
        <f>VLOOKUP($B696,[1]Data_Peer_with_peerVars!$B$2:$Z$1050,23,FALSE)</f>
        <v>33</v>
      </c>
      <c r="BL696">
        <f>VLOOKUP($B696,[1]Data_Peer_with_peerVars!$B$2:$Z$1050,24,FALSE)</f>
        <v>12</v>
      </c>
      <c r="BM696">
        <f>VLOOKUP($B696,[1]Data_Peer_with_peerVars!$B$2:$Z$1050,25,FALSE)</f>
        <v>0.36363636399999999</v>
      </c>
    </row>
    <row r="697" spans="1:65" x14ac:dyDescent="0.2">
      <c r="A697">
        <v>1</v>
      </c>
      <c r="B697" t="s">
        <v>1102</v>
      </c>
      <c r="C697">
        <v>399</v>
      </c>
      <c r="D697" t="s">
        <v>68</v>
      </c>
      <c r="E697">
        <v>0</v>
      </c>
      <c r="F697">
        <v>138</v>
      </c>
      <c r="G697" t="s">
        <v>97</v>
      </c>
      <c r="H697" s="1">
        <v>7</v>
      </c>
      <c r="I697" t="s">
        <v>70</v>
      </c>
      <c r="J697" t="s">
        <v>436</v>
      </c>
      <c r="K697" t="s">
        <v>72</v>
      </c>
      <c r="L697">
        <v>1</v>
      </c>
      <c r="M697">
        <v>0</v>
      </c>
      <c r="N697">
        <v>0</v>
      </c>
      <c r="O697">
        <v>0</v>
      </c>
      <c r="P697">
        <v>0</v>
      </c>
      <c r="Q697">
        <v>11</v>
      </c>
      <c r="R697">
        <v>0</v>
      </c>
      <c r="S697">
        <v>0</v>
      </c>
      <c r="T697">
        <v>0</v>
      </c>
      <c r="U697">
        <v>0</v>
      </c>
      <c r="V697">
        <f t="shared" si="288"/>
        <v>1</v>
      </c>
      <c r="W697">
        <v>1</v>
      </c>
      <c r="X697">
        <v>1</v>
      </c>
      <c r="Y697">
        <v>1</v>
      </c>
      <c r="Z697" t="s">
        <v>91</v>
      </c>
      <c r="AA697" s="5" t="s">
        <v>91</v>
      </c>
      <c r="AB697" s="5" t="s">
        <v>91</v>
      </c>
      <c r="AC697" t="s">
        <v>91</v>
      </c>
      <c r="AD697" t="s">
        <v>120</v>
      </c>
      <c r="AE697" s="5" t="s">
        <v>1103</v>
      </c>
      <c r="AF697" t="s">
        <v>75</v>
      </c>
      <c r="AG697" t="s">
        <v>74</v>
      </c>
      <c r="AH697">
        <f t="shared" si="313"/>
        <v>9.2054789999999997E-2</v>
      </c>
      <c r="AI697">
        <f t="shared" si="314"/>
        <v>9.2054789999999997E-2</v>
      </c>
      <c r="AJ697">
        <f t="shared" si="291"/>
        <v>9.2054789999999997E-2</v>
      </c>
      <c r="AK697">
        <v>9.2054789999999997E-2</v>
      </c>
      <c r="AL697">
        <v>9.3596055999999997E-2</v>
      </c>
      <c r="AM697">
        <v>0.11979166400000001</v>
      </c>
      <c r="AN697">
        <v>0.12026359</v>
      </c>
      <c r="AO697">
        <v>90.794521000000003</v>
      </c>
      <c r="AP697">
        <v>90.640394400000005</v>
      </c>
      <c r="AQ697">
        <v>88.020833600000003</v>
      </c>
      <c r="AR697">
        <v>87.973641000000001</v>
      </c>
      <c r="AS697" t="b">
        <v>0</v>
      </c>
      <c r="AT697" t="b">
        <v>0</v>
      </c>
      <c r="AU697" t="s">
        <v>108</v>
      </c>
      <c r="AV697" t="s">
        <v>108</v>
      </c>
      <c r="AW697" t="s">
        <v>783</v>
      </c>
      <c r="AX697" t="s">
        <v>812</v>
      </c>
      <c r="AY697" t="s">
        <v>1101</v>
      </c>
      <c r="AZ697" t="s">
        <v>72</v>
      </c>
      <c r="BA697" t="s">
        <v>82</v>
      </c>
      <c r="BB697">
        <v>1</v>
      </c>
      <c r="BC697">
        <v>9.0659339999999995E-3</v>
      </c>
      <c r="BD697">
        <v>2.76583658862385E-3</v>
      </c>
      <c r="BE697">
        <v>1.1831770588623799E-2</v>
      </c>
      <c r="BF697">
        <f>IF(AK697&lt;BE697,1,0)</f>
        <v>0</v>
      </c>
      <c r="BG697">
        <f>IF(AK697&lt;BC697,1,0)</f>
        <v>0</v>
      </c>
      <c r="BH697">
        <f>VLOOKUP($B697,[1]Data_Peer_with_peerVars!$B$2:$Z$1050,20,FALSE)</f>
        <v>3</v>
      </c>
      <c r="BI697">
        <f>VLOOKUP($B697,[1]Data_Peer_with_peerVars!$B$2:$Z$1050,21,FALSE)</f>
        <v>1</v>
      </c>
      <c r="BJ697">
        <f>VLOOKUP($B697,[1]Data_Peer_with_peerVars!$B$2:$Z$1050,22,FALSE)</f>
        <v>0.33333333300000001</v>
      </c>
      <c r="BK697">
        <f>VLOOKUP($B697,[1]Data_Peer_with_peerVars!$B$2:$Z$1050,23,FALSE)</f>
        <v>42</v>
      </c>
      <c r="BL697">
        <f>VLOOKUP($B697,[1]Data_Peer_with_peerVars!$B$2:$Z$1050,24,FALSE)</f>
        <v>14</v>
      </c>
      <c r="BM697">
        <f>VLOOKUP($B697,[1]Data_Peer_with_peerVars!$B$2:$Z$1050,25,FALSE)</f>
        <v>0.33333333300000001</v>
      </c>
    </row>
    <row r="698" spans="1:65" x14ac:dyDescent="0.2">
      <c r="A698">
        <v>1</v>
      </c>
      <c r="B698" t="s">
        <v>1104</v>
      </c>
      <c r="C698">
        <v>399</v>
      </c>
      <c r="D698" t="s">
        <v>68</v>
      </c>
      <c r="E698">
        <v>0</v>
      </c>
      <c r="F698">
        <v>138</v>
      </c>
      <c r="G698" t="s">
        <v>97</v>
      </c>
      <c r="H698" s="1">
        <v>7</v>
      </c>
      <c r="I698" t="s">
        <v>70</v>
      </c>
      <c r="J698" t="s">
        <v>436</v>
      </c>
      <c r="K698" t="s">
        <v>72</v>
      </c>
      <c r="L698">
        <v>1</v>
      </c>
      <c r="M698">
        <v>0</v>
      </c>
      <c r="N698">
        <v>0</v>
      </c>
      <c r="O698">
        <v>0</v>
      </c>
      <c r="P698">
        <v>0</v>
      </c>
      <c r="Q698">
        <v>11</v>
      </c>
      <c r="R698">
        <v>0</v>
      </c>
      <c r="S698">
        <v>0</v>
      </c>
      <c r="T698">
        <v>0</v>
      </c>
      <c r="U698">
        <v>0</v>
      </c>
      <c r="V698">
        <f t="shared" si="288"/>
        <v>1</v>
      </c>
      <c r="W698">
        <v>1</v>
      </c>
      <c r="X698">
        <v>1</v>
      </c>
      <c r="Y698">
        <v>1</v>
      </c>
      <c r="Z698" t="s">
        <v>120</v>
      </c>
      <c r="AA698" s="5" t="s">
        <v>120</v>
      </c>
      <c r="AB698" s="5" t="s">
        <v>120</v>
      </c>
      <c r="AC698" t="s">
        <v>120</v>
      </c>
      <c r="AD698" t="s">
        <v>74</v>
      </c>
      <c r="AE698" s="5" t="s">
        <v>74</v>
      </c>
      <c r="AF698" t="s">
        <v>75</v>
      </c>
      <c r="AG698" t="s">
        <v>167</v>
      </c>
      <c r="AH698">
        <f t="shared" si="313"/>
        <v>5.3825136000000003E-2</v>
      </c>
      <c r="AI698">
        <f t="shared" si="314"/>
        <v>5.3825136000000003E-2</v>
      </c>
      <c r="AJ698">
        <f t="shared" si="291"/>
        <v>5.3825136000000003E-2</v>
      </c>
      <c r="AK698">
        <v>5.3825136000000003E-2</v>
      </c>
      <c r="AL698">
        <v>9.4024120000000003E-2</v>
      </c>
      <c r="AM698">
        <v>0.10098522</v>
      </c>
      <c r="AN698">
        <v>0.1129386</v>
      </c>
      <c r="AO698">
        <v>94.617486400000004</v>
      </c>
      <c r="AP698">
        <v>90.597588000000002</v>
      </c>
      <c r="AQ698">
        <v>89.901477999999997</v>
      </c>
      <c r="AR698">
        <v>88.706140000000005</v>
      </c>
      <c r="AS698" t="b">
        <v>1</v>
      </c>
      <c r="AT698" t="b">
        <v>0</v>
      </c>
      <c r="AU698" t="s">
        <v>77</v>
      </c>
      <c r="AV698" t="s">
        <v>77</v>
      </c>
      <c r="AW698" t="s">
        <v>783</v>
      </c>
      <c r="AX698" t="s">
        <v>812</v>
      </c>
      <c r="AY698" t="s">
        <v>1101</v>
      </c>
      <c r="AZ698" t="s">
        <v>72</v>
      </c>
      <c r="BA698" t="s">
        <v>82</v>
      </c>
      <c r="BB698">
        <v>0.5</v>
      </c>
      <c r="BC698">
        <v>4.6849314000000003E-2</v>
      </c>
      <c r="BD698">
        <v>4.5250577219970098E-3</v>
      </c>
      <c r="BE698">
        <v>5.1374371721996999E-2</v>
      </c>
      <c r="BF698">
        <f>IF(AK698&lt;BE698,1,0)</f>
        <v>0</v>
      </c>
      <c r="BG698">
        <f>IF(AK698&lt;BC698,1,0)</f>
        <v>0</v>
      </c>
      <c r="BH698">
        <f>VLOOKUP($B698,[1]Data_Peer_with_peerVars!$B$2:$Z$1050,20,FALSE)</f>
        <v>3</v>
      </c>
      <c r="BI698">
        <f>VLOOKUP($B698,[1]Data_Peer_with_peerVars!$B$2:$Z$1050,21,FALSE)</f>
        <v>1</v>
      </c>
      <c r="BJ698">
        <f>VLOOKUP($B698,[1]Data_Peer_with_peerVars!$B$2:$Z$1050,22,FALSE)</f>
        <v>0.33333333300000001</v>
      </c>
      <c r="BK698">
        <f>VLOOKUP($B698,[1]Data_Peer_with_peerVars!$B$2:$Z$1050,23,FALSE)</f>
        <v>42</v>
      </c>
      <c r="BL698">
        <f>VLOOKUP($B698,[1]Data_Peer_with_peerVars!$B$2:$Z$1050,24,FALSE)</f>
        <v>14</v>
      </c>
      <c r="BM698">
        <f>VLOOKUP($B698,[1]Data_Peer_with_peerVars!$B$2:$Z$1050,25,FALSE)</f>
        <v>0.33333333300000001</v>
      </c>
    </row>
    <row r="699" spans="1:65" x14ac:dyDescent="0.2">
      <c r="A699">
        <v>1</v>
      </c>
      <c r="B699" t="s">
        <v>1105</v>
      </c>
      <c r="C699">
        <v>400</v>
      </c>
      <c r="D699" t="s">
        <v>68</v>
      </c>
      <c r="E699">
        <v>0</v>
      </c>
      <c r="F699">
        <v>139</v>
      </c>
      <c r="G699" t="s">
        <v>97</v>
      </c>
      <c r="H699" s="1">
        <v>7</v>
      </c>
      <c r="I699" t="s">
        <v>87</v>
      </c>
      <c r="J699" t="s">
        <v>111</v>
      </c>
      <c r="K699" t="s">
        <v>109</v>
      </c>
      <c r="L699">
        <v>1</v>
      </c>
      <c r="M699">
        <v>1</v>
      </c>
      <c r="N699">
        <v>0</v>
      </c>
      <c r="O699">
        <v>0</v>
      </c>
      <c r="P699">
        <v>0</v>
      </c>
      <c r="Q699">
        <v>6</v>
      </c>
      <c r="R699">
        <v>0</v>
      </c>
      <c r="S699">
        <v>0</v>
      </c>
      <c r="T699">
        <v>0</v>
      </c>
      <c r="U699">
        <v>0</v>
      </c>
      <c r="V699">
        <f t="shared" si="288"/>
        <v>0</v>
      </c>
      <c r="W699">
        <f t="shared" si="289"/>
        <v>0</v>
      </c>
      <c r="X699">
        <f t="shared" si="292"/>
        <v>0</v>
      </c>
      <c r="Y699">
        <f t="shared" si="290"/>
        <v>0</v>
      </c>
      <c r="Z699" t="s">
        <v>76</v>
      </c>
      <c r="AA699" s="5" t="s">
        <v>76</v>
      </c>
      <c r="AB699" s="5" t="s">
        <v>76</v>
      </c>
      <c r="AC699" t="s">
        <v>120</v>
      </c>
      <c r="AD699" t="s">
        <v>74</v>
      </c>
      <c r="AE699" s="5" t="s">
        <v>74</v>
      </c>
      <c r="AF699" t="s">
        <v>75</v>
      </c>
      <c r="AG699" t="s">
        <v>167</v>
      </c>
      <c r="AH699">
        <f t="shared" ref="AH699:AH706" si="315">AI699</f>
        <v>3.3315129999999998E-2</v>
      </c>
      <c r="AI699">
        <f t="shared" ref="AI699:AI706" si="316">AJ699</f>
        <v>3.3315129999999998E-2</v>
      </c>
      <c r="AJ699">
        <f t="shared" si="291"/>
        <v>3.3315129999999998E-2</v>
      </c>
      <c r="AK699">
        <v>3.3315129999999998E-2</v>
      </c>
      <c r="AL699">
        <v>8.8767126000000002E-2</v>
      </c>
      <c r="AM699">
        <v>9.299781E-2</v>
      </c>
      <c r="AN699">
        <v>0.10082192</v>
      </c>
      <c r="AO699">
        <v>96.668486999999999</v>
      </c>
      <c r="AP699">
        <v>91.123287399999995</v>
      </c>
      <c r="AQ699">
        <v>90.700219000000004</v>
      </c>
      <c r="AR699">
        <v>89.917807999999994</v>
      </c>
      <c r="AS699" t="b">
        <v>0</v>
      </c>
      <c r="AT699" t="b">
        <v>0</v>
      </c>
      <c r="AU699" t="s">
        <v>77</v>
      </c>
      <c r="AV699" t="s">
        <v>77</v>
      </c>
      <c r="AW699" t="s">
        <v>783</v>
      </c>
      <c r="AX699" t="s">
        <v>812</v>
      </c>
      <c r="AY699" t="s">
        <v>1101</v>
      </c>
      <c r="AZ699" t="s">
        <v>109</v>
      </c>
      <c r="BA699">
        <v>2</v>
      </c>
      <c r="BB699">
        <v>0.7</v>
      </c>
      <c r="BC699">
        <v>4.6849314000000003E-2</v>
      </c>
      <c r="BD699">
        <v>4.5250577219970098E-3</v>
      </c>
      <c r="BE699">
        <v>5.1374371721996999E-2</v>
      </c>
      <c r="BF699">
        <f>IF(AK699&lt;BE699,1,0)</f>
        <v>1</v>
      </c>
      <c r="BG699">
        <f>IF(AK699&lt;BC699,1,0)</f>
        <v>1</v>
      </c>
      <c r="BH699">
        <f>VLOOKUP($B699,[1]Data_Peer_with_peerVars!$B$2:$Z$1050,20,FALSE)</f>
        <v>2</v>
      </c>
      <c r="BI699">
        <f>VLOOKUP($B699,[1]Data_Peer_with_peerVars!$B$2:$Z$1050,21,FALSE)</f>
        <v>1</v>
      </c>
      <c r="BJ699">
        <f>VLOOKUP($B699,[1]Data_Peer_with_peerVars!$B$2:$Z$1050,22,FALSE)</f>
        <v>0.5</v>
      </c>
      <c r="BK699">
        <f>VLOOKUP($B699,[1]Data_Peer_with_peerVars!$B$2:$Z$1050,23,FALSE)</f>
        <v>33</v>
      </c>
      <c r="BL699">
        <f>VLOOKUP($B699,[1]Data_Peer_with_peerVars!$B$2:$Z$1050,24,FALSE)</f>
        <v>13</v>
      </c>
      <c r="BM699">
        <f>VLOOKUP($B699,[1]Data_Peer_with_peerVars!$B$2:$Z$1050,25,FALSE)</f>
        <v>0.393939394</v>
      </c>
    </row>
    <row r="700" spans="1:65" x14ac:dyDescent="0.2">
      <c r="A700">
        <v>1</v>
      </c>
      <c r="B700" t="s">
        <v>1106</v>
      </c>
      <c r="C700">
        <v>401</v>
      </c>
      <c r="D700" t="s">
        <v>68</v>
      </c>
      <c r="E700">
        <v>0</v>
      </c>
      <c r="F700">
        <v>140</v>
      </c>
      <c r="G700" t="s">
        <v>97</v>
      </c>
      <c r="H700" s="1">
        <v>5.5</v>
      </c>
      <c r="J700" t="s">
        <v>82</v>
      </c>
      <c r="L700">
        <v>2</v>
      </c>
      <c r="M700">
        <v>0</v>
      </c>
      <c r="N700">
        <v>1</v>
      </c>
      <c r="O700">
        <v>0</v>
      </c>
      <c r="P700">
        <v>0</v>
      </c>
      <c r="Q700">
        <v>0</v>
      </c>
      <c r="R700">
        <v>0</v>
      </c>
      <c r="S700">
        <v>0</v>
      </c>
      <c r="T700">
        <v>0</v>
      </c>
      <c r="U700">
        <v>0</v>
      </c>
      <c r="V700">
        <f t="shared" si="288"/>
        <v>0</v>
      </c>
      <c r="W700">
        <f t="shared" si="289"/>
        <v>0</v>
      </c>
      <c r="X700">
        <f t="shared" si="292"/>
        <v>0</v>
      </c>
      <c r="Y700">
        <f t="shared" si="290"/>
        <v>0</v>
      </c>
      <c r="Z700" t="s">
        <v>89</v>
      </c>
      <c r="AA700" s="5" t="s">
        <v>82</v>
      </c>
      <c r="AB700" s="5" t="s">
        <v>82</v>
      </c>
      <c r="AC700" t="s">
        <v>91</v>
      </c>
      <c r="AD700" t="s">
        <v>287</v>
      </c>
      <c r="AE700" s="5" t="s">
        <v>287</v>
      </c>
      <c r="AF700" t="s">
        <v>137</v>
      </c>
      <c r="AG700" t="s">
        <v>84</v>
      </c>
      <c r="AH700">
        <f t="shared" si="315"/>
        <v>1.3949672E-2</v>
      </c>
      <c r="AI700">
        <f t="shared" si="316"/>
        <v>1.3949672E-2</v>
      </c>
      <c r="AJ700">
        <f t="shared" si="291"/>
        <v>1.3949672E-2</v>
      </c>
      <c r="AK700">
        <v>1.3949672E-2</v>
      </c>
      <c r="AL700">
        <v>0.11241794400000001</v>
      </c>
      <c r="AM700">
        <v>0.12582056</v>
      </c>
      <c r="AN700">
        <v>0.13036302999999999</v>
      </c>
      <c r="AO700">
        <v>98.605032800000004</v>
      </c>
      <c r="AP700">
        <v>88.758205599999997</v>
      </c>
      <c r="AQ700">
        <v>87.417944000000006</v>
      </c>
      <c r="AR700">
        <v>86.963696999999996</v>
      </c>
      <c r="AS700" t="s">
        <v>82</v>
      </c>
      <c r="AT700" t="s">
        <v>82</v>
      </c>
      <c r="AU700" t="s">
        <v>77</v>
      </c>
      <c r="AV700" t="s">
        <v>78</v>
      </c>
      <c r="AW700" t="s">
        <v>783</v>
      </c>
      <c r="AX700" t="s">
        <v>812</v>
      </c>
      <c r="AY700" t="s">
        <v>1088</v>
      </c>
      <c r="AZ700" t="s">
        <v>82</v>
      </c>
      <c r="BA700" t="s">
        <v>82</v>
      </c>
      <c r="BB700" t="s">
        <v>82</v>
      </c>
      <c r="BC700">
        <v>9.0659339999999995E-3</v>
      </c>
      <c r="BD700">
        <v>2.76583658862385E-3</v>
      </c>
      <c r="BE700">
        <v>1.1831770588623799E-2</v>
      </c>
      <c r="BF700">
        <f>IF(AK700&lt;BE700,1,0)</f>
        <v>0</v>
      </c>
      <c r="BG700">
        <f>IF(AK700&lt;BC700,1,0)</f>
        <v>0</v>
      </c>
    </row>
    <row r="701" spans="1:65" x14ac:dyDescent="0.2">
      <c r="A701">
        <v>1</v>
      </c>
      <c r="B701" t="s">
        <v>1107</v>
      </c>
      <c r="C701">
        <v>401</v>
      </c>
      <c r="D701" t="s">
        <v>68</v>
      </c>
      <c r="E701">
        <v>0</v>
      </c>
      <c r="F701">
        <v>140</v>
      </c>
      <c r="G701" t="s">
        <v>97</v>
      </c>
      <c r="H701" s="1">
        <v>5.5</v>
      </c>
      <c r="J701" t="s">
        <v>82</v>
      </c>
      <c r="L701">
        <v>2</v>
      </c>
      <c r="M701">
        <v>0</v>
      </c>
      <c r="N701">
        <v>1</v>
      </c>
      <c r="O701">
        <v>0</v>
      </c>
      <c r="P701">
        <v>0</v>
      </c>
      <c r="Q701">
        <v>0</v>
      </c>
      <c r="R701">
        <v>0</v>
      </c>
      <c r="S701">
        <v>0</v>
      </c>
      <c r="T701">
        <v>1</v>
      </c>
      <c r="U701">
        <v>1</v>
      </c>
      <c r="V701">
        <f t="shared" si="288"/>
        <v>0</v>
      </c>
      <c r="W701">
        <f t="shared" si="289"/>
        <v>0</v>
      </c>
      <c r="X701">
        <f t="shared" si="292"/>
        <v>0</v>
      </c>
      <c r="Y701">
        <f t="shared" si="290"/>
        <v>0</v>
      </c>
      <c r="Z701" t="s">
        <v>89</v>
      </c>
      <c r="AA701" s="5" t="s">
        <v>82</v>
      </c>
      <c r="AB701" s="5" t="s">
        <v>82</v>
      </c>
      <c r="AC701" t="s">
        <v>73</v>
      </c>
      <c r="AD701" t="s">
        <v>94</v>
      </c>
      <c r="AE701" s="5" t="s">
        <v>106</v>
      </c>
      <c r="AF701" t="s">
        <v>107</v>
      </c>
      <c r="AG701" t="s">
        <v>95</v>
      </c>
      <c r="AH701">
        <f t="shared" si="315"/>
        <v>3.8188760000000001E-3</v>
      </c>
      <c r="AI701">
        <f t="shared" si="316"/>
        <v>3.8188760000000001E-3</v>
      </c>
      <c r="AJ701">
        <f t="shared" si="291"/>
        <v>3.8188760000000001E-3</v>
      </c>
      <c r="AK701">
        <v>3.8188760000000001E-3</v>
      </c>
      <c r="AL701">
        <v>0.13203936999999999</v>
      </c>
      <c r="AM701">
        <v>0.13631377</v>
      </c>
      <c r="AN701">
        <v>0.13902571999999999</v>
      </c>
      <c r="AO701">
        <v>99.618112400000001</v>
      </c>
      <c r="AP701">
        <v>86.796063000000004</v>
      </c>
      <c r="AQ701">
        <v>86.368622999999999</v>
      </c>
      <c r="AR701">
        <v>86.097427999999994</v>
      </c>
      <c r="AS701" t="s">
        <v>82</v>
      </c>
      <c r="AT701" t="s">
        <v>82</v>
      </c>
      <c r="AU701" t="s">
        <v>77</v>
      </c>
      <c r="AV701" t="s">
        <v>108</v>
      </c>
      <c r="AW701" t="s">
        <v>783</v>
      </c>
      <c r="AX701" t="s">
        <v>812</v>
      </c>
      <c r="AY701" t="s">
        <v>1088</v>
      </c>
      <c r="AZ701" t="s">
        <v>82</v>
      </c>
      <c r="BA701" t="s">
        <v>82</v>
      </c>
      <c r="BB701" t="s">
        <v>82</v>
      </c>
      <c r="BC701">
        <v>4.1163553999999996E-3</v>
      </c>
      <c r="BD701">
        <v>1.4279989108178799E-4</v>
      </c>
      <c r="BE701">
        <v>4.2591552910817903E-3</v>
      </c>
      <c r="BF701">
        <f>IF(AK701&lt;BE701,1,0)</f>
        <v>1</v>
      </c>
      <c r="BG701">
        <f>IF(AK701&lt;BC701,1,0)</f>
        <v>1</v>
      </c>
    </row>
    <row r="702" spans="1:65" x14ac:dyDescent="0.2">
      <c r="A702">
        <v>1</v>
      </c>
      <c r="B702" t="s">
        <v>1108</v>
      </c>
      <c r="C702">
        <v>402</v>
      </c>
      <c r="D702" t="s">
        <v>68</v>
      </c>
      <c r="E702">
        <v>0</v>
      </c>
      <c r="F702">
        <v>141</v>
      </c>
      <c r="G702" t="s">
        <v>97</v>
      </c>
      <c r="H702" s="1">
        <v>0</v>
      </c>
      <c r="I702" t="s">
        <v>87</v>
      </c>
      <c r="J702" t="s">
        <v>150</v>
      </c>
      <c r="K702" t="s">
        <v>72</v>
      </c>
      <c r="L702">
        <v>1</v>
      </c>
      <c r="M702">
        <v>1</v>
      </c>
      <c r="N702">
        <v>0</v>
      </c>
      <c r="O702">
        <v>0</v>
      </c>
      <c r="P702">
        <v>0</v>
      </c>
      <c r="Q702">
        <v>6</v>
      </c>
      <c r="R702">
        <v>0</v>
      </c>
      <c r="S702">
        <v>0</v>
      </c>
      <c r="T702">
        <v>0</v>
      </c>
      <c r="U702">
        <v>0</v>
      </c>
      <c r="V702">
        <f t="shared" si="288"/>
        <v>0</v>
      </c>
      <c r="W702">
        <f t="shared" si="289"/>
        <v>0</v>
      </c>
      <c r="X702">
        <f t="shared" si="292"/>
        <v>0</v>
      </c>
      <c r="Y702">
        <f t="shared" si="290"/>
        <v>0</v>
      </c>
      <c r="Z702" t="s">
        <v>89</v>
      </c>
      <c r="AA702" s="5" t="s">
        <v>268</v>
      </c>
      <c r="AB702" s="5" t="s">
        <v>268</v>
      </c>
      <c r="AC702" t="s">
        <v>137</v>
      </c>
      <c r="AD702" t="s">
        <v>103</v>
      </c>
      <c r="AE702" s="5" t="s">
        <v>103</v>
      </c>
      <c r="AF702" t="s">
        <v>287</v>
      </c>
      <c r="AG702" t="s">
        <v>113</v>
      </c>
      <c r="AH702">
        <f t="shared" si="315"/>
        <v>0.10081967</v>
      </c>
      <c r="AI702">
        <f t="shared" si="316"/>
        <v>0.10081967</v>
      </c>
      <c r="AJ702">
        <f t="shared" si="291"/>
        <v>0.10081967</v>
      </c>
      <c r="AK702">
        <v>0.10081967</v>
      </c>
      <c r="AL702">
        <v>0.11212121</v>
      </c>
      <c r="AM702">
        <v>0.11775956</v>
      </c>
      <c r="AN702">
        <v>0.12094557</v>
      </c>
      <c r="AO702">
        <v>89.918032999999994</v>
      </c>
      <c r="AP702">
        <v>88.787879000000004</v>
      </c>
      <c r="AQ702">
        <v>88.224044000000006</v>
      </c>
      <c r="AR702">
        <v>87.905443000000005</v>
      </c>
      <c r="AS702" t="b">
        <v>0</v>
      </c>
      <c r="AT702" t="b">
        <v>0</v>
      </c>
      <c r="AU702" t="s">
        <v>92</v>
      </c>
      <c r="AV702" t="s">
        <v>92</v>
      </c>
      <c r="AW702" t="s">
        <v>783</v>
      </c>
      <c r="AX702" t="s">
        <v>812</v>
      </c>
      <c r="AY702" t="s">
        <v>1088</v>
      </c>
      <c r="AZ702" t="s">
        <v>72</v>
      </c>
      <c r="BA702" t="s">
        <v>82</v>
      </c>
      <c r="BB702">
        <v>0.17499999999999899</v>
      </c>
      <c r="BC702">
        <v>5.4824560000000001E-2</v>
      </c>
      <c r="BD702">
        <v>2.68252196314279E-2</v>
      </c>
      <c r="BE702">
        <v>8.1649779631427902E-2</v>
      </c>
      <c r="BF702">
        <f>IF(AK702&lt;BE702,1,0)</f>
        <v>0</v>
      </c>
      <c r="BG702">
        <f>IF(AK702&lt;BC702,1,0)</f>
        <v>0</v>
      </c>
      <c r="BH702">
        <f>VLOOKUP($B702,[1]Data_Peer_with_peerVars!$B$2:$Z$1050,20,FALSE)</f>
        <v>1</v>
      </c>
      <c r="BI702">
        <f>VLOOKUP($B702,[1]Data_Peer_with_peerVars!$B$2:$Z$1050,21,FALSE)</f>
        <v>0</v>
      </c>
      <c r="BJ702">
        <f>VLOOKUP($B702,[1]Data_Peer_with_peerVars!$B$2:$Z$1050,22,FALSE)</f>
        <v>0</v>
      </c>
      <c r="BK702">
        <f>VLOOKUP($B702,[1]Data_Peer_with_peerVars!$B$2:$Z$1050,23,FALSE)</f>
        <v>36</v>
      </c>
      <c r="BL702">
        <f>VLOOKUP($B702,[1]Data_Peer_with_peerVars!$B$2:$Z$1050,24,FALSE)</f>
        <v>14</v>
      </c>
      <c r="BM702">
        <f>VLOOKUP($B702,[1]Data_Peer_with_peerVars!$B$2:$Z$1050,25,FALSE)</f>
        <v>0.38888888900000002</v>
      </c>
    </row>
    <row r="703" spans="1:65" x14ac:dyDescent="0.2">
      <c r="A703">
        <v>1</v>
      </c>
      <c r="B703" t="s">
        <v>1109</v>
      </c>
      <c r="C703">
        <v>403</v>
      </c>
      <c r="D703" t="s">
        <v>68</v>
      </c>
      <c r="E703">
        <v>0</v>
      </c>
      <c r="F703">
        <v>143</v>
      </c>
      <c r="G703" t="s">
        <v>97</v>
      </c>
      <c r="H703" s="1">
        <v>6</v>
      </c>
      <c r="I703" t="s">
        <v>87</v>
      </c>
      <c r="J703" t="s">
        <v>111</v>
      </c>
      <c r="K703" t="s">
        <v>109</v>
      </c>
      <c r="L703">
        <v>1</v>
      </c>
      <c r="M703">
        <v>0</v>
      </c>
      <c r="N703">
        <v>1</v>
      </c>
      <c r="O703">
        <v>0</v>
      </c>
      <c r="P703">
        <v>0</v>
      </c>
      <c r="Q703">
        <v>6</v>
      </c>
      <c r="R703">
        <v>0</v>
      </c>
      <c r="S703">
        <v>0</v>
      </c>
      <c r="T703">
        <v>0</v>
      </c>
      <c r="U703">
        <v>0</v>
      </c>
      <c r="V703">
        <f t="shared" si="288"/>
        <v>0</v>
      </c>
      <c r="W703">
        <f t="shared" si="289"/>
        <v>0</v>
      </c>
      <c r="X703">
        <f t="shared" si="292"/>
        <v>0</v>
      </c>
      <c r="Y703">
        <f t="shared" si="290"/>
        <v>0</v>
      </c>
      <c r="Z703" t="s">
        <v>89</v>
      </c>
      <c r="AA703" s="5" t="s">
        <v>268</v>
      </c>
      <c r="AB703" s="5" t="s">
        <v>268</v>
      </c>
      <c r="AC703" t="s">
        <v>91</v>
      </c>
      <c r="AD703" t="s">
        <v>287</v>
      </c>
      <c r="AE703" s="5" t="s">
        <v>287</v>
      </c>
      <c r="AF703" t="s">
        <v>137</v>
      </c>
      <c r="AG703" t="s">
        <v>84</v>
      </c>
      <c r="AH703">
        <f t="shared" si="315"/>
        <v>3.2840723E-3</v>
      </c>
      <c r="AI703">
        <f t="shared" si="316"/>
        <v>3.2840723E-3</v>
      </c>
      <c r="AJ703">
        <f t="shared" si="291"/>
        <v>3.2840723E-3</v>
      </c>
      <c r="AK703">
        <v>3.2840723E-3</v>
      </c>
      <c r="AL703">
        <v>0.12089716</v>
      </c>
      <c r="AM703">
        <v>0.12848551999999999</v>
      </c>
      <c r="AN703">
        <v>0.13393838999999999</v>
      </c>
      <c r="AO703">
        <v>99.671592770000004</v>
      </c>
      <c r="AP703">
        <v>87.910284000000004</v>
      </c>
      <c r="AQ703">
        <v>87.151448000000002</v>
      </c>
      <c r="AR703">
        <v>86.606161</v>
      </c>
      <c r="AS703" t="b">
        <v>0</v>
      </c>
      <c r="AT703" t="b">
        <v>0</v>
      </c>
      <c r="AU703" t="s">
        <v>92</v>
      </c>
      <c r="AV703" t="s">
        <v>92</v>
      </c>
      <c r="AW703" t="s">
        <v>783</v>
      </c>
      <c r="AX703" t="s">
        <v>812</v>
      </c>
      <c r="AY703" t="s">
        <v>1081</v>
      </c>
      <c r="AZ703" t="s">
        <v>109</v>
      </c>
      <c r="BA703">
        <v>6</v>
      </c>
      <c r="BB703">
        <v>0.5</v>
      </c>
      <c r="BC703">
        <v>9.0659339999999995E-3</v>
      </c>
      <c r="BD703">
        <v>2.76583658862385E-3</v>
      </c>
      <c r="BE703">
        <v>1.1831770588623799E-2</v>
      </c>
      <c r="BF703">
        <f>IF(AK703&lt;BE703,1,0)</f>
        <v>1</v>
      </c>
      <c r="BG703">
        <f>IF(AK703&lt;BC703,1,0)</f>
        <v>1</v>
      </c>
      <c r="BH703">
        <f>VLOOKUP($B703,[1]Data_Peer_with_peerVars!$B$2:$Z$1050,20,FALSE)</f>
        <v>15</v>
      </c>
      <c r="BI703">
        <f>VLOOKUP($B703,[1]Data_Peer_with_peerVars!$B$2:$Z$1050,21,FALSE)</f>
        <v>7</v>
      </c>
      <c r="BJ703">
        <f>VLOOKUP($B703,[1]Data_Peer_with_peerVars!$B$2:$Z$1050,22,FALSE)</f>
        <v>0.46666666699999998</v>
      </c>
      <c r="BK703">
        <f>VLOOKUP($B703,[1]Data_Peer_with_peerVars!$B$2:$Z$1050,23,FALSE)</f>
        <v>67</v>
      </c>
      <c r="BL703">
        <f>VLOOKUP($B703,[1]Data_Peer_with_peerVars!$B$2:$Z$1050,24,FALSE)</f>
        <v>37</v>
      </c>
      <c r="BM703">
        <f>VLOOKUP($B703,[1]Data_Peer_with_peerVars!$B$2:$Z$1050,25,FALSE)</f>
        <v>0.55223880599999997</v>
      </c>
    </row>
    <row r="704" spans="1:65" x14ac:dyDescent="0.2">
      <c r="A704">
        <v>1</v>
      </c>
      <c r="B704" t="s">
        <v>1110</v>
      </c>
      <c r="C704">
        <v>403</v>
      </c>
      <c r="D704" t="s">
        <v>68</v>
      </c>
      <c r="E704">
        <v>0</v>
      </c>
      <c r="F704">
        <v>143</v>
      </c>
      <c r="G704" t="s">
        <v>97</v>
      </c>
      <c r="H704" s="1">
        <v>6</v>
      </c>
      <c r="I704" t="s">
        <v>87</v>
      </c>
      <c r="J704" t="s">
        <v>111</v>
      </c>
      <c r="K704" t="s">
        <v>109</v>
      </c>
      <c r="L704">
        <v>1</v>
      </c>
      <c r="M704">
        <v>0</v>
      </c>
      <c r="N704">
        <v>1</v>
      </c>
      <c r="O704">
        <v>0</v>
      </c>
      <c r="P704">
        <v>0</v>
      </c>
      <c r="Q704">
        <v>6</v>
      </c>
      <c r="R704">
        <v>0</v>
      </c>
      <c r="S704">
        <v>0</v>
      </c>
      <c r="T704">
        <v>0</v>
      </c>
      <c r="U704">
        <v>0</v>
      </c>
      <c r="V704">
        <f t="shared" si="288"/>
        <v>0</v>
      </c>
      <c r="W704">
        <f t="shared" si="289"/>
        <v>0</v>
      </c>
      <c r="X704">
        <f t="shared" si="292"/>
        <v>0</v>
      </c>
      <c r="Y704">
        <f t="shared" si="290"/>
        <v>0</v>
      </c>
      <c r="Z704" t="s">
        <v>89</v>
      </c>
      <c r="AA704" s="5" t="s">
        <v>273</v>
      </c>
      <c r="AB704" s="5" t="s">
        <v>273</v>
      </c>
      <c r="AC704" t="s">
        <v>76</v>
      </c>
      <c r="AD704" t="s">
        <v>74</v>
      </c>
      <c r="AE704" s="5" t="s">
        <v>74</v>
      </c>
      <c r="AF704" t="s">
        <v>75</v>
      </c>
      <c r="AG704" t="s">
        <v>120</v>
      </c>
      <c r="AH704">
        <f t="shared" si="315"/>
        <v>7.4276350000000005E-2</v>
      </c>
      <c r="AI704">
        <f t="shared" si="316"/>
        <v>7.4276350000000005E-2</v>
      </c>
      <c r="AJ704">
        <f t="shared" si="291"/>
        <v>7.4276350000000005E-2</v>
      </c>
      <c r="AK704">
        <v>7.4276350000000005E-2</v>
      </c>
      <c r="AL704">
        <v>9.2602740000000003E-2</v>
      </c>
      <c r="AM704">
        <v>0.118161924</v>
      </c>
      <c r="AN704">
        <v>0.12042600000000001</v>
      </c>
      <c r="AO704">
        <v>92.572365000000005</v>
      </c>
      <c r="AP704">
        <v>90.739726000000005</v>
      </c>
      <c r="AQ704">
        <v>88.183807599999994</v>
      </c>
      <c r="AR704">
        <v>87.957400000000007</v>
      </c>
      <c r="AS704" t="b">
        <v>0</v>
      </c>
      <c r="AT704" t="b">
        <v>0</v>
      </c>
      <c r="AU704" t="s">
        <v>92</v>
      </c>
      <c r="AV704" t="s">
        <v>92</v>
      </c>
      <c r="AW704" t="s">
        <v>783</v>
      </c>
      <c r="AX704" t="s">
        <v>812</v>
      </c>
      <c r="AY704" t="s">
        <v>1081</v>
      </c>
      <c r="AZ704" t="s">
        <v>109</v>
      </c>
      <c r="BA704">
        <v>6</v>
      </c>
      <c r="BB704">
        <v>0.5</v>
      </c>
      <c r="BC704">
        <v>7.7070764999999999E-2</v>
      </c>
      <c r="BD704">
        <v>1.90190515067399E-3</v>
      </c>
      <c r="BE704">
        <v>7.8972670150673996E-2</v>
      </c>
      <c r="BF704">
        <f>IF(AK704&lt;BE704,1,0)</f>
        <v>1</v>
      </c>
      <c r="BG704">
        <f>IF(AK704&lt;BC704,1,0)</f>
        <v>1</v>
      </c>
      <c r="BH704">
        <f>VLOOKUP($B704,[1]Data_Peer_with_peerVars!$B$2:$Z$1050,20,FALSE)</f>
        <v>15</v>
      </c>
      <c r="BI704">
        <f>VLOOKUP($B704,[1]Data_Peer_with_peerVars!$B$2:$Z$1050,21,FALSE)</f>
        <v>7</v>
      </c>
      <c r="BJ704">
        <f>VLOOKUP($B704,[1]Data_Peer_with_peerVars!$B$2:$Z$1050,22,FALSE)</f>
        <v>0.46666666699999998</v>
      </c>
      <c r="BK704">
        <f>VLOOKUP($B704,[1]Data_Peer_with_peerVars!$B$2:$Z$1050,23,FALSE)</f>
        <v>67</v>
      </c>
      <c r="BL704">
        <f>VLOOKUP($B704,[1]Data_Peer_with_peerVars!$B$2:$Z$1050,24,FALSE)</f>
        <v>37</v>
      </c>
      <c r="BM704">
        <f>VLOOKUP($B704,[1]Data_Peer_with_peerVars!$B$2:$Z$1050,25,FALSE)</f>
        <v>0.55223880599999997</v>
      </c>
    </row>
    <row r="705" spans="1:65" x14ac:dyDescent="0.2">
      <c r="A705">
        <v>1</v>
      </c>
      <c r="B705" t="s">
        <v>1111</v>
      </c>
      <c r="C705">
        <v>404</v>
      </c>
      <c r="D705" t="s">
        <v>68</v>
      </c>
      <c r="E705">
        <v>0</v>
      </c>
      <c r="F705">
        <v>146</v>
      </c>
      <c r="G705" t="s">
        <v>97</v>
      </c>
      <c r="H705" s="1">
        <v>7</v>
      </c>
      <c r="I705" t="s">
        <v>87</v>
      </c>
      <c r="J705" t="s">
        <v>111</v>
      </c>
      <c r="K705" t="s">
        <v>109</v>
      </c>
      <c r="L705">
        <v>1</v>
      </c>
      <c r="M705">
        <v>1</v>
      </c>
      <c r="N705">
        <v>0</v>
      </c>
      <c r="O705">
        <v>0</v>
      </c>
      <c r="P705">
        <v>0</v>
      </c>
      <c r="Q705">
        <v>3</v>
      </c>
      <c r="R705">
        <v>0</v>
      </c>
      <c r="S705">
        <v>0</v>
      </c>
      <c r="T705">
        <v>0</v>
      </c>
      <c r="U705">
        <v>0</v>
      </c>
      <c r="V705">
        <f t="shared" si="288"/>
        <v>1</v>
      </c>
      <c r="W705">
        <v>1</v>
      </c>
      <c r="X705">
        <v>1</v>
      </c>
      <c r="Y705">
        <v>1</v>
      </c>
      <c r="Z705" t="s">
        <v>91</v>
      </c>
      <c r="AA705" s="5" t="s">
        <v>91</v>
      </c>
      <c r="AB705" s="5" t="s">
        <v>91</v>
      </c>
      <c r="AC705" t="s">
        <v>91</v>
      </c>
      <c r="AD705" t="s">
        <v>287</v>
      </c>
      <c r="AE705" s="5" t="s">
        <v>287</v>
      </c>
      <c r="AF705" t="s">
        <v>137</v>
      </c>
      <c r="AG705" t="s">
        <v>113</v>
      </c>
      <c r="AH705">
        <f t="shared" si="315"/>
        <v>6.8380739999999995E-2</v>
      </c>
      <c r="AI705">
        <f t="shared" si="316"/>
        <v>6.8380739999999995E-2</v>
      </c>
      <c r="AJ705">
        <f t="shared" si="291"/>
        <v>6.8380739999999995E-2</v>
      </c>
      <c r="AK705">
        <v>6.8380739999999995E-2</v>
      </c>
      <c r="AL705">
        <v>8.6338795999999995E-2</v>
      </c>
      <c r="AM705">
        <v>0.12069907000000001</v>
      </c>
      <c r="AN705">
        <v>0.13111600000000001</v>
      </c>
      <c r="AO705">
        <v>93.161925999999994</v>
      </c>
      <c r="AP705">
        <v>91.3661204</v>
      </c>
      <c r="AQ705">
        <v>87.930092999999999</v>
      </c>
      <c r="AR705">
        <v>86.888400000000004</v>
      </c>
      <c r="AS705" t="b">
        <v>1</v>
      </c>
      <c r="AT705" t="b">
        <v>0</v>
      </c>
      <c r="AU705" t="s">
        <v>77</v>
      </c>
      <c r="AV705" t="s">
        <v>77</v>
      </c>
      <c r="AW705" t="s">
        <v>783</v>
      </c>
      <c r="AX705" t="s">
        <v>812</v>
      </c>
      <c r="AY705" t="s">
        <v>1112</v>
      </c>
      <c r="AZ705" t="s">
        <v>109</v>
      </c>
      <c r="BA705">
        <v>5</v>
      </c>
      <c r="BB705">
        <v>3</v>
      </c>
      <c r="BC705">
        <v>9.0659339999999995E-3</v>
      </c>
      <c r="BD705">
        <v>2.76583658862385E-3</v>
      </c>
      <c r="BE705">
        <v>1.1831770588623799E-2</v>
      </c>
      <c r="BF705">
        <f>IF(AK705&lt;BE705,1,0)</f>
        <v>0</v>
      </c>
      <c r="BG705">
        <f>IF(AK705&lt;BC705,1,0)</f>
        <v>0</v>
      </c>
      <c r="BH705">
        <f>VLOOKUP($B705,[1]Data_Peer_with_peerVars!$B$2:$Z$1050,20,FALSE)</f>
        <v>5</v>
      </c>
      <c r="BI705">
        <f>VLOOKUP($B705,[1]Data_Peer_with_peerVars!$B$2:$Z$1050,21,FALSE)</f>
        <v>2</v>
      </c>
      <c r="BJ705">
        <f>VLOOKUP($B705,[1]Data_Peer_with_peerVars!$B$2:$Z$1050,22,FALSE)</f>
        <v>0.4</v>
      </c>
      <c r="BK705">
        <f>VLOOKUP($B705,[1]Data_Peer_with_peerVars!$B$2:$Z$1050,23,FALSE)</f>
        <v>60</v>
      </c>
      <c r="BL705">
        <f>VLOOKUP($B705,[1]Data_Peer_with_peerVars!$B$2:$Z$1050,24,FALSE)</f>
        <v>23</v>
      </c>
      <c r="BM705">
        <f>VLOOKUP($B705,[1]Data_Peer_with_peerVars!$B$2:$Z$1050,25,FALSE)</f>
        <v>0.383333333</v>
      </c>
    </row>
    <row r="706" spans="1:65" x14ac:dyDescent="0.2">
      <c r="A706">
        <v>1</v>
      </c>
      <c r="B706" t="s">
        <v>1113</v>
      </c>
      <c r="C706">
        <v>405</v>
      </c>
      <c r="D706" t="s">
        <v>68</v>
      </c>
      <c r="E706">
        <v>0</v>
      </c>
      <c r="F706">
        <v>147</v>
      </c>
      <c r="G706" t="s">
        <v>97</v>
      </c>
      <c r="H706" s="1">
        <v>7</v>
      </c>
      <c r="I706" t="s">
        <v>70</v>
      </c>
      <c r="J706" t="s">
        <v>436</v>
      </c>
      <c r="K706" t="s">
        <v>109</v>
      </c>
      <c r="L706">
        <v>1</v>
      </c>
      <c r="M706">
        <v>1</v>
      </c>
      <c r="N706">
        <v>1</v>
      </c>
      <c r="O706">
        <v>0</v>
      </c>
      <c r="P706">
        <v>0</v>
      </c>
      <c r="Q706">
        <v>6</v>
      </c>
      <c r="R706">
        <v>0</v>
      </c>
      <c r="S706">
        <v>0</v>
      </c>
      <c r="T706">
        <v>0</v>
      </c>
      <c r="U706">
        <v>0</v>
      </c>
      <c r="V706">
        <f t="shared" si="288"/>
        <v>1</v>
      </c>
      <c r="W706">
        <v>1</v>
      </c>
      <c r="X706">
        <v>1</v>
      </c>
      <c r="Y706">
        <v>1</v>
      </c>
      <c r="Z706" t="s">
        <v>91</v>
      </c>
      <c r="AA706" s="5" t="s">
        <v>91</v>
      </c>
      <c r="AB706" s="5" t="s">
        <v>91</v>
      </c>
      <c r="AC706" t="s">
        <v>91</v>
      </c>
      <c r="AD706" t="s">
        <v>287</v>
      </c>
      <c r="AE706" s="5" t="s">
        <v>287</v>
      </c>
      <c r="AF706" t="s">
        <v>137</v>
      </c>
      <c r="AG706" t="s">
        <v>84</v>
      </c>
      <c r="AH706">
        <f t="shared" si="315"/>
        <v>3.5577450000000002E-3</v>
      </c>
      <c r="AI706">
        <f t="shared" si="316"/>
        <v>3.5577450000000002E-3</v>
      </c>
      <c r="AJ706">
        <f t="shared" si="291"/>
        <v>3.5577450000000002E-3</v>
      </c>
      <c r="AK706">
        <v>3.5577450000000002E-3</v>
      </c>
      <c r="AL706">
        <v>0.12171772</v>
      </c>
      <c r="AM706">
        <v>0.12957900999999999</v>
      </c>
      <c r="AN706">
        <v>0.13338833999999999</v>
      </c>
      <c r="AO706">
        <v>99.644225500000005</v>
      </c>
      <c r="AP706">
        <v>87.828227999999996</v>
      </c>
      <c r="AQ706">
        <v>87.042098999999993</v>
      </c>
      <c r="AR706">
        <v>86.661165999999994</v>
      </c>
      <c r="AS706" t="b">
        <v>1</v>
      </c>
      <c r="AT706" t="b">
        <v>0</v>
      </c>
      <c r="AU706" t="s">
        <v>77</v>
      </c>
      <c r="AV706" t="s">
        <v>78</v>
      </c>
      <c r="AW706" t="s">
        <v>783</v>
      </c>
      <c r="AX706" t="s">
        <v>812</v>
      </c>
      <c r="AY706" t="s">
        <v>1088</v>
      </c>
      <c r="AZ706" t="s">
        <v>109</v>
      </c>
      <c r="BA706">
        <v>2</v>
      </c>
      <c r="BB706">
        <v>2.5</v>
      </c>
      <c r="BC706">
        <v>9.0659339999999995E-3</v>
      </c>
      <c r="BD706">
        <v>2.76583658862385E-3</v>
      </c>
      <c r="BE706">
        <v>1.1831770588623799E-2</v>
      </c>
      <c r="BF706">
        <f>IF(AK706&lt;BE706,1,0)</f>
        <v>1</v>
      </c>
      <c r="BG706">
        <f>IF(AK706&lt;BC706,1,0)</f>
        <v>1</v>
      </c>
      <c r="BH706">
        <f>VLOOKUP($B706,[1]Data_Peer_with_peerVars!$B$2:$Z$1050,20,FALSE)</f>
        <v>3</v>
      </c>
      <c r="BI706">
        <f>VLOOKUP($B706,[1]Data_Peer_with_peerVars!$B$2:$Z$1050,21,FALSE)</f>
        <v>1</v>
      </c>
      <c r="BJ706">
        <f>VLOOKUP($B706,[1]Data_Peer_with_peerVars!$B$2:$Z$1050,22,FALSE)</f>
        <v>0.33333333300000001</v>
      </c>
      <c r="BK706">
        <f>VLOOKUP($B706,[1]Data_Peer_with_peerVars!$B$2:$Z$1050,23,FALSE)</f>
        <v>32</v>
      </c>
      <c r="BL706">
        <f>VLOOKUP($B706,[1]Data_Peer_with_peerVars!$B$2:$Z$1050,24,FALSE)</f>
        <v>9</v>
      </c>
      <c r="BM706">
        <f>VLOOKUP($B706,[1]Data_Peer_with_peerVars!$B$2:$Z$1050,25,FALSE)</f>
        <v>0.28125</v>
      </c>
    </row>
    <row r="707" spans="1:65" x14ac:dyDescent="0.2">
      <c r="A707">
        <v>1</v>
      </c>
      <c r="B707" t="s">
        <v>1114</v>
      </c>
      <c r="C707">
        <v>405</v>
      </c>
      <c r="D707" t="s">
        <v>68</v>
      </c>
      <c r="E707">
        <v>0</v>
      </c>
      <c r="F707">
        <v>147</v>
      </c>
      <c r="G707" t="s">
        <v>97</v>
      </c>
      <c r="H707" s="1">
        <v>7</v>
      </c>
      <c r="I707" t="s">
        <v>70</v>
      </c>
      <c r="J707" t="s">
        <v>436</v>
      </c>
      <c r="K707" t="s">
        <v>109</v>
      </c>
      <c r="L707">
        <v>1</v>
      </c>
      <c r="M707">
        <v>1</v>
      </c>
      <c r="N707">
        <v>1</v>
      </c>
      <c r="O707">
        <v>0</v>
      </c>
      <c r="P707">
        <v>0</v>
      </c>
      <c r="Q707">
        <v>6</v>
      </c>
      <c r="R707">
        <v>0</v>
      </c>
      <c r="S707">
        <v>0</v>
      </c>
      <c r="T707">
        <v>0</v>
      </c>
      <c r="U707">
        <v>0</v>
      </c>
      <c r="V707">
        <f t="shared" ref="V707:V770" si="317">IF(Z707=AC707,1,0)</f>
        <v>0</v>
      </c>
      <c r="W707">
        <f t="shared" ref="W707:W770" si="318">IF(Z707=AD707,1,0)</f>
        <v>0</v>
      </c>
      <c r="X707">
        <f t="shared" si="292"/>
        <v>0</v>
      </c>
      <c r="Y707">
        <f t="shared" ref="Y707:Y770" si="319">IF(Z707=AG707,1,0)</f>
        <v>0</v>
      </c>
      <c r="Z707" t="s">
        <v>76</v>
      </c>
      <c r="AA707" s="5" t="s">
        <v>76</v>
      </c>
      <c r="AB707" s="5" t="s">
        <v>76</v>
      </c>
      <c r="AC707" t="s">
        <v>73</v>
      </c>
      <c r="AD707" t="s">
        <v>137</v>
      </c>
      <c r="AE707" s="5" t="s">
        <v>497</v>
      </c>
      <c r="AF707" t="s">
        <v>287</v>
      </c>
      <c r="AG707" t="s">
        <v>113</v>
      </c>
      <c r="AH707">
        <f>AI707</f>
        <v>0.105779715</v>
      </c>
      <c r="AI707">
        <f>AJ707</f>
        <v>0.105779715</v>
      </c>
      <c r="AJ707">
        <f t="shared" ref="AJ707:AJ770" si="320">AK707</f>
        <v>0.105779715</v>
      </c>
      <c r="AK707">
        <v>0.105779715</v>
      </c>
      <c r="AL707">
        <v>0.12745634</v>
      </c>
      <c r="AM707">
        <v>0.13155022</v>
      </c>
      <c r="AN707">
        <v>0.14607358000000001</v>
      </c>
      <c r="AO707">
        <v>89.422028499999996</v>
      </c>
      <c r="AP707">
        <v>87.254366000000005</v>
      </c>
      <c r="AQ707">
        <v>86.844977999999998</v>
      </c>
      <c r="AR707">
        <v>85.392641999999995</v>
      </c>
      <c r="AS707" t="b">
        <v>0</v>
      </c>
      <c r="AT707" t="b">
        <v>0</v>
      </c>
      <c r="AU707" t="s">
        <v>78</v>
      </c>
      <c r="AV707" t="s">
        <v>108</v>
      </c>
      <c r="AW707" t="s">
        <v>783</v>
      </c>
      <c r="AX707" t="s">
        <v>812</v>
      </c>
      <c r="AY707" t="s">
        <v>1088</v>
      </c>
      <c r="AZ707" t="s">
        <v>109</v>
      </c>
      <c r="BA707">
        <v>2</v>
      </c>
      <c r="BB707">
        <v>4.5</v>
      </c>
      <c r="BC707">
        <v>4.1163553999999996E-3</v>
      </c>
      <c r="BD707">
        <v>1.4279989108178799E-4</v>
      </c>
      <c r="BE707">
        <v>4.2591552910817903E-3</v>
      </c>
      <c r="BF707">
        <f>IF(AK707&lt;BE707,1,0)</f>
        <v>0</v>
      </c>
      <c r="BG707">
        <f>IF(AK707&lt;BC707,1,0)</f>
        <v>0</v>
      </c>
      <c r="BH707">
        <f>VLOOKUP($B707,[1]Data_Peer_with_peerVars!$B$2:$Z$1050,20,FALSE)</f>
        <v>3</v>
      </c>
      <c r="BI707">
        <f>VLOOKUP($B707,[1]Data_Peer_with_peerVars!$B$2:$Z$1050,21,FALSE)</f>
        <v>1</v>
      </c>
      <c r="BJ707">
        <f>VLOOKUP($B707,[1]Data_Peer_with_peerVars!$B$2:$Z$1050,22,FALSE)</f>
        <v>0.33333333300000001</v>
      </c>
      <c r="BK707">
        <f>VLOOKUP($B707,[1]Data_Peer_with_peerVars!$B$2:$Z$1050,23,FALSE)</f>
        <v>32</v>
      </c>
      <c r="BL707">
        <f>VLOOKUP($B707,[1]Data_Peer_with_peerVars!$B$2:$Z$1050,24,FALSE)</f>
        <v>9</v>
      </c>
      <c r="BM707">
        <f>VLOOKUP($B707,[1]Data_Peer_with_peerVars!$B$2:$Z$1050,25,FALSE)</f>
        <v>0.28125</v>
      </c>
    </row>
    <row r="708" spans="1:65" x14ac:dyDescent="0.2">
      <c r="A708">
        <v>1</v>
      </c>
      <c r="B708" t="s">
        <v>1115</v>
      </c>
      <c r="C708">
        <v>406</v>
      </c>
      <c r="D708" t="s">
        <v>68</v>
      </c>
      <c r="E708">
        <v>1</v>
      </c>
      <c r="F708">
        <v>97</v>
      </c>
      <c r="G708" t="s">
        <v>69</v>
      </c>
      <c r="H708" s="1">
        <v>0</v>
      </c>
      <c r="I708" t="s">
        <v>87</v>
      </c>
      <c r="J708" t="s">
        <v>820</v>
      </c>
      <c r="K708" t="s">
        <v>72</v>
      </c>
      <c r="L708">
        <v>1</v>
      </c>
      <c r="M708">
        <v>0</v>
      </c>
      <c r="N708">
        <v>0</v>
      </c>
      <c r="O708">
        <v>0</v>
      </c>
      <c r="P708">
        <v>0</v>
      </c>
      <c r="Q708">
        <v>6</v>
      </c>
      <c r="R708">
        <v>0</v>
      </c>
      <c r="S708">
        <v>0</v>
      </c>
      <c r="T708">
        <v>0</v>
      </c>
      <c r="U708">
        <v>0</v>
      </c>
      <c r="V708">
        <f t="shared" si="317"/>
        <v>1</v>
      </c>
      <c r="W708">
        <v>1</v>
      </c>
      <c r="X708">
        <v>1</v>
      </c>
      <c r="Y708">
        <v>1</v>
      </c>
      <c r="Z708" t="s">
        <v>73</v>
      </c>
      <c r="AA708" s="5" t="s">
        <v>73</v>
      </c>
      <c r="AB708" s="5" t="s">
        <v>73</v>
      </c>
      <c r="AC708" t="s">
        <v>73</v>
      </c>
      <c r="AD708" t="s">
        <v>74</v>
      </c>
      <c r="AE708" s="5" t="s">
        <v>1116</v>
      </c>
      <c r="AF708" t="s">
        <v>75</v>
      </c>
      <c r="AG708" t="s">
        <v>94</v>
      </c>
      <c r="AH708">
        <f>AI708</f>
        <v>3.3024017000000003E-2</v>
      </c>
      <c r="AI708">
        <f>AJ708</f>
        <v>3.3024017000000003E-2</v>
      </c>
      <c r="AJ708">
        <f t="shared" si="320"/>
        <v>3.3024017000000003E-2</v>
      </c>
      <c r="AK708">
        <v>3.3024017000000003E-2</v>
      </c>
      <c r="AL708">
        <v>0.12726276</v>
      </c>
      <c r="AM708">
        <v>0.13006572</v>
      </c>
      <c r="AN708">
        <v>0.13306011000000001</v>
      </c>
      <c r="AO708">
        <v>96.697598299999996</v>
      </c>
      <c r="AP708">
        <v>87.273724000000001</v>
      </c>
      <c r="AQ708">
        <v>86.993427999999994</v>
      </c>
      <c r="AR708">
        <v>86.693989000000002</v>
      </c>
      <c r="AS708" t="b">
        <v>1</v>
      </c>
      <c r="AT708" t="b">
        <v>0</v>
      </c>
      <c r="AU708" t="s">
        <v>77</v>
      </c>
      <c r="AV708" t="s">
        <v>108</v>
      </c>
      <c r="AW708" t="s">
        <v>783</v>
      </c>
      <c r="AX708" t="s">
        <v>812</v>
      </c>
      <c r="AY708" t="s">
        <v>1117</v>
      </c>
      <c r="AZ708" t="s">
        <v>72</v>
      </c>
      <c r="BA708" t="s">
        <v>82</v>
      </c>
      <c r="BB708">
        <v>0.7</v>
      </c>
      <c r="BC708">
        <v>4.1163553999999996E-3</v>
      </c>
      <c r="BD708">
        <v>1.4279989108178799E-4</v>
      </c>
      <c r="BE708">
        <v>4.2591552910817903E-3</v>
      </c>
      <c r="BF708">
        <f>IF(AK708&lt;BE708,1,0)</f>
        <v>0</v>
      </c>
      <c r="BG708">
        <f>IF(AK708&lt;BC708,1,0)</f>
        <v>0</v>
      </c>
      <c r="BH708">
        <f>VLOOKUP($B708,[1]Data_Peer_with_peerVars!$B$2:$Z$1050,20,FALSE)</f>
        <v>4</v>
      </c>
      <c r="BI708">
        <f>VLOOKUP($B708,[1]Data_Peer_with_peerVars!$B$2:$Z$1050,21,FALSE)</f>
        <v>2</v>
      </c>
      <c r="BJ708">
        <f>VLOOKUP($B708,[1]Data_Peer_with_peerVars!$B$2:$Z$1050,22,FALSE)</f>
        <v>0.5</v>
      </c>
      <c r="BK708">
        <f>VLOOKUP($B708,[1]Data_Peer_with_peerVars!$B$2:$Z$1050,23,FALSE)</f>
        <v>44</v>
      </c>
      <c r="BL708">
        <f>VLOOKUP($B708,[1]Data_Peer_with_peerVars!$B$2:$Z$1050,24,FALSE)</f>
        <v>22</v>
      </c>
      <c r="BM708">
        <f>VLOOKUP($B708,[1]Data_Peer_with_peerVars!$B$2:$Z$1050,25,FALSE)</f>
        <v>0.5</v>
      </c>
    </row>
    <row r="709" spans="1:65" x14ac:dyDescent="0.2">
      <c r="A709">
        <v>1</v>
      </c>
      <c r="B709" t="s">
        <v>1118</v>
      </c>
      <c r="C709">
        <v>406</v>
      </c>
      <c r="D709" t="s">
        <v>68</v>
      </c>
      <c r="E709">
        <v>1</v>
      </c>
      <c r="F709">
        <v>97</v>
      </c>
      <c r="G709" t="s">
        <v>69</v>
      </c>
      <c r="H709" s="1">
        <v>0</v>
      </c>
      <c r="I709" t="s">
        <v>87</v>
      </c>
      <c r="J709" t="s">
        <v>820</v>
      </c>
      <c r="K709" t="s">
        <v>72</v>
      </c>
      <c r="L709">
        <v>1</v>
      </c>
      <c r="M709">
        <v>0</v>
      </c>
      <c r="N709">
        <v>0</v>
      </c>
      <c r="O709">
        <v>0</v>
      </c>
      <c r="P709">
        <v>0</v>
      </c>
      <c r="Q709">
        <v>6</v>
      </c>
      <c r="R709">
        <v>0</v>
      </c>
      <c r="S709">
        <v>1</v>
      </c>
      <c r="T709">
        <v>1</v>
      </c>
      <c r="U709">
        <v>1</v>
      </c>
      <c r="V709">
        <f t="shared" si="317"/>
        <v>0</v>
      </c>
      <c r="W709">
        <f t="shared" si="318"/>
        <v>0</v>
      </c>
      <c r="X709">
        <f t="shared" ref="X709:X770" si="321">IF(Z709=AF709,1,0)</f>
        <v>0</v>
      </c>
      <c r="Y709">
        <f t="shared" si="319"/>
        <v>0</v>
      </c>
      <c r="Z709" t="s">
        <v>89</v>
      </c>
      <c r="AA709" s="5" t="s">
        <v>273</v>
      </c>
      <c r="AB709" s="5" t="s">
        <v>1023</v>
      </c>
      <c r="AC709" t="s">
        <v>76</v>
      </c>
      <c r="AD709" t="s">
        <v>196</v>
      </c>
      <c r="AE709" s="5" t="s">
        <v>1119</v>
      </c>
      <c r="AF709" t="s">
        <v>74</v>
      </c>
      <c r="AG709" t="s">
        <v>173</v>
      </c>
      <c r="AH709">
        <f t="shared" ref="AH709:AH710" si="322">AI709</f>
        <v>0.11460613</v>
      </c>
      <c r="AI709">
        <f t="shared" ref="AI709:AI710" si="323">AJ709</f>
        <v>0.11460613</v>
      </c>
      <c r="AJ709">
        <f t="shared" si="320"/>
        <v>0.11460613</v>
      </c>
      <c r="AK709">
        <v>0.11460613</v>
      </c>
      <c r="AL709">
        <v>0.11663008</v>
      </c>
      <c r="AM709">
        <v>0.12047201</v>
      </c>
      <c r="AN709">
        <v>0.12206445</v>
      </c>
      <c r="AO709">
        <v>88.539387000000005</v>
      </c>
      <c r="AP709">
        <v>88.336991999999995</v>
      </c>
      <c r="AQ709">
        <v>87.952798999999999</v>
      </c>
      <c r="AR709">
        <v>87.793554999999998</v>
      </c>
      <c r="AS709" t="b">
        <v>0</v>
      </c>
      <c r="AT709" t="b">
        <v>0</v>
      </c>
      <c r="AU709" t="s">
        <v>92</v>
      </c>
      <c r="AV709" t="s">
        <v>92</v>
      </c>
      <c r="AW709" t="s">
        <v>783</v>
      </c>
      <c r="AX709" t="s">
        <v>812</v>
      </c>
      <c r="AY709" t="s">
        <v>1117</v>
      </c>
      <c r="AZ709" t="s">
        <v>72</v>
      </c>
      <c r="BA709" t="s">
        <v>82</v>
      </c>
      <c r="BB709">
        <v>0.35</v>
      </c>
      <c r="BC709">
        <v>7.7070764999999999E-2</v>
      </c>
      <c r="BD709">
        <v>1.90190515067399E-3</v>
      </c>
      <c r="BE709">
        <v>7.8972670150673996E-2</v>
      </c>
      <c r="BF709">
        <f>IF(AK709&lt;BE709,1,0)</f>
        <v>0</v>
      </c>
      <c r="BG709">
        <f>IF(AK709&lt;BC709,1,0)</f>
        <v>0</v>
      </c>
      <c r="BH709">
        <f>VLOOKUP($B709,[1]Data_Peer_with_peerVars!$B$2:$Z$1050,20,FALSE)</f>
        <v>4</v>
      </c>
      <c r="BI709">
        <f>VLOOKUP($B709,[1]Data_Peer_with_peerVars!$B$2:$Z$1050,21,FALSE)</f>
        <v>2</v>
      </c>
      <c r="BJ709">
        <f>VLOOKUP($B709,[1]Data_Peer_with_peerVars!$B$2:$Z$1050,22,FALSE)</f>
        <v>0.5</v>
      </c>
      <c r="BK709">
        <f>VLOOKUP($B709,[1]Data_Peer_with_peerVars!$B$2:$Z$1050,23,FALSE)</f>
        <v>44</v>
      </c>
      <c r="BL709">
        <f>VLOOKUP($B709,[1]Data_Peer_with_peerVars!$B$2:$Z$1050,24,FALSE)</f>
        <v>22</v>
      </c>
      <c r="BM709">
        <f>VLOOKUP($B709,[1]Data_Peer_with_peerVars!$B$2:$Z$1050,25,FALSE)</f>
        <v>0.5</v>
      </c>
    </row>
    <row r="710" spans="1:65" x14ac:dyDescent="0.2">
      <c r="A710">
        <v>1</v>
      </c>
      <c r="B710" t="s">
        <v>1120</v>
      </c>
      <c r="C710">
        <v>407</v>
      </c>
      <c r="D710" t="s">
        <v>68</v>
      </c>
      <c r="E710">
        <v>1</v>
      </c>
      <c r="F710">
        <v>102</v>
      </c>
      <c r="G710" t="s">
        <v>86</v>
      </c>
      <c r="H710" s="1">
        <v>5.5</v>
      </c>
      <c r="I710" t="s">
        <v>87</v>
      </c>
      <c r="J710" t="s">
        <v>111</v>
      </c>
      <c r="K710" t="s">
        <v>109</v>
      </c>
      <c r="L710">
        <v>1</v>
      </c>
      <c r="M710">
        <v>0</v>
      </c>
      <c r="N710">
        <v>0</v>
      </c>
      <c r="O710">
        <v>1</v>
      </c>
      <c r="P710">
        <v>0</v>
      </c>
      <c r="Q710">
        <v>0</v>
      </c>
      <c r="R710">
        <v>0</v>
      </c>
      <c r="S710">
        <v>0</v>
      </c>
      <c r="T710">
        <v>0</v>
      </c>
      <c r="U710">
        <v>0</v>
      </c>
      <c r="V710">
        <f t="shared" si="317"/>
        <v>0</v>
      </c>
      <c r="W710">
        <f t="shared" si="318"/>
        <v>0</v>
      </c>
      <c r="X710">
        <f t="shared" si="321"/>
        <v>0</v>
      </c>
      <c r="Y710">
        <f t="shared" si="319"/>
        <v>0</v>
      </c>
      <c r="Z710" t="s">
        <v>91</v>
      </c>
      <c r="AA710" s="5" t="s">
        <v>91</v>
      </c>
      <c r="AB710" s="5" t="s">
        <v>998</v>
      </c>
      <c r="AC710" t="s">
        <v>137</v>
      </c>
      <c r="AD710" t="s">
        <v>103</v>
      </c>
      <c r="AE710" s="5" t="s">
        <v>1121</v>
      </c>
      <c r="AF710" t="s">
        <v>113</v>
      </c>
      <c r="AG710" t="s">
        <v>287</v>
      </c>
      <c r="AH710">
        <f t="shared" si="322"/>
        <v>9.8087430000000003E-2</v>
      </c>
      <c r="AI710">
        <f t="shared" si="323"/>
        <v>9.8087430000000003E-2</v>
      </c>
      <c r="AJ710">
        <f t="shared" si="320"/>
        <v>9.8087430000000003E-2</v>
      </c>
      <c r="AK710">
        <v>9.8087430000000003E-2</v>
      </c>
      <c r="AL710">
        <v>0.113774106</v>
      </c>
      <c r="AM710">
        <v>0.119505495</v>
      </c>
      <c r="AN710">
        <v>0.12185792600000001</v>
      </c>
      <c r="AO710">
        <v>90.191256999999993</v>
      </c>
      <c r="AP710">
        <v>88.622589399999995</v>
      </c>
      <c r="AQ710">
        <v>88.049450500000006</v>
      </c>
      <c r="AR710">
        <v>87.814207400000001</v>
      </c>
      <c r="AS710" t="b">
        <v>0</v>
      </c>
      <c r="AT710" t="b">
        <v>0</v>
      </c>
      <c r="AU710" t="s">
        <v>108</v>
      </c>
      <c r="AV710" t="s">
        <v>108</v>
      </c>
      <c r="AW710" t="s">
        <v>783</v>
      </c>
      <c r="AX710" t="s">
        <v>812</v>
      </c>
      <c r="AY710" t="s">
        <v>1117</v>
      </c>
      <c r="AZ710" t="s">
        <v>109</v>
      </c>
      <c r="BA710">
        <v>20</v>
      </c>
      <c r="BB710">
        <v>1</v>
      </c>
      <c r="BC710">
        <v>5.4824560000000001E-2</v>
      </c>
      <c r="BD710">
        <v>2.68252196314279E-2</v>
      </c>
      <c r="BE710">
        <v>8.1649779631427902E-2</v>
      </c>
      <c r="BF710">
        <f>IF(AK710&lt;BE710,1,0)</f>
        <v>0</v>
      </c>
      <c r="BG710">
        <f>IF(AK710&lt;BC710,1,0)</f>
        <v>0</v>
      </c>
      <c r="BH710">
        <f>VLOOKUP($B710,[1]Data_Peer_with_peerVars!$B$2:$Z$1050,20,FALSE)</f>
        <v>7</v>
      </c>
      <c r="BI710">
        <f>VLOOKUP($B710,[1]Data_Peer_with_peerVars!$B$2:$Z$1050,21,FALSE)</f>
        <v>4</v>
      </c>
      <c r="BJ710">
        <f>VLOOKUP($B710,[1]Data_Peer_with_peerVars!$B$2:$Z$1050,22,FALSE)</f>
        <v>0.571428571</v>
      </c>
      <c r="BK710">
        <f>VLOOKUP($B710,[1]Data_Peer_with_peerVars!$B$2:$Z$1050,23,FALSE)</f>
        <v>46</v>
      </c>
      <c r="BL710">
        <f>VLOOKUP($B710,[1]Data_Peer_with_peerVars!$B$2:$Z$1050,24,FALSE)</f>
        <v>24</v>
      </c>
      <c r="BM710">
        <f>VLOOKUP($B710,[1]Data_Peer_with_peerVars!$B$2:$Z$1050,25,FALSE)</f>
        <v>0.52173913000000005</v>
      </c>
    </row>
    <row r="711" spans="1:65" x14ac:dyDescent="0.2">
      <c r="A711">
        <v>1</v>
      </c>
      <c r="B711" t="s">
        <v>1122</v>
      </c>
      <c r="C711">
        <v>408</v>
      </c>
      <c r="D711" t="s">
        <v>68</v>
      </c>
      <c r="E711">
        <v>0</v>
      </c>
      <c r="F711">
        <v>101</v>
      </c>
      <c r="G711" t="s">
        <v>97</v>
      </c>
      <c r="H711" s="1">
        <v>7</v>
      </c>
      <c r="I711" t="s">
        <v>87</v>
      </c>
      <c r="J711" t="s">
        <v>111</v>
      </c>
      <c r="K711" t="s">
        <v>109</v>
      </c>
      <c r="L711">
        <v>1</v>
      </c>
      <c r="M711">
        <v>0</v>
      </c>
      <c r="N711">
        <v>1</v>
      </c>
      <c r="O711">
        <v>0</v>
      </c>
      <c r="P711">
        <v>0</v>
      </c>
      <c r="Q711">
        <v>11</v>
      </c>
      <c r="R711">
        <v>0</v>
      </c>
      <c r="S711">
        <v>0</v>
      </c>
      <c r="T711">
        <v>1</v>
      </c>
      <c r="U711">
        <v>1</v>
      </c>
      <c r="V711">
        <f t="shared" si="317"/>
        <v>1</v>
      </c>
      <c r="W711">
        <v>1</v>
      </c>
      <c r="X711">
        <v>1</v>
      </c>
      <c r="Y711">
        <v>1</v>
      </c>
      <c r="Z711" t="s">
        <v>73</v>
      </c>
      <c r="AA711" s="5" t="s">
        <v>73</v>
      </c>
      <c r="AB711" s="5" t="s">
        <v>73</v>
      </c>
      <c r="AC711" t="s">
        <v>73</v>
      </c>
      <c r="AD711" t="s">
        <v>94</v>
      </c>
      <c r="AE711" s="5" t="s">
        <v>106</v>
      </c>
      <c r="AF711" t="s">
        <v>107</v>
      </c>
      <c r="AG711" t="s">
        <v>95</v>
      </c>
      <c r="AH711">
        <f>AI711</f>
        <v>3.8230475000000002E-3</v>
      </c>
      <c r="AI711">
        <f>AJ711</f>
        <v>3.8230475000000002E-3</v>
      </c>
      <c r="AJ711">
        <f t="shared" si="320"/>
        <v>3.8230475000000002E-3</v>
      </c>
      <c r="AK711">
        <v>3.8230475000000002E-3</v>
      </c>
      <c r="AL711">
        <v>0.13191022999999999</v>
      </c>
      <c r="AM711">
        <v>0.13611417000000001</v>
      </c>
      <c r="AN711">
        <v>0.13890411</v>
      </c>
      <c r="AO711">
        <v>99.617695249999997</v>
      </c>
      <c r="AP711">
        <v>86.808976999999999</v>
      </c>
      <c r="AQ711">
        <v>86.388582999999997</v>
      </c>
      <c r="AR711">
        <v>86.109589</v>
      </c>
      <c r="AS711" t="b">
        <v>1</v>
      </c>
      <c r="AT711" t="b">
        <v>0</v>
      </c>
      <c r="AU711" t="s">
        <v>77</v>
      </c>
      <c r="AV711" t="s">
        <v>108</v>
      </c>
      <c r="AW711" t="s">
        <v>783</v>
      </c>
      <c r="AX711" t="s">
        <v>812</v>
      </c>
      <c r="AY711" t="s">
        <v>1117</v>
      </c>
      <c r="AZ711" t="s">
        <v>109</v>
      </c>
      <c r="BA711">
        <v>2</v>
      </c>
      <c r="BB711">
        <v>2.5</v>
      </c>
      <c r="BC711">
        <v>4.1163553999999996E-3</v>
      </c>
      <c r="BD711">
        <v>1.4279989108178799E-4</v>
      </c>
      <c r="BE711">
        <v>4.2591552910817903E-3</v>
      </c>
      <c r="BF711">
        <f>IF(AK711&lt;BE711,1,0)</f>
        <v>1</v>
      </c>
      <c r="BG711">
        <f>IF(AK711&lt;BC711,1,0)</f>
        <v>1</v>
      </c>
      <c r="BH711">
        <f>VLOOKUP($B711,[1]Data_Peer_with_peerVars!$B$2:$Z$1050,20,FALSE)</f>
        <v>3</v>
      </c>
      <c r="BI711">
        <f>VLOOKUP($B711,[1]Data_Peer_with_peerVars!$B$2:$Z$1050,21,FALSE)</f>
        <v>1</v>
      </c>
      <c r="BJ711">
        <f>VLOOKUP($B711,[1]Data_Peer_with_peerVars!$B$2:$Z$1050,22,FALSE)</f>
        <v>0.33333333300000001</v>
      </c>
      <c r="BK711">
        <f>VLOOKUP($B711,[1]Data_Peer_with_peerVars!$B$2:$Z$1050,23,FALSE)</f>
        <v>41</v>
      </c>
      <c r="BL711">
        <f>VLOOKUP($B711,[1]Data_Peer_with_peerVars!$B$2:$Z$1050,24,FALSE)</f>
        <v>23</v>
      </c>
      <c r="BM711">
        <f>VLOOKUP($B711,[1]Data_Peer_with_peerVars!$B$2:$Z$1050,25,FALSE)</f>
        <v>0.56097560999999996</v>
      </c>
    </row>
    <row r="712" spans="1:65" x14ac:dyDescent="0.2">
      <c r="A712">
        <v>1</v>
      </c>
      <c r="B712" t="s">
        <v>1123</v>
      </c>
      <c r="C712">
        <v>408</v>
      </c>
      <c r="D712" t="s">
        <v>68</v>
      </c>
      <c r="E712">
        <v>0</v>
      </c>
      <c r="F712">
        <v>101</v>
      </c>
      <c r="G712" t="s">
        <v>97</v>
      </c>
      <c r="H712" s="1">
        <v>7</v>
      </c>
      <c r="I712" t="s">
        <v>87</v>
      </c>
      <c r="J712" t="s">
        <v>111</v>
      </c>
      <c r="K712" t="s">
        <v>109</v>
      </c>
      <c r="L712">
        <v>1</v>
      </c>
      <c r="M712">
        <v>0</v>
      </c>
      <c r="N712">
        <v>1</v>
      </c>
      <c r="O712">
        <v>0</v>
      </c>
      <c r="P712">
        <v>0</v>
      </c>
      <c r="Q712">
        <v>11</v>
      </c>
      <c r="R712">
        <v>0</v>
      </c>
      <c r="S712">
        <v>0</v>
      </c>
      <c r="T712">
        <v>0</v>
      </c>
      <c r="U712">
        <v>0</v>
      </c>
      <c r="V712">
        <f t="shared" si="317"/>
        <v>0</v>
      </c>
      <c r="W712">
        <f t="shared" si="318"/>
        <v>0</v>
      </c>
      <c r="X712">
        <f t="shared" si="321"/>
        <v>0</v>
      </c>
      <c r="Y712">
        <f t="shared" si="319"/>
        <v>0</v>
      </c>
      <c r="Z712" t="s">
        <v>177</v>
      </c>
      <c r="AA712" s="5" t="s">
        <v>107</v>
      </c>
      <c r="AB712" s="5" t="s">
        <v>1124</v>
      </c>
      <c r="AC712" t="s">
        <v>76</v>
      </c>
      <c r="AD712" t="s">
        <v>74</v>
      </c>
      <c r="AE712" s="5" t="s">
        <v>142</v>
      </c>
      <c r="AF712" t="s">
        <v>120</v>
      </c>
      <c r="AG712" t="s">
        <v>75</v>
      </c>
      <c r="AH712">
        <f t="shared" ref="AH712:AH713" si="324">AI712</f>
        <v>8.3060110000000006E-2</v>
      </c>
      <c r="AI712">
        <f t="shared" ref="AI712:AI713" si="325">AJ712</f>
        <v>8.3060110000000006E-2</v>
      </c>
      <c r="AJ712">
        <f t="shared" si="320"/>
        <v>8.3060110000000006E-2</v>
      </c>
      <c r="AK712">
        <v>8.3060110000000006E-2</v>
      </c>
      <c r="AL712">
        <v>8.6074559999999994E-2</v>
      </c>
      <c r="AM712">
        <v>0.116183706</v>
      </c>
      <c r="AN712">
        <v>0.11713191000000001</v>
      </c>
      <c r="AO712">
        <v>91.693989000000002</v>
      </c>
      <c r="AP712">
        <v>91.392544000000001</v>
      </c>
      <c r="AQ712">
        <v>88.381629399999994</v>
      </c>
      <c r="AR712">
        <v>88.286809000000005</v>
      </c>
      <c r="AS712" t="b">
        <v>0</v>
      </c>
      <c r="AT712" t="b">
        <v>0</v>
      </c>
      <c r="AU712" t="s">
        <v>108</v>
      </c>
      <c r="AV712" t="s">
        <v>108</v>
      </c>
      <c r="AW712" t="s">
        <v>783</v>
      </c>
      <c r="AX712" t="s">
        <v>812</v>
      </c>
      <c r="AY712" t="s">
        <v>1117</v>
      </c>
      <c r="AZ712" t="s">
        <v>72</v>
      </c>
      <c r="BA712" t="s">
        <v>82</v>
      </c>
      <c r="BB712">
        <v>0.28000000000000003</v>
      </c>
      <c r="BC712">
        <v>7.7070764999999999E-2</v>
      </c>
      <c r="BD712">
        <v>1.90190515067399E-3</v>
      </c>
      <c r="BE712">
        <v>7.8972670150673996E-2</v>
      </c>
      <c r="BF712">
        <f>IF(AK712&lt;BE712,1,0)</f>
        <v>0</v>
      </c>
      <c r="BG712">
        <f>IF(AK712&lt;BC712,1,0)</f>
        <v>0</v>
      </c>
      <c r="BH712">
        <f>VLOOKUP($B712,[1]Data_Peer_with_peerVars!$B$2:$Z$1050,20,FALSE)</f>
        <v>3</v>
      </c>
      <c r="BI712">
        <f>VLOOKUP($B712,[1]Data_Peer_with_peerVars!$B$2:$Z$1050,21,FALSE)</f>
        <v>1</v>
      </c>
      <c r="BJ712">
        <f>VLOOKUP($B712,[1]Data_Peer_with_peerVars!$B$2:$Z$1050,22,FALSE)</f>
        <v>0.33333333300000001</v>
      </c>
      <c r="BK712">
        <f>VLOOKUP($B712,[1]Data_Peer_with_peerVars!$B$2:$Z$1050,23,FALSE)</f>
        <v>41</v>
      </c>
      <c r="BL712">
        <f>VLOOKUP($B712,[1]Data_Peer_with_peerVars!$B$2:$Z$1050,24,FALSE)</f>
        <v>23</v>
      </c>
      <c r="BM712">
        <f>VLOOKUP($B712,[1]Data_Peer_with_peerVars!$B$2:$Z$1050,25,FALSE)</f>
        <v>0.56097560999999996</v>
      </c>
    </row>
    <row r="713" spans="1:65" x14ac:dyDescent="0.2">
      <c r="A713">
        <v>1</v>
      </c>
      <c r="B713" t="s">
        <v>1125</v>
      </c>
      <c r="C713">
        <v>409</v>
      </c>
      <c r="D713" t="s">
        <v>68</v>
      </c>
      <c r="E713">
        <v>0</v>
      </c>
      <c r="F713">
        <v>104</v>
      </c>
      <c r="G713" t="s">
        <v>97</v>
      </c>
      <c r="H713" s="1">
        <v>0</v>
      </c>
      <c r="I713" t="s">
        <v>70</v>
      </c>
      <c r="J713" t="s">
        <v>436</v>
      </c>
      <c r="K713" t="s">
        <v>72</v>
      </c>
      <c r="L713">
        <v>1</v>
      </c>
      <c r="M713">
        <v>1</v>
      </c>
      <c r="N713">
        <v>1</v>
      </c>
      <c r="O713">
        <v>1</v>
      </c>
      <c r="P713">
        <v>1</v>
      </c>
      <c r="Q713">
        <v>12</v>
      </c>
      <c r="R713">
        <v>0</v>
      </c>
      <c r="S713">
        <v>0</v>
      </c>
      <c r="T713">
        <v>0</v>
      </c>
      <c r="U713">
        <v>0</v>
      </c>
      <c r="V713">
        <f t="shared" si="317"/>
        <v>0</v>
      </c>
      <c r="W713">
        <f t="shared" si="318"/>
        <v>0</v>
      </c>
      <c r="X713">
        <f t="shared" si="321"/>
        <v>0</v>
      </c>
      <c r="Y713">
        <f t="shared" si="319"/>
        <v>0</v>
      </c>
      <c r="Z713" t="s">
        <v>73</v>
      </c>
      <c r="AA713" s="5" t="s">
        <v>73</v>
      </c>
      <c r="AB713" s="5" t="s">
        <v>73</v>
      </c>
      <c r="AC713" t="s">
        <v>137</v>
      </c>
      <c r="AD713" t="s">
        <v>103</v>
      </c>
      <c r="AE713" s="5" t="s">
        <v>1121</v>
      </c>
      <c r="AF713" t="s">
        <v>113</v>
      </c>
      <c r="AG713" t="s">
        <v>287</v>
      </c>
      <c r="AH713">
        <f t="shared" si="324"/>
        <v>0.1084107</v>
      </c>
      <c r="AI713">
        <f t="shared" si="325"/>
        <v>0.1084107</v>
      </c>
      <c r="AJ713">
        <f t="shared" si="320"/>
        <v>0.1084107</v>
      </c>
      <c r="AK713">
        <v>0.1084107</v>
      </c>
      <c r="AL713">
        <v>0.12527532999999999</v>
      </c>
      <c r="AM713">
        <v>0.13049450000000001</v>
      </c>
      <c r="AN713">
        <v>0.13107592000000001</v>
      </c>
      <c r="AO713">
        <v>89.158929999999998</v>
      </c>
      <c r="AP713">
        <v>87.472466999999995</v>
      </c>
      <c r="AQ713">
        <v>86.950550000000007</v>
      </c>
      <c r="AR713">
        <v>86.892408000000003</v>
      </c>
      <c r="AS713" t="b">
        <v>0</v>
      </c>
      <c r="AT713" t="b">
        <v>0</v>
      </c>
      <c r="AU713" t="s">
        <v>108</v>
      </c>
      <c r="AV713" t="s">
        <v>108</v>
      </c>
      <c r="AW713" t="s">
        <v>783</v>
      </c>
      <c r="AX713" t="s">
        <v>812</v>
      </c>
      <c r="AY713" t="s">
        <v>1126</v>
      </c>
      <c r="AZ713" t="s">
        <v>72</v>
      </c>
      <c r="BA713" t="s">
        <v>82</v>
      </c>
      <c r="BB713">
        <v>1.4</v>
      </c>
      <c r="BC713">
        <v>5.4824560000000001E-2</v>
      </c>
      <c r="BD713">
        <v>2.68252196314279E-2</v>
      </c>
      <c r="BE713">
        <v>8.1649779631427902E-2</v>
      </c>
      <c r="BF713">
        <f>IF(AK713&lt;BE713,1,0)</f>
        <v>0</v>
      </c>
      <c r="BG713">
        <f>IF(AK713&lt;BC713,1,0)</f>
        <v>0</v>
      </c>
      <c r="BH713">
        <f>VLOOKUP($B713,[1]Data_Peer_with_peerVars!$B$2:$Z$1050,20,FALSE)</f>
        <v>2</v>
      </c>
      <c r="BI713">
        <f>VLOOKUP($B713,[1]Data_Peer_with_peerVars!$B$2:$Z$1050,21,FALSE)</f>
        <v>0</v>
      </c>
      <c r="BJ713">
        <f>VLOOKUP($B713,[1]Data_Peer_with_peerVars!$B$2:$Z$1050,22,FALSE)</f>
        <v>0</v>
      </c>
      <c r="BK713">
        <f>VLOOKUP($B713,[1]Data_Peer_with_peerVars!$B$2:$Z$1050,23,FALSE)</f>
        <v>37</v>
      </c>
      <c r="BL713">
        <f>VLOOKUP($B713,[1]Data_Peer_with_peerVars!$B$2:$Z$1050,24,FALSE)</f>
        <v>14</v>
      </c>
      <c r="BM713">
        <f>VLOOKUP($B713,[1]Data_Peer_with_peerVars!$B$2:$Z$1050,25,FALSE)</f>
        <v>0.37837837800000002</v>
      </c>
    </row>
    <row r="714" spans="1:65" x14ac:dyDescent="0.2">
      <c r="A714">
        <v>1</v>
      </c>
      <c r="B714" t="s">
        <v>1127</v>
      </c>
      <c r="C714">
        <v>409</v>
      </c>
      <c r="D714" t="s">
        <v>68</v>
      </c>
      <c r="E714">
        <v>0</v>
      </c>
      <c r="F714">
        <v>104</v>
      </c>
      <c r="G714" t="s">
        <v>97</v>
      </c>
      <c r="H714" s="1">
        <v>0</v>
      </c>
      <c r="I714" t="s">
        <v>70</v>
      </c>
      <c r="J714" t="s">
        <v>436</v>
      </c>
      <c r="K714" t="s">
        <v>72</v>
      </c>
      <c r="L714">
        <v>1</v>
      </c>
      <c r="M714">
        <v>1</v>
      </c>
      <c r="N714">
        <v>1</v>
      </c>
      <c r="O714">
        <v>1</v>
      </c>
      <c r="P714">
        <v>1</v>
      </c>
      <c r="Q714">
        <v>12</v>
      </c>
      <c r="R714">
        <v>0</v>
      </c>
      <c r="S714">
        <v>1</v>
      </c>
      <c r="T714">
        <v>1</v>
      </c>
      <c r="U714">
        <v>1</v>
      </c>
      <c r="V714">
        <f t="shared" si="317"/>
        <v>1</v>
      </c>
      <c r="W714">
        <v>1</v>
      </c>
      <c r="X714">
        <v>1</v>
      </c>
      <c r="Y714">
        <v>1</v>
      </c>
      <c r="Z714" t="s">
        <v>76</v>
      </c>
      <c r="AA714" s="5" t="s">
        <v>76</v>
      </c>
      <c r="AB714" s="5" t="s">
        <v>76</v>
      </c>
      <c r="AC714" t="s">
        <v>76</v>
      </c>
      <c r="AD714" t="s">
        <v>174</v>
      </c>
      <c r="AE714" s="5" t="s">
        <v>174</v>
      </c>
      <c r="AF714" t="s">
        <v>120</v>
      </c>
      <c r="AG714" t="s">
        <v>167</v>
      </c>
      <c r="AH714">
        <f>AI714</f>
        <v>7.4124720000000005E-2</v>
      </c>
      <c r="AI714">
        <f>AJ714</f>
        <v>7.4124720000000005E-2</v>
      </c>
      <c r="AJ714">
        <f t="shared" si="320"/>
        <v>7.4124720000000005E-2</v>
      </c>
      <c r="AK714">
        <v>7.4124720000000005E-2</v>
      </c>
      <c r="AL714">
        <v>0.1291735</v>
      </c>
      <c r="AM714">
        <v>0.13395298</v>
      </c>
      <c r="AN714">
        <v>0.13521668000000001</v>
      </c>
      <c r="AO714">
        <v>92.587528000000006</v>
      </c>
      <c r="AP714">
        <v>87.082650000000001</v>
      </c>
      <c r="AQ714">
        <v>86.604702000000003</v>
      </c>
      <c r="AR714">
        <v>86.478331999999995</v>
      </c>
      <c r="AS714" t="b">
        <v>1</v>
      </c>
      <c r="AT714" t="b">
        <v>0</v>
      </c>
      <c r="AU714" t="s">
        <v>77</v>
      </c>
      <c r="AV714" t="s">
        <v>78</v>
      </c>
      <c r="AW714" t="s">
        <v>783</v>
      </c>
      <c r="AX714" t="s">
        <v>812</v>
      </c>
      <c r="AY714" t="s">
        <v>1126</v>
      </c>
      <c r="AZ714" t="s">
        <v>72</v>
      </c>
      <c r="BA714" t="s">
        <v>82</v>
      </c>
      <c r="BB714">
        <v>1</v>
      </c>
      <c r="BC714">
        <v>7.7070764999999999E-2</v>
      </c>
      <c r="BD714">
        <v>1.90190515067399E-3</v>
      </c>
      <c r="BE714">
        <v>7.8972670150673996E-2</v>
      </c>
      <c r="BF714">
        <f>IF(AK714&lt;BE714,1,0)</f>
        <v>1</v>
      </c>
      <c r="BG714">
        <f>IF(AK714&lt;BC714,1,0)</f>
        <v>1</v>
      </c>
      <c r="BH714">
        <f>VLOOKUP($B714,[1]Data_Peer_with_peerVars!$B$2:$Z$1050,20,FALSE)</f>
        <v>2</v>
      </c>
      <c r="BI714">
        <f>VLOOKUP($B714,[1]Data_Peer_with_peerVars!$B$2:$Z$1050,21,FALSE)</f>
        <v>0</v>
      </c>
      <c r="BJ714">
        <f>VLOOKUP($B714,[1]Data_Peer_with_peerVars!$B$2:$Z$1050,22,FALSE)</f>
        <v>0</v>
      </c>
      <c r="BK714">
        <f>VLOOKUP($B714,[1]Data_Peer_with_peerVars!$B$2:$Z$1050,23,FALSE)</f>
        <v>37</v>
      </c>
      <c r="BL714">
        <f>VLOOKUP($B714,[1]Data_Peer_with_peerVars!$B$2:$Z$1050,24,FALSE)</f>
        <v>14</v>
      </c>
      <c r="BM714">
        <f>VLOOKUP($B714,[1]Data_Peer_with_peerVars!$B$2:$Z$1050,25,FALSE)</f>
        <v>0.37837837800000002</v>
      </c>
    </row>
    <row r="715" spans="1:65" x14ac:dyDescent="0.2">
      <c r="A715">
        <v>1</v>
      </c>
      <c r="B715" t="s">
        <v>1128</v>
      </c>
      <c r="C715">
        <v>410</v>
      </c>
      <c r="D715" t="s">
        <v>68</v>
      </c>
      <c r="E715">
        <v>0</v>
      </c>
      <c r="F715">
        <v>107</v>
      </c>
      <c r="G715" t="s">
        <v>97</v>
      </c>
      <c r="H715" s="1">
        <v>7</v>
      </c>
      <c r="I715" t="s">
        <v>87</v>
      </c>
      <c r="J715" t="s">
        <v>88</v>
      </c>
      <c r="K715" t="s">
        <v>109</v>
      </c>
      <c r="L715">
        <v>1</v>
      </c>
      <c r="M715">
        <v>1</v>
      </c>
      <c r="N715">
        <v>0</v>
      </c>
      <c r="O715">
        <v>1</v>
      </c>
      <c r="P715">
        <v>1</v>
      </c>
      <c r="Q715">
        <v>4</v>
      </c>
      <c r="R715">
        <v>0</v>
      </c>
      <c r="S715">
        <v>0</v>
      </c>
      <c r="T715">
        <v>1</v>
      </c>
      <c r="U715">
        <v>1</v>
      </c>
      <c r="V715">
        <f t="shared" si="317"/>
        <v>0</v>
      </c>
      <c r="W715">
        <f t="shared" si="318"/>
        <v>0</v>
      </c>
      <c r="X715">
        <f t="shared" si="321"/>
        <v>0</v>
      </c>
      <c r="Y715">
        <f t="shared" si="319"/>
        <v>0</v>
      </c>
      <c r="Z715" t="s">
        <v>89</v>
      </c>
      <c r="AA715" s="5" t="s">
        <v>268</v>
      </c>
      <c r="AB715" s="5" t="s">
        <v>268</v>
      </c>
      <c r="AC715" t="s">
        <v>73</v>
      </c>
      <c r="AD715" t="s">
        <v>94</v>
      </c>
      <c r="AE715" s="5" t="s">
        <v>106</v>
      </c>
      <c r="AF715" t="s">
        <v>107</v>
      </c>
      <c r="AG715" t="s">
        <v>95</v>
      </c>
      <c r="AH715">
        <f t="shared" ref="AH715:AH717" si="326">AI715</f>
        <v>3.8167940000000001E-3</v>
      </c>
      <c r="AI715">
        <f t="shared" ref="AI715:AI725" si="327">AJ715</f>
        <v>3.8167940000000001E-3</v>
      </c>
      <c r="AJ715">
        <f t="shared" si="320"/>
        <v>3.8167940000000001E-3</v>
      </c>
      <c r="AK715">
        <v>3.8167940000000001E-3</v>
      </c>
      <c r="AL715">
        <v>0.13169399000000001</v>
      </c>
      <c r="AM715">
        <v>0.13486843000000001</v>
      </c>
      <c r="AN715">
        <v>0.13785557000000001</v>
      </c>
      <c r="AO715">
        <v>99.618320600000004</v>
      </c>
      <c r="AP715">
        <v>86.830601000000001</v>
      </c>
      <c r="AQ715">
        <v>86.513157000000007</v>
      </c>
      <c r="AR715">
        <v>86.214443000000003</v>
      </c>
      <c r="AS715" t="b">
        <v>0</v>
      </c>
      <c r="AT715" t="b">
        <v>0</v>
      </c>
      <c r="AU715" t="s">
        <v>92</v>
      </c>
      <c r="AV715" t="s">
        <v>92</v>
      </c>
      <c r="AW715" t="s">
        <v>783</v>
      </c>
      <c r="AX715" t="s">
        <v>812</v>
      </c>
      <c r="AY715" t="s">
        <v>1117</v>
      </c>
      <c r="AZ715" t="s">
        <v>109</v>
      </c>
      <c r="BA715">
        <v>2</v>
      </c>
      <c r="BB715">
        <v>1</v>
      </c>
      <c r="BC715">
        <v>4.1163553999999996E-3</v>
      </c>
      <c r="BD715">
        <v>1.4279989108178799E-4</v>
      </c>
      <c r="BE715">
        <v>4.2591552910817903E-3</v>
      </c>
      <c r="BF715">
        <f>IF(AK715&lt;BE715,1,0)</f>
        <v>1</v>
      </c>
      <c r="BG715">
        <f>IF(AK715&lt;BC715,1,0)</f>
        <v>1</v>
      </c>
      <c r="BH715">
        <f>VLOOKUP($B715,[1]Data_Peer_with_peerVars!$B$2:$Z$1050,20,FALSE)</f>
        <v>7</v>
      </c>
      <c r="BI715">
        <f>VLOOKUP($B715,[1]Data_Peer_with_peerVars!$B$2:$Z$1050,21,FALSE)</f>
        <v>4</v>
      </c>
      <c r="BJ715">
        <f>VLOOKUP($B715,[1]Data_Peer_with_peerVars!$B$2:$Z$1050,22,FALSE)</f>
        <v>0.571428571</v>
      </c>
      <c r="BK715">
        <f>VLOOKUP($B715,[1]Data_Peer_with_peerVars!$B$2:$Z$1050,23,FALSE)</f>
        <v>46</v>
      </c>
      <c r="BL715">
        <f>VLOOKUP($B715,[1]Data_Peer_with_peerVars!$B$2:$Z$1050,24,FALSE)</f>
        <v>24</v>
      </c>
      <c r="BM715">
        <f>VLOOKUP($B715,[1]Data_Peer_with_peerVars!$B$2:$Z$1050,25,FALSE)</f>
        <v>0.52173913000000005</v>
      </c>
    </row>
    <row r="716" spans="1:65" x14ac:dyDescent="0.2">
      <c r="A716">
        <v>1</v>
      </c>
      <c r="B716" t="s">
        <v>1129</v>
      </c>
      <c r="C716">
        <v>411</v>
      </c>
      <c r="D716" t="s">
        <v>155</v>
      </c>
      <c r="E716">
        <v>0</v>
      </c>
      <c r="F716" s="14" t="s">
        <v>82</v>
      </c>
      <c r="G716" s="14" t="s">
        <v>82</v>
      </c>
      <c r="H716" s="1">
        <v>6</v>
      </c>
      <c r="I716" t="s">
        <v>70</v>
      </c>
      <c r="J716" t="s">
        <v>436</v>
      </c>
      <c r="K716" t="s">
        <v>109</v>
      </c>
      <c r="L716">
        <v>1</v>
      </c>
      <c r="M716">
        <v>1</v>
      </c>
      <c r="N716">
        <v>0</v>
      </c>
      <c r="O716">
        <v>0</v>
      </c>
      <c r="P716">
        <v>0</v>
      </c>
      <c r="Q716">
        <v>0</v>
      </c>
      <c r="R716">
        <v>0</v>
      </c>
      <c r="S716">
        <v>0</v>
      </c>
      <c r="T716">
        <v>0</v>
      </c>
      <c r="U716">
        <v>0</v>
      </c>
      <c r="V716">
        <f t="shared" si="317"/>
        <v>0</v>
      </c>
      <c r="W716">
        <f t="shared" si="318"/>
        <v>0</v>
      </c>
      <c r="X716">
        <f t="shared" si="321"/>
        <v>0</v>
      </c>
      <c r="Y716">
        <f t="shared" si="319"/>
        <v>0</v>
      </c>
      <c r="Z716" t="s">
        <v>91</v>
      </c>
      <c r="AA716" s="5" t="s">
        <v>91</v>
      </c>
      <c r="AB716" s="5" t="s">
        <v>1025</v>
      </c>
      <c r="AC716" t="s">
        <v>99</v>
      </c>
      <c r="AD716" t="s">
        <v>101</v>
      </c>
      <c r="AE716" s="5" t="s">
        <v>101</v>
      </c>
      <c r="AF716" t="s">
        <v>103</v>
      </c>
      <c r="AG716" t="s">
        <v>102</v>
      </c>
      <c r="AH716">
        <f t="shared" si="326"/>
        <v>0.11470426</v>
      </c>
      <c r="AI716">
        <f t="shared" si="327"/>
        <v>0.11470426</v>
      </c>
      <c r="AJ716">
        <f t="shared" si="320"/>
        <v>0.11470426</v>
      </c>
      <c r="AK716">
        <v>0.11470426</v>
      </c>
      <c r="AL716">
        <v>0.12052834</v>
      </c>
      <c r="AM716">
        <v>0.12513811999999999</v>
      </c>
      <c r="AN716">
        <v>0.1302682</v>
      </c>
      <c r="AO716">
        <v>88.529573999999997</v>
      </c>
      <c r="AP716">
        <v>87.947165999999996</v>
      </c>
      <c r="AQ716">
        <v>87.486187999999999</v>
      </c>
      <c r="AR716">
        <v>86.973179999999999</v>
      </c>
      <c r="AS716" t="b">
        <v>0</v>
      </c>
      <c r="AT716" t="b">
        <v>0</v>
      </c>
      <c r="AU716" t="s">
        <v>78</v>
      </c>
      <c r="AV716" t="s">
        <v>78</v>
      </c>
      <c r="AW716" t="s">
        <v>783</v>
      </c>
      <c r="AX716" t="s">
        <v>812</v>
      </c>
      <c r="AY716" t="s">
        <v>1130</v>
      </c>
      <c r="AZ716" t="s">
        <v>109</v>
      </c>
      <c r="BA716">
        <v>4</v>
      </c>
      <c r="BB716">
        <v>2</v>
      </c>
      <c r="BC716">
        <v>2.4711695999999998E-2</v>
      </c>
      <c r="BD716">
        <v>1.72884756304863E-3</v>
      </c>
      <c r="BE716">
        <v>2.6440543563048601E-2</v>
      </c>
      <c r="BF716">
        <f>IF(AK716&lt;BE716,1,0)</f>
        <v>0</v>
      </c>
      <c r="BG716">
        <f>IF(AK716&lt;BC716,1,0)</f>
        <v>0</v>
      </c>
      <c r="BH716">
        <f>VLOOKUP($B716,[1]Data_Peer_with_peerVars!$B$2:$Z$1050,20,FALSE)</f>
        <v>4</v>
      </c>
      <c r="BI716">
        <f>VLOOKUP($B716,[1]Data_Peer_with_peerVars!$B$2:$Z$1050,21,FALSE)</f>
        <v>3</v>
      </c>
      <c r="BJ716">
        <f>VLOOKUP($B716,[1]Data_Peer_with_peerVars!$B$2:$Z$1050,22,FALSE)</f>
        <v>0.75</v>
      </c>
      <c r="BK716">
        <f>VLOOKUP($B716,[1]Data_Peer_with_peerVars!$B$2:$Z$1050,23,FALSE)</f>
        <v>57</v>
      </c>
      <c r="BL716">
        <f>VLOOKUP($B716,[1]Data_Peer_with_peerVars!$B$2:$Z$1050,24,FALSE)</f>
        <v>24</v>
      </c>
      <c r="BM716">
        <f>VLOOKUP($B716,[1]Data_Peer_with_peerVars!$B$2:$Z$1050,25,FALSE)</f>
        <v>0.42105263199999998</v>
      </c>
    </row>
    <row r="717" spans="1:65" x14ac:dyDescent="0.2">
      <c r="A717">
        <v>1</v>
      </c>
      <c r="B717" t="s">
        <v>1131</v>
      </c>
      <c r="C717">
        <v>411</v>
      </c>
      <c r="D717" t="s">
        <v>155</v>
      </c>
      <c r="E717">
        <v>0</v>
      </c>
      <c r="F717" s="14" t="s">
        <v>82</v>
      </c>
      <c r="G717" s="14" t="s">
        <v>82</v>
      </c>
      <c r="H717" s="1">
        <v>6</v>
      </c>
      <c r="I717" t="s">
        <v>70</v>
      </c>
      <c r="J717" t="s">
        <v>436</v>
      </c>
      <c r="K717" t="s">
        <v>109</v>
      </c>
      <c r="L717">
        <v>1</v>
      </c>
      <c r="M717">
        <v>1</v>
      </c>
      <c r="N717">
        <v>0</v>
      </c>
      <c r="O717">
        <v>0</v>
      </c>
      <c r="P717">
        <v>0</v>
      </c>
      <c r="Q717">
        <v>0</v>
      </c>
      <c r="R717">
        <v>0</v>
      </c>
      <c r="S717">
        <v>0</v>
      </c>
      <c r="T717">
        <v>0</v>
      </c>
      <c r="U717">
        <v>0</v>
      </c>
      <c r="V717">
        <f t="shared" si="317"/>
        <v>0</v>
      </c>
      <c r="W717">
        <f t="shared" si="318"/>
        <v>0</v>
      </c>
      <c r="X717">
        <f t="shared" si="321"/>
        <v>0</v>
      </c>
      <c r="Y717">
        <f t="shared" si="319"/>
        <v>0</v>
      </c>
      <c r="Z717" t="s">
        <v>76</v>
      </c>
      <c r="AA717" s="5" t="s">
        <v>76</v>
      </c>
      <c r="AB717" s="5" t="s">
        <v>76</v>
      </c>
      <c r="AC717" t="s">
        <v>74</v>
      </c>
      <c r="AD717" t="s">
        <v>101</v>
      </c>
      <c r="AE717" s="5" t="s">
        <v>101</v>
      </c>
      <c r="AF717" t="s">
        <v>103</v>
      </c>
      <c r="AG717" t="s">
        <v>167</v>
      </c>
      <c r="AH717">
        <f t="shared" si="326"/>
        <v>8.4383559999999996E-2</v>
      </c>
      <c r="AI717">
        <f t="shared" si="327"/>
        <v>8.4383559999999996E-2</v>
      </c>
      <c r="AJ717">
        <f t="shared" si="320"/>
        <v>8.4383559999999996E-2</v>
      </c>
      <c r="AK717">
        <v>8.4383559999999996E-2</v>
      </c>
      <c r="AL717">
        <v>0.10461284999999999</v>
      </c>
      <c r="AM717">
        <v>0.12197137</v>
      </c>
      <c r="AN717">
        <v>0.1225329</v>
      </c>
      <c r="AO717">
        <v>91.561644000000001</v>
      </c>
      <c r="AP717">
        <v>89.538714999999996</v>
      </c>
      <c r="AQ717">
        <v>87.802863000000002</v>
      </c>
      <c r="AR717">
        <v>87.746709999999993</v>
      </c>
      <c r="AS717" t="b">
        <v>0</v>
      </c>
      <c r="AT717" t="b">
        <v>0</v>
      </c>
      <c r="AU717" t="s">
        <v>77</v>
      </c>
      <c r="AV717" t="s">
        <v>78</v>
      </c>
      <c r="AW717" t="s">
        <v>783</v>
      </c>
      <c r="AX717" t="s">
        <v>812</v>
      </c>
      <c r="AY717" t="s">
        <v>1130</v>
      </c>
      <c r="AZ717" t="s">
        <v>109</v>
      </c>
      <c r="BA717">
        <v>4</v>
      </c>
      <c r="BB717">
        <v>2</v>
      </c>
      <c r="BC717">
        <v>2.4738868000000001E-3</v>
      </c>
      <c r="BD717">
        <v>1.4256942275279999E-4</v>
      </c>
      <c r="BE717">
        <v>2.6164562227527998E-3</v>
      </c>
      <c r="BF717">
        <f>IF(AK717&lt;BE717,1,0)</f>
        <v>0</v>
      </c>
      <c r="BG717">
        <f>IF(AK717&lt;BC717,1,0)</f>
        <v>0</v>
      </c>
      <c r="BH717">
        <f>VLOOKUP($B717,[1]Data_Peer_with_peerVars!$B$2:$Z$1050,20,FALSE)</f>
        <v>4</v>
      </c>
      <c r="BI717">
        <f>VLOOKUP($B717,[1]Data_Peer_with_peerVars!$B$2:$Z$1050,21,FALSE)</f>
        <v>3</v>
      </c>
      <c r="BJ717">
        <f>VLOOKUP($B717,[1]Data_Peer_with_peerVars!$B$2:$Z$1050,22,FALSE)</f>
        <v>0.75</v>
      </c>
      <c r="BK717">
        <f>VLOOKUP($B717,[1]Data_Peer_with_peerVars!$B$2:$Z$1050,23,FALSE)</f>
        <v>57</v>
      </c>
      <c r="BL717">
        <f>VLOOKUP($B717,[1]Data_Peer_with_peerVars!$B$2:$Z$1050,24,FALSE)</f>
        <v>24</v>
      </c>
      <c r="BM717">
        <f>VLOOKUP($B717,[1]Data_Peer_with_peerVars!$B$2:$Z$1050,25,FALSE)</f>
        <v>0.42105263199999998</v>
      </c>
    </row>
    <row r="718" spans="1:65" x14ac:dyDescent="0.2">
      <c r="A718">
        <v>1</v>
      </c>
      <c r="B718" t="s">
        <v>1132</v>
      </c>
      <c r="C718">
        <v>412</v>
      </c>
      <c r="D718" t="s">
        <v>155</v>
      </c>
      <c r="E718">
        <v>0</v>
      </c>
      <c r="F718" s="14" t="s">
        <v>82</v>
      </c>
      <c r="G718" s="14" t="s">
        <v>82</v>
      </c>
      <c r="H718" s="1">
        <v>7</v>
      </c>
      <c r="I718" t="s">
        <v>70</v>
      </c>
      <c r="J718" t="s">
        <v>436</v>
      </c>
      <c r="K718" t="s">
        <v>109</v>
      </c>
      <c r="L718">
        <v>1</v>
      </c>
      <c r="M718">
        <v>0</v>
      </c>
      <c r="N718">
        <v>0</v>
      </c>
      <c r="O718">
        <v>0</v>
      </c>
      <c r="P718">
        <v>0</v>
      </c>
      <c r="Q718">
        <v>2</v>
      </c>
      <c r="R718">
        <v>0</v>
      </c>
      <c r="S718">
        <v>0</v>
      </c>
      <c r="T718">
        <v>0</v>
      </c>
      <c r="U718">
        <v>0</v>
      </c>
      <c r="V718">
        <f t="shared" si="317"/>
        <v>0</v>
      </c>
      <c r="W718">
        <f t="shared" si="318"/>
        <v>1</v>
      </c>
      <c r="X718">
        <v>1</v>
      </c>
      <c r="Y718">
        <v>1</v>
      </c>
      <c r="Z718" t="s">
        <v>76</v>
      </c>
      <c r="AA718" s="5" t="s">
        <v>76</v>
      </c>
      <c r="AB718" s="5" t="s">
        <v>76</v>
      </c>
      <c r="AC718" t="s">
        <v>74</v>
      </c>
      <c r="AD718" t="s">
        <v>76</v>
      </c>
      <c r="AE718" s="5" t="s">
        <v>76</v>
      </c>
      <c r="AF718" t="s">
        <v>120</v>
      </c>
      <c r="AG718" t="s">
        <v>75</v>
      </c>
      <c r="AH718">
        <f>AI718</f>
        <v>9.9562360000000003E-2</v>
      </c>
      <c r="AI718">
        <f t="shared" si="327"/>
        <v>9.9562360000000003E-2</v>
      </c>
      <c r="AJ718">
        <f>AL718</f>
        <v>9.9562360000000003E-2</v>
      </c>
      <c r="AK718">
        <v>9.549945E-2</v>
      </c>
      <c r="AL718">
        <v>9.9562360000000003E-2</v>
      </c>
      <c r="AM718">
        <v>0.124726474</v>
      </c>
      <c r="AN718">
        <v>0.12602738999999999</v>
      </c>
      <c r="AO718">
        <v>90.450055000000006</v>
      </c>
      <c r="AP718">
        <v>90.043763999999996</v>
      </c>
      <c r="AQ718">
        <v>87.5273526</v>
      </c>
      <c r="AR718">
        <v>87.397261</v>
      </c>
      <c r="AS718" t="b">
        <v>0</v>
      </c>
      <c r="AT718" t="b">
        <v>1</v>
      </c>
      <c r="AU718" t="s">
        <v>77</v>
      </c>
      <c r="AV718" t="s">
        <v>78</v>
      </c>
      <c r="AW718" t="s">
        <v>783</v>
      </c>
      <c r="AX718" t="s">
        <v>812</v>
      </c>
      <c r="AY718" t="s">
        <v>587</v>
      </c>
      <c r="AZ718" t="s">
        <v>109</v>
      </c>
      <c r="BA718">
        <v>3</v>
      </c>
      <c r="BB718">
        <v>0.35</v>
      </c>
      <c r="BC718">
        <v>2.4738868000000001E-3</v>
      </c>
      <c r="BD718">
        <v>1.4256942275279999E-4</v>
      </c>
      <c r="BE718">
        <v>2.6164562227527998E-3</v>
      </c>
      <c r="BF718">
        <f>IF(AK718&lt;BE718,1,0)</f>
        <v>0</v>
      </c>
      <c r="BG718">
        <f>IF(AK718&lt;BC718,1,0)</f>
        <v>0</v>
      </c>
      <c r="BH718">
        <f>VLOOKUP($B718,[1]Data_Peer_with_peerVars!$B$2:$Z$1050,20,FALSE)</f>
        <v>9</v>
      </c>
      <c r="BI718">
        <f>VLOOKUP($B718,[1]Data_Peer_with_peerVars!$B$2:$Z$1050,21,FALSE)</f>
        <v>1</v>
      </c>
      <c r="BJ718">
        <f>VLOOKUP($B718,[1]Data_Peer_with_peerVars!$B$2:$Z$1050,22,FALSE)</f>
        <v>0.111111111</v>
      </c>
      <c r="BK718">
        <f>VLOOKUP($B718,[1]Data_Peer_with_peerVars!$B$2:$Z$1050,23,FALSE)</f>
        <v>15</v>
      </c>
      <c r="BL718">
        <f>VLOOKUP($B718,[1]Data_Peer_with_peerVars!$B$2:$Z$1050,24,FALSE)</f>
        <v>3</v>
      </c>
      <c r="BM718">
        <f>VLOOKUP($B718,[1]Data_Peer_with_peerVars!$B$2:$Z$1050,25,FALSE)</f>
        <v>0.2</v>
      </c>
    </row>
    <row r="719" spans="1:65" x14ac:dyDescent="0.2">
      <c r="A719">
        <v>1</v>
      </c>
      <c r="B719" t="s">
        <v>1133</v>
      </c>
      <c r="C719">
        <v>412</v>
      </c>
      <c r="D719" t="s">
        <v>155</v>
      </c>
      <c r="E719">
        <v>0</v>
      </c>
      <c r="F719" s="14" t="s">
        <v>82</v>
      </c>
      <c r="G719" s="14" t="s">
        <v>82</v>
      </c>
      <c r="H719" s="1">
        <v>7</v>
      </c>
      <c r="I719" t="s">
        <v>70</v>
      </c>
      <c r="J719" t="s">
        <v>436</v>
      </c>
      <c r="K719" t="s">
        <v>109</v>
      </c>
      <c r="L719">
        <v>1</v>
      </c>
      <c r="M719">
        <v>0</v>
      </c>
      <c r="N719">
        <v>0</v>
      </c>
      <c r="O719">
        <v>0</v>
      </c>
      <c r="P719">
        <v>0</v>
      </c>
      <c r="Q719">
        <v>2</v>
      </c>
      <c r="R719">
        <v>0</v>
      </c>
      <c r="S719">
        <v>0</v>
      </c>
      <c r="T719">
        <v>0</v>
      </c>
      <c r="U719">
        <v>0</v>
      </c>
      <c r="V719">
        <f t="shared" si="317"/>
        <v>0</v>
      </c>
      <c r="W719">
        <f t="shared" si="318"/>
        <v>0</v>
      </c>
      <c r="X719">
        <f t="shared" si="321"/>
        <v>0</v>
      </c>
      <c r="Y719">
        <f t="shared" si="319"/>
        <v>0</v>
      </c>
      <c r="Z719" t="s">
        <v>98</v>
      </c>
      <c r="AA719" s="5" t="s">
        <v>99</v>
      </c>
      <c r="AB719" s="5" t="s">
        <v>600</v>
      </c>
      <c r="AC719" t="s">
        <v>74</v>
      </c>
      <c r="AD719" t="s">
        <v>75</v>
      </c>
      <c r="AE719" s="5" t="s">
        <v>75</v>
      </c>
      <c r="AF719" t="s">
        <v>120</v>
      </c>
      <c r="AG719" t="s">
        <v>167</v>
      </c>
      <c r="AH719">
        <f t="shared" ref="AH719:AH725" si="328">AI719</f>
        <v>7.5192094000000001E-2</v>
      </c>
      <c r="AI719">
        <f t="shared" si="327"/>
        <v>7.5192094000000001E-2</v>
      </c>
      <c r="AJ719">
        <f t="shared" si="320"/>
        <v>7.5192094000000001E-2</v>
      </c>
      <c r="AK719">
        <v>7.5192094000000001E-2</v>
      </c>
      <c r="AL719">
        <v>8.0821920000000005E-2</v>
      </c>
      <c r="AM719">
        <v>8.3698034000000004E-2</v>
      </c>
      <c r="AN719">
        <v>9.4950599999999996E-2</v>
      </c>
      <c r="AO719">
        <v>92.480790600000006</v>
      </c>
      <c r="AP719">
        <v>91.917807999999994</v>
      </c>
      <c r="AQ719">
        <v>91.630196600000005</v>
      </c>
      <c r="AR719">
        <v>90.504940000000005</v>
      </c>
      <c r="AS719" t="b">
        <v>0</v>
      </c>
      <c r="AT719" t="b">
        <v>0</v>
      </c>
      <c r="AU719" t="s">
        <v>77</v>
      </c>
      <c r="AV719" t="s">
        <v>77</v>
      </c>
      <c r="AW719" t="s">
        <v>783</v>
      </c>
      <c r="AX719" t="s">
        <v>812</v>
      </c>
      <c r="AY719" t="s">
        <v>587</v>
      </c>
      <c r="AZ719" t="s">
        <v>109</v>
      </c>
      <c r="BA719">
        <v>5</v>
      </c>
      <c r="BB719">
        <v>0.35</v>
      </c>
      <c r="BC719">
        <v>2.4738868000000001E-3</v>
      </c>
      <c r="BD719">
        <v>1.4256942275279999E-4</v>
      </c>
      <c r="BE719">
        <v>2.6164562227527998E-3</v>
      </c>
      <c r="BF719">
        <f>IF(AK719&lt;BE719,1,0)</f>
        <v>0</v>
      </c>
      <c r="BG719">
        <f>IF(AK719&lt;BC719,1,0)</f>
        <v>0</v>
      </c>
      <c r="BH719">
        <f>VLOOKUP($B719,[1]Data_Peer_with_peerVars!$B$2:$Z$1050,20,FALSE)</f>
        <v>9</v>
      </c>
      <c r="BI719">
        <f>VLOOKUP($B719,[1]Data_Peer_with_peerVars!$B$2:$Z$1050,21,FALSE)</f>
        <v>1</v>
      </c>
      <c r="BJ719">
        <f>VLOOKUP($B719,[1]Data_Peer_with_peerVars!$B$2:$Z$1050,22,FALSE)</f>
        <v>0.111111111</v>
      </c>
      <c r="BK719">
        <f>VLOOKUP($B719,[1]Data_Peer_with_peerVars!$B$2:$Z$1050,23,FALSE)</f>
        <v>15</v>
      </c>
      <c r="BL719">
        <f>VLOOKUP($B719,[1]Data_Peer_with_peerVars!$B$2:$Z$1050,24,FALSE)</f>
        <v>3</v>
      </c>
      <c r="BM719">
        <f>VLOOKUP($B719,[1]Data_Peer_with_peerVars!$B$2:$Z$1050,25,FALSE)</f>
        <v>0.2</v>
      </c>
    </row>
    <row r="720" spans="1:65" x14ac:dyDescent="0.2">
      <c r="A720">
        <v>1</v>
      </c>
      <c r="B720" t="s">
        <v>1134</v>
      </c>
      <c r="C720">
        <v>413</v>
      </c>
      <c r="D720" t="s">
        <v>155</v>
      </c>
      <c r="E720">
        <v>0</v>
      </c>
      <c r="F720" s="14" t="s">
        <v>82</v>
      </c>
      <c r="G720" s="14" t="s">
        <v>82</v>
      </c>
      <c r="H720" s="1">
        <v>6</v>
      </c>
      <c r="J720" t="s">
        <v>82</v>
      </c>
      <c r="L720">
        <v>1</v>
      </c>
      <c r="M720">
        <v>1</v>
      </c>
      <c r="N720">
        <v>0</v>
      </c>
      <c r="O720">
        <v>1</v>
      </c>
      <c r="P720">
        <v>1</v>
      </c>
      <c r="Q720">
        <v>6</v>
      </c>
      <c r="R720">
        <v>0</v>
      </c>
      <c r="S720">
        <v>0</v>
      </c>
      <c r="T720">
        <v>0</v>
      </c>
      <c r="U720">
        <v>0</v>
      </c>
      <c r="V720">
        <f t="shared" si="317"/>
        <v>0</v>
      </c>
      <c r="W720">
        <f t="shared" si="318"/>
        <v>0</v>
      </c>
      <c r="X720">
        <f t="shared" si="321"/>
        <v>0</v>
      </c>
      <c r="Y720">
        <f t="shared" si="319"/>
        <v>0</v>
      </c>
      <c r="Z720" t="s">
        <v>73</v>
      </c>
      <c r="AA720" s="5" t="s">
        <v>73</v>
      </c>
      <c r="AB720" s="5" t="s">
        <v>73</v>
      </c>
      <c r="AC720" t="s">
        <v>76</v>
      </c>
      <c r="AD720" t="s">
        <v>74</v>
      </c>
      <c r="AE720" s="5" t="s">
        <v>74</v>
      </c>
      <c r="AF720" t="s">
        <v>120</v>
      </c>
      <c r="AG720" t="s">
        <v>75</v>
      </c>
      <c r="AH720">
        <f t="shared" si="328"/>
        <v>7.8645549999999995E-2</v>
      </c>
      <c r="AI720">
        <f t="shared" si="327"/>
        <v>7.8645549999999995E-2</v>
      </c>
      <c r="AJ720">
        <f t="shared" si="320"/>
        <v>7.8645549999999995E-2</v>
      </c>
      <c r="AK720">
        <v>7.8645549999999995E-2</v>
      </c>
      <c r="AL720">
        <v>9.3972600000000003E-2</v>
      </c>
      <c r="AM720">
        <v>0.1215183</v>
      </c>
      <c r="AN720">
        <v>0.12281182</v>
      </c>
      <c r="AO720">
        <v>92.135445000000004</v>
      </c>
      <c r="AP720">
        <v>90.602739999999997</v>
      </c>
      <c r="AQ720">
        <v>87.848169999999996</v>
      </c>
      <c r="AR720">
        <v>87.718817999999999</v>
      </c>
      <c r="AS720" t="b">
        <v>0</v>
      </c>
      <c r="AT720" t="b">
        <v>0</v>
      </c>
      <c r="AU720" t="s">
        <v>77</v>
      </c>
      <c r="AV720" t="s">
        <v>77</v>
      </c>
      <c r="AW720" t="s">
        <v>783</v>
      </c>
      <c r="AX720" t="s">
        <v>812</v>
      </c>
      <c r="AY720" t="s">
        <v>1135</v>
      </c>
      <c r="AZ720" t="s">
        <v>82</v>
      </c>
      <c r="BA720" t="s">
        <v>82</v>
      </c>
      <c r="BB720">
        <v>1</v>
      </c>
      <c r="BC720">
        <v>7.7070764999999999E-2</v>
      </c>
      <c r="BD720">
        <v>1.90190515067399E-3</v>
      </c>
      <c r="BE720">
        <v>7.8972670150673996E-2</v>
      </c>
      <c r="BF720">
        <f>IF(AK720&lt;BE720,1,0)</f>
        <v>1</v>
      </c>
      <c r="BG720">
        <f>IF(AK720&lt;BC720,1,0)</f>
        <v>0</v>
      </c>
      <c r="BH720">
        <f>VLOOKUP($B720,[1]Data_Peer_with_peerVars!$B$2:$Z$1050,20,FALSE)</f>
        <v>0</v>
      </c>
      <c r="BI720">
        <f>VLOOKUP($B720,[1]Data_Peer_with_peerVars!$B$2:$Z$1050,21,FALSE)</f>
        <v>0</v>
      </c>
      <c r="BJ720">
        <v>0</v>
      </c>
      <c r="BK720">
        <f>VLOOKUP($B720,[1]Data_Peer_with_peerVars!$B$2:$Z$1050,23,FALSE)</f>
        <v>21</v>
      </c>
      <c r="BL720">
        <f>VLOOKUP($B720,[1]Data_Peer_with_peerVars!$B$2:$Z$1050,24,FALSE)</f>
        <v>10</v>
      </c>
      <c r="BM720">
        <f>VLOOKUP($B720,[1]Data_Peer_with_peerVars!$B$2:$Z$1050,25,FALSE)</f>
        <v>0.47619047599999997</v>
      </c>
    </row>
    <row r="721" spans="1:65" x14ac:dyDescent="0.2">
      <c r="A721">
        <v>1</v>
      </c>
      <c r="B721" t="s">
        <v>1136</v>
      </c>
      <c r="C721">
        <v>413</v>
      </c>
      <c r="D721" t="s">
        <v>155</v>
      </c>
      <c r="E721">
        <v>0</v>
      </c>
      <c r="F721" s="14" t="s">
        <v>82</v>
      </c>
      <c r="G721" s="14" t="s">
        <v>82</v>
      </c>
      <c r="H721" s="1">
        <v>6</v>
      </c>
      <c r="J721" t="s">
        <v>82</v>
      </c>
      <c r="L721">
        <v>1</v>
      </c>
      <c r="M721">
        <v>1</v>
      </c>
      <c r="N721">
        <v>0</v>
      </c>
      <c r="O721">
        <v>1</v>
      </c>
      <c r="P721">
        <v>1</v>
      </c>
      <c r="Q721">
        <v>6</v>
      </c>
      <c r="R721">
        <v>0</v>
      </c>
      <c r="S721">
        <v>0</v>
      </c>
      <c r="T721">
        <v>0</v>
      </c>
      <c r="U721">
        <v>0</v>
      </c>
      <c r="V721">
        <f t="shared" si="317"/>
        <v>0</v>
      </c>
      <c r="W721">
        <f t="shared" si="318"/>
        <v>0</v>
      </c>
      <c r="X721">
        <f t="shared" si="321"/>
        <v>0</v>
      </c>
      <c r="Y721">
        <f t="shared" si="319"/>
        <v>0</v>
      </c>
      <c r="Z721" t="s">
        <v>76</v>
      </c>
      <c r="AA721" s="5" t="s">
        <v>76</v>
      </c>
      <c r="AB721" s="5" t="s">
        <v>76</v>
      </c>
      <c r="AC721" t="s">
        <v>91</v>
      </c>
      <c r="AD721" t="s">
        <v>137</v>
      </c>
      <c r="AE721" s="5" t="s">
        <v>497</v>
      </c>
      <c r="AF721" t="s">
        <v>287</v>
      </c>
      <c r="AG721" t="s">
        <v>113</v>
      </c>
      <c r="AH721">
        <f t="shared" si="328"/>
        <v>7.7680529999999998E-2</v>
      </c>
      <c r="AI721">
        <f t="shared" si="327"/>
        <v>7.7680529999999998E-2</v>
      </c>
      <c r="AJ721">
        <f t="shared" si="320"/>
        <v>7.7680529999999998E-2</v>
      </c>
      <c r="AK721">
        <v>7.7680529999999998E-2</v>
      </c>
      <c r="AL721">
        <v>0.11114145</v>
      </c>
      <c r="AM721">
        <v>0.12889132</v>
      </c>
      <c r="AN721">
        <v>0.13104395999999999</v>
      </c>
      <c r="AO721">
        <v>92.231947000000005</v>
      </c>
      <c r="AP721">
        <v>88.885855000000006</v>
      </c>
      <c r="AQ721">
        <v>87.110867999999996</v>
      </c>
      <c r="AR721">
        <v>86.895604000000006</v>
      </c>
      <c r="AS721" t="b">
        <v>0</v>
      </c>
      <c r="AT721" t="b">
        <v>0</v>
      </c>
      <c r="AU721" t="s">
        <v>77</v>
      </c>
      <c r="AV721" t="s">
        <v>108</v>
      </c>
      <c r="AW721" t="s">
        <v>783</v>
      </c>
      <c r="AX721" t="s">
        <v>812</v>
      </c>
      <c r="AY721" t="s">
        <v>1135</v>
      </c>
      <c r="AZ721" t="s">
        <v>72</v>
      </c>
      <c r="BA721" t="s">
        <v>82</v>
      </c>
      <c r="BB721">
        <v>0.5</v>
      </c>
      <c r="BC721">
        <v>9.0659339999999995E-3</v>
      </c>
      <c r="BD721">
        <v>2.76583658862385E-3</v>
      </c>
      <c r="BE721">
        <v>1.1831770588623799E-2</v>
      </c>
      <c r="BF721">
        <f>IF(AK721&lt;BE721,1,0)</f>
        <v>0</v>
      </c>
      <c r="BG721">
        <f>IF(AK721&lt;BC721,1,0)</f>
        <v>0</v>
      </c>
      <c r="BH721">
        <f>VLOOKUP($B721,[1]Data_Peer_with_peerVars!$B$2:$Z$1050,20,FALSE)</f>
        <v>0</v>
      </c>
      <c r="BI721">
        <f>VLOOKUP($B721,[1]Data_Peer_with_peerVars!$B$2:$Z$1050,21,FALSE)</f>
        <v>0</v>
      </c>
      <c r="BJ721">
        <v>0</v>
      </c>
      <c r="BK721">
        <f>VLOOKUP($B721,[1]Data_Peer_with_peerVars!$B$2:$Z$1050,23,FALSE)</f>
        <v>21</v>
      </c>
      <c r="BL721">
        <f>VLOOKUP($B721,[1]Data_Peer_with_peerVars!$B$2:$Z$1050,24,FALSE)</f>
        <v>10</v>
      </c>
      <c r="BM721">
        <f>VLOOKUP($B721,[1]Data_Peer_with_peerVars!$B$2:$Z$1050,25,FALSE)</f>
        <v>0.47619047599999997</v>
      </c>
    </row>
    <row r="722" spans="1:65" x14ac:dyDescent="0.2">
      <c r="A722">
        <v>1</v>
      </c>
      <c r="B722" t="s">
        <v>1137</v>
      </c>
      <c r="C722">
        <v>414</v>
      </c>
      <c r="D722" t="s">
        <v>155</v>
      </c>
      <c r="E722">
        <v>0</v>
      </c>
      <c r="F722" s="14" t="s">
        <v>82</v>
      </c>
      <c r="G722" s="14" t="s">
        <v>82</v>
      </c>
      <c r="H722" s="1">
        <v>6.5</v>
      </c>
      <c r="I722" t="s">
        <v>70</v>
      </c>
      <c r="J722" t="s">
        <v>436</v>
      </c>
      <c r="K722" t="s">
        <v>72</v>
      </c>
      <c r="L722">
        <v>2</v>
      </c>
      <c r="M722">
        <v>1</v>
      </c>
      <c r="N722">
        <v>0</v>
      </c>
      <c r="O722">
        <v>1</v>
      </c>
      <c r="P722">
        <v>1</v>
      </c>
      <c r="Q722">
        <v>6</v>
      </c>
      <c r="R722">
        <v>0</v>
      </c>
      <c r="S722">
        <v>0</v>
      </c>
      <c r="T722">
        <v>0</v>
      </c>
      <c r="U722">
        <v>0</v>
      </c>
      <c r="V722">
        <f t="shared" si="317"/>
        <v>0</v>
      </c>
      <c r="W722">
        <f t="shared" si="318"/>
        <v>0</v>
      </c>
      <c r="X722">
        <f t="shared" si="321"/>
        <v>0</v>
      </c>
      <c r="Y722">
        <f t="shared" si="319"/>
        <v>0</v>
      </c>
      <c r="Z722" t="s">
        <v>73</v>
      </c>
      <c r="AA722" s="5" t="s">
        <v>73</v>
      </c>
      <c r="AB722" s="5" t="s">
        <v>73</v>
      </c>
      <c r="AC722" t="s">
        <v>76</v>
      </c>
      <c r="AD722" t="s">
        <v>74</v>
      </c>
      <c r="AE722" s="5" t="s">
        <v>74</v>
      </c>
      <c r="AF722" t="s">
        <v>75</v>
      </c>
      <c r="AG722" t="s">
        <v>120</v>
      </c>
      <c r="AH722">
        <f t="shared" si="328"/>
        <v>7.1389499999999995E-2</v>
      </c>
      <c r="AI722">
        <f t="shared" si="327"/>
        <v>7.1389499999999995E-2</v>
      </c>
      <c r="AJ722">
        <f t="shared" si="320"/>
        <v>7.1389499999999995E-2</v>
      </c>
      <c r="AK722">
        <v>7.1389499999999995E-2</v>
      </c>
      <c r="AL722">
        <v>9.7145999999999996E-2</v>
      </c>
      <c r="AM722">
        <v>0.12109589</v>
      </c>
      <c r="AN722">
        <v>0.12308534</v>
      </c>
      <c r="AO722">
        <v>92.861050000000006</v>
      </c>
      <c r="AP722">
        <v>90.285399999999996</v>
      </c>
      <c r="AQ722">
        <v>87.890411</v>
      </c>
      <c r="AR722">
        <v>87.691466000000005</v>
      </c>
      <c r="AS722" t="b">
        <v>0</v>
      </c>
      <c r="AT722" t="b">
        <v>0</v>
      </c>
      <c r="AU722" t="s">
        <v>77</v>
      </c>
      <c r="AV722" t="s">
        <v>77</v>
      </c>
      <c r="AW722" t="s">
        <v>783</v>
      </c>
      <c r="AX722" t="s">
        <v>812</v>
      </c>
      <c r="AY722" t="s">
        <v>1044</v>
      </c>
      <c r="AZ722" t="s">
        <v>72</v>
      </c>
      <c r="BA722" t="s">
        <v>82</v>
      </c>
      <c r="BB722">
        <v>3</v>
      </c>
      <c r="BC722">
        <v>7.7070764999999999E-2</v>
      </c>
      <c r="BD722">
        <v>1.90190515067399E-3</v>
      </c>
      <c r="BE722">
        <v>7.8972670150673996E-2</v>
      </c>
      <c r="BF722">
        <f>IF(AK722&lt;BE722,1,0)</f>
        <v>1</v>
      </c>
      <c r="BG722">
        <f>IF(AK722&lt;BC722,1,0)</f>
        <v>1</v>
      </c>
      <c r="BH722">
        <f>VLOOKUP($B722,[1]Data_Peer_with_peerVars!$B$2:$Z$1050,20,FALSE)</f>
        <v>1</v>
      </c>
      <c r="BI722">
        <f>VLOOKUP($B722,[1]Data_Peer_with_peerVars!$B$2:$Z$1050,21,FALSE)</f>
        <v>0</v>
      </c>
      <c r="BJ722">
        <f>VLOOKUP($B722,[1]Data_Peer_with_peerVars!$B$2:$Z$1050,22,FALSE)</f>
        <v>0</v>
      </c>
      <c r="BK722">
        <f>VLOOKUP($B722,[1]Data_Peer_with_peerVars!$B$2:$Z$1050,23,FALSE)</f>
        <v>24</v>
      </c>
      <c r="BL722">
        <f>VLOOKUP($B722,[1]Data_Peer_with_peerVars!$B$2:$Z$1050,24,FALSE)</f>
        <v>9</v>
      </c>
      <c r="BM722">
        <f>VLOOKUP($B722,[1]Data_Peer_with_peerVars!$B$2:$Z$1050,25,FALSE)</f>
        <v>0.375</v>
      </c>
    </row>
    <row r="723" spans="1:65" x14ac:dyDescent="0.2">
      <c r="A723">
        <v>1</v>
      </c>
      <c r="B723" t="s">
        <v>1138</v>
      </c>
      <c r="C723">
        <v>414</v>
      </c>
      <c r="D723" t="s">
        <v>155</v>
      </c>
      <c r="E723">
        <v>0</v>
      </c>
      <c r="F723" s="14" t="s">
        <v>82</v>
      </c>
      <c r="G723" s="14" t="s">
        <v>82</v>
      </c>
      <c r="H723" s="1">
        <v>6.5</v>
      </c>
      <c r="I723" t="s">
        <v>70</v>
      </c>
      <c r="J723" t="s">
        <v>436</v>
      </c>
      <c r="K723" t="s">
        <v>72</v>
      </c>
      <c r="L723">
        <v>2</v>
      </c>
      <c r="M723">
        <v>1</v>
      </c>
      <c r="N723">
        <v>0</v>
      </c>
      <c r="O723">
        <v>1</v>
      </c>
      <c r="P723">
        <v>1</v>
      </c>
      <c r="Q723">
        <v>6</v>
      </c>
      <c r="R723">
        <v>0</v>
      </c>
      <c r="S723">
        <v>0</v>
      </c>
      <c r="T723">
        <v>0</v>
      </c>
      <c r="U723">
        <v>0</v>
      </c>
      <c r="V723">
        <f t="shared" si="317"/>
        <v>0</v>
      </c>
      <c r="W723">
        <f t="shared" si="318"/>
        <v>0</v>
      </c>
      <c r="X723">
        <f t="shared" si="321"/>
        <v>0</v>
      </c>
      <c r="Y723">
        <f t="shared" si="319"/>
        <v>0</v>
      </c>
      <c r="Z723" t="s">
        <v>76</v>
      </c>
      <c r="AA723" s="5" t="s">
        <v>76</v>
      </c>
      <c r="AB723" s="5" t="s">
        <v>76</v>
      </c>
      <c r="AC723" t="s">
        <v>91</v>
      </c>
      <c r="AD723" t="s">
        <v>137</v>
      </c>
      <c r="AE723" s="5" t="s">
        <v>137</v>
      </c>
      <c r="AF723" t="s">
        <v>103</v>
      </c>
      <c r="AG723" t="s">
        <v>287</v>
      </c>
      <c r="AH723">
        <f t="shared" si="328"/>
        <v>5.9322033000000003E-2</v>
      </c>
      <c r="AI723">
        <f t="shared" si="327"/>
        <v>5.9322033000000003E-2</v>
      </c>
      <c r="AJ723">
        <f t="shared" si="320"/>
        <v>5.9322033000000003E-2</v>
      </c>
      <c r="AK723">
        <v>5.9322033000000003E-2</v>
      </c>
      <c r="AL723">
        <v>0.10507642</v>
      </c>
      <c r="AM723">
        <v>0.121420704</v>
      </c>
      <c r="AN723">
        <v>0.12588750000000001</v>
      </c>
      <c r="AO723">
        <v>94.067796700000002</v>
      </c>
      <c r="AP723">
        <v>89.492357999999996</v>
      </c>
      <c r="AQ723">
        <v>87.857929600000006</v>
      </c>
      <c r="AR723">
        <v>87.411249999999995</v>
      </c>
      <c r="AS723" t="b">
        <v>0</v>
      </c>
      <c r="AT723" t="b">
        <v>0</v>
      </c>
      <c r="AU723" t="s">
        <v>77</v>
      </c>
      <c r="AV723" t="s">
        <v>78</v>
      </c>
      <c r="AW723" t="s">
        <v>783</v>
      </c>
      <c r="AX723" t="s">
        <v>812</v>
      </c>
      <c r="AY723" t="s">
        <v>1044</v>
      </c>
      <c r="AZ723" t="s">
        <v>89</v>
      </c>
      <c r="BA723" t="s">
        <v>82</v>
      </c>
      <c r="BB723">
        <v>3</v>
      </c>
      <c r="BC723">
        <v>9.0659339999999995E-3</v>
      </c>
      <c r="BD723">
        <v>2.76583658862385E-3</v>
      </c>
      <c r="BE723">
        <v>1.1831770588623799E-2</v>
      </c>
      <c r="BF723">
        <f>IF(AK723&lt;BE723,1,0)</f>
        <v>0</v>
      </c>
      <c r="BG723">
        <f>IF(AK723&lt;BC723,1,0)</f>
        <v>0</v>
      </c>
      <c r="BH723">
        <f>VLOOKUP($B723,[1]Data_Peer_with_peerVars!$B$2:$Z$1050,20,FALSE)</f>
        <v>1</v>
      </c>
      <c r="BI723">
        <f>VLOOKUP($B723,[1]Data_Peer_with_peerVars!$B$2:$Z$1050,21,FALSE)</f>
        <v>0</v>
      </c>
      <c r="BJ723">
        <f>VLOOKUP($B723,[1]Data_Peer_with_peerVars!$B$2:$Z$1050,22,FALSE)</f>
        <v>0</v>
      </c>
      <c r="BK723">
        <f>VLOOKUP($B723,[1]Data_Peer_with_peerVars!$B$2:$Z$1050,23,FALSE)</f>
        <v>24</v>
      </c>
      <c r="BL723">
        <f>VLOOKUP($B723,[1]Data_Peer_with_peerVars!$B$2:$Z$1050,24,FALSE)</f>
        <v>9</v>
      </c>
      <c r="BM723">
        <f>VLOOKUP($B723,[1]Data_Peer_with_peerVars!$B$2:$Z$1050,25,FALSE)</f>
        <v>0.375</v>
      </c>
    </row>
    <row r="724" spans="1:65" x14ac:dyDescent="0.2">
      <c r="A724">
        <v>1</v>
      </c>
      <c r="B724" t="s">
        <v>1139</v>
      </c>
      <c r="C724">
        <v>415</v>
      </c>
      <c r="D724" t="s">
        <v>155</v>
      </c>
      <c r="E724">
        <v>0</v>
      </c>
      <c r="F724" s="14" t="s">
        <v>82</v>
      </c>
      <c r="G724" s="14" t="s">
        <v>82</v>
      </c>
      <c r="H724" s="1">
        <v>6.5</v>
      </c>
      <c r="I724" t="s">
        <v>87</v>
      </c>
      <c r="J724" t="s">
        <v>111</v>
      </c>
      <c r="K724" t="s">
        <v>109</v>
      </c>
      <c r="L724">
        <v>2</v>
      </c>
      <c r="M724">
        <v>1</v>
      </c>
      <c r="N724">
        <v>0</v>
      </c>
      <c r="O724">
        <v>0</v>
      </c>
      <c r="P724">
        <v>1</v>
      </c>
      <c r="Q724">
        <v>2</v>
      </c>
      <c r="R724">
        <v>0</v>
      </c>
      <c r="S724">
        <v>0</v>
      </c>
      <c r="T724">
        <v>0</v>
      </c>
      <c r="U724">
        <v>0</v>
      </c>
      <c r="V724">
        <f t="shared" si="317"/>
        <v>1</v>
      </c>
      <c r="W724">
        <v>1</v>
      </c>
      <c r="X724">
        <v>1</v>
      </c>
      <c r="Y724">
        <v>1</v>
      </c>
      <c r="Z724" t="s">
        <v>91</v>
      </c>
      <c r="AA724" s="5" t="s">
        <v>91</v>
      </c>
      <c r="AB724" s="5" t="s">
        <v>998</v>
      </c>
      <c r="AC724" t="s">
        <v>91</v>
      </c>
      <c r="AD724" t="s">
        <v>287</v>
      </c>
      <c r="AE724" s="5" t="s">
        <v>287</v>
      </c>
      <c r="AF724" t="s">
        <v>137</v>
      </c>
      <c r="AG724" t="s">
        <v>84</v>
      </c>
      <c r="AH724">
        <f t="shared" si="328"/>
        <v>3.2822757000000001E-3</v>
      </c>
      <c r="AI724">
        <f t="shared" si="327"/>
        <v>3.2822757000000001E-3</v>
      </c>
      <c r="AJ724">
        <f t="shared" si="320"/>
        <v>3.2822757000000001E-3</v>
      </c>
      <c r="AK724">
        <v>3.2822757000000001E-3</v>
      </c>
      <c r="AL724">
        <v>0.12055768</v>
      </c>
      <c r="AM724">
        <v>0.12896173999999999</v>
      </c>
      <c r="AN724">
        <v>0.13441450999999999</v>
      </c>
      <c r="AO724">
        <v>99.671772430000004</v>
      </c>
      <c r="AP724">
        <v>87.944232</v>
      </c>
      <c r="AQ724">
        <v>87.103825999999998</v>
      </c>
      <c r="AR724">
        <v>86.558548999999999</v>
      </c>
      <c r="AS724" t="b">
        <v>1</v>
      </c>
      <c r="AT724" t="b">
        <v>0</v>
      </c>
      <c r="AU724" t="s">
        <v>77</v>
      </c>
      <c r="AV724" t="s">
        <v>78</v>
      </c>
      <c r="AW724" t="s">
        <v>783</v>
      </c>
      <c r="AX724" t="s">
        <v>812</v>
      </c>
      <c r="AY724" t="s">
        <v>1135</v>
      </c>
      <c r="AZ724" t="s">
        <v>109</v>
      </c>
      <c r="BA724">
        <v>10</v>
      </c>
      <c r="BB724">
        <v>1</v>
      </c>
      <c r="BC724">
        <v>9.0659339999999995E-3</v>
      </c>
      <c r="BD724">
        <v>2.76583658862385E-3</v>
      </c>
      <c r="BE724">
        <v>1.1831770588623799E-2</v>
      </c>
      <c r="BF724">
        <f>IF(AK724&lt;BE724,1,0)</f>
        <v>1</v>
      </c>
      <c r="BG724">
        <f>IF(AK724&lt;BC724,1,0)</f>
        <v>1</v>
      </c>
      <c r="BH724">
        <f>VLOOKUP($B724,[1]Data_Peer_with_peerVars!$B$2:$Z$1050,20,FALSE)</f>
        <v>6</v>
      </c>
      <c r="BI724">
        <f>VLOOKUP($B724,[1]Data_Peer_with_peerVars!$B$2:$Z$1050,21,FALSE)</f>
        <v>2</v>
      </c>
      <c r="BJ724">
        <f>VLOOKUP($B724,[1]Data_Peer_with_peerVars!$B$2:$Z$1050,22,FALSE)</f>
        <v>0.33333333300000001</v>
      </c>
      <c r="BK724">
        <f>VLOOKUP($B724,[1]Data_Peer_with_peerVars!$B$2:$Z$1050,23,FALSE)</f>
        <v>46</v>
      </c>
      <c r="BL724">
        <f>VLOOKUP($B724,[1]Data_Peer_with_peerVars!$B$2:$Z$1050,24,FALSE)</f>
        <v>23</v>
      </c>
      <c r="BM724">
        <f>VLOOKUP($B724,[1]Data_Peer_with_peerVars!$B$2:$Z$1050,25,FALSE)</f>
        <v>0.5</v>
      </c>
    </row>
    <row r="725" spans="1:65" x14ac:dyDescent="0.2">
      <c r="A725">
        <v>1</v>
      </c>
      <c r="B725" t="s">
        <v>1140</v>
      </c>
      <c r="C725">
        <v>415</v>
      </c>
      <c r="D725" t="s">
        <v>155</v>
      </c>
      <c r="E725">
        <v>0</v>
      </c>
      <c r="F725" s="14" t="s">
        <v>82</v>
      </c>
      <c r="G725" s="14" t="s">
        <v>82</v>
      </c>
      <c r="H725" s="1">
        <v>6.5</v>
      </c>
      <c r="I725" t="s">
        <v>87</v>
      </c>
      <c r="J725" t="s">
        <v>111</v>
      </c>
      <c r="K725" t="s">
        <v>109</v>
      </c>
      <c r="L725">
        <v>2</v>
      </c>
      <c r="M725">
        <v>1</v>
      </c>
      <c r="N725">
        <v>0</v>
      </c>
      <c r="O725">
        <v>0</v>
      </c>
      <c r="P725">
        <v>1</v>
      </c>
      <c r="Q725">
        <v>2</v>
      </c>
      <c r="R725">
        <v>0</v>
      </c>
      <c r="S725">
        <v>0</v>
      </c>
      <c r="T725">
        <v>1</v>
      </c>
      <c r="U725">
        <v>1</v>
      </c>
      <c r="V725">
        <f t="shared" si="317"/>
        <v>1</v>
      </c>
      <c r="W725">
        <v>1</v>
      </c>
      <c r="X725">
        <v>1</v>
      </c>
      <c r="Y725">
        <v>1</v>
      </c>
      <c r="Z725" t="s">
        <v>73</v>
      </c>
      <c r="AA725" s="5" t="s">
        <v>73</v>
      </c>
      <c r="AB725" s="5" t="s">
        <v>73</v>
      </c>
      <c r="AC725" t="s">
        <v>73</v>
      </c>
      <c r="AD725" t="s">
        <v>94</v>
      </c>
      <c r="AE725" s="5" t="s">
        <v>106</v>
      </c>
      <c r="AF725" t="s">
        <v>107</v>
      </c>
      <c r="AG725" t="s">
        <v>95</v>
      </c>
      <c r="AH725">
        <f t="shared" si="328"/>
        <v>3.8188760000000001E-3</v>
      </c>
      <c r="AI725">
        <f t="shared" si="327"/>
        <v>3.8188760000000001E-3</v>
      </c>
      <c r="AJ725">
        <f t="shared" si="320"/>
        <v>3.8188760000000001E-3</v>
      </c>
      <c r="AK725">
        <v>3.8188760000000001E-3</v>
      </c>
      <c r="AL725">
        <v>0.13176599</v>
      </c>
      <c r="AM725">
        <v>0.13631377</v>
      </c>
      <c r="AN725">
        <v>0.13875206000000001</v>
      </c>
      <c r="AO725">
        <v>99.618112400000001</v>
      </c>
      <c r="AP725">
        <v>86.823401000000004</v>
      </c>
      <c r="AQ725">
        <v>86.368622999999999</v>
      </c>
      <c r="AR725">
        <v>86.124793999999994</v>
      </c>
      <c r="AS725" t="b">
        <v>1</v>
      </c>
      <c r="AT725" t="b">
        <v>0</v>
      </c>
      <c r="AU725" t="s">
        <v>77</v>
      </c>
      <c r="AV725" t="s">
        <v>108</v>
      </c>
      <c r="AW725" t="s">
        <v>783</v>
      </c>
      <c r="AX725" t="s">
        <v>812</v>
      </c>
      <c r="AY725" t="s">
        <v>1135</v>
      </c>
      <c r="AZ725" t="s">
        <v>72</v>
      </c>
      <c r="BA725" t="s">
        <v>82</v>
      </c>
      <c r="BB725">
        <v>2</v>
      </c>
      <c r="BC725">
        <v>4.1163553999999996E-3</v>
      </c>
      <c r="BD725">
        <v>1.4279989108178799E-4</v>
      </c>
      <c r="BE725">
        <v>4.2591552910817903E-3</v>
      </c>
      <c r="BF725">
        <f>IF(AK725&lt;BE725,1,0)</f>
        <v>1</v>
      </c>
      <c r="BG725">
        <f>IF(AK725&lt;BC725,1,0)</f>
        <v>1</v>
      </c>
      <c r="BH725">
        <f>VLOOKUP($B725,[1]Data_Peer_with_peerVars!$B$2:$Z$1050,20,FALSE)</f>
        <v>6</v>
      </c>
      <c r="BI725">
        <f>VLOOKUP($B725,[1]Data_Peer_with_peerVars!$B$2:$Z$1050,21,FALSE)</f>
        <v>2</v>
      </c>
      <c r="BJ725">
        <f>VLOOKUP($B725,[1]Data_Peer_with_peerVars!$B$2:$Z$1050,22,FALSE)</f>
        <v>0.33333333300000001</v>
      </c>
      <c r="BK725">
        <f>VLOOKUP($B725,[1]Data_Peer_with_peerVars!$B$2:$Z$1050,23,FALSE)</f>
        <v>46</v>
      </c>
      <c r="BL725">
        <f>VLOOKUP($B725,[1]Data_Peer_with_peerVars!$B$2:$Z$1050,24,FALSE)</f>
        <v>23</v>
      </c>
      <c r="BM725">
        <f>VLOOKUP($B725,[1]Data_Peer_with_peerVars!$B$2:$Z$1050,25,FALSE)</f>
        <v>0.5</v>
      </c>
    </row>
    <row r="726" spans="1:65" x14ac:dyDescent="0.2">
      <c r="A726">
        <v>1</v>
      </c>
      <c r="B726" t="s">
        <v>1141</v>
      </c>
      <c r="C726">
        <v>416</v>
      </c>
      <c r="D726" t="s">
        <v>155</v>
      </c>
      <c r="E726">
        <v>0</v>
      </c>
      <c r="F726" s="14" t="s">
        <v>82</v>
      </c>
      <c r="G726" s="14" t="s">
        <v>82</v>
      </c>
      <c r="H726" s="1">
        <v>7</v>
      </c>
      <c r="I726" t="s">
        <v>87</v>
      </c>
      <c r="J726" t="s">
        <v>88</v>
      </c>
      <c r="K726" t="s">
        <v>109</v>
      </c>
      <c r="L726">
        <v>1</v>
      </c>
      <c r="M726">
        <v>1</v>
      </c>
      <c r="N726">
        <v>0</v>
      </c>
      <c r="O726">
        <v>0</v>
      </c>
      <c r="P726">
        <v>0</v>
      </c>
      <c r="Q726">
        <v>5</v>
      </c>
      <c r="R726">
        <v>0</v>
      </c>
      <c r="S726">
        <v>0</v>
      </c>
      <c r="T726">
        <v>0</v>
      </c>
      <c r="U726">
        <v>0</v>
      </c>
      <c r="V726">
        <f t="shared" si="317"/>
        <v>0</v>
      </c>
      <c r="W726">
        <f t="shared" si="318"/>
        <v>0</v>
      </c>
      <c r="X726">
        <f t="shared" si="321"/>
        <v>0</v>
      </c>
      <c r="Y726">
        <f t="shared" si="319"/>
        <v>0</v>
      </c>
      <c r="Z726" t="s">
        <v>91</v>
      </c>
      <c r="AA726" s="5" t="s">
        <v>91</v>
      </c>
      <c r="AB726" s="5" t="s">
        <v>915</v>
      </c>
      <c r="AC726" t="s">
        <v>137</v>
      </c>
      <c r="AD726" t="s">
        <v>103</v>
      </c>
      <c r="AE726" s="5" t="s">
        <v>1121</v>
      </c>
      <c r="AF726" t="s">
        <v>113</v>
      </c>
      <c r="AG726" t="s">
        <v>287</v>
      </c>
      <c r="AH726">
        <f t="shared" ref="AH726:AH728" si="329">AI726</f>
        <v>9.6395410000000001E-2</v>
      </c>
      <c r="AI726">
        <f t="shared" ref="AI726:AI728" si="330">AJ726</f>
        <v>9.6395410000000001E-2</v>
      </c>
      <c r="AJ726">
        <f t="shared" si="320"/>
        <v>9.6395410000000001E-2</v>
      </c>
      <c r="AK726">
        <v>9.6395410000000001E-2</v>
      </c>
      <c r="AL726">
        <v>0.11178414</v>
      </c>
      <c r="AM726">
        <v>0.11834156999999999</v>
      </c>
      <c r="AN726">
        <v>0.12069907000000001</v>
      </c>
      <c r="AO726">
        <v>90.360459000000006</v>
      </c>
      <c r="AP726">
        <v>88.821585999999996</v>
      </c>
      <c r="AQ726">
        <v>88.165842999999995</v>
      </c>
      <c r="AR726">
        <v>87.930092999999999</v>
      </c>
      <c r="AS726" t="b">
        <v>0</v>
      </c>
      <c r="AT726" t="b">
        <v>0</v>
      </c>
      <c r="AU726" t="s">
        <v>108</v>
      </c>
      <c r="AV726" t="s">
        <v>108</v>
      </c>
      <c r="AW726" t="s">
        <v>783</v>
      </c>
      <c r="AX726" t="s">
        <v>812</v>
      </c>
      <c r="AY726" t="s">
        <v>1135</v>
      </c>
      <c r="AZ726" t="s">
        <v>109</v>
      </c>
      <c r="BA726">
        <v>4</v>
      </c>
      <c r="BB726">
        <v>1</v>
      </c>
      <c r="BC726">
        <v>5.4824560000000001E-2</v>
      </c>
      <c r="BD726">
        <v>2.68252196314279E-2</v>
      </c>
      <c r="BE726">
        <v>8.1649779631427902E-2</v>
      </c>
      <c r="BF726">
        <f>IF(AK726&lt;BE726,1,0)</f>
        <v>0</v>
      </c>
      <c r="BG726">
        <f>IF(AK726&lt;BC726,1,0)</f>
        <v>0</v>
      </c>
      <c r="BH726">
        <f>VLOOKUP($B726,[1]Data_Peer_with_peerVars!$B$2:$Z$1050,20,FALSE)</f>
        <v>2</v>
      </c>
      <c r="BI726">
        <f>VLOOKUP($B726,[1]Data_Peer_with_peerVars!$B$2:$Z$1050,21,FALSE)</f>
        <v>1</v>
      </c>
      <c r="BJ726">
        <f>VLOOKUP($B726,[1]Data_Peer_with_peerVars!$B$2:$Z$1050,22,FALSE)</f>
        <v>0.5</v>
      </c>
      <c r="BK726">
        <f>VLOOKUP($B726,[1]Data_Peer_with_peerVars!$B$2:$Z$1050,23,FALSE)</f>
        <v>40</v>
      </c>
      <c r="BL726">
        <f>VLOOKUP($B726,[1]Data_Peer_with_peerVars!$B$2:$Z$1050,24,FALSE)</f>
        <v>17</v>
      </c>
      <c r="BM726">
        <f>VLOOKUP($B726,[1]Data_Peer_with_peerVars!$B$2:$Z$1050,25,FALSE)</f>
        <v>0.42499999999999999</v>
      </c>
    </row>
    <row r="727" spans="1:65" x14ac:dyDescent="0.2">
      <c r="A727">
        <v>1</v>
      </c>
      <c r="B727" t="s">
        <v>1142</v>
      </c>
      <c r="C727">
        <v>416</v>
      </c>
      <c r="D727" t="s">
        <v>155</v>
      </c>
      <c r="E727">
        <v>0</v>
      </c>
      <c r="F727" s="14" t="s">
        <v>82</v>
      </c>
      <c r="G727" s="14" t="s">
        <v>82</v>
      </c>
      <c r="H727" s="1">
        <v>7</v>
      </c>
      <c r="I727" t="s">
        <v>87</v>
      </c>
      <c r="J727" t="s">
        <v>88</v>
      </c>
      <c r="K727" t="s">
        <v>109</v>
      </c>
      <c r="L727">
        <v>1</v>
      </c>
      <c r="M727">
        <v>1</v>
      </c>
      <c r="N727">
        <v>0</v>
      </c>
      <c r="O727">
        <v>0</v>
      </c>
      <c r="P727">
        <v>0</v>
      </c>
      <c r="Q727">
        <v>5</v>
      </c>
      <c r="R727">
        <v>0</v>
      </c>
      <c r="S727">
        <v>0</v>
      </c>
      <c r="T727">
        <v>0</v>
      </c>
      <c r="U727">
        <v>0</v>
      </c>
      <c r="V727">
        <f t="shared" si="317"/>
        <v>0</v>
      </c>
      <c r="W727">
        <f t="shared" si="318"/>
        <v>0</v>
      </c>
      <c r="X727">
        <f t="shared" si="321"/>
        <v>0</v>
      </c>
      <c r="Y727">
        <f t="shared" si="319"/>
        <v>0</v>
      </c>
      <c r="Z727" t="s">
        <v>89</v>
      </c>
      <c r="AA727" s="5" t="s">
        <v>273</v>
      </c>
      <c r="AB727" s="5" t="s">
        <v>273</v>
      </c>
      <c r="AC727" t="s">
        <v>101</v>
      </c>
      <c r="AD727" t="s">
        <v>99</v>
      </c>
      <c r="AE727" s="5" t="s">
        <v>99</v>
      </c>
      <c r="AF727" t="s">
        <v>103</v>
      </c>
      <c r="AG727" t="s">
        <v>102</v>
      </c>
      <c r="AH727">
        <f t="shared" si="329"/>
        <v>5.7354555000000002E-2</v>
      </c>
      <c r="AI727">
        <f t="shared" si="330"/>
        <v>5.7354555000000002E-2</v>
      </c>
      <c r="AJ727">
        <f t="shared" si="320"/>
        <v>5.7354555000000002E-2</v>
      </c>
      <c r="AK727">
        <v>5.7354555000000002E-2</v>
      </c>
      <c r="AL727">
        <v>7.9658209999999993E-2</v>
      </c>
      <c r="AM727">
        <v>9.8125690000000002E-2</v>
      </c>
      <c r="AN727">
        <v>0.123362444</v>
      </c>
      <c r="AO727">
        <v>94.2645445</v>
      </c>
      <c r="AP727">
        <v>92.034178999999995</v>
      </c>
      <c r="AQ727">
        <v>90.187431000000004</v>
      </c>
      <c r="AR727">
        <v>87.663755600000002</v>
      </c>
      <c r="AS727" t="b">
        <v>0</v>
      </c>
      <c r="AT727" t="b">
        <v>0</v>
      </c>
      <c r="AU727" t="s">
        <v>92</v>
      </c>
      <c r="AV727" t="s">
        <v>92</v>
      </c>
      <c r="AW727" t="s">
        <v>783</v>
      </c>
      <c r="AX727" t="s">
        <v>812</v>
      </c>
      <c r="AY727" t="s">
        <v>1135</v>
      </c>
      <c r="AZ727" t="s">
        <v>109</v>
      </c>
      <c r="BA727">
        <v>2</v>
      </c>
      <c r="BB727">
        <v>0.28000000000000003</v>
      </c>
      <c r="BC727">
        <v>1.4096186E-2</v>
      </c>
      <c r="BD727">
        <v>1.55088650053763E-3</v>
      </c>
      <c r="BE727">
        <v>1.5647072500537599E-2</v>
      </c>
      <c r="BF727">
        <f>IF(AK727&lt;BE727,1,0)</f>
        <v>0</v>
      </c>
      <c r="BG727">
        <f>IF(AK727&lt;BC727,1,0)</f>
        <v>0</v>
      </c>
      <c r="BH727">
        <f>VLOOKUP($B727,[1]Data_Peer_with_peerVars!$B$2:$Z$1050,20,FALSE)</f>
        <v>2</v>
      </c>
      <c r="BI727">
        <f>VLOOKUP($B727,[1]Data_Peer_with_peerVars!$B$2:$Z$1050,21,FALSE)</f>
        <v>1</v>
      </c>
      <c r="BJ727">
        <f>VLOOKUP($B727,[1]Data_Peer_with_peerVars!$B$2:$Z$1050,22,FALSE)</f>
        <v>0.5</v>
      </c>
      <c r="BK727">
        <f>VLOOKUP($B727,[1]Data_Peer_with_peerVars!$B$2:$Z$1050,23,FALSE)</f>
        <v>40</v>
      </c>
      <c r="BL727">
        <f>VLOOKUP($B727,[1]Data_Peer_with_peerVars!$B$2:$Z$1050,24,FALSE)</f>
        <v>17</v>
      </c>
      <c r="BM727">
        <f>VLOOKUP($B727,[1]Data_Peer_with_peerVars!$B$2:$Z$1050,25,FALSE)</f>
        <v>0.42499999999999999</v>
      </c>
    </row>
    <row r="728" spans="1:65" x14ac:dyDescent="0.2">
      <c r="A728">
        <v>1</v>
      </c>
      <c r="B728" t="s">
        <v>1143</v>
      </c>
      <c r="C728">
        <v>417</v>
      </c>
      <c r="D728" t="s">
        <v>155</v>
      </c>
      <c r="E728">
        <v>0</v>
      </c>
      <c r="F728" s="14" t="s">
        <v>82</v>
      </c>
      <c r="G728" s="14" t="s">
        <v>82</v>
      </c>
      <c r="H728" s="1">
        <v>0</v>
      </c>
      <c r="I728" t="s">
        <v>87</v>
      </c>
      <c r="J728" t="s">
        <v>88</v>
      </c>
      <c r="K728" t="s">
        <v>109</v>
      </c>
      <c r="L728">
        <v>1</v>
      </c>
      <c r="M728">
        <v>1</v>
      </c>
      <c r="N728">
        <v>0</v>
      </c>
      <c r="O728">
        <v>0</v>
      </c>
      <c r="P728">
        <v>0</v>
      </c>
      <c r="Q728">
        <v>1</v>
      </c>
      <c r="R728">
        <v>0</v>
      </c>
      <c r="S728">
        <v>0</v>
      </c>
      <c r="T728">
        <v>0</v>
      </c>
      <c r="U728">
        <v>0</v>
      </c>
      <c r="V728">
        <f t="shared" si="317"/>
        <v>0</v>
      </c>
      <c r="W728">
        <f t="shared" si="318"/>
        <v>0</v>
      </c>
      <c r="X728">
        <f t="shared" si="321"/>
        <v>0</v>
      </c>
      <c r="Y728">
        <f t="shared" si="319"/>
        <v>0</v>
      </c>
      <c r="Z728" t="s">
        <v>91</v>
      </c>
      <c r="AA728" s="5" t="s">
        <v>91</v>
      </c>
      <c r="AB728" s="5" t="s">
        <v>915</v>
      </c>
      <c r="AC728" t="s">
        <v>101</v>
      </c>
      <c r="AD728" t="s">
        <v>99</v>
      </c>
      <c r="AE728" s="5" t="s">
        <v>99</v>
      </c>
      <c r="AF728" t="s">
        <v>103</v>
      </c>
      <c r="AG728" t="s">
        <v>102</v>
      </c>
      <c r="AH728">
        <f t="shared" si="329"/>
        <v>8.8882773999999998E-2</v>
      </c>
      <c r="AI728">
        <f t="shared" si="330"/>
        <v>8.8882773999999998E-2</v>
      </c>
      <c r="AJ728">
        <f t="shared" si="320"/>
        <v>8.8882773999999998E-2</v>
      </c>
      <c r="AK728">
        <v>8.8882773999999998E-2</v>
      </c>
      <c r="AL728">
        <v>9.198895E-2</v>
      </c>
      <c r="AM728">
        <v>0.116169974</v>
      </c>
      <c r="AN728">
        <v>0.13170865000000001</v>
      </c>
      <c r="AO728">
        <v>91.111722599999993</v>
      </c>
      <c r="AP728">
        <v>90.801105000000007</v>
      </c>
      <c r="AQ728">
        <v>88.383002599999998</v>
      </c>
      <c r="AR728">
        <v>86.829134999999994</v>
      </c>
      <c r="AS728" t="b">
        <v>0</v>
      </c>
      <c r="AT728" t="b">
        <v>0</v>
      </c>
      <c r="AU728" t="s">
        <v>77</v>
      </c>
      <c r="AV728" t="s">
        <v>77</v>
      </c>
      <c r="AW728" t="s">
        <v>783</v>
      </c>
      <c r="AX728" t="s">
        <v>812</v>
      </c>
      <c r="AY728" t="s">
        <v>1117</v>
      </c>
      <c r="AZ728" t="s">
        <v>109</v>
      </c>
      <c r="BA728">
        <v>2</v>
      </c>
      <c r="BB728">
        <v>3</v>
      </c>
      <c r="BC728">
        <v>1.4096186E-2</v>
      </c>
      <c r="BD728">
        <v>1.55088650053763E-3</v>
      </c>
      <c r="BE728">
        <v>1.5647072500537599E-2</v>
      </c>
      <c r="BF728">
        <f>IF(AK728&lt;BE728,1,0)</f>
        <v>0</v>
      </c>
      <c r="BG728">
        <f>IF(AK728&lt;BC728,1,0)</f>
        <v>0</v>
      </c>
      <c r="BH728">
        <f>VLOOKUP($B728,[1]Data_Peer_with_peerVars!$B$2:$Z$1050,20,FALSE)</f>
        <v>4</v>
      </c>
      <c r="BI728">
        <f>VLOOKUP($B728,[1]Data_Peer_with_peerVars!$B$2:$Z$1050,21,FALSE)</f>
        <v>2</v>
      </c>
      <c r="BJ728">
        <f>VLOOKUP($B728,[1]Data_Peer_with_peerVars!$B$2:$Z$1050,22,FALSE)</f>
        <v>0.5</v>
      </c>
      <c r="BK728">
        <f>VLOOKUP($B728,[1]Data_Peer_with_peerVars!$B$2:$Z$1050,23,FALSE)</f>
        <v>42</v>
      </c>
      <c r="BL728">
        <f>VLOOKUP($B728,[1]Data_Peer_with_peerVars!$B$2:$Z$1050,24,FALSE)</f>
        <v>24</v>
      </c>
      <c r="BM728">
        <f>VLOOKUP($B728,[1]Data_Peer_with_peerVars!$B$2:$Z$1050,25,FALSE)</f>
        <v>0.571428571</v>
      </c>
    </row>
    <row r="729" spans="1:65" x14ac:dyDescent="0.2">
      <c r="A729">
        <v>1</v>
      </c>
      <c r="B729" t="s">
        <v>1144</v>
      </c>
      <c r="C729">
        <v>418</v>
      </c>
      <c r="D729" t="s">
        <v>155</v>
      </c>
      <c r="E729">
        <v>0</v>
      </c>
      <c r="F729" s="14" t="s">
        <v>82</v>
      </c>
      <c r="G729" s="14" t="s">
        <v>82</v>
      </c>
      <c r="H729" s="1">
        <v>6</v>
      </c>
      <c r="I729" t="s">
        <v>87</v>
      </c>
      <c r="J729" t="s">
        <v>111</v>
      </c>
      <c r="K729" t="s">
        <v>109</v>
      </c>
      <c r="L729">
        <v>1</v>
      </c>
      <c r="M729">
        <v>1</v>
      </c>
      <c r="N729">
        <v>0</v>
      </c>
      <c r="O729">
        <v>1</v>
      </c>
      <c r="P729">
        <v>1</v>
      </c>
      <c r="Q729">
        <v>2</v>
      </c>
      <c r="R729">
        <v>0</v>
      </c>
      <c r="S729">
        <v>0</v>
      </c>
      <c r="T729">
        <v>0</v>
      </c>
      <c r="U729">
        <v>0</v>
      </c>
      <c r="V729">
        <f t="shared" si="317"/>
        <v>1</v>
      </c>
      <c r="W729">
        <v>1</v>
      </c>
      <c r="X729">
        <v>1</v>
      </c>
      <c r="Y729">
        <v>1</v>
      </c>
      <c r="Z729" t="s">
        <v>91</v>
      </c>
      <c r="AA729" s="5" t="s">
        <v>91</v>
      </c>
      <c r="AB729" s="5" t="s">
        <v>915</v>
      </c>
      <c r="AC729" t="s">
        <v>91</v>
      </c>
      <c r="AD729" t="s">
        <v>137</v>
      </c>
      <c r="AE729" s="5" t="s">
        <v>497</v>
      </c>
      <c r="AF729" t="s">
        <v>287</v>
      </c>
      <c r="AG729" t="s">
        <v>103</v>
      </c>
      <c r="AH729">
        <f>AI729</f>
        <v>0.120010935</v>
      </c>
      <c r="AI729">
        <f>AJ729</f>
        <v>0.120010935</v>
      </c>
      <c r="AJ729">
        <f t="shared" si="320"/>
        <v>0.120010935</v>
      </c>
      <c r="AK729">
        <v>0.120010935</v>
      </c>
      <c r="AL729">
        <v>0.13127730000000001</v>
      </c>
      <c r="AM729">
        <v>0.13646288000000001</v>
      </c>
      <c r="AN729">
        <v>0.1378646</v>
      </c>
      <c r="AO729">
        <v>87.998906500000004</v>
      </c>
      <c r="AP729">
        <v>86.87227</v>
      </c>
      <c r="AQ729">
        <v>86.353712000000002</v>
      </c>
      <c r="AR729">
        <v>86.213539999999995</v>
      </c>
      <c r="AS729" t="b">
        <v>1</v>
      </c>
      <c r="AT729" t="b">
        <v>0</v>
      </c>
      <c r="AU729" t="s">
        <v>78</v>
      </c>
      <c r="AV729" t="s">
        <v>108</v>
      </c>
      <c r="AW729" t="s">
        <v>783</v>
      </c>
      <c r="AX729" t="s">
        <v>812</v>
      </c>
      <c r="AY729" t="s">
        <v>1117</v>
      </c>
      <c r="AZ729" t="s">
        <v>109</v>
      </c>
      <c r="BA729">
        <v>5</v>
      </c>
      <c r="BB729">
        <v>2</v>
      </c>
      <c r="BC729">
        <v>9.0659339999999995E-3</v>
      </c>
      <c r="BD729">
        <v>2.76583658862385E-3</v>
      </c>
      <c r="BE729">
        <v>1.1831770588623799E-2</v>
      </c>
      <c r="BF729">
        <f>IF(AK729&lt;BE729,1,0)</f>
        <v>0</v>
      </c>
      <c r="BG729">
        <f>IF(AK729&lt;BC729,1,0)</f>
        <v>0</v>
      </c>
      <c r="BH729">
        <f>VLOOKUP($B729,[1]Data_Peer_with_peerVars!$B$2:$Z$1050,20,FALSE)</f>
        <v>3</v>
      </c>
      <c r="BI729">
        <f>VLOOKUP($B729,[1]Data_Peer_with_peerVars!$B$2:$Z$1050,21,FALSE)</f>
        <v>1</v>
      </c>
      <c r="BJ729">
        <f>VLOOKUP($B729,[1]Data_Peer_with_peerVars!$B$2:$Z$1050,22,FALSE)</f>
        <v>0.33333333300000001</v>
      </c>
      <c r="BK729">
        <f>VLOOKUP($B729,[1]Data_Peer_with_peerVars!$B$2:$Z$1050,23,FALSE)</f>
        <v>41</v>
      </c>
      <c r="BL729">
        <f>VLOOKUP($B729,[1]Data_Peer_with_peerVars!$B$2:$Z$1050,24,FALSE)</f>
        <v>23</v>
      </c>
      <c r="BM729">
        <f>VLOOKUP($B729,[1]Data_Peer_with_peerVars!$B$2:$Z$1050,25,FALSE)</f>
        <v>0.56097560999999996</v>
      </c>
    </row>
    <row r="730" spans="1:65" x14ac:dyDescent="0.2">
      <c r="A730">
        <v>1</v>
      </c>
      <c r="B730" t="s">
        <v>1145</v>
      </c>
      <c r="C730">
        <v>418</v>
      </c>
      <c r="D730" t="s">
        <v>155</v>
      </c>
      <c r="E730">
        <v>0</v>
      </c>
      <c r="F730" s="14" t="s">
        <v>82</v>
      </c>
      <c r="G730" s="14" t="s">
        <v>82</v>
      </c>
      <c r="H730" s="1">
        <v>6</v>
      </c>
      <c r="I730" t="s">
        <v>87</v>
      </c>
      <c r="J730" t="s">
        <v>111</v>
      </c>
      <c r="K730" t="s">
        <v>109</v>
      </c>
      <c r="L730">
        <v>1</v>
      </c>
      <c r="M730">
        <v>1</v>
      </c>
      <c r="N730">
        <v>0</v>
      </c>
      <c r="O730">
        <v>1</v>
      </c>
      <c r="P730">
        <v>1</v>
      </c>
      <c r="Q730">
        <v>2</v>
      </c>
      <c r="R730">
        <v>0</v>
      </c>
      <c r="S730">
        <v>0</v>
      </c>
      <c r="T730">
        <v>0</v>
      </c>
      <c r="U730">
        <v>0</v>
      </c>
      <c r="V730">
        <f t="shared" si="317"/>
        <v>0</v>
      </c>
      <c r="W730">
        <f t="shared" si="318"/>
        <v>0</v>
      </c>
      <c r="X730">
        <f t="shared" si="321"/>
        <v>0</v>
      </c>
      <c r="Y730">
        <f t="shared" si="319"/>
        <v>0</v>
      </c>
      <c r="Z730" t="s">
        <v>89</v>
      </c>
      <c r="AA730" s="5" t="s">
        <v>273</v>
      </c>
      <c r="AB730" s="5" t="s">
        <v>273</v>
      </c>
      <c r="AC730" t="s">
        <v>101</v>
      </c>
      <c r="AD730" t="s">
        <v>99</v>
      </c>
      <c r="AE730" s="5" t="s">
        <v>99</v>
      </c>
      <c r="AF730" t="s">
        <v>103</v>
      </c>
      <c r="AG730" t="s">
        <v>102</v>
      </c>
      <c r="AH730">
        <f t="shared" ref="AH730:AH736" si="331">AI730</f>
        <v>5.5494505999999999E-2</v>
      </c>
      <c r="AI730">
        <f t="shared" ref="AI730:AI736" si="332">AJ730</f>
        <v>5.5494505999999999E-2</v>
      </c>
      <c r="AJ730">
        <f t="shared" si="320"/>
        <v>5.5494505999999999E-2</v>
      </c>
      <c r="AK730">
        <v>5.5494505999999999E-2</v>
      </c>
      <c r="AL730">
        <v>8.4942089999999998E-2</v>
      </c>
      <c r="AM730">
        <v>9.4818079999999999E-2</v>
      </c>
      <c r="AN730">
        <v>0.1269798</v>
      </c>
      <c r="AO730">
        <v>94.4505494</v>
      </c>
      <c r="AP730">
        <v>91.505791000000002</v>
      </c>
      <c r="AQ730">
        <v>90.518191999999999</v>
      </c>
      <c r="AR730">
        <v>87.302019999999999</v>
      </c>
      <c r="AS730" t="b">
        <v>0</v>
      </c>
      <c r="AT730" t="b">
        <v>0</v>
      </c>
      <c r="AU730" t="s">
        <v>92</v>
      </c>
      <c r="AV730" t="s">
        <v>92</v>
      </c>
      <c r="AW730" t="s">
        <v>783</v>
      </c>
      <c r="AX730" t="s">
        <v>812</v>
      </c>
      <c r="AY730" t="s">
        <v>1117</v>
      </c>
      <c r="AZ730" t="s">
        <v>109</v>
      </c>
      <c r="BA730">
        <v>5</v>
      </c>
      <c r="BB730">
        <v>1</v>
      </c>
      <c r="BC730">
        <v>1.4096186E-2</v>
      </c>
      <c r="BD730">
        <v>1.55088650053763E-3</v>
      </c>
      <c r="BE730">
        <v>1.5647072500537599E-2</v>
      </c>
      <c r="BF730">
        <f>IF(AK730&lt;BE730,1,0)</f>
        <v>0</v>
      </c>
      <c r="BG730">
        <f>IF(AK730&lt;BC730,1,0)</f>
        <v>0</v>
      </c>
      <c r="BH730">
        <f>VLOOKUP($B730,[1]Data_Peer_with_peerVars!$B$2:$Z$1050,20,FALSE)</f>
        <v>3</v>
      </c>
      <c r="BI730">
        <f>VLOOKUP($B730,[1]Data_Peer_with_peerVars!$B$2:$Z$1050,21,FALSE)</f>
        <v>1</v>
      </c>
      <c r="BJ730">
        <f>VLOOKUP($B730,[1]Data_Peer_with_peerVars!$B$2:$Z$1050,22,FALSE)</f>
        <v>0.33333333300000001</v>
      </c>
      <c r="BK730">
        <f>VLOOKUP($B730,[1]Data_Peer_with_peerVars!$B$2:$Z$1050,23,FALSE)</f>
        <v>41</v>
      </c>
      <c r="BL730">
        <f>VLOOKUP($B730,[1]Data_Peer_with_peerVars!$B$2:$Z$1050,24,FALSE)</f>
        <v>23</v>
      </c>
      <c r="BM730">
        <f>VLOOKUP($B730,[1]Data_Peer_with_peerVars!$B$2:$Z$1050,25,FALSE)</f>
        <v>0.56097560999999996</v>
      </c>
    </row>
    <row r="731" spans="1:65" x14ac:dyDescent="0.2">
      <c r="A731">
        <v>1</v>
      </c>
      <c r="B731" t="s">
        <v>1146</v>
      </c>
      <c r="C731">
        <v>419</v>
      </c>
      <c r="D731" t="s">
        <v>68</v>
      </c>
      <c r="E731">
        <v>1</v>
      </c>
      <c r="F731">
        <v>155</v>
      </c>
      <c r="G731" t="s">
        <v>69</v>
      </c>
      <c r="H731" s="1">
        <v>5.5</v>
      </c>
      <c r="I731" t="s">
        <v>87</v>
      </c>
      <c r="J731" t="s">
        <v>111</v>
      </c>
      <c r="K731" t="s">
        <v>72</v>
      </c>
      <c r="L731">
        <v>1</v>
      </c>
      <c r="M731">
        <v>1</v>
      </c>
      <c r="N731">
        <v>0</v>
      </c>
      <c r="O731">
        <v>0</v>
      </c>
      <c r="P731">
        <v>0</v>
      </c>
      <c r="Q731">
        <v>11</v>
      </c>
      <c r="R731">
        <v>0</v>
      </c>
      <c r="S731">
        <v>0</v>
      </c>
      <c r="T731">
        <v>0</v>
      </c>
      <c r="U731">
        <v>0</v>
      </c>
      <c r="V731">
        <f t="shared" si="317"/>
        <v>0</v>
      </c>
      <c r="W731">
        <f t="shared" si="318"/>
        <v>0</v>
      </c>
      <c r="X731">
        <f t="shared" si="321"/>
        <v>0</v>
      </c>
      <c r="Y731">
        <f t="shared" si="319"/>
        <v>0</v>
      </c>
      <c r="Z731" t="s">
        <v>170</v>
      </c>
      <c r="AA731" s="5" t="s">
        <v>170</v>
      </c>
      <c r="AB731" s="5" t="s">
        <v>1067</v>
      </c>
      <c r="AC731" t="s">
        <v>101</v>
      </c>
      <c r="AD731" t="s">
        <v>99</v>
      </c>
      <c r="AE731" s="5" t="s">
        <v>99</v>
      </c>
      <c r="AF731" t="s">
        <v>103</v>
      </c>
      <c r="AG731" t="s">
        <v>102</v>
      </c>
      <c r="AH731">
        <f t="shared" si="331"/>
        <v>6.1568193E-2</v>
      </c>
      <c r="AI731">
        <f t="shared" si="332"/>
        <v>6.1568193E-2</v>
      </c>
      <c r="AJ731">
        <f t="shared" si="320"/>
        <v>6.1568193E-2</v>
      </c>
      <c r="AK731">
        <v>6.1568193E-2</v>
      </c>
      <c r="AL731">
        <v>8.4440749999999995E-2</v>
      </c>
      <c r="AM731">
        <v>0.10110804</v>
      </c>
      <c r="AN731">
        <v>0.12974161000000001</v>
      </c>
      <c r="AO731">
        <v>93.843180700000005</v>
      </c>
      <c r="AP731">
        <v>91.555925000000002</v>
      </c>
      <c r="AQ731">
        <v>89.889195999999998</v>
      </c>
      <c r="AR731">
        <v>87.025839000000005</v>
      </c>
      <c r="AS731" t="b">
        <v>0</v>
      </c>
      <c r="AT731" t="b">
        <v>0</v>
      </c>
      <c r="AU731" t="s">
        <v>92</v>
      </c>
      <c r="AV731" t="s">
        <v>92</v>
      </c>
      <c r="AW731" t="s">
        <v>783</v>
      </c>
      <c r="AX731" t="s">
        <v>812</v>
      </c>
      <c r="AY731" t="s">
        <v>1147</v>
      </c>
      <c r="AZ731" t="s">
        <v>72</v>
      </c>
      <c r="BA731" t="s">
        <v>82</v>
      </c>
      <c r="BB731">
        <v>0.7</v>
      </c>
      <c r="BC731">
        <v>1.4096186E-2</v>
      </c>
      <c r="BD731">
        <v>1.55088650053763E-3</v>
      </c>
      <c r="BE731">
        <v>1.5647072500537599E-2</v>
      </c>
      <c r="BF731">
        <f>IF(AK731&lt;BE731,1,0)</f>
        <v>0</v>
      </c>
      <c r="BG731">
        <f>IF(AK731&lt;BC731,1,0)</f>
        <v>0</v>
      </c>
      <c r="BH731">
        <f>VLOOKUP($B731,[1]Data_Peer_with_peerVars!$B$2:$Z$1050,20,FALSE)</f>
        <v>6</v>
      </c>
      <c r="BI731">
        <f>VLOOKUP($B731,[1]Data_Peer_with_peerVars!$B$2:$Z$1050,21,FALSE)</f>
        <v>3</v>
      </c>
      <c r="BJ731">
        <f>VLOOKUP($B731,[1]Data_Peer_with_peerVars!$B$2:$Z$1050,22,FALSE)</f>
        <v>0.5</v>
      </c>
      <c r="BK731">
        <f>VLOOKUP($B731,[1]Data_Peer_with_peerVars!$B$2:$Z$1050,23,FALSE)</f>
        <v>50</v>
      </c>
      <c r="BL731">
        <f>VLOOKUP($B731,[1]Data_Peer_with_peerVars!$B$2:$Z$1050,24,FALSE)</f>
        <v>22</v>
      </c>
      <c r="BM731">
        <f>VLOOKUP($B731,[1]Data_Peer_with_peerVars!$B$2:$Z$1050,25,FALSE)</f>
        <v>0.44</v>
      </c>
    </row>
    <row r="732" spans="1:65" x14ac:dyDescent="0.2">
      <c r="A732">
        <v>1</v>
      </c>
      <c r="B732" t="s">
        <v>1148</v>
      </c>
      <c r="C732">
        <v>419</v>
      </c>
      <c r="D732" t="s">
        <v>68</v>
      </c>
      <c r="E732">
        <v>1</v>
      </c>
      <c r="F732">
        <v>155</v>
      </c>
      <c r="G732" t="s">
        <v>69</v>
      </c>
      <c r="H732" s="1">
        <v>5.5</v>
      </c>
      <c r="I732" t="s">
        <v>87</v>
      </c>
      <c r="J732" t="s">
        <v>111</v>
      </c>
      <c r="K732" t="s">
        <v>72</v>
      </c>
      <c r="L732">
        <v>1</v>
      </c>
      <c r="M732">
        <v>1</v>
      </c>
      <c r="N732">
        <v>0</v>
      </c>
      <c r="O732">
        <v>0</v>
      </c>
      <c r="P732">
        <v>0</v>
      </c>
      <c r="Q732">
        <v>11</v>
      </c>
      <c r="R732">
        <v>0</v>
      </c>
      <c r="S732">
        <v>0</v>
      </c>
      <c r="T732">
        <v>0</v>
      </c>
      <c r="U732">
        <v>0</v>
      </c>
      <c r="V732">
        <f t="shared" si="317"/>
        <v>1</v>
      </c>
      <c r="W732">
        <v>1</v>
      </c>
      <c r="X732">
        <v>1</v>
      </c>
      <c r="Y732">
        <v>1</v>
      </c>
      <c r="Z732" t="s">
        <v>73</v>
      </c>
      <c r="AA732" s="5" t="s">
        <v>73</v>
      </c>
      <c r="AB732" s="5" t="s">
        <v>73</v>
      </c>
      <c r="AC732" t="s">
        <v>73</v>
      </c>
      <c r="AD732" t="s">
        <v>75</v>
      </c>
      <c r="AE732" s="5" t="s">
        <v>75</v>
      </c>
      <c r="AF732" t="s">
        <v>94</v>
      </c>
      <c r="AG732" t="s">
        <v>74</v>
      </c>
      <c r="AH732">
        <f t="shared" si="331"/>
        <v>7.9321660000000002E-2</v>
      </c>
      <c r="AI732">
        <f t="shared" si="332"/>
        <v>7.9321660000000002E-2</v>
      </c>
      <c r="AJ732">
        <f t="shared" si="320"/>
        <v>7.9321660000000002E-2</v>
      </c>
      <c r="AK732">
        <v>7.9321660000000002E-2</v>
      </c>
      <c r="AL732">
        <v>0.12431394</v>
      </c>
      <c r="AM732">
        <v>0.12595838000000001</v>
      </c>
      <c r="AN732">
        <v>0.13818680999999999</v>
      </c>
      <c r="AO732">
        <v>92.067834000000005</v>
      </c>
      <c r="AP732">
        <v>87.568606000000003</v>
      </c>
      <c r="AQ732">
        <v>87.404161999999999</v>
      </c>
      <c r="AR732">
        <v>86.181319000000002</v>
      </c>
      <c r="AS732" t="b">
        <v>1</v>
      </c>
      <c r="AT732" t="b">
        <v>0</v>
      </c>
      <c r="AU732" t="s">
        <v>77</v>
      </c>
      <c r="AV732" t="s">
        <v>78</v>
      </c>
      <c r="AW732" t="s">
        <v>783</v>
      </c>
      <c r="AX732" t="s">
        <v>812</v>
      </c>
      <c r="AY732" t="s">
        <v>1147</v>
      </c>
      <c r="AZ732" t="s">
        <v>109</v>
      </c>
      <c r="BA732">
        <v>4</v>
      </c>
      <c r="BB732">
        <v>1</v>
      </c>
      <c r="BC732">
        <v>4.1163553999999996E-3</v>
      </c>
      <c r="BD732">
        <v>1.4279989108178799E-4</v>
      </c>
      <c r="BE732">
        <v>4.2591552910817903E-3</v>
      </c>
      <c r="BF732">
        <f>IF(AK732&lt;BE732,1,0)</f>
        <v>0</v>
      </c>
      <c r="BG732">
        <f>IF(AK732&lt;BC732,1,0)</f>
        <v>0</v>
      </c>
      <c r="BH732">
        <f>VLOOKUP($B732,[1]Data_Peer_with_peerVars!$B$2:$Z$1050,20,FALSE)</f>
        <v>6</v>
      </c>
      <c r="BI732">
        <f>VLOOKUP($B732,[1]Data_Peer_with_peerVars!$B$2:$Z$1050,21,FALSE)</f>
        <v>3</v>
      </c>
      <c r="BJ732">
        <f>VLOOKUP($B732,[1]Data_Peer_with_peerVars!$B$2:$Z$1050,22,FALSE)</f>
        <v>0.5</v>
      </c>
      <c r="BK732">
        <f>VLOOKUP($B732,[1]Data_Peer_with_peerVars!$B$2:$Z$1050,23,FALSE)</f>
        <v>50</v>
      </c>
      <c r="BL732">
        <f>VLOOKUP($B732,[1]Data_Peer_with_peerVars!$B$2:$Z$1050,24,FALSE)</f>
        <v>22</v>
      </c>
      <c r="BM732">
        <f>VLOOKUP($B732,[1]Data_Peer_with_peerVars!$B$2:$Z$1050,25,FALSE)</f>
        <v>0.44</v>
      </c>
    </row>
    <row r="733" spans="1:65" x14ac:dyDescent="0.2">
      <c r="A733">
        <v>1</v>
      </c>
      <c r="B733" t="s">
        <v>1149</v>
      </c>
      <c r="C733">
        <v>420</v>
      </c>
      <c r="D733" t="s">
        <v>68</v>
      </c>
      <c r="E733">
        <v>1</v>
      </c>
      <c r="F733">
        <v>157</v>
      </c>
      <c r="G733" t="s">
        <v>86</v>
      </c>
      <c r="H733" s="1">
        <v>7</v>
      </c>
      <c r="I733" t="s">
        <v>70</v>
      </c>
      <c r="J733" t="s">
        <v>71</v>
      </c>
      <c r="K733" t="s">
        <v>109</v>
      </c>
      <c r="L733">
        <v>1</v>
      </c>
      <c r="M733">
        <v>1</v>
      </c>
      <c r="N733">
        <v>1</v>
      </c>
      <c r="O733">
        <v>0</v>
      </c>
      <c r="P733">
        <v>0</v>
      </c>
      <c r="Q733">
        <v>6</v>
      </c>
      <c r="R733">
        <v>0</v>
      </c>
      <c r="S733">
        <v>0</v>
      </c>
      <c r="T733">
        <v>1</v>
      </c>
      <c r="U733">
        <v>1</v>
      </c>
      <c r="V733">
        <f t="shared" si="317"/>
        <v>1</v>
      </c>
      <c r="W733">
        <v>1</v>
      </c>
      <c r="X733">
        <v>1</v>
      </c>
      <c r="Y733">
        <v>1</v>
      </c>
      <c r="Z733" t="s">
        <v>73</v>
      </c>
      <c r="AA733" s="5" t="s">
        <v>73</v>
      </c>
      <c r="AB733" s="5" t="s">
        <v>73</v>
      </c>
      <c r="AC733" t="s">
        <v>73</v>
      </c>
      <c r="AD733" t="s">
        <v>94</v>
      </c>
      <c r="AE733" s="5" t="s">
        <v>106</v>
      </c>
      <c r="AF733" t="s">
        <v>107</v>
      </c>
      <c r="AG733" t="s">
        <v>95</v>
      </c>
      <c r="AH733">
        <f t="shared" si="331"/>
        <v>3.8167940000000001E-3</v>
      </c>
      <c r="AI733">
        <f t="shared" si="332"/>
        <v>3.8167940000000001E-3</v>
      </c>
      <c r="AJ733">
        <f t="shared" si="320"/>
        <v>3.8167940000000001E-3</v>
      </c>
      <c r="AK733">
        <v>3.8167940000000001E-3</v>
      </c>
      <c r="AL733">
        <v>0.13169399000000001</v>
      </c>
      <c r="AM733">
        <v>0.13651315999999999</v>
      </c>
      <c r="AN733">
        <v>0.13894967999999999</v>
      </c>
      <c r="AO733">
        <v>99.618320600000004</v>
      </c>
      <c r="AP733">
        <v>86.830601000000001</v>
      </c>
      <c r="AQ733">
        <v>86.348684000000006</v>
      </c>
      <c r="AR733">
        <v>86.105031999999994</v>
      </c>
      <c r="AS733" t="b">
        <v>1</v>
      </c>
      <c r="AT733" t="b">
        <v>0</v>
      </c>
      <c r="AU733" t="s">
        <v>77</v>
      </c>
      <c r="AV733" t="s">
        <v>108</v>
      </c>
      <c r="AW733" t="s">
        <v>783</v>
      </c>
      <c r="AX733" t="s">
        <v>812</v>
      </c>
      <c r="AY733" t="s">
        <v>1147</v>
      </c>
      <c r="AZ733" t="s">
        <v>109</v>
      </c>
      <c r="BA733">
        <v>2</v>
      </c>
      <c r="BB733">
        <v>1</v>
      </c>
      <c r="BC733">
        <v>4.1163553999999996E-3</v>
      </c>
      <c r="BD733">
        <v>1.4279989108178799E-4</v>
      </c>
      <c r="BE733">
        <v>4.2591552910817903E-3</v>
      </c>
      <c r="BF733">
        <f>IF(AK733&lt;BE733,1,0)</f>
        <v>1</v>
      </c>
      <c r="BG733">
        <f>IF(AK733&lt;BC733,1,0)</f>
        <v>1</v>
      </c>
      <c r="BH733">
        <f>VLOOKUP($B733,[1]Data_Peer_with_peerVars!$B$2:$Z$1050,20,FALSE)</f>
        <v>8</v>
      </c>
      <c r="BI733">
        <f>VLOOKUP($B733,[1]Data_Peer_with_peerVars!$B$2:$Z$1050,21,FALSE)</f>
        <v>5</v>
      </c>
      <c r="BJ733">
        <f>VLOOKUP($B733,[1]Data_Peer_with_peerVars!$B$2:$Z$1050,22,FALSE)</f>
        <v>0.625</v>
      </c>
      <c r="BK733">
        <f>VLOOKUP($B733,[1]Data_Peer_with_peerVars!$B$2:$Z$1050,23,FALSE)</f>
        <v>54</v>
      </c>
      <c r="BL733">
        <f>VLOOKUP($B733,[1]Data_Peer_with_peerVars!$B$2:$Z$1050,24,FALSE)</f>
        <v>23</v>
      </c>
      <c r="BM733">
        <f>VLOOKUP($B733,[1]Data_Peer_with_peerVars!$B$2:$Z$1050,25,FALSE)</f>
        <v>0.42592592600000001</v>
      </c>
    </row>
    <row r="734" spans="1:65" x14ac:dyDescent="0.2">
      <c r="A734">
        <v>1</v>
      </c>
      <c r="B734" t="s">
        <v>1150</v>
      </c>
      <c r="C734">
        <v>421</v>
      </c>
      <c r="D734" t="s">
        <v>68</v>
      </c>
      <c r="E734">
        <v>1</v>
      </c>
      <c r="F734">
        <v>159</v>
      </c>
      <c r="G734" t="s">
        <v>69</v>
      </c>
      <c r="H734" s="1">
        <v>7</v>
      </c>
      <c r="I734" t="s">
        <v>70</v>
      </c>
      <c r="J734" t="s">
        <v>436</v>
      </c>
      <c r="K734" t="s">
        <v>109</v>
      </c>
      <c r="L734">
        <v>1</v>
      </c>
      <c r="M734">
        <v>1</v>
      </c>
      <c r="N734">
        <v>1</v>
      </c>
      <c r="O734">
        <v>0</v>
      </c>
      <c r="P734">
        <v>0</v>
      </c>
      <c r="Q734">
        <v>6</v>
      </c>
      <c r="R734">
        <v>0</v>
      </c>
      <c r="S734">
        <v>0</v>
      </c>
      <c r="T734">
        <v>0</v>
      </c>
      <c r="U734">
        <v>0</v>
      </c>
      <c r="V734">
        <f t="shared" si="317"/>
        <v>1</v>
      </c>
      <c r="W734">
        <v>1</v>
      </c>
      <c r="X734">
        <v>1</v>
      </c>
      <c r="Y734">
        <v>1</v>
      </c>
      <c r="Z734" t="s">
        <v>73</v>
      </c>
      <c r="AA734" s="5" t="s">
        <v>73</v>
      </c>
      <c r="AB734" s="5" t="s">
        <v>73</v>
      </c>
      <c r="AC734" t="s">
        <v>73</v>
      </c>
      <c r="AD734" t="s">
        <v>75</v>
      </c>
      <c r="AE734" s="5" t="s">
        <v>1151</v>
      </c>
      <c r="AF734" t="s">
        <v>94</v>
      </c>
      <c r="AG734" t="s">
        <v>287</v>
      </c>
      <c r="AH734">
        <f t="shared" si="331"/>
        <v>9.0235873999999994E-2</v>
      </c>
      <c r="AI734">
        <f t="shared" si="332"/>
        <v>9.0235873999999994E-2</v>
      </c>
      <c r="AJ734">
        <f t="shared" si="320"/>
        <v>9.0235873999999994E-2</v>
      </c>
      <c r="AK734">
        <v>9.0235873999999994E-2</v>
      </c>
      <c r="AL734">
        <v>0.13173816999999999</v>
      </c>
      <c r="AM734">
        <v>0.13282108000000001</v>
      </c>
      <c r="AN734">
        <v>0.13481604</v>
      </c>
      <c r="AO734">
        <v>90.976412600000003</v>
      </c>
      <c r="AP734">
        <v>86.826183</v>
      </c>
      <c r="AQ734">
        <v>86.717892000000006</v>
      </c>
      <c r="AR734">
        <v>86.518395999999996</v>
      </c>
      <c r="AS734" t="b">
        <v>1</v>
      </c>
      <c r="AT734" t="b">
        <v>0</v>
      </c>
      <c r="AU734" t="s">
        <v>77</v>
      </c>
      <c r="AV734" t="s">
        <v>108</v>
      </c>
      <c r="AW734" t="s">
        <v>783</v>
      </c>
      <c r="AX734" t="s">
        <v>812</v>
      </c>
      <c r="AY734" t="s">
        <v>1147</v>
      </c>
      <c r="AZ734" t="s">
        <v>109</v>
      </c>
      <c r="BA734">
        <v>5</v>
      </c>
      <c r="BB734">
        <v>3</v>
      </c>
      <c r="BC734">
        <v>4.1163553999999996E-3</v>
      </c>
      <c r="BD734">
        <v>1.4279989108178799E-4</v>
      </c>
      <c r="BE734">
        <v>4.2591552910817903E-3</v>
      </c>
      <c r="BF734">
        <f>IF(AK734&lt;BE734,1,0)</f>
        <v>0</v>
      </c>
      <c r="BG734">
        <f>IF(AK734&lt;BC734,1,0)</f>
        <v>0</v>
      </c>
      <c r="BH734">
        <f>VLOOKUP($B734,[1]Data_Peer_with_peerVars!$B$2:$Z$1050,20,FALSE)</f>
        <v>8</v>
      </c>
      <c r="BI734">
        <f>VLOOKUP($B734,[1]Data_Peer_with_peerVars!$B$2:$Z$1050,21,FALSE)</f>
        <v>5</v>
      </c>
      <c r="BJ734">
        <f>VLOOKUP($B734,[1]Data_Peer_with_peerVars!$B$2:$Z$1050,22,FALSE)</f>
        <v>0.625</v>
      </c>
      <c r="BK734">
        <f>VLOOKUP($B734,[1]Data_Peer_with_peerVars!$B$2:$Z$1050,23,FALSE)</f>
        <v>53</v>
      </c>
      <c r="BL734">
        <f>VLOOKUP($B734,[1]Data_Peer_with_peerVars!$B$2:$Z$1050,24,FALSE)</f>
        <v>23</v>
      </c>
      <c r="BM734">
        <f>VLOOKUP($B734,[1]Data_Peer_with_peerVars!$B$2:$Z$1050,25,FALSE)</f>
        <v>0.43396226399999999</v>
      </c>
    </row>
    <row r="735" spans="1:65" x14ac:dyDescent="0.2">
      <c r="A735">
        <v>1</v>
      </c>
      <c r="B735" t="s">
        <v>1152</v>
      </c>
      <c r="C735">
        <v>422</v>
      </c>
      <c r="D735" t="s">
        <v>68</v>
      </c>
      <c r="E735">
        <v>1</v>
      </c>
      <c r="F735">
        <v>5</v>
      </c>
      <c r="G735" t="s">
        <v>69</v>
      </c>
      <c r="H735" s="1">
        <v>7</v>
      </c>
      <c r="I735" t="s">
        <v>70</v>
      </c>
      <c r="J735" t="s">
        <v>436</v>
      </c>
      <c r="K735" t="s">
        <v>109</v>
      </c>
      <c r="L735">
        <v>1</v>
      </c>
      <c r="M735">
        <v>1</v>
      </c>
      <c r="N735">
        <v>1</v>
      </c>
      <c r="O735">
        <v>1</v>
      </c>
      <c r="P735">
        <v>0</v>
      </c>
      <c r="Q735">
        <v>6</v>
      </c>
      <c r="R735">
        <v>0</v>
      </c>
      <c r="S735">
        <v>0</v>
      </c>
      <c r="T735">
        <v>0</v>
      </c>
      <c r="U735">
        <v>0</v>
      </c>
      <c r="V735">
        <f t="shared" si="317"/>
        <v>1</v>
      </c>
      <c r="W735">
        <v>1</v>
      </c>
      <c r="X735">
        <v>1</v>
      </c>
      <c r="Y735">
        <v>1</v>
      </c>
      <c r="Z735" t="s">
        <v>120</v>
      </c>
      <c r="AA735" s="5" t="s">
        <v>120</v>
      </c>
      <c r="AB735" s="5" t="s">
        <v>934</v>
      </c>
      <c r="AC735" t="s">
        <v>120</v>
      </c>
      <c r="AD735" t="s">
        <v>75</v>
      </c>
      <c r="AE735" s="5" t="s">
        <v>75</v>
      </c>
      <c r="AF735" t="s">
        <v>74</v>
      </c>
      <c r="AG735" t="s">
        <v>167</v>
      </c>
      <c r="AH735">
        <f t="shared" si="331"/>
        <v>2.6775956E-2</v>
      </c>
      <c r="AI735">
        <f t="shared" si="332"/>
        <v>2.6775956E-2</v>
      </c>
      <c r="AJ735">
        <f t="shared" si="320"/>
        <v>2.6775956E-2</v>
      </c>
      <c r="AK735">
        <v>2.6775956E-2</v>
      </c>
      <c r="AL735">
        <v>8.0689280000000002E-2</v>
      </c>
      <c r="AM735">
        <v>8.7945209999999996E-2</v>
      </c>
      <c r="AN735">
        <v>0.100603074</v>
      </c>
      <c r="AO735">
        <v>97.322404399999996</v>
      </c>
      <c r="AP735">
        <v>91.931072</v>
      </c>
      <c r="AQ735">
        <v>91.205478999999997</v>
      </c>
      <c r="AR735">
        <v>89.939692600000001</v>
      </c>
      <c r="AS735" t="b">
        <v>1</v>
      </c>
      <c r="AT735" t="b">
        <v>0</v>
      </c>
      <c r="AU735" t="s">
        <v>77</v>
      </c>
      <c r="AV735" t="s">
        <v>77</v>
      </c>
      <c r="AW735" t="s">
        <v>783</v>
      </c>
      <c r="AX735" t="s">
        <v>812</v>
      </c>
      <c r="AY735" t="s">
        <v>1147</v>
      </c>
      <c r="AZ735" t="s">
        <v>109</v>
      </c>
      <c r="BA735">
        <v>2</v>
      </c>
      <c r="BB735">
        <v>2.1</v>
      </c>
      <c r="BC735">
        <v>4.6849314000000003E-2</v>
      </c>
      <c r="BD735">
        <v>4.5250577219970098E-3</v>
      </c>
      <c r="BE735">
        <v>5.1374371721996999E-2</v>
      </c>
      <c r="BF735">
        <f>IF(AK735&lt;BE735,1,0)</f>
        <v>1</v>
      </c>
      <c r="BG735">
        <f>IF(AK735&lt;BC735,1,0)</f>
        <v>1</v>
      </c>
      <c r="BH735">
        <f>VLOOKUP($B735,[1]Data_Peer_with_peerVars!$B$2:$Z$1050,20,FALSE)</f>
        <v>6</v>
      </c>
      <c r="BI735">
        <f>VLOOKUP($B735,[1]Data_Peer_with_peerVars!$B$2:$Z$1050,21,FALSE)</f>
        <v>2</v>
      </c>
      <c r="BJ735">
        <f>VLOOKUP($B735,[1]Data_Peer_with_peerVars!$B$2:$Z$1050,22,FALSE)</f>
        <v>0.33333333300000001</v>
      </c>
      <c r="BK735">
        <f>VLOOKUP($B735,[1]Data_Peer_with_peerVars!$B$2:$Z$1050,23,FALSE)</f>
        <v>50</v>
      </c>
      <c r="BL735">
        <f>VLOOKUP($B735,[1]Data_Peer_with_peerVars!$B$2:$Z$1050,24,FALSE)</f>
        <v>21</v>
      </c>
      <c r="BM735">
        <f>VLOOKUP($B735,[1]Data_Peer_with_peerVars!$B$2:$Z$1050,25,FALSE)</f>
        <v>0.42</v>
      </c>
    </row>
    <row r="736" spans="1:65" x14ac:dyDescent="0.2">
      <c r="A736">
        <v>1</v>
      </c>
      <c r="B736" t="s">
        <v>1153</v>
      </c>
      <c r="C736">
        <v>422</v>
      </c>
      <c r="D736" t="s">
        <v>68</v>
      </c>
      <c r="E736">
        <v>1</v>
      </c>
      <c r="F736">
        <v>5</v>
      </c>
      <c r="G736" t="s">
        <v>69</v>
      </c>
      <c r="H736" s="1">
        <v>7</v>
      </c>
      <c r="I736" t="s">
        <v>70</v>
      </c>
      <c r="J736" t="s">
        <v>436</v>
      </c>
      <c r="K736" t="s">
        <v>109</v>
      </c>
      <c r="L736">
        <v>1</v>
      </c>
      <c r="M736">
        <v>1</v>
      </c>
      <c r="N736">
        <v>1</v>
      </c>
      <c r="O736">
        <v>1</v>
      </c>
      <c r="P736">
        <v>0</v>
      </c>
      <c r="Q736">
        <v>6</v>
      </c>
      <c r="R736">
        <v>0</v>
      </c>
      <c r="S736">
        <v>0</v>
      </c>
      <c r="T736">
        <v>0</v>
      </c>
      <c r="U736">
        <v>0</v>
      </c>
      <c r="V736">
        <f t="shared" si="317"/>
        <v>1</v>
      </c>
      <c r="W736">
        <v>1</v>
      </c>
      <c r="X736">
        <v>1</v>
      </c>
      <c r="Y736">
        <v>1</v>
      </c>
      <c r="Z736" t="s">
        <v>73</v>
      </c>
      <c r="AA736" s="5" t="s">
        <v>73</v>
      </c>
      <c r="AB736" s="5" t="s">
        <v>73</v>
      </c>
      <c r="AC736" t="s">
        <v>73</v>
      </c>
      <c r="AD736" t="s">
        <v>94</v>
      </c>
      <c r="AE736" s="5" t="s">
        <v>94</v>
      </c>
      <c r="AF736" t="s">
        <v>75</v>
      </c>
      <c r="AG736" t="s">
        <v>95</v>
      </c>
      <c r="AH736">
        <f t="shared" si="331"/>
        <v>6.1168760000000003E-2</v>
      </c>
      <c r="AI736">
        <f t="shared" si="332"/>
        <v>6.1168760000000003E-2</v>
      </c>
      <c r="AJ736">
        <f t="shared" si="320"/>
        <v>6.1168760000000003E-2</v>
      </c>
      <c r="AK736">
        <v>6.1168760000000003E-2</v>
      </c>
      <c r="AL736">
        <v>0.12076503</v>
      </c>
      <c r="AM736">
        <v>0.13088717999999999</v>
      </c>
      <c r="AN736">
        <v>0.14223194</v>
      </c>
      <c r="AO736">
        <v>93.883123999999995</v>
      </c>
      <c r="AP736">
        <v>87.923496999999998</v>
      </c>
      <c r="AQ736">
        <v>86.911282</v>
      </c>
      <c r="AR736">
        <v>85.776805999999993</v>
      </c>
      <c r="AS736" t="b">
        <v>1</v>
      </c>
      <c r="AT736" t="b">
        <v>0</v>
      </c>
      <c r="AU736" t="s">
        <v>77</v>
      </c>
      <c r="AV736" t="s">
        <v>78</v>
      </c>
      <c r="AW736" t="s">
        <v>783</v>
      </c>
      <c r="AX736" t="s">
        <v>812</v>
      </c>
      <c r="AY736" t="s">
        <v>1147</v>
      </c>
      <c r="AZ736" t="s">
        <v>109</v>
      </c>
      <c r="BA736">
        <v>4</v>
      </c>
      <c r="BB736">
        <v>0.35</v>
      </c>
      <c r="BC736">
        <v>4.1163553999999996E-3</v>
      </c>
      <c r="BD736">
        <v>1.4279989108178799E-4</v>
      </c>
      <c r="BE736">
        <v>4.2591552910817903E-3</v>
      </c>
      <c r="BF736">
        <f>IF(AK736&lt;BE736,1,0)</f>
        <v>0</v>
      </c>
      <c r="BG736">
        <f>IF(AK736&lt;BC736,1,0)</f>
        <v>0</v>
      </c>
      <c r="BH736">
        <f>VLOOKUP($B736,[1]Data_Peer_with_peerVars!$B$2:$Z$1050,20,FALSE)</f>
        <v>6</v>
      </c>
      <c r="BI736">
        <f>VLOOKUP($B736,[1]Data_Peer_with_peerVars!$B$2:$Z$1050,21,FALSE)</f>
        <v>2</v>
      </c>
      <c r="BJ736">
        <f>VLOOKUP($B736,[1]Data_Peer_with_peerVars!$B$2:$Z$1050,22,FALSE)</f>
        <v>0.33333333300000001</v>
      </c>
      <c r="BK736">
        <f>VLOOKUP($B736,[1]Data_Peer_with_peerVars!$B$2:$Z$1050,23,FALSE)</f>
        <v>50</v>
      </c>
      <c r="BL736">
        <f>VLOOKUP($B736,[1]Data_Peer_with_peerVars!$B$2:$Z$1050,24,FALSE)</f>
        <v>21</v>
      </c>
      <c r="BM736">
        <f>VLOOKUP($B736,[1]Data_Peer_with_peerVars!$B$2:$Z$1050,25,FALSE)</f>
        <v>0.42</v>
      </c>
    </row>
    <row r="737" spans="1:65" x14ac:dyDescent="0.2">
      <c r="A737">
        <v>1</v>
      </c>
      <c r="B737" t="s">
        <v>1154</v>
      </c>
      <c r="C737">
        <v>423</v>
      </c>
      <c r="D737" t="s">
        <v>68</v>
      </c>
      <c r="E737">
        <v>1</v>
      </c>
      <c r="F737">
        <v>10</v>
      </c>
      <c r="G737" t="s">
        <v>69</v>
      </c>
      <c r="H737" s="1">
        <v>7</v>
      </c>
      <c r="J737" t="s">
        <v>82</v>
      </c>
      <c r="L737">
        <v>1</v>
      </c>
      <c r="M737">
        <v>0</v>
      </c>
      <c r="N737">
        <v>1</v>
      </c>
      <c r="O737">
        <v>1</v>
      </c>
      <c r="P737">
        <v>0</v>
      </c>
      <c r="Q737">
        <v>11</v>
      </c>
      <c r="R737">
        <v>1</v>
      </c>
      <c r="S737">
        <v>1</v>
      </c>
      <c r="T737">
        <v>1</v>
      </c>
      <c r="U737">
        <v>1</v>
      </c>
      <c r="V737">
        <f t="shared" si="317"/>
        <v>0</v>
      </c>
      <c r="W737">
        <f t="shared" si="318"/>
        <v>0</v>
      </c>
      <c r="X737">
        <f t="shared" si="321"/>
        <v>0</v>
      </c>
      <c r="Y737">
        <f t="shared" si="319"/>
        <v>0</v>
      </c>
      <c r="Z737" t="s">
        <v>73</v>
      </c>
      <c r="AA737" s="5" t="s">
        <v>73</v>
      </c>
      <c r="AB737" s="5" t="s">
        <v>73</v>
      </c>
      <c r="AC737" t="s">
        <v>107</v>
      </c>
      <c r="AD737" t="s">
        <v>74</v>
      </c>
      <c r="AE737" s="5" t="s">
        <v>74</v>
      </c>
      <c r="AF737" t="s">
        <v>95</v>
      </c>
      <c r="AG737" t="s">
        <v>76</v>
      </c>
      <c r="AH737">
        <f t="shared" ref="AH737:AH749" si="333">AI737</f>
        <v>8.1318684000000002E-2</v>
      </c>
      <c r="AI737">
        <f t="shared" ref="AI737:AI749" si="334">AJ737</f>
        <v>8.1318684000000002E-2</v>
      </c>
      <c r="AJ737">
        <f t="shared" si="320"/>
        <v>8.1318684000000002E-2</v>
      </c>
      <c r="AK737">
        <v>8.1318684000000002E-2</v>
      </c>
      <c r="AL737">
        <v>0.10610225</v>
      </c>
      <c r="AM737">
        <v>0.11424658</v>
      </c>
      <c r="AN737">
        <v>0.11479452</v>
      </c>
      <c r="AO737">
        <v>91.868131599999998</v>
      </c>
      <c r="AP737">
        <v>89.389775</v>
      </c>
      <c r="AQ737">
        <v>88.575342000000006</v>
      </c>
      <c r="AR737">
        <v>88.520548000000005</v>
      </c>
      <c r="AS737" t="b">
        <v>0</v>
      </c>
      <c r="AT737" t="b">
        <v>0</v>
      </c>
      <c r="AU737" t="s">
        <v>77</v>
      </c>
      <c r="AV737" t="s">
        <v>78</v>
      </c>
      <c r="AW737" t="s">
        <v>783</v>
      </c>
      <c r="AX737" t="s">
        <v>812</v>
      </c>
      <c r="AY737" t="s">
        <v>1147</v>
      </c>
      <c r="AZ737" t="s">
        <v>82</v>
      </c>
      <c r="BA737" t="s">
        <v>82</v>
      </c>
      <c r="BB737">
        <v>1</v>
      </c>
      <c r="BC737">
        <v>2.6475456000000001E-2</v>
      </c>
      <c r="BD737">
        <v>8.8330364056477401E-3</v>
      </c>
      <c r="BE737">
        <v>3.53084924056477E-2</v>
      </c>
      <c r="BF737">
        <f>IF(AK737&lt;BE737,1,0)</f>
        <v>0</v>
      </c>
      <c r="BG737">
        <f>IF(AK737&lt;BC737,1,0)</f>
        <v>0</v>
      </c>
      <c r="BH737">
        <f>VLOOKUP($B737,[1]Data_Peer_with_peerVars!$B$2:$Z$1050,20,FALSE)</f>
        <v>0</v>
      </c>
      <c r="BI737">
        <f>VLOOKUP($B737,[1]Data_Peer_with_peerVars!$B$2:$Z$1050,21,FALSE)</f>
        <v>0</v>
      </c>
      <c r="BJ737">
        <v>0</v>
      </c>
      <c r="BK737">
        <f>VLOOKUP($B737,[1]Data_Peer_with_peerVars!$B$2:$Z$1050,23,FALSE)</f>
        <v>0</v>
      </c>
      <c r="BL737">
        <f>VLOOKUP($B737,[1]Data_Peer_with_peerVars!$B$2:$Z$1050,24,FALSE)</f>
        <v>0</v>
      </c>
      <c r="BM737" t="str">
        <f>VLOOKUP($B737,[1]Data_Peer_with_peerVars!$B$2:$Z$1050,25,FALSE)</f>
        <v>NA</v>
      </c>
    </row>
    <row r="738" spans="1:65" x14ac:dyDescent="0.2">
      <c r="A738">
        <v>1</v>
      </c>
      <c r="B738" t="s">
        <v>1155</v>
      </c>
      <c r="C738">
        <v>423</v>
      </c>
      <c r="D738" t="s">
        <v>68</v>
      </c>
      <c r="E738">
        <v>1</v>
      </c>
      <c r="F738">
        <v>10</v>
      </c>
      <c r="G738" t="s">
        <v>69</v>
      </c>
      <c r="H738" s="1">
        <v>7</v>
      </c>
      <c r="J738" t="s">
        <v>82</v>
      </c>
      <c r="L738">
        <v>1</v>
      </c>
      <c r="M738">
        <v>0</v>
      </c>
      <c r="N738">
        <v>1</v>
      </c>
      <c r="O738">
        <v>1</v>
      </c>
      <c r="P738">
        <v>0</v>
      </c>
      <c r="Q738">
        <v>11</v>
      </c>
      <c r="R738">
        <v>0</v>
      </c>
      <c r="S738">
        <v>0</v>
      </c>
      <c r="T738">
        <v>0</v>
      </c>
      <c r="U738">
        <v>0</v>
      </c>
      <c r="V738">
        <f t="shared" si="317"/>
        <v>0</v>
      </c>
      <c r="W738">
        <f t="shared" si="318"/>
        <v>0</v>
      </c>
      <c r="X738">
        <f t="shared" si="321"/>
        <v>0</v>
      </c>
      <c r="Y738">
        <f t="shared" si="319"/>
        <v>0</v>
      </c>
      <c r="Z738" t="s">
        <v>76</v>
      </c>
      <c r="AA738" s="5" t="s">
        <v>76</v>
      </c>
      <c r="AB738" s="5" t="s">
        <v>1156</v>
      </c>
      <c r="AC738" t="s">
        <v>73</v>
      </c>
      <c r="AD738" t="s">
        <v>91</v>
      </c>
      <c r="AE738" s="5" t="s">
        <v>91</v>
      </c>
      <c r="AF738" t="s">
        <v>94</v>
      </c>
      <c r="AG738" t="s">
        <v>75</v>
      </c>
      <c r="AH738">
        <f t="shared" si="333"/>
        <v>8.0317979999999997E-2</v>
      </c>
      <c r="AI738">
        <f t="shared" si="334"/>
        <v>8.0317979999999997E-2</v>
      </c>
      <c r="AJ738">
        <f t="shared" si="320"/>
        <v>8.0317979999999997E-2</v>
      </c>
      <c r="AK738">
        <v>8.0317979999999997E-2</v>
      </c>
      <c r="AL738">
        <v>0.11716171</v>
      </c>
      <c r="AM738">
        <v>0.13384531</v>
      </c>
      <c r="AN738">
        <v>0.13963716000000001</v>
      </c>
      <c r="AO738">
        <v>91.968202000000005</v>
      </c>
      <c r="AP738">
        <v>88.283828999999997</v>
      </c>
      <c r="AQ738">
        <v>86.615469000000004</v>
      </c>
      <c r="AR738">
        <v>86.036283999999995</v>
      </c>
      <c r="AS738" t="b">
        <v>0</v>
      </c>
      <c r="AT738" t="b">
        <v>0</v>
      </c>
      <c r="AU738" t="s">
        <v>77</v>
      </c>
      <c r="AV738" t="s">
        <v>78</v>
      </c>
      <c r="AW738" t="s">
        <v>783</v>
      </c>
      <c r="AX738" t="s">
        <v>812</v>
      </c>
      <c r="AY738" t="s">
        <v>1147</v>
      </c>
      <c r="AZ738" t="s">
        <v>72</v>
      </c>
      <c r="BA738" t="s">
        <v>82</v>
      </c>
      <c r="BB738">
        <v>5</v>
      </c>
      <c r="BC738">
        <v>4.1163553999999996E-3</v>
      </c>
      <c r="BD738">
        <v>1.4279989108178799E-4</v>
      </c>
      <c r="BE738">
        <v>4.2591552910817903E-3</v>
      </c>
      <c r="BF738">
        <f>IF(AK738&lt;BE738,1,0)</f>
        <v>0</v>
      </c>
      <c r="BG738">
        <f>IF(AK738&lt;BC738,1,0)</f>
        <v>0</v>
      </c>
      <c r="BH738">
        <f>VLOOKUP($B738,[1]Data_Peer_with_peerVars!$B$2:$Z$1050,20,FALSE)</f>
        <v>0</v>
      </c>
      <c r="BI738">
        <f>VLOOKUP($B738,[1]Data_Peer_with_peerVars!$B$2:$Z$1050,21,FALSE)</f>
        <v>0</v>
      </c>
      <c r="BJ738">
        <v>0</v>
      </c>
      <c r="BK738">
        <f>VLOOKUP($B738,[1]Data_Peer_with_peerVars!$B$2:$Z$1050,23,FALSE)</f>
        <v>0</v>
      </c>
      <c r="BL738">
        <f>VLOOKUP($B738,[1]Data_Peer_with_peerVars!$B$2:$Z$1050,24,FALSE)</f>
        <v>0</v>
      </c>
      <c r="BM738" t="str">
        <f>VLOOKUP($B738,[1]Data_Peer_with_peerVars!$B$2:$Z$1050,25,FALSE)</f>
        <v>NA</v>
      </c>
    </row>
    <row r="739" spans="1:65" x14ac:dyDescent="0.2">
      <c r="A739">
        <v>1</v>
      </c>
      <c r="B739" t="s">
        <v>1157</v>
      </c>
      <c r="C739">
        <v>424</v>
      </c>
      <c r="D739" t="s">
        <v>68</v>
      </c>
      <c r="E739">
        <v>1</v>
      </c>
      <c r="F739">
        <v>156</v>
      </c>
      <c r="G739" t="s">
        <v>86</v>
      </c>
      <c r="H739" s="1">
        <v>6</v>
      </c>
      <c r="I739" t="s">
        <v>87</v>
      </c>
      <c r="J739" t="s">
        <v>111</v>
      </c>
      <c r="K739" t="s">
        <v>72</v>
      </c>
      <c r="L739">
        <v>1</v>
      </c>
      <c r="M739">
        <v>1</v>
      </c>
      <c r="N739">
        <v>0</v>
      </c>
      <c r="O739">
        <v>0</v>
      </c>
      <c r="P739">
        <v>0</v>
      </c>
      <c r="Q739">
        <v>6</v>
      </c>
      <c r="R739">
        <v>0</v>
      </c>
      <c r="S739">
        <v>0</v>
      </c>
      <c r="T739">
        <v>1</v>
      </c>
      <c r="U739">
        <v>1</v>
      </c>
      <c r="V739">
        <f t="shared" si="317"/>
        <v>0</v>
      </c>
      <c r="W739">
        <f t="shared" si="318"/>
        <v>0</v>
      </c>
      <c r="X739">
        <f t="shared" si="321"/>
        <v>0</v>
      </c>
      <c r="Y739">
        <f t="shared" si="319"/>
        <v>0</v>
      </c>
      <c r="Z739" t="s">
        <v>89</v>
      </c>
      <c r="AA739" s="5" t="s">
        <v>273</v>
      </c>
      <c r="AB739" s="5" t="s">
        <v>1158</v>
      </c>
      <c r="AC739" t="s">
        <v>94</v>
      </c>
      <c r="AD739" t="s">
        <v>95</v>
      </c>
      <c r="AE739" s="5" t="s">
        <v>95</v>
      </c>
      <c r="AF739" t="s">
        <v>107</v>
      </c>
      <c r="AG739" t="s">
        <v>173</v>
      </c>
      <c r="AH739">
        <f t="shared" si="333"/>
        <v>4.9153469999999998E-2</v>
      </c>
      <c r="AI739">
        <f t="shared" si="334"/>
        <v>4.9153469999999998E-2</v>
      </c>
      <c r="AJ739">
        <f t="shared" si="320"/>
        <v>4.9153469999999998E-2</v>
      </c>
      <c r="AK739">
        <v>4.9153469999999998E-2</v>
      </c>
      <c r="AL739">
        <v>9.1033353999999997E-2</v>
      </c>
      <c r="AM739">
        <v>0.10547945</v>
      </c>
      <c r="AN739">
        <v>0.112718344</v>
      </c>
      <c r="AO739">
        <v>95.084653000000003</v>
      </c>
      <c r="AP739">
        <v>90.896664599999994</v>
      </c>
      <c r="AQ739">
        <v>89.452055000000001</v>
      </c>
      <c r="AR739">
        <v>88.728165599999997</v>
      </c>
      <c r="AS739" t="b">
        <v>0</v>
      </c>
      <c r="AT739" t="b">
        <v>0</v>
      </c>
      <c r="AU739" t="s">
        <v>92</v>
      </c>
      <c r="AV739" t="s">
        <v>92</v>
      </c>
      <c r="AW739" t="s">
        <v>783</v>
      </c>
      <c r="AX739" t="s">
        <v>812</v>
      </c>
      <c r="AY739" t="s">
        <v>1147</v>
      </c>
      <c r="AZ739" t="s">
        <v>72</v>
      </c>
      <c r="BA739" t="s">
        <v>82</v>
      </c>
      <c r="BB739">
        <v>0.35</v>
      </c>
      <c r="BC739">
        <v>1.6447369E-2</v>
      </c>
      <c r="BD739">
        <v>4.2236161269162102E-4</v>
      </c>
      <c r="BE739">
        <v>1.6869730612691598E-2</v>
      </c>
      <c r="BF739">
        <f>IF(AK739&lt;BE739,1,0)</f>
        <v>0</v>
      </c>
      <c r="BG739">
        <f>IF(AK739&lt;BC739,1,0)</f>
        <v>0</v>
      </c>
      <c r="BH739">
        <f>VLOOKUP($B739,[1]Data_Peer_with_peerVars!$B$2:$Z$1050,20,FALSE)</f>
        <v>6</v>
      </c>
      <c r="BI739">
        <f>VLOOKUP($B739,[1]Data_Peer_with_peerVars!$B$2:$Z$1050,21,FALSE)</f>
        <v>4</v>
      </c>
      <c r="BJ739">
        <f>VLOOKUP($B739,[1]Data_Peer_with_peerVars!$B$2:$Z$1050,22,FALSE)</f>
        <v>0.66666666699999999</v>
      </c>
      <c r="BK739">
        <f>VLOOKUP($B739,[1]Data_Peer_with_peerVars!$B$2:$Z$1050,23,FALSE)</f>
        <v>50</v>
      </c>
      <c r="BL739">
        <f>VLOOKUP($B739,[1]Data_Peer_with_peerVars!$B$2:$Z$1050,24,FALSE)</f>
        <v>23</v>
      </c>
      <c r="BM739">
        <f>VLOOKUP($B739,[1]Data_Peer_with_peerVars!$B$2:$Z$1050,25,FALSE)</f>
        <v>0.46</v>
      </c>
    </row>
    <row r="740" spans="1:65" x14ac:dyDescent="0.2">
      <c r="A740">
        <v>1</v>
      </c>
      <c r="B740" t="s">
        <v>1159</v>
      </c>
      <c r="C740">
        <v>424</v>
      </c>
      <c r="D740" t="s">
        <v>68</v>
      </c>
      <c r="E740">
        <v>1</v>
      </c>
      <c r="F740">
        <v>156</v>
      </c>
      <c r="G740" t="s">
        <v>86</v>
      </c>
      <c r="H740" s="1">
        <v>6</v>
      </c>
      <c r="I740" t="s">
        <v>87</v>
      </c>
      <c r="J740" t="s">
        <v>111</v>
      </c>
      <c r="K740" t="s">
        <v>72</v>
      </c>
      <c r="L740">
        <v>1</v>
      </c>
      <c r="M740">
        <v>1</v>
      </c>
      <c r="N740">
        <v>0</v>
      </c>
      <c r="O740">
        <v>0</v>
      </c>
      <c r="P740">
        <v>0</v>
      </c>
      <c r="Q740">
        <v>6</v>
      </c>
      <c r="R740">
        <v>0</v>
      </c>
      <c r="S740">
        <v>0</v>
      </c>
      <c r="T740">
        <v>0</v>
      </c>
      <c r="U740">
        <v>0</v>
      </c>
      <c r="V740">
        <f t="shared" si="317"/>
        <v>0</v>
      </c>
      <c r="W740">
        <f t="shared" si="318"/>
        <v>0</v>
      </c>
      <c r="X740">
        <f t="shared" si="321"/>
        <v>0</v>
      </c>
      <c r="Y740">
        <f t="shared" si="319"/>
        <v>0</v>
      </c>
      <c r="Z740" t="s">
        <v>89</v>
      </c>
      <c r="AA740" s="5" t="s">
        <v>273</v>
      </c>
      <c r="AB740" s="5" t="s">
        <v>1160</v>
      </c>
      <c r="AC740" t="s">
        <v>74</v>
      </c>
      <c r="AD740" t="s">
        <v>75</v>
      </c>
      <c r="AE740" s="5" t="s">
        <v>75</v>
      </c>
      <c r="AF740" t="s">
        <v>120</v>
      </c>
      <c r="AG740" t="s">
        <v>76</v>
      </c>
      <c r="AH740">
        <f t="shared" si="333"/>
        <v>1.4528509E-2</v>
      </c>
      <c r="AI740">
        <f t="shared" si="334"/>
        <v>1.4528509E-2</v>
      </c>
      <c r="AJ740">
        <f t="shared" si="320"/>
        <v>1.4528509E-2</v>
      </c>
      <c r="AK740">
        <v>1.4528509E-2</v>
      </c>
      <c r="AL740">
        <v>8.5479449999999998E-2</v>
      </c>
      <c r="AM740">
        <v>8.7527350000000004E-2</v>
      </c>
      <c r="AN740">
        <v>8.7945209999999996E-2</v>
      </c>
      <c r="AO740">
        <v>98.547149099999999</v>
      </c>
      <c r="AP740">
        <v>91.452055000000001</v>
      </c>
      <c r="AQ740">
        <v>91.247264999999999</v>
      </c>
      <c r="AR740">
        <v>91.205478999999997</v>
      </c>
      <c r="AS740" t="b">
        <v>0</v>
      </c>
      <c r="AT740" t="b">
        <v>0</v>
      </c>
      <c r="AU740" t="s">
        <v>92</v>
      </c>
      <c r="AV740" t="s">
        <v>92</v>
      </c>
      <c r="AW740" t="s">
        <v>783</v>
      </c>
      <c r="AX740" t="s">
        <v>812</v>
      </c>
      <c r="AY740" t="s">
        <v>1147</v>
      </c>
      <c r="AZ740" t="s">
        <v>72</v>
      </c>
      <c r="BA740" t="s">
        <v>82</v>
      </c>
      <c r="BB740">
        <v>0.7</v>
      </c>
      <c r="BC740">
        <v>2.4738868000000001E-3</v>
      </c>
      <c r="BD740">
        <v>1.4256942275279999E-4</v>
      </c>
      <c r="BE740">
        <v>2.6164562227527998E-3</v>
      </c>
      <c r="BF740">
        <f>IF(AK740&lt;BE740,1,0)</f>
        <v>0</v>
      </c>
      <c r="BG740">
        <f>IF(AK740&lt;BC740,1,0)</f>
        <v>0</v>
      </c>
      <c r="BH740">
        <f>VLOOKUP($B740,[1]Data_Peer_with_peerVars!$B$2:$Z$1050,20,FALSE)</f>
        <v>6</v>
      </c>
      <c r="BI740">
        <f>VLOOKUP($B740,[1]Data_Peer_with_peerVars!$B$2:$Z$1050,21,FALSE)</f>
        <v>4</v>
      </c>
      <c r="BJ740">
        <f>VLOOKUP($B740,[1]Data_Peer_with_peerVars!$B$2:$Z$1050,22,FALSE)</f>
        <v>0.66666666699999999</v>
      </c>
      <c r="BK740">
        <f>VLOOKUP($B740,[1]Data_Peer_with_peerVars!$B$2:$Z$1050,23,FALSE)</f>
        <v>50</v>
      </c>
      <c r="BL740">
        <f>VLOOKUP($B740,[1]Data_Peer_with_peerVars!$B$2:$Z$1050,24,FALSE)</f>
        <v>23</v>
      </c>
      <c r="BM740">
        <f>VLOOKUP($B740,[1]Data_Peer_with_peerVars!$B$2:$Z$1050,25,FALSE)</f>
        <v>0.46</v>
      </c>
    </row>
    <row r="741" spans="1:65" x14ac:dyDescent="0.2">
      <c r="A741">
        <v>1</v>
      </c>
      <c r="B741" t="s">
        <v>1161</v>
      </c>
      <c r="C741">
        <v>425</v>
      </c>
      <c r="D741" t="s">
        <v>68</v>
      </c>
      <c r="E741">
        <v>1</v>
      </c>
      <c r="F741">
        <v>809</v>
      </c>
      <c r="G741" t="s">
        <v>69</v>
      </c>
      <c r="H741" s="1">
        <v>7</v>
      </c>
      <c r="I741" t="s">
        <v>87</v>
      </c>
      <c r="J741" t="s">
        <v>88</v>
      </c>
      <c r="K741" t="s">
        <v>109</v>
      </c>
      <c r="L741">
        <v>1</v>
      </c>
      <c r="M741">
        <v>0</v>
      </c>
      <c r="N741">
        <v>1</v>
      </c>
      <c r="O741">
        <v>0</v>
      </c>
      <c r="P741">
        <v>0</v>
      </c>
      <c r="Q741">
        <v>6</v>
      </c>
      <c r="R741">
        <v>0</v>
      </c>
      <c r="S741">
        <v>0</v>
      </c>
      <c r="T741">
        <v>0</v>
      </c>
      <c r="U741">
        <v>0</v>
      </c>
      <c r="V741">
        <f t="shared" si="317"/>
        <v>1</v>
      </c>
      <c r="W741">
        <v>1</v>
      </c>
      <c r="X741">
        <v>1</v>
      </c>
      <c r="Y741">
        <v>1</v>
      </c>
      <c r="Z741" t="s">
        <v>76</v>
      </c>
      <c r="AA741" s="5" t="s">
        <v>76</v>
      </c>
      <c r="AB741" s="5" t="s">
        <v>76</v>
      </c>
      <c r="AC741" t="s">
        <v>76</v>
      </c>
      <c r="AD741" t="s">
        <v>74</v>
      </c>
      <c r="AE741" s="5" t="s">
        <v>74</v>
      </c>
      <c r="AF741" t="s">
        <v>75</v>
      </c>
      <c r="AG741" t="s">
        <v>120</v>
      </c>
      <c r="AH741">
        <f t="shared" si="333"/>
        <v>7.1857920000000006E-2</v>
      </c>
      <c r="AI741">
        <f t="shared" si="334"/>
        <v>7.1857920000000006E-2</v>
      </c>
      <c r="AJ741">
        <f t="shared" si="320"/>
        <v>7.1857920000000006E-2</v>
      </c>
      <c r="AK741">
        <v>7.1857920000000006E-2</v>
      </c>
      <c r="AL741">
        <v>9.4024120000000003E-2</v>
      </c>
      <c r="AM741">
        <v>0.119868636</v>
      </c>
      <c r="AN741">
        <v>0.12110443</v>
      </c>
      <c r="AO741">
        <v>92.814207999999994</v>
      </c>
      <c r="AP741">
        <v>90.597588000000002</v>
      </c>
      <c r="AQ741">
        <v>88.013136399999993</v>
      </c>
      <c r="AR741">
        <v>87.889556999999996</v>
      </c>
      <c r="AS741" t="b">
        <v>1</v>
      </c>
      <c r="AT741" t="b">
        <v>0</v>
      </c>
      <c r="AU741" t="s">
        <v>77</v>
      </c>
      <c r="AV741" t="s">
        <v>77</v>
      </c>
      <c r="AW741" t="s">
        <v>783</v>
      </c>
      <c r="AX741" t="s">
        <v>812</v>
      </c>
      <c r="AY741" t="s">
        <v>1147</v>
      </c>
      <c r="AZ741" t="s">
        <v>109</v>
      </c>
      <c r="BA741">
        <v>5</v>
      </c>
      <c r="BB741">
        <v>1</v>
      </c>
      <c r="BC741">
        <v>7.7070764999999999E-2</v>
      </c>
      <c r="BD741">
        <v>1.90190515067399E-3</v>
      </c>
      <c r="BE741">
        <v>7.8972670150673996E-2</v>
      </c>
      <c r="BF741">
        <f>IF(AK741&lt;BE741,1,0)</f>
        <v>1</v>
      </c>
      <c r="BG741">
        <f>IF(AK741&lt;BC741,1,0)</f>
        <v>1</v>
      </c>
      <c r="BH741">
        <f>VLOOKUP($B741,[1]Data_Peer_with_peerVars!$B$2:$Z$1050,20,FALSE)</f>
        <v>0</v>
      </c>
      <c r="BI741">
        <f>VLOOKUP($B741,[1]Data_Peer_with_peerVars!$B$2:$Z$1050,21,FALSE)</f>
        <v>0</v>
      </c>
      <c r="BJ741">
        <v>0</v>
      </c>
      <c r="BK741">
        <f>VLOOKUP($B741,[1]Data_Peer_with_peerVars!$B$2:$Z$1050,23,FALSE)</f>
        <v>39</v>
      </c>
      <c r="BL741">
        <f>VLOOKUP($B741,[1]Data_Peer_with_peerVars!$B$2:$Z$1050,24,FALSE)</f>
        <v>18</v>
      </c>
      <c r="BM741">
        <f>VLOOKUP($B741,[1]Data_Peer_with_peerVars!$B$2:$Z$1050,25,FALSE)</f>
        <v>0.46153846199999998</v>
      </c>
    </row>
    <row r="742" spans="1:65" x14ac:dyDescent="0.2">
      <c r="A742">
        <v>1</v>
      </c>
      <c r="B742" t="s">
        <v>1162</v>
      </c>
      <c r="C742">
        <v>426</v>
      </c>
      <c r="D742" t="s">
        <v>68</v>
      </c>
      <c r="E742">
        <v>0</v>
      </c>
      <c r="F742">
        <v>1</v>
      </c>
      <c r="G742" t="s">
        <v>119</v>
      </c>
      <c r="H742" s="1">
        <v>7</v>
      </c>
      <c r="I742" t="s">
        <v>87</v>
      </c>
      <c r="J742" t="s">
        <v>124</v>
      </c>
      <c r="K742" t="s">
        <v>109</v>
      </c>
      <c r="L742">
        <v>1</v>
      </c>
      <c r="M742">
        <v>1</v>
      </c>
      <c r="N742">
        <v>0</v>
      </c>
      <c r="O742">
        <v>0</v>
      </c>
      <c r="P742">
        <v>0</v>
      </c>
      <c r="Q742">
        <v>6</v>
      </c>
      <c r="R742">
        <v>0</v>
      </c>
      <c r="S742">
        <v>0</v>
      </c>
      <c r="T742">
        <v>1</v>
      </c>
      <c r="U742">
        <v>1</v>
      </c>
      <c r="V742">
        <f t="shared" si="317"/>
        <v>1</v>
      </c>
      <c r="W742">
        <v>1</v>
      </c>
      <c r="X742">
        <v>1</v>
      </c>
      <c r="Y742">
        <v>1</v>
      </c>
      <c r="Z742" t="s">
        <v>73</v>
      </c>
      <c r="AA742" s="5" t="s">
        <v>73</v>
      </c>
      <c r="AB742" s="5" t="s">
        <v>73</v>
      </c>
      <c r="AC742" t="s">
        <v>73</v>
      </c>
      <c r="AD742" t="s">
        <v>94</v>
      </c>
      <c r="AE742" s="5" t="s">
        <v>106</v>
      </c>
      <c r="AF742" t="s">
        <v>107</v>
      </c>
      <c r="AG742" t="s">
        <v>95</v>
      </c>
      <c r="AH742">
        <f t="shared" si="333"/>
        <v>3.8209606000000002E-3</v>
      </c>
      <c r="AI742">
        <f t="shared" si="334"/>
        <v>3.8209606000000002E-3</v>
      </c>
      <c r="AJ742">
        <f t="shared" si="320"/>
        <v>3.8209606000000002E-3</v>
      </c>
      <c r="AK742">
        <v>3.8209606000000002E-3</v>
      </c>
      <c r="AL742">
        <v>0.13176599</v>
      </c>
      <c r="AM742">
        <v>0.13658803999999999</v>
      </c>
      <c r="AN742">
        <v>0.13902571999999999</v>
      </c>
      <c r="AO742">
        <v>99.617903940000005</v>
      </c>
      <c r="AP742">
        <v>86.823401000000004</v>
      </c>
      <c r="AQ742">
        <v>86.341195999999997</v>
      </c>
      <c r="AR742">
        <v>86.097427999999994</v>
      </c>
      <c r="AS742" t="b">
        <v>1</v>
      </c>
      <c r="AT742" t="b">
        <v>0</v>
      </c>
      <c r="AU742" t="s">
        <v>77</v>
      </c>
      <c r="AV742" t="s">
        <v>108</v>
      </c>
      <c r="AW742" t="s">
        <v>783</v>
      </c>
      <c r="AX742" t="s">
        <v>812</v>
      </c>
      <c r="AY742" t="s">
        <v>1147</v>
      </c>
      <c r="AZ742" t="s">
        <v>109</v>
      </c>
      <c r="BA742">
        <v>4</v>
      </c>
      <c r="BB742">
        <v>2</v>
      </c>
      <c r="BC742">
        <v>4.1163553999999996E-3</v>
      </c>
      <c r="BD742">
        <v>1.4279989108178799E-4</v>
      </c>
      <c r="BE742">
        <v>4.2591552910817903E-3</v>
      </c>
      <c r="BF742">
        <f>IF(AK742&lt;BE742,1,0)</f>
        <v>1</v>
      </c>
      <c r="BG742">
        <f>IF(AK742&lt;BC742,1,0)</f>
        <v>1</v>
      </c>
      <c r="BH742">
        <f>VLOOKUP($B742,[1]Data_Peer_with_peerVars!$B$2:$Z$1050,20,FALSE)</f>
        <v>8</v>
      </c>
      <c r="BI742">
        <f>VLOOKUP($B742,[1]Data_Peer_with_peerVars!$B$2:$Z$1050,21,FALSE)</f>
        <v>6</v>
      </c>
      <c r="BJ742">
        <f>VLOOKUP($B742,[1]Data_Peer_with_peerVars!$B$2:$Z$1050,22,FALSE)</f>
        <v>0.75</v>
      </c>
      <c r="BK742">
        <f>VLOOKUP($B742,[1]Data_Peer_with_peerVars!$B$2:$Z$1050,23,FALSE)</f>
        <v>39</v>
      </c>
      <c r="BL742">
        <f>VLOOKUP($B742,[1]Data_Peer_with_peerVars!$B$2:$Z$1050,24,FALSE)</f>
        <v>17</v>
      </c>
      <c r="BM742">
        <f>VLOOKUP($B742,[1]Data_Peer_with_peerVars!$B$2:$Z$1050,25,FALSE)</f>
        <v>0.43589743600000003</v>
      </c>
    </row>
    <row r="743" spans="1:65" x14ac:dyDescent="0.2">
      <c r="A743">
        <v>1</v>
      </c>
      <c r="B743" t="s">
        <v>1163</v>
      </c>
      <c r="C743">
        <v>426</v>
      </c>
      <c r="D743" t="s">
        <v>68</v>
      </c>
      <c r="E743">
        <v>0</v>
      </c>
      <c r="F743">
        <v>1</v>
      </c>
      <c r="G743" t="s">
        <v>119</v>
      </c>
      <c r="H743" s="1">
        <v>7</v>
      </c>
      <c r="I743" t="s">
        <v>87</v>
      </c>
      <c r="J743" t="s">
        <v>124</v>
      </c>
      <c r="K743" t="s">
        <v>109</v>
      </c>
      <c r="L743">
        <v>1</v>
      </c>
      <c r="M743">
        <v>1</v>
      </c>
      <c r="N743">
        <v>0</v>
      </c>
      <c r="O743">
        <v>0</v>
      </c>
      <c r="P743">
        <v>0</v>
      </c>
      <c r="Q743">
        <v>6</v>
      </c>
      <c r="R743">
        <v>0</v>
      </c>
      <c r="S743">
        <v>0</v>
      </c>
      <c r="T743">
        <v>0</v>
      </c>
      <c r="U743">
        <v>0</v>
      </c>
      <c r="V743">
        <f t="shared" si="317"/>
        <v>1</v>
      </c>
      <c r="W743">
        <v>1</v>
      </c>
      <c r="X743">
        <v>1</v>
      </c>
      <c r="Y743">
        <v>1</v>
      </c>
      <c r="Z743" t="s">
        <v>76</v>
      </c>
      <c r="AA743" s="5" t="s">
        <v>76</v>
      </c>
      <c r="AB743" s="5" t="s">
        <v>76</v>
      </c>
      <c r="AC743" t="s">
        <v>76</v>
      </c>
      <c r="AD743" t="s">
        <v>74</v>
      </c>
      <c r="AE743" s="5" t="s">
        <v>74</v>
      </c>
      <c r="AF743" t="s">
        <v>120</v>
      </c>
      <c r="AG743" t="s">
        <v>75</v>
      </c>
      <c r="AH743">
        <f t="shared" si="333"/>
        <v>0.10356165000000001</v>
      </c>
      <c r="AI743">
        <f t="shared" si="334"/>
        <v>0.10356165000000001</v>
      </c>
      <c r="AJ743">
        <f t="shared" si="320"/>
        <v>0.10356165000000001</v>
      </c>
      <c r="AK743">
        <v>0.10356165000000001</v>
      </c>
      <c r="AL743">
        <v>0.114285715</v>
      </c>
      <c r="AM743">
        <v>0.13322368000000001</v>
      </c>
      <c r="AN743">
        <v>0.13336992</v>
      </c>
      <c r="AO743">
        <v>89.643834999999996</v>
      </c>
      <c r="AP743">
        <v>88.571428499999996</v>
      </c>
      <c r="AQ743">
        <v>86.677632000000003</v>
      </c>
      <c r="AR743">
        <v>86.663008000000005</v>
      </c>
      <c r="AS743" t="b">
        <v>1</v>
      </c>
      <c r="AT743" t="b">
        <v>0</v>
      </c>
      <c r="AU743" t="s">
        <v>78</v>
      </c>
      <c r="AV743" t="s">
        <v>78</v>
      </c>
      <c r="AW743" t="s">
        <v>783</v>
      </c>
      <c r="AX743" t="s">
        <v>812</v>
      </c>
      <c r="AY743" t="s">
        <v>1147</v>
      </c>
      <c r="AZ743" t="s">
        <v>109</v>
      </c>
      <c r="BA743">
        <v>6</v>
      </c>
      <c r="BB743">
        <v>2</v>
      </c>
      <c r="BC743">
        <v>7.7070764999999999E-2</v>
      </c>
      <c r="BD743">
        <v>1.90190515067399E-3</v>
      </c>
      <c r="BE743">
        <v>7.8972670150673996E-2</v>
      </c>
      <c r="BF743">
        <f>IF(AK743&lt;BE743,1,0)</f>
        <v>0</v>
      </c>
      <c r="BG743">
        <f>IF(AK743&lt;BC743,1,0)</f>
        <v>0</v>
      </c>
      <c r="BH743">
        <f>VLOOKUP($B743,[1]Data_Peer_with_peerVars!$B$2:$Z$1050,20,FALSE)</f>
        <v>8</v>
      </c>
      <c r="BI743">
        <f>VLOOKUP($B743,[1]Data_Peer_with_peerVars!$B$2:$Z$1050,21,FALSE)</f>
        <v>6</v>
      </c>
      <c r="BJ743">
        <f>VLOOKUP($B743,[1]Data_Peer_with_peerVars!$B$2:$Z$1050,22,FALSE)</f>
        <v>0.75</v>
      </c>
      <c r="BK743">
        <f>VLOOKUP($B743,[1]Data_Peer_with_peerVars!$B$2:$Z$1050,23,FALSE)</f>
        <v>39</v>
      </c>
      <c r="BL743">
        <f>VLOOKUP($B743,[1]Data_Peer_with_peerVars!$B$2:$Z$1050,24,FALSE)</f>
        <v>17</v>
      </c>
      <c r="BM743">
        <f>VLOOKUP($B743,[1]Data_Peer_with_peerVars!$B$2:$Z$1050,25,FALSE)</f>
        <v>0.43589743600000003</v>
      </c>
    </row>
    <row r="744" spans="1:65" x14ac:dyDescent="0.2">
      <c r="A744">
        <v>1</v>
      </c>
      <c r="B744" t="s">
        <v>1164</v>
      </c>
      <c r="C744">
        <v>427</v>
      </c>
      <c r="D744" t="s">
        <v>68</v>
      </c>
      <c r="E744">
        <v>0</v>
      </c>
      <c r="F744">
        <v>4</v>
      </c>
      <c r="G744" t="s">
        <v>119</v>
      </c>
      <c r="H744" s="1">
        <v>7</v>
      </c>
      <c r="I744" t="s">
        <v>70</v>
      </c>
      <c r="J744" t="s">
        <v>436</v>
      </c>
      <c r="K744" t="s">
        <v>72</v>
      </c>
      <c r="L744">
        <v>1</v>
      </c>
      <c r="M744">
        <v>1</v>
      </c>
      <c r="N744">
        <v>0</v>
      </c>
      <c r="O744">
        <v>0</v>
      </c>
      <c r="P744">
        <v>0</v>
      </c>
      <c r="Q744">
        <v>11</v>
      </c>
      <c r="R744">
        <v>0</v>
      </c>
      <c r="S744">
        <v>0</v>
      </c>
      <c r="T744">
        <v>0</v>
      </c>
      <c r="U744">
        <v>0</v>
      </c>
      <c r="V744">
        <f t="shared" si="317"/>
        <v>1</v>
      </c>
      <c r="W744">
        <v>1</v>
      </c>
      <c r="X744">
        <v>1</v>
      </c>
      <c r="Y744">
        <v>1</v>
      </c>
      <c r="Z744" t="s">
        <v>73</v>
      </c>
      <c r="AA744" s="5" t="s">
        <v>73</v>
      </c>
      <c r="AB744" s="5" t="s">
        <v>73</v>
      </c>
      <c r="AC744" t="s">
        <v>73</v>
      </c>
      <c r="AD744" t="s">
        <v>94</v>
      </c>
      <c r="AE744" s="5" t="s">
        <v>94</v>
      </c>
      <c r="AF744" t="s">
        <v>75</v>
      </c>
      <c r="AG744" t="s">
        <v>95</v>
      </c>
      <c r="AH744">
        <f t="shared" si="333"/>
        <v>6.7884410000000006E-2</v>
      </c>
      <c r="AI744">
        <f t="shared" si="334"/>
        <v>6.7884410000000006E-2</v>
      </c>
      <c r="AJ744">
        <f t="shared" si="320"/>
        <v>6.7884410000000006E-2</v>
      </c>
      <c r="AK744">
        <v>6.7884410000000006E-2</v>
      </c>
      <c r="AL744">
        <v>0.117631</v>
      </c>
      <c r="AM744">
        <v>0.1285558</v>
      </c>
      <c r="AN744">
        <v>0.14125682000000001</v>
      </c>
      <c r="AO744">
        <v>93.211558999999994</v>
      </c>
      <c r="AP744">
        <v>88.236900000000006</v>
      </c>
      <c r="AQ744">
        <v>87.144419999999997</v>
      </c>
      <c r="AR744">
        <v>85.874318000000002</v>
      </c>
      <c r="AS744" t="b">
        <v>1</v>
      </c>
      <c r="AT744" t="b">
        <v>0</v>
      </c>
      <c r="AU744" t="s">
        <v>77</v>
      </c>
      <c r="AV744" t="s">
        <v>78</v>
      </c>
      <c r="AW744" t="s">
        <v>783</v>
      </c>
      <c r="AX744" t="s">
        <v>812</v>
      </c>
      <c r="AY744" t="s">
        <v>1147</v>
      </c>
      <c r="AZ744" t="s">
        <v>72</v>
      </c>
      <c r="BA744" t="s">
        <v>82</v>
      </c>
      <c r="BB744">
        <v>4</v>
      </c>
      <c r="BC744">
        <v>4.1163553999999996E-3</v>
      </c>
      <c r="BD744">
        <v>1.4279989108178799E-4</v>
      </c>
      <c r="BE744">
        <v>4.2591552910817903E-3</v>
      </c>
      <c r="BF744">
        <f>IF(AK744&lt;BE744,1,0)</f>
        <v>0</v>
      </c>
      <c r="BG744">
        <f>IF(AK744&lt;BC744,1,0)</f>
        <v>0</v>
      </c>
    </row>
    <row r="745" spans="1:65" x14ac:dyDescent="0.2">
      <c r="A745">
        <v>1</v>
      </c>
      <c r="B745" t="s">
        <v>1165</v>
      </c>
      <c r="C745">
        <v>427</v>
      </c>
      <c r="D745" t="s">
        <v>68</v>
      </c>
      <c r="E745">
        <v>0</v>
      </c>
      <c r="F745">
        <v>4</v>
      </c>
      <c r="G745" t="s">
        <v>119</v>
      </c>
      <c r="H745" s="1">
        <v>7</v>
      </c>
      <c r="I745" t="s">
        <v>70</v>
      </c>
      <c r="J745" t="s">
        <v>436</v>
      </c>
      <c r="K745" t="s">
        <v>72</v>
      </c>
      <c r="L745">
        <v>1</v>
      </c>
      <c r="M745">
        <v>1</v>
      </c>
      <c r="N745">
        <v>0</v>
      </c>
      <c r="O745">
        <v>0</v>
      </c>
      <c r="P745">
        <v>0</v>
      </c>
      <c r="Q745">
        <v>11</v>
      </c>
      <c r="R745">
        <v>0</v>
      </c>
      <c r="S745">
        <v>0</v>
      </c>
      <c r="T745">
        <v>0</v>
      </c>
      <c r="U745">
        <v>0</v>
      </c>
      <c r="V745">
        <f t="shared" si="317"/>
        <v>1</v>
      </c>
      <c r="W745">
        <v>1</v>
      </c>
      <c r="X745">
        <v>1</v>
      </c>
      <c r="Y745">
        <v>1</v>
      </c>
      <c r="Z745" t="s">
        <v>76</v>
      </c>
      <c r="AA745" s="5" t="s">
        <v>76</v>
      </c>
      <c r="AB745" s="5" t="s">
        <v>76</v>
      </c>
      <c r="AC745" t="s">
        <v>76</v>
      </c>
      <c r="AD745" t="s">
        <v>74</v>
      </c>
      <c r="AE745" s="5" t="s">
        <v>74</v>
      </c>
      <c r="AF745" t="s">
        <v>120</v>
      </c>
      <c r="AG745" t="s">
        <v>75</v>
      </c>
      <c r="AH745">
        <f t="shared" si="333"/>
        <v>8.9168490000000003E-2</v>
      </c>
      <c r="AI745">
        <f t="shared" si="334"/>
        <v>8.9168490000000003E-2</v>
      </c>
      <c r="AJ745">
        <f t="shared" si="320"/>
        <v>8.9168490000000003E-2</v>
      </c>
      <c r="AK745">
        <v>8.9168490000000003E-2</v>
      </c>
      <c r="AL745">
        <v>9.8135959999999994E-2</v>
      </c>
      <c r="AM745">
        <v>0.120415986</v>
      </c>
      <c r="AN745">
        <v>0.12582236999999999</v>
      </c>
      <c r="AO745">
        <v>91.083151000000001</v>
      </c>
      <c r="AP745">
        <v>90.186403999999996</v>
      </c>
      <c r="AQ745">
        <v>87.9584014</v>
      </c>
      <c r="AR745">
        <v>87.417762999999994</v>
      </c>
      <c r="AS745" t="b">
        <v>1</v>
      </c>
      <c r="AT745" t="b">
        <v>0</v>
      </c>
      <c r="AU745" t="s">
        <v>77</v>
      </c>
      <c r="AV745" t="s">
        <v>77</v>
      </c>
      <c r="AW745" t="s">
        <v>783</v>
      </c>
      <c r="AX745" t="s">
        <v>812</v>
      </c>
      <c r="AY745" t="s">
        <v>1147</v>
      </c>
      <c r="AZ745" t="s">
        <v>72</v>
      </c>
      <c r="BA745" t="s">
        <v>82</v>
      </c>
      <c r="BB745">
        <v>2</v>
      </c>
      <c r="BC745">
        <v>7.7070764999999999E-2</v>
      </c>
      <c r="BD745">
        <v>1.90190515067399E-3</v>
      </c>
      <c r="BE745">
        <v>7.8972670150673996E-2</v>
      </c>
      <c r="BF745">
        <f>IF(AK745&lt;BE745,1,0)</f>
        <v>0</v>
      </c>
      <c r="BG745">
        <f>IF(AK745&lt;BC745,1,0)</f>
        <v>0</v>
      </c>
    </row>
    <row r="746" spans="1:65" x14ac:dyDescent="0.2">
      <c r="A746">
        <v>1</v>
      </c>
      <c r="B746" t="s">
        <v>1166</v>
      </c>
      <c r="C746">
        <v>428</v>
      </c>
      <c r="D746" t="s">
        <v>68</v>
      </c>
      <c r="E746">
        <v>0</v>
      </c>
      <c r="F746">
        <v>7</v>
      </c>
      <c r="G746" t="s">
        <v>119</v>
      </c>
      <c r="H746" s="1">
        <v>7</v>
      </c>
      <c r="I746" t="s">
        <v>70</v>
      </c>
      <c r="J746" t="s">
        <v>436</v>
      </c>
      <c r="K746" t="s">
        <v>109</v>
      </c>
      <c r="L746">
        <v>1</v>
      </c>
      <c r="M746">
        <v>1</v>
      </c>
      <c r="N746">
        <v>0</v>
      </c>
      <c r="O746">
        <v>0</v>
      </c>
      <c r="P746">
        <v>0</v>
      </c>
      <c r="Q746">
        <v>0</v>
      </c>
      <c r="R746">
        <v>0</v>
      </c>
      <c r="S746">
        <v>0</v>
      </c>
      <c r="T746">
        <v>0</v>
      </c>
      <c r="U746">
        <v>0</v>
      </c>
      <c r="V746">
        <f t="shared" si="317"/>
        <v>1</v>
      </c>
      <c r="W746">
        <v>1</v>
      </c>
      <c r="X746">
        <v>1</v>
      </c>
      <c r="Y746">
        <v>1</v>
      </c>
      <c r="Z746" t="s">
        <v>73</v>
      </c>
      <c r="AA746" s="5" t="s">
        <v>73</v>
      </c>
      <c r="AB746" s="5" t="s">
        <v>73</v>
      </c>
      <c r="AC746" t="s">
        <v>73</v>
      </c>
      <c r="AD746" t="s">
        <v>94</v>
      </c>
      <c r="AE746" s="5" t="s">
        <v>94</v>
      </c>
      <c r="AF746" t="s">
        <v>75</v>
      </c>
      <c r="AG746" t="s">
        <v>95</v>
      </c>
      <c r="AH746">
        <f t="shared" si="333"/>
        <v>6.8380739999999995E-2</v>
      </c>
      <c r="AI746">
        <f t="shared" si="334"/>
        <v>6.8380739999999995E-2</v>
      </c>
      <c r="AJ746">
        <f t="shared" si="320"/>
        <v>6.8380739999999995E-2</v>
      </c>
      <c r="AK746">
        <v>6.8380739999999995E-2</v>
      </c>
      <c r="AL746">
        <v>0.11795293</v>
      </c>
      <c r="AM746">
        <v>0.12938595999999999</v>
      </c>
      <c r="AN746">
        <v>0.14191781000000001</v>
      </c>
      <c r="AO746">
        <v>93.161925999999994</v>
      </c>
      <c r="AP746">
        <v>88.204706999999999</v>
      </c>
      <c r="AQ746">
        <v>87.061403999999996</v>
      </c>
      <c r="AR746">
        <v>85.808218999999994</v>
      </c>
      <c r="AS746" t="b">
        <v>1</v>
      </c>
      <c r="AT746" t="b">
        <v>0</v>
      </c>
      <c r="AU746" t="s">
        <v>77</v>
      </c>
      <c r="AV746" t="s">
        <v>78</v>
      </c>
      <c r="AW746" t="s">
        <v>783</v>
      </c>
      <c r="AX746" t="s">
        <v>812</v>
      </c>
      <c r="AY746" t="s">
        <v>1147</v>
      </c>
      <c r="AZ746" t="s">
        <v>109</v>
      </c>
      <c r="BA746">
        <v>2</v>
      </c>
      <c r="BB746">
        <v>1.75</v>
      </c>
      <c r="BC746">
        <v>4.1163553999999996E-3</v>
      </c>
      <c r="BD746">
        <v>1.4279989108178799E-4</v>
      </c>
      <c r="BE746">
        <v>4.2591552910817903E-3</v>
      </c>
      <c r="BF746">
        <f>IF(AK746&lt;BE746,1,0)</f>
        <v>0</v>
      </c>
      <c r="BG746">
        <f>IF(AK746&lt;BC746,1,0)</f>
        <v>0</v>
      </c>
      <c r="BH746">
        <f>VLOOKUP($B746,[1]Data_Peer_with_peerVars!$B$2:$Z$1050,20,FALSE)</f>
        <v>7</v>
      </c>
      <c r="BI746">
        <f>VLOOKUP($B746,[1]Data_Peer_with_peerVars!$B$2:$Z$1050,21,FALSE)</f>
        <v>3</v>
      </c>
      <c r="BJ746">
        <f>VLOOKUP($B746,[1]Data_Peer_with_peerVars!$B$2:$Z$1050,22,FALSE)</f>
        <v>0.428571429</v>
      </c>
      <c r="BK746">
        <f>VLOOKUP($B746,[1]Data_Peer_with_peerVars!$B$2:$Z$1050,23,FALSE)</f>
        <v>47</v>
      </c>
      <c r="BL746">
        <f>VLOOKUP($B746,[1]Data_Peer_with_peerVars!$B$2:$Z$1050,24,FALSE)</f>
        <v>21</v>
      </c>
      <c r="BM746">
        <f>VLOOKUP($B746,[1]Data_Peer_with_peerVars!$B$2:$Z$1050,25,FALSE)</f>
        <v>0.44680851100000002</v>
      </c>
    </row>
    <row r="747" spans="1:65" x14ac:dyDescent="0.2">
      <c r="A747">
        <v>1</v>
      </c>
      <c r="B747" t="s">
        <v>1167</v>
      </c>
      <c r="C747">
        <v>429</v>
      </c>
      <c r="D747" t="s">
        <v>68</v>
      </c>
      <c r="E747">
        <v>0</v>
      </c>
      <c r="F747">
        <v>151</v>
      </c>
      <c r="G747" t="s">
        <v>119</v>
      </c>
      <c r="H747" s="1">
        <v>7</v>
      </c>
      <c r="I747" t="s">
        <v>87</v>
      </c>
      <c r="J747" t="s">
        <v>150</v>
      </c>
      <c r="K747" t="s">
        <v>109</v>
      </c>
      <c r="L747">
        <v>2</v>
      </c>
      <c r="M747">
        <v>0</v>
      </c>
      <c r="N747">
        <v>0</v>
      </c>
      <c r="O747">
        <v>1</v>
      </c>
      <c r="P747">
        <v>0</v>
      </c>
      <c r="Q747">
        <v>6</v>
      </c>
      <c r="R747">
        <v>0</v>
      </c>
      <c r="S747">
        <v>0</v>
      </c>
      <c r="T747">
        <v>0</v>
      </c>
      <c r="U747">
        <v>0</v>
      </c>
      <c r="V747">
        <f t="shared" si="317"/>
        <v>1</v>
      </c>
      <c r="W747">
        <v>1</v>
      </c>
      <c r="X747">
        <v>1</v>
      </c>
      <c r="Y747">
        <v>1</v>
      </c>
      <c r="Z747" t="s">
        <v>73</v>
      </c>
      <c r="AA747" s="5" t="s">
        <v>73</v>
      </c>
      <c r="AB747" s="5" t="s">
        <v>73</v>
      </c>
      <c r="AC747" t="s">
        <v>73</v>
      </c>
      <c r="AD747" t="s">
        <v>287</v>
      </c>
      <c r="AE747" s="5" t="s">
        <v>1168</v>
      </c>
      <c r="AF747" t="s">
        <v>91</v>
      </c>
      <c r="AG747" t="s">
        <v>137</v>
      </c>
      <c r="AH747">
        <f t="shared" si="333"/>
        <v>0.10765027000000001</v>
      </c>
      <c r="AI747">
        <f t="shared" si="334"/>
        <v>0.10765027000000001</v>
      </c>
      <c r="AJ747">
        <f t="shared" si="320"/>
        <v>0.10765027000000001</v>
      </c>
      <c r="AK747">
        <v>0.10765027000000001</v>
      </c>
      <c r="AL747">
        <v>0.12554704999999999</v>
      </c>
      <c r="AM747">
        <v>0.12575342</v>
      </c>
      <c r="AN747">
        <v>0.14078731999999999</v>
      </c>
      <c r="AO747">
        <v>89.234972999999997</v>
      </c>
      <c r="AP747">
        <v>87.445295000000002</v>
      </c>
      <c r="AQ747">
        <v>87.424657999999994</v>
      </c>
      <c r="AR747">
        <v>85.921267999999998</v>
      </c>
      <c r="AS747" t="b">
        <v>1</v>
      </c>
      <c r="AT747" t="b">
        <v>0</v>
      </c>
      <c r="AU747" t="s">
        <v>78</v>
      </c>
      <c r="AV747" t="s">
        <v>108</v>
      </c>
      <c r="AW747" t="s">
        <v>783</v>
      </c>
      <c r="AX747" t="s">
        <v>812</v>
      </c>
      <c r="AY747" t="s">
        <v>1147</v>
      </c>
      <c r="AZ747" t="s">
        <v>109</v>
      </c>
      <c r="BA747">
        <v>5</v>
      </c>
      <c r="BB747">
        <v>1</v>
      </c>
      <c r="BC747">
        <v>4.1163553999999996E-3</v>
      </c>
      <c r="BD747">
        <v>1.4279989108178799E-4</v>
      </c>
      <c r="BE747">
        <v>4.2591552910817903E-3</v>
      </c>
      <c r="BF747">
        <f>IF(AK747&lt;BE747,1,0)</f>
        <v>0</v>
      </c>
      <c r="BG747">
        <f>IF(AK747&lt;BC747,1,0)</f>
        <v>0</v>
      </c>
      <c r="BH747">
        <f>VLOOKUP($B747,[1]Data_Peer_with_peerVars!$B$2:$Z$1050,20,FALSE)</f>
        <v>2</v>
      </c>
      <c r="BI747">
        <f>VLOOKUP($B747,[1]Data_Peer_with_peerVars!$B$2:$Z$1050,21,FALSE)</f>
        <v>2</v>
      </c>
      <c r="BJ747">
        <f>VLOOKUP($B747,[1]Data_Peer_with_peerVars!$B$2:$Z$1050,22,FALSE)</f>
        <v>1</v>
      </c>
      <c r="BK747">
        <f>VLOOKUP($B747,[1]Data_Peer_with_peerVars!$B$2:$Z$1050,23,FALSE)</f>
        <v>26</v>
      </c>
      <c r="BL747">
        <f>VLOOKUP($B747,[1]Data_Peer_with_peerVars!$B$2:$Z$1050,24,FALSE)</f>
        <v>18</v>
      </c>
      <c r="BM747">
        <f>VLOOKUP($B747,[1]Data_Peer_with_peerVars!$B$2:$Z$1050,25,FALSE)</f>
        <v>0.69230769199999997</v>
      </c>
    </row>
    <row r="748" spans="1:65" x14ac:dyDescent="0.2">
      <c r="A748">
        <v>1</v>
      </c>
      <c r="B748" t="s">
        <v>1169</v>
      </c>
      <c r="C748">
        <v>430</v>
      </c>
      <c r="D748" t="s">
        <v>68</v>
      </c>
      <c r="E748">
        <v>0</v>
      </c>
      <c r="F748">
        <v>153</v>
      </c>
      <c r="G748" t="s">
        <v>119</v>
      </c>
      <c r="H748" s="1">
        <v>6</v>
      </c>
      <c r="I748" t="s">
        <v>87</v>
      </c>
      <c r="J748" t="s">
        <v>124</v>
      </c>
      <c r="K748" t="s">
        <v>109</v>
      </c>
      <c r="L748">
        <v>1</v>
      </c>
      <c r="M748">
        <v>0</v>
      </c>
      <c r="N748">
        <v>0</v>
      </c>
      <c r="O748">
        <v>0</v>
      </c>
      <c r="P748">
        <v>0</v>
      </c>
      <c r="Q748">
        <v>6</v>
      </c>
      <c r="R748">
        <v>0</v>
      </c>
      <c r="S748">
        <v>0</v>
      </c>
      <c r="T748">
        <v>0</v>
      </c>
      <c r="U748">
        <v>0</v>
      </c>
      <c r="V748">
        <f t="shared" si="317"/>
        <v>1</v>
      </c>
      <c r="W748">
        <v>1</v>
      </c>
      <c r="X748">
        <v>1</v>
      </c>
      <c r="Y748">
        <v>1</v>
      </c>
      <c r="Z748" t="s">
        <v>91</v>
      </c>
      <c r="AA748" s="5" t="s">
        <v>91</v>
      </c>
      <c r="AB748" s="5" t="s">
        <v>91</v>
      </c>
      <c r="AC748" t="s">
        <v>91</v>
      </c>
      <c r="AD748" t="s">
        <v>137</v>
      </c>
      <c r="AE748" s="5" t="s">
        <v>497</v>
      </c>
      <c r="AF748" t="s">
        <v>287</v>
      </c>
      <c r="AG748" t="s">
        <v>113</v>
      </c>
      <c r="AH748">
        <f t="shared" si="333"/>
        <v>9.5002749999999997E-2</v>
      </c>
      <c r="AI748">
        <f t="shared" si="334"/>
        <v>9.5002749999999997E-2</v>
      </c>
      <c r="AJ748">
        <f t="shared" si="320"/>
        <v>9.5002749999999997E-2</v>
      </c>
      <c r="AK748">
        <v>9.5002749999999997E-2</v>
      </c>
      <c r="AL748">
        <v>0.11643836</v>
      </c>
      <c r="AM748">
        <v>0.12945693999999999</v>
      </c>
      <c r="AN748">
        <v>0.13278237000000001</v>
      </c>
      <c r="AO748">
        <v>90.499724999999998</v>
      </c>
      <c r="AP748">
        <v>88.356164000000007</v>
      </c>
      <c r="AQ748">
        <v>87.054305999999997</v>
      </c>
      <c r="AR748">
        <v>86.721762999999996</v>
      </c>
      <c r="AS748" t="b">
        <v>1</v>
      </c>
      <c r="AT748" t="b">
        <v>0</v>
      </c>
      <c r="AU748" t="s">
        <v>77</v>
      </c>
      <c r="AV748" t="s">
        <v>108</v>
      </c>
      <c r="AW748" t="s">
        <v>783</v>
      </c>
      <c r="AX748" t="s">
        <v>812</v>
      </c>
      <c r="AY748" t="s">
        <v>1147</v>
      </c>
      <c r="AZ748" t="s">
        <v>109</v>
      </c>
      <c r="BA748">
        <v>20</v>
      </c>
      <c r="BB748">
        <v>0.35</v>
      </c>
      <c r="BC748">
        <v>9.0659339999999995E-3</v>
      </c>
      <c r="BD748">
        <v>2.76583658862385E-3</v>
      </c>
      <c r="BE748">
        <v>1.1831770588623799E-2</v>
      </c>
      <c r="BF748">
        <f>IF(AK748&lt;BE748,1,0)</f>
        <v>0</v>
      </c>
      <c r="BG748">
        <f>IF(AK748&lt;BC748,1,0)</f>
        <v>0</v>
      </c>
      <c r="BH748">
        <f>VLOOKUP($B748,[1]Data_Peer_with_peerVars!$B$2:$Z$1050,20,FALSE)</f>
        <v>4</v>
      </c>
      <c r="BI748">
        <f>VLOOKUP($B748,[1]Data_Peer_with_peerVars!$B$2:$Z$1050,21,FALSE)</f>
        <v>3</v>
      </c>
      <c r="BJ748">
        <f>VLOOKUP($B748,[1]Data_Peer_with_peerVars!$B$2:$Z$1050,22,FALSE)</f>
        <v>0.75</v>
      </c>
      <c r="BK748">
        <f>VLOOKUP($B748,[1]Data_Peer_with_peerVars!$B$2:$Z$1050,23,FALSE)</f>
        <v>25</v>
      </c>
      <c r="BL748">
        <f>VLOOKUP($B748,[1]Data_Peer_with_peerVars!$B$2:$Z$1050,24,FALSE)</f>
        <v>17</v>
      </c>
      <c r="BM748">
        <f>VLOOKUP($B748,[1]Data_Peer_with_peerVars!$B$2:$Z$1050,25,FALSE)</f>
        <v>0.68</v>
      </c>
    </row>
    <row r="749" spans="1:65" x14ac:dyDescent="0.2">
      <c r="A749">
        <v>1</v>
      </c>
      <c r="B749" t="s">
        <v>1170</v>
      </c>
      <c r="C749">
        <v>430</v>
      </c>
      <c r="D749" t="s">
        <v>68</v>
      </c>
      <c r="E749">
        <v>0</v>
      </c>
      <c r="F749">
        <v>153</v>
      </c>
      <c r="G749" t="s">
        <v>119</v>
      </c>
      <c r="H749" s="1">
        <v>6</v>
      </c>
      <c r="I749" t="s">
        <v>87</v>
      </c>
      <c r="J749" t="s">
        <v>124</v>
      </c>
      <c r="K749" t="s">
        <v>109</v>
      </c>
      <c r="L749">
        <v>1</v>
      </c>
      <c r="M749">
        <v>0</v>
      </c>
      <c r="N749">
        <v>0</v>
      </c>
      <c r="O749">
        <v>0</v>
      </c>
      <c r="P749">
        <v>0</v>
      </c>
      <c r="Q749">
        <v>6</v>
      </c>
      <c r="R749">
        <v>0</v>
      </c>
      <c r="S749">
        <v>0</v>
      </c>
      <c r="T749">
        <v>1</v>
      </c>
      <c r="U749">
        <v>1</v>
      </c>
      <c r="V749">
        <f t="shared" si="317"/>
        <v>1</v>
      </c>
      <c r="W749">
        <v>1</v>
      </c>
      <c r="X749">
        <v>1</v>
      </c>
      <c r="Y749">
        <v>1</v>
      </c>
      <c r="Z749" t="s">
        <v>73</v>
      </c>
      <c r="AA749" s="5" t="s">
        <v>73</v>
      </c>
      <c r="AB749" s="5" t="s">
        <v>73</v>
      </c>
      <c r="AC749" t="s">
        <v>73</v>
      </c>
      <c r="AD749" t="s">
        <v>94</v>
      </c>
      <c r="AE749" s="5" t="s">
        <v>106</v>
      </c>
      <c r="AF749" t="s">
        <v>107</v>
      </c>
      <c r="AG749" t="s">
        <v>95</v>
      </c>
      <c r="AH749">
        <f t="shared" si="333"/>
        <v>3.8377193E-3</v>
      </c>
      <c r="AI749">
        <f t="shared" si="334"/>
        <v>3.8377193E-3</v>
      </c>
      <c r="AJ749">
        <f t="shared" si="320"/>
        <v>3.8377193E-3</v>
      </c>
      <c r="AK749">
        <v>3.8377193E-3</v>
      </c>
      <c r="AL749">
        <v>0.13124657000000001</v>
      </c>
      <c r="AM749">
        <v>0.13628855000000001</v>
      </c>
      <c r="AN749">
        <v>0.13866007</v>
      </c>
      <c r="AO749">
        <v>99.616228070000005</v>
      </c>
      <c r="AP749">
        <v>86.875343000000001</v>
      </c>
      <c r="AQ749">
        <v>86.371144999999999</v>
      </c>
      <c r="AR749">
        <v>86.133993000000004</v>
      </c>
      <c r="AS749" t="b">
        <v>1</v>
      </c>
      <c r="AT749" t="b">
        <v>0</v>
      </c>
      <c r="AU749" t="s">
        <v>77</v>
      </c>
      <c r="AV749" t="s">
        <v>108</v>
      </c>
      <c r="AW749" t="s">
        <v>783</v>
      </c>
      <c r="AX749" t="s">
        <v>812</v>
      </c>
      <c r="AY749" t="s">
        <v>1147</v>
      </c>
      <c r="AZ749" t="s">
        <v>109</v>
      </c>
      <c r="BA749">
        <v>3</v>
      </c>
      <c r="BB749">
        <v>1.75</v>
      </c>
      <c r="BC749">
        <v>4.1163553999999996E-3</v>
      </c>
      <c r="BD749">
        <v>1.4279989108178799E-4</v>
      </c>
      <c r="BE749">
        <v>4.2591552910817903E-3</v>
      </c>
      <c r="BF749">
        <f>IF(AK749&lt;BE749,1,0)</f>
        <v>1</v>
      </c>
      <c r="BG749">
        <f>IF(AK749&lt;BC749,1,0)</f>
        <v>1</v>
      </c>
      <c r="BH749">
        <f>VLOOKUP($B749,[1]Data_Peer_with_peerVars!$B$2:$Z$1050,20,FALSE)</f>
        <v>4</v>
      </c>
      <c r="BI749">
        <f>VLOOKUP($B749,[1]Data_Peer_with_peerVars!$B$2:$Z$1050,21,FALSE)</f>
        <v>3</v>
      </c>
      <c r="BJ749">
        <f>VLOOKUP($B749,[1]Data_Peer_with_peerVars!$B$2:$Z$1050,22,FALSE)</f>
        <v>0.75</v>
      </c>
      <c r="BK749">
        <f>VLOOKUP($B749,[1]Data_Peer_with_peerVars!$B$2:$Z$1050,23,FALSE)</f>
        <v>25</v>
      </c>
      <c r="BL749">
        <f>VLOOKUP($B749,[1]Data_Peer_with_peerVars!$B$2:$Z$1050,24,FALSE)</f>
        <v>17</v>
      </c>
      <c r="BM749">
        <f>VLOOKUP($B749,[1]Data_Peer_with_peerVars!$B$2:$Z$1050,25,FALSE)</f>
        <v>0.68</v>
      </c>
    </row>
    <row r="750" spans="1:65" x14ac:dyDescent="0.2">
      <c r="A750">
        <v>1</v>
      </c>
      <c r="B750" t="s">
        <v>1171</v>
      </c>
      <c r="C750">
        <v>431</v>
      </c>
      <c r="D750" t="s">
        <v>68</v>
      </c>
      <c r="E750">
        <v>0</v>
      </c>
      <c r="F750">
        <v>154</v>
      </c>
      <c r="G750" t="s">
        <v>119</v>
      </c>
      <c r="H750" s="1">
        <v>7</v>
      </c>
      <c r="I750" t="s">
        <v>87</v>
      </c>
      <c r="J750" t="s">
        <v>820</v>
      </c>
      <c r="K750" t="s">
        <v>109</v>
      </c>
      <c r="L750">
        <v>1</v>
      </c>
      <c r="M750">
        <v>1</v>
      </c>
      <c r="N750">
        <v>1</v>
      </c>
      <c r="O750">
        <v>0</v>
      </c>
      <c r="P750">
        <v>0</v>
      </c>
      <c r="Q750">
        <v>6</v>
      </c>
      <c r="R750">
        <v>0</v>
      </c>
      <c r="S750">
        <v>0</v>
      </c>
      <c r="T750">
        <v>0</v>
      </c>
      <c r="U750">
        <v>0</v>
      </c>
      <c r="V750">
        <f t="shared" si="317"/>
        <v>0</v>
      </c>
      <c r="W750">
        <f t="shared" si="318"/>
        <v>0</v>
      </c>
      <c r="X750">
        <f t="shared" si="321"/>
        <v>0</v>
      </c>
      <c r="Y750">
        <f t="shared" si="319"/>
        <v>0</v>
      </c>
      <c r="Z750" t="s">
        <v>89</v>
      </c>
      <c r="AA750" s="5" t="s">
        <v>273</v>
      </c>
      <c r="AB750" s="5" t="s">
        <v>1172</v>
      </c>
      <c r="AC750" t="s">
        <v>101</v>
      </c>
      <c r="AD750" t="s">
        <v>99</v>
      </c>
      <c r="AE750" s="5" t="s">
        <v>99</v>
      </c>
      <c r="AF750" t="s">
        <v>103</v>
      </c>
      <c r="AG750" t="s">
        <v>102</v>
      </c>
      <c r="AH750">
        <f t="shared" ref="AH750:AH756" si="335">AI750</f>
        <v>0.103638366</v>
      </c>
      <c r="AI750">
        <f t="shared" ref="AI750:AI752" si="336">AJ750</f>
        <v>0.103638366</v>
      </c>
      <c r="AJ750">
        <f t="shared" si="320"/>
        <v>0.103638366</v>
      </c>
      <c r="AK750">
        <v>0.103638366</v>
      </c>
      <c r="AL750">
        <v>0.112216696</v>
      </c>
      <c r="AM750">
        <v>0.13390392000000001</v>
      </c>
      <c r="AN750">
        <v>0.13850794999999999</v>
      </c>
      <c r="AO750">
        <v>89.636163400000001</v>
      </c>
      <c r="AP750">
        <v>88.778330400000002</v>
      </c>
      <c r="AQ750">
        <v>86.609607999999994</v>
      </c>
      <c r="AR750">
        <v>86.149204999999995</v>
      </c>
      <c r="AS750" t="b">
        <v>0</v>
      </c>
      <c r="AT750" t="b">
        <v>0</v>
      </c>
      <c r="AU750" t="s">
        <v>92</v>
      </c>
      <c r="AV750" t="s">
        <v>92</v>
      </c>
      <c r="AW750" t="s">
        <v>783</v>
      </c>
      <c r="AX750" t="s">
        <v>812</v>
      </c>
      <c r="AY750" t="s">
        <v>1147</v>
      </c>
      <c r="AZ750" t="s">
        <v>109</v>
      </c>
      <c r="BA750">
        <v>5</v>
      </c>
      <c r="BB750">
        <v>0.7</v>
      </c>
      <c r="BC750">
        <v>1.4096186E-2</v>
      </c>
      <c r="BD750">
        <v>1.55088650053763E-3</v>
      </c>
      <c r="BE750">
        <v>1.5647072500537599E-2</v>
      </c>
      <c r="BF750">
        <f>IF(AK750&lt;BE750,1,0)</f>
        <v>0</v>
      </c>
      <c r="BG750">
        <f>IF(AK750&lt;BC750,1,0)</f>
        <v>0</v>
      </c>
      <c r="BH750">
        <f>VLOOKUP($B750,[1]Data_Peer_with_peerVars!$B$2:$Z$1050,20,FALSE)</f>
        <v>1</v>
      </c>
      <c r="BI750">
        <f>VLOOKUP($B750,[1]Data_Peer_with_peerVars!$B$2:$Z$1050,21,FALSE)</f>
        <v>1</v>
      </c>
      <c r="BJ750">
        <f>VLOOKUP($B750,[1]Data_Peer_with_peerVars!$B$2:$Z$1050,22,FALSE)</f>
        <v>1</v>
      </c>
      <c r="BK750">
        <f>VLOOKUP($B750,[1]Data_Peer_with_peerVars!$B$2:$Z$1050,23,FALSE)</f>
        <v>59</v>
      </c>
      <c r="BL750">
        <f>VLOOKUP($B750,[1]Data_Peer_with_peerVars!$B$2:$Z$1050,24,FALSE)</f>
        <v>27</v>
      </c>
      <c r="BM750">
        <f>VLOOKUP($B750,[1]Data_Peer_with_peerVars!$B$2:$Z$1050,25,FALSE)</f>
        <v>0.45762711900000003</v>
      </c>
    </row>
    <row r="751" spans="1:65" x14ac:dyDescent="0.2">
      <c r="A751">
        <v>1</v>
      </c>
      <c r="B751" t="s">
        <v>1173</v>
      </c>
      <c r="C751">
        <v>432</v>
      </c>
      <c r="D751" t="s">
        <v>68</v>
      </c>
      <c r="E751">
        <v>0</v>
      </c>
      <c r="F751">
        <v>660</v>
      </c>
      <c r="G751" t="s">
        <v>119</v>
      </c>
      <c r="H751" s="1">
        <v>6.5</v>
      </c>
      <c r="I751" t="s">
        <v>87</v>
      </c>
      <c r="J751" t="s">
        <v>111</v>
      </c>
      <c r="K751" t="s">
        <v>109</v>
      </c>
      <c r="L751">
        <v>1</v>
      </c>
      <c r="M751">
        <v>0</v>
      </c>
      <c r="N751">
        <v>0</v>
      </c>
      <c r="O751">
        <v>0</v>
      </c>
      <c r="P751">
        <v>0</v>
      </c>
      <c r="Q751">
        <v>3</v>
      </c>
      <c r="R751">
        <v>0</v>
      </c>
      <c r="S751">
        <v>0</v>
      </c>
      <c r="T751">
        <v>0</v>
      </c>
      <c r="U751">
        <v>0</v>
      </c>
      <c r="V751">
        <f t="shared" si="317"/>
        <v>0</v>
      </c>
      <c r="W751">
        <f t="shared" si="318"/>
        <v>0</v>
      </c>
      <c r="X751">
        <f t="shared" si="321"/>
        <v>0</v>
      </c>
      <c r="Y751">
        <f t="shared" si="319"/>
        <v>0</v>
      </c>
      <c r="Z751" t="s">
        <v>170</v>
      </c>
      <c r="AA751" s="5" t="s">
        <v>170</v>
      </c>
      <c r="AB751" s="5" t="s">
        <v>1174</v>
      </c>
      <c r="AC751" t="s">
        <v>120</v>
      </c>
      <c r="AD751" t="s">
        <v>74</v>
      </c>
      <c r="AE751" s="5" t="s">
        <v>74</v>
      </c>
      <c r="AF751" t="s">
        <v>75</v>
      </c>
      <c r="AG751" t="s">
        <v>167</v>
      </c>
      <c r="AH751">
        <f t="shared" si="335"/>
        <v>5.2992860000000003E-2</v>
      </c>
      <c r="AI751">
        <f t="shared" si="336"/>
        <v>5.2992860000000003E-2</v>
      </c>
      <c r="AJ751">
        <f t="shared" si="320"/>
        <v>5.2992860000000003E-2</v>
      </c>
      <c r="AK751">
        <v>5.2992860000000003E-2</v>
      </c>
      <c r="AL751">
        <v>8.0902584E-2</v>
      </c>
      <c r="AM751">
        <v>9.3010455000000006E-2</v>
      </c>
      <c r="AN751">
        <v>0.11163175</v>
      </c>
      <c r="AO751">
        <v>94.700714000000005</v>
      </c>
      <c r="AP751">
        <v>91.909741600000004</v>
      </c>
      <c r="AQ751">
        <v>90.698954499999999</v>
      </c>
      <c r="AR751">
        <v>88.836825000000005</v>
      </c>
      <c r="AS751" t="b">
        <v>0</v>
      </c>
      <c r="AT751" t="b">
        <v>0</v>
      </c>
      <c r="AU751" t="s">
        <v>92</v>
      </c>
      <c r="AV751" t="s">
        <v>92</v>
      </c>
      <c r="AW751" t="s">
        <v>783</v>
      </c>
      <c r="AX751" t="s">
        <v>812</v>
      </c>
      <c r="AY751" t="s">
        <v>1147</v>
      </c>
      <c r="AZ751" t="s">
        <v>109</v>
      </c>
      <c r="BA751">
        <v>4</v>
      </c>
      <c r="BB751">
        <v>0.7</v>
      </c>
      <c r="BC751">
        <v>4.6849314000000003E-2</v>
      </c>
      <c r="BD751">
        <v>4.5250577219970098E-3</v>
      </c>
      <c r="BE751">
        <v>5.1374371721996999E-2</v>
      </c>
      <c r="BF751">
        <f>IF(AK751&lt;BE751,1,0)</f>
        <v>0</v>
      </c>
      <c r="BG751">
        <f>IF(AK751&lt;BC751,1,0)</f>
        <v>0</v>
      </c>
      <c r="BH751">
        <f>VLOOKUP($B751,[1]Data_Peer_with_peerVars!$B$2:$Z$1050,20,FALSE)</f>
        <v>12</v>
      </c>
      <c r="BI751">
        <f>VLOOKUP($B751,[1]Data_Peer_with_peerVars!$B$2:$Z$1050,21,FALSE)</f>
        <v>8</v>
      </c>
      <c r="BJ751">
        <f>VLOOKUP($B751,[1]Data_Peer_with_peerVars!$B$2:$Z$1050,22,FALSE)</f>
        <v>0.66666666699999999</v>
      </c>
      <c r="BK751">
        <f>VLOOKUP($B751,[1]Data_Peer_with_peerVars!$B$2:$Z$1050,23,FALSE)</f>
        <v>49</v>
      </c>
      <c r="BL751">
        <f>VLOOKUP($B751,[1]Data_Peer_with_peerVars!$B$2:$Z$1050,24,FALSE)</f>
        <v>23</v>
      </c>
      <c r="BM751">
        <f>VLOOKUP($B751,[1]Data_Peer_with_peerVars!$B$2:$Z$1050,25,FALSE)</f>
        <v>0.46938775500000002</v>
      </c>
    </row>
    <row r="752" spans="1:65" x14ac:dyDescent="0.2">
      <c r="A752">
        <v>1</v>
      </c>
      <c r="B752" t="s">
        <v>1175</v>
      </c>
      <c r="C752">
        <v>433</v>
      </c>
      <c r="D752" t="s">
        <v>68</v>
      </c>
      <c r="E752">
        <v>1</v>
      </c>
      <c r="F752">
        <v>164</v>
      </c>
      <c r="G752" t="s">
        <v>69</v>
      </c>
      <c r="H752" s="1">
        <v>7</v>
      </c>
      <c r="I752" t="s">
        <v>87</v>
      </c>
      <c r="J752" t="s">
        <v>150</v>
      </c>
      <c r="K752" t="s">
        <v>109</v>
      </c>
      <c r="L752">
        <v>1</v>
      </c>
      <c r="M752">
        <v>1</v>
      </c>
      <c r="N752">
        <v>1</v>
      </c>
      <c r="O752">
        <v>0</v>
      </c>
      <c r="P752">
        <v>0</v>
      </c>
      <c r="Q752">
        <v>9</v>
      </c>
      <c r="R752">
        <v>0</v>
      </c>
      <c r="S752">
        <v>0</v>
      </c>
      <c r="T752">
        <v>0</v>
      </c>
      <c r="U752">
        <v>0</v>
      </c>
      <c r="V752">
        <f t="shared" si="317"/>
        <v>0</v>
      </c>
      <c r="W752">
        <f t="shared" si="318"/>
        <v>0</v>
      </c>
      <c r="X752">
        <f t="shared" si="321"/>
        <v>0</v>
      </c>
      <c r="Y752">
        <f t="shared" si="319"/>
        <v>0</v>
      </c>
      <c r="Z752" t="s">
        <v>91</v>
      </c>
      <c r="AA752" s="5" t="s">
        <v>91</v>
      </c>
      <c r="AB752" s="5" t="s">
        <v>91</v>
      </c>
      <c r="AC752" t="s">
        <v>137</v>
      </c>
      <c r="AD752" t="s">
        <v>103</v>
      </c>
      <c r="AE752" s="5" t="s">
        <v>1121</v>
      </c>
      <c r="AF752" t="s">
        <v>287</v>
      </c>
      <c r="AG752" t="s">
        <v>113</v>
      </c>
      <c r="AH752">
        <f t="shared" si="335"/>
        <v>0.11290322</v>
      </c>
      <c r="AI752">
        <f t="shared" si="336"/>
        <v>0.11290322</v>
      </c>
      <c r="AJ752">
        <f t="shared" si="320"/>
        <v>0.11290322</v>
      </c>
      <c r="AK752">
        <v>0.11290322</v>
      </c>
      <c r="AL752">
        <v>0.115214996</v>
      </c>
      <c r="AM752">
        <v>0.119868636</v>
      </c>
      <c r="AN752">
        <v>0.12616822</v>
      </c>
      <c r="AO752">
        <v>88.709677999999997</v>
      </c>
      <c r="AP752">
        <v>88.478500400000001</v>
      </c>
      <c r="AQ752">
        <v>88.013136399999993</v>
      </c>
      <c r="AR752">
        <v>87.383178000000001</v>
      </c>
      <c r="AS752" t="b">
        <v>0</v>
      </c>
      <c r="AT752" t="b">
        <v>0</v>
      </c>
      <c r="AU752" t="s">
        <v>108</v>
      </c>
      <c r="AV752" t="s">
        <v>108</v>
      </c>
      <c r="AW752" t="s">
        <v>783</v>
      </c>
      <c r="AX752" t="s">
        <v>812</v>
      </c>
      <c r="AY752" t="s">
        <v>1147</v>
      </c>
      <c r="AZ752" t="s">
        <v>109</v>
      </c>
      <c r="BA752">
        <v>15</v>
      </c>
      <c r="BB752">
        <v>0.7</v>
      </c>
      <c r="BC752">
        <v>5.4824560000000001E-2</v>
      </c>
      <c r="BD752">
        <v>2.68252196314279E-2</v>
      </c>
      <c r="BE752">
        <v>8.1649779631427902E-2</v>
      </c>
      <c r="BF752">
        <f>IF(AK752&lt;BE752,1,0)</f>
        <v>0</v>
      </c>
      <c r="BG752">
        <f>IF(AK752&lt;BC752,1,0)</f>
        <v>0</v>
      </c>
      <c r="BH752">
        <f>VLOOKUP($B752,[1]Data_Peer_with_peerVars!$B$2:$Z$1050,20,FALSE)</f>
        <v>6</v>
      </c>
      <c r="BI752">
        <f>VLOOKUP($B752,[1]Data_Peer_with_peerVars!$B$2:$Z$1050,21,FALSE)</f>
        <v>4</v>
      </c>
      <c r="BJ752">
        <f>VLOOKUP($B752,[1]Data_Peer_with_peerVars!$B$2:$Z$1050,22,FALSE)</f>
        <v>0.66666666699999999</v>
      </c>
      <c r="BK752">
        <f>VLOOKUP($B752,[1]Data_Peer_with_peerVars!$B$2:$Z$1050,23,FALSE)</f>
        <v>51</v>
      </c>
      <c r="BL752">
        <f>VLOOKUP($B752,[1]Data_Peer_with_peerVars!$B$2:$Z$1050,24,FALSE)</f>
        <v>22</v>
      </c>
      <c r="BM752">
        <f>VLOOKUP($B752,[1]Data_Peer_with_peerVars!$B$2:$Z$1050,25,FALSE)</f>
        <v>0.43137254899999999</v>
      </c>
    </row>
    <row r="753" spans="1:65" x14ac:dyDescent="0.2">
      <c r="A753">
        <v>1</v>
      </c>
      <c r="B753" t="s">
        <v>1176</v>
      </c>
      <c r="C753">
        <v>433</v>
      </c>
      <c r="D753" t="s">
        <v>68</v>
      </c>
      <c r="E753">
        <v>1</v>
      </c>
      <c r="F753">
        <v>164</v>
      </c>
      <c r="G753" t="s">
        <v>69</v>
      </c>
      <c r="H753" s="1">
        <v>7</v>
      </c>
      <c r="I753" t="s">
        <v>87</v>
      </c>
      <c r="J753" t="s">
        <v>150</v>
      </c>
      <c r="K753" t="s">
        <v>109</v>
      </c>
      <c r="L753">
        <v>1</v>
      </c>
      <c r="M753">
        <v>1</v>
      </c>
      <c r="N753">
        <v>1</v>
      </c>
      <c r="O753">
        <v>0</v>
      </c>
      <c r="P753">
        <v>0</v>
      </c>
      <c r="Q753">
        <v>9</v>
      </c>
      <c r="R753">
        <v>0</v>
      </c>
      <c r="S753">
        <v>0</v>
      </c>
      <c r="T753">
        <v>1</v>
      </c>
      <c r="U753">
        <v>1</v>
      </c>
      <c r="V753">
        <f t="shared" si="317"/>
        <v>1</v>
      </c>
      <c r="W753">
        <v>1</v>
      </c>
      <c r="X753">
        <v>1</v>
      </c>
      <c r="Y753">
        <v>1</v>
      </c>
      <c r="Z753" t="s">
        <v>73</v>
      </c>
      <c r="AA753" s="5" t="s">
        <v>73</v>
      </c>
      <c r="AB753" s="5" t="s">
        <v>73</v>
      </c>
      <c r="AC753" t="s">
        <v>73</v>
      </c>
      <c r="AD753" t="s">
        <v>94</v>
      </c>
      <c r="AE753" s="5" t="s">
        <v>106</v>
      </c>
      <c r="AF753" t="s">
        <v>107</v>
      </c>
      <c r="AG753" t="s">
        <v>95</v>
      </c>
      <c r="AH753">
        <f t="shared" si="335"/>
        <v>3.8167940000000001E-3</v>
      </c>
      <c r="AI753">
        <f>AJ753</f>
        <v>3.8167940000000001E-3</v>
      </c>
      <c r="AJ753">
        <f t="shared" si="320"/>
        <v>3.8167940000000001E-3</v>
      </c>
      <c r="AK753">
        <v>3.8167940000000001E-3</v>
      </c>
      <c r="AL753">
        <v>0.13169399000000001</v>
      </c>
      <c r="AM753">
        <v>0.13678728000000001</v>
      </c>
      <c r="AN753">
        <v>0.13922319</v>
      </c>
      <c r="AO753">
        <v>99.618320600000004</v>
      </c>
      <c r="AP753">
        <v>86.830601000000001</v>
      </c>
      <c r="AQ753">
        <v>86.321271999999993</v>
      </c>
      <c r="AR753">
        <v>86.077680999999998</v>
      </c>
      <c r="AS753" t="b">
        <v>1</v>
      </c>
      <c r="AT753" t="b">
        <v>0</v>
      </c>
      <c r="AU753" t="s">
        <v>77</v>
      </c>
      <c r="AV753" t="s">
        <v>108</v>
      </c>
      <c r="AW753" t="s">
        <v>783</v>
      </c>
      <c r="AX753" t="s">
        <v>812</v>
      </c>
      <c r="AY753" t="s">
        <v>1147</v>
      </c>
      <c r="AZ753" t="s">
        <v>109</v>
      </c>
      <c r="BA753">
        <v>7</v>
      </c>
      <c r="BB753">
        <v>1.4</v>
      </c>
      <c r="BC753">
        <v>4.1163553999999996E-3</v>
      </c>
      <c r="BD753">
        <v>1.4279989108178799E-4</v>
      </c>
      <c r="BE753">
        <v>4.2591552910817903E-3</v>
      </c>
      <c r="BF753">
        <f>IF(AK753&lt;BE753,1,0)</f>
        <v>1</v>
      </c>
      <c r="BG753">
        <f>IF(AK753&lt;BC753,1,0)</f>
        <v>1</v>
      </c>
      <c r="BH753">
        <f>VLOOKUP($B753,[1]Data_Peer_with_peerVars!$B$2:$Z$1050,20,FALSE)</f>
        <v>6</v>
      </c>
      <c r="BI753">
        <f>VLOOKUP($B753,[1]Data_Peer_with_peerVars!$B$2:$Z$1050,21,FALSE)</f>
        <v>4</v>
      </c>
      <c r="BJ753">
        <f>VLOOKUP($B753,[1]Data_Peer_with_peerVars!$B$2:$Z$1050,22,FALSE)</f>
        <v>0.66666666699999999</v>
      </c>
      <c r="BK753">
        <f>VLOOKUP($B753,[1]Data_Peer_with_peerVars!$B$2:$Z$1050,23,FALSE)</f>
        <v>51</v>
      </c>
      <c r="BL753">
        <f>VLOOKUP($B753,[1]Data_Peer_with_peerVars!$B$2:$Z$1050,24,FALSE)</f>
        <v>22</v>
      </c>
      <c r="BM753">
        <f>VLOOKUP($B753,[1]Data_Peer_with_peerVars!$B$2:$Z$1050,25,FALSE)</f>
        <v>0.43137254899999999</v>
      </c>
    </row>
    <row r="754" spans="1:65" x14ac:dyDescent="0.2">
      <c r="A754">
        <v>1</v>
      </c>
      <c r="B754" t="s">
        <v>1177</v>
      </c>
      <c r="C754">
        <v>433</v>
      </c>
      <c r="D754" t="s">
        <v>68</v>
      </c>
      <c r="E754">
        <v>1</v>
      </c>
      <c r="F754">
        <v>164</v>
      </c>
      <c r="G754" t="s">
        <v>69</v>
      </c>
      <c r="H754" s="1">
        <v>7</v>
      </c>
      <c r="I754" t="s">
        <v>87</v>
      </c>
      <c r="J754" t="s">
        <v>150</v>
      </c>
      <c r="K754" t="s">
        <v>109</v>
      </c>
      <c r="L754">
        <v>1</v>
      </c>
      <c r="M754">
        <v>1</v>
      </c>
      <c r="N754">
        <v>1</v>
      </c>
      <c r="O754">
        <v>0</v>
      </c>
      <c r="P754">
        <v>0</v>
      </c>
      <c r="Q754">
        <v>9</v>
      </c>
      <c r="R754">
        <v>0</v>
      </c>
      <c r="S754">
        <v>0</v>
      </c>
      <c r="T754">
        <v>0</v>
      </c>
      <c r="U754">
        <v>0</v>
      </c>
      <c r="V754">
        <f t="shared" si="317"/>
        <v>0</v>
      </c>
      <c r="W754">
        <f t="shared" si="318"/>
        <v>1</v>
      </c>
      <c r="X754">
        <v>1</v>
      </c>
      <c r="Y754">
        <v>1</v>
      </c>
      <c r="Z754" t="s">
        <v>120</v>
      </c>
      <c r="AA754" s="5" t="s">
        <v>120</v>
      </c>
      <c r="AB754" s="5" t="s">
        <v>120</v>
      </c>
      <c r="AC754" t="s">
        <v>73</v>
      </c>
      <c r="AD754" t="s">
        <v>120</v>
      </c>
      <c r="AE754" s="5" t="s">
        <v>1178</v>
      </c>
      <c r="AF754" t="s">
        <v>75</v>
      </c>
      <c r="AG754" t="s">
        <v>74</v>
      </c>
      <c r="AH754">
        <f t="shared" si="335"/>
        <v>9.7427479999999997E-2</v>
      </c>
      <c r="AI754">
        <f>AJ754</f>
        <v>9.7427479999999997E-2</v>
      </c>
      <c r="AJ754">
        <f>AL754</f>
        <v>9.7427479999999997E-2</v>
      </c>
      <c r="AK754">
        <v>9.7320944000000006E-2</v>
      </c>
      <c r="AL754">
        <v>9.7427479999999997E-2</v>
      </c>
      <c r="AM754">
        <v>0.121710524</v>
      </c>
      <c r="AN754">
        <v>0.12733259999999999</v>
      </c>
      <c r="AO754">
        <v>90.267905600000006</v>
      </c>
      <c r="AP754">
        <v>90.257251999999994</v>
      </c>
      <c r="AQ754">
        <v>87.828947600000006</v>
      </c>
      <c r="AR754">
        <v>87.266739999999999</v>
      </c>
      <c r="AS754" t="b">
        <v>0</v>
      </c>
      <c r="AT754" t="b">
        <v>0</v>
      </c>
      <c r="AU754" t="s">
        <v>108</v>
      </c>
      <c r="AV754" t="s">
        <v>108</v>
      </c>
      <c r="AW754" t="s">
        <v>783</v>
      </c>
      <c r="AX754" t="s">
        <v>812</v>
      </c>
      <c r="AY754" t="s">
        <v>1147</v>
      </c>
      <c r="AZ754" t="s">
        <v>109</v>
      </c>
      <c r="BA754">
        <v>4</v>
      </c>
      <c r="BB754">
        <v>0.7</v>
      </c>
      <c r="BC754">
        <v>4.1163553999999996E-3</v>
      </c>
      <c r="BD754">
        <v>1.4279989108178799E-4</v>
      </c>
      <c r="BE754">
        <v>4.2591552910817903E-3</v>
      </c>
      <c r="BF754">
        <f>IF(AK754&lt;BE754,1,0)</f>
        <v>0</v>
      </c>
      <c r="BG754">
        <f>IF(AK754&lt;BC754,1,0)</f>
        <v>0</v>
      </c>
      <c r="BH754">
        <f>VLOOKUP($B754,[1]Data_Peer_with_peerVars!$B$2:$Z$1050,20,FALSE)</f>
        <v>6</v>
      </c>
      <c r="BI754">
        <f>VLOOKUP($B754,[1]Data_Peer_with_peerVars!$B$2:$Z$1050,21,FALSE)</f>
        <v>4</v>
      </c>
      <c r="BJ754">
        <f>VLOOKUP($B754,[1]Data_Peer_with_peerVars!$B$2:$Z$1050,22,FALSE)</f>
        <v>0.66666666699999999</v>
      </c>
      <c r="BK754">
        <f>VLOOKUP($B754,[1]Data_Peer_with_peerVars!$B$2:$Z$1050,23,FALSE)</f>
        <v>51</v>
      </c>
      <c r="BL754">
        <f>VLOOKUP($B754,[1]Data_Peer_with_peerVars!$B$2:$Z$1050,24,FALSE)</f>
        <v>22</v>
      </c>
      <c r="BM754">
        <f>VLOOKUP($B754,[1]Data_Peer_with_peerVars!$B$2:$Z$1050,25,FALSE)</f>
        <v>0.43137254899999999</v>
      </c>
    </row>
    <row r="755" spans="1:65" x14ac:dyDescent="0.2">
      <c r="A755">
        <v>1</v>
      </c>
      <c r="B755" t="s">
        <v>1179</v>
      </c>
      <c r="C755">
        <v>434</v>
      </c>
      <c r="D755" t="s">
        <v>68</v>
      </c>
      <c r="E755">
        <v>1</v>
      </c>
      <c r="F755">
        <v>166</v>
      </c>
      <c r="G755" t="s">
        <v>69</v>
      </c>
      <c r="H755" s="1">
        <v>4</v>
      </c>
      <c r="I755" t="s">
        <v>87</v>
      </c>
      <c r="J755" t="s">
        <v>124</v>
      </c>
      <c r="K755" t="s">
        <v>72</v>
      </c>
      <c r="L755">
        <v>2</v>
      </c>
      <c r="M755">
        <v>0</v>
      </c>
      <c r="N755">
        <v>0</v>
      </c>
      <c r="O755">
        <v>1</v>
      </c>
      <c r="P755">
        <v>0</v>
      </c>
      <c r="Q755">
        <v>6</v>
      </c>
      <c r="R755">
        <v>0</v>
      </c>
      <c r="S755">
        <v>0</v>
      </c>
      <c r="T755">
        <v>0</v>
      </c>
      <c r="U755">
        <v>0</v>
      </c>
      <c r="V755">
        <f t="shared" si="317"/>
        <v>1</v>
      </c>
      <c r="W755">
        <v>1</v>
      </c>
      <c r="X755">
        <v>1</v>
      </c>
      <c r="Y755">
        <v>1</v>
      </c>
      <c r="Z755" t="s">
        <v>91</v>
      </c>
      <c r="AA755" s="5" t="s">
        <v>91</v>
      </c>
      <c r="AB755" s="5" t="s">
        <v>91</v>
      </c>
      <c r="AC755" t="s">
        <v>91</v>
      </c>
      <c r="AD755" t="s">
        <v>287</v>
      </c>
      <c r="AE755" s="5" t="s">
        <v>287</v>
      </c>
      <c r="AF755" t="s">
        <v>137</v>
      </c>
      <c r="AG755" t="s">
        <v>84</v>
      </c>
      <c r="AH755">
        <f t="shared" si="335"/>
        <v>1.5486725999999999E-2</v>
      </c>
      <c r="AI755">
        <f t="shared" ref="AI755:AI756" si="337">AJ755</f>
        <v>1.5486725999999999E-2</v>
      </c>
      <c r="AJ755">
        <f t="shared" si="320"/>
        <v>1.5486725999999999E-2</v>
      </c>
      <c r="AK755">
        <v>1.5486725999999999E-2</v>
      </c>
      <c r="AL755">
        <v>0.11400111</v>
      </c>
      <c r="AM755">
        <v>0.13128799999999999</v>
      </c>
      <c r="AN755">
        <v>0.13411239999999999</v>
      </c>
      <c r="AO755">
        <v>98.451327399999997</v>
      </c>
      <c r="AP755">
        <v>88.599889000000005</v>
      </c>
      <c r="AQ755">
        <v>86.871200000000002</v>
      </c>
      <c r="AR755">
        <v>86.588759999999994</v>
      </c>
      <c r="AS755" t="b">
        <v>1</v>
      </c>
      <c r="AT755" t="b">
        <v>0</v>
      </c>
      <c r="AU755" t="s">
        <v>77</v>
      </c>
      <c r="AV755" t="s">
        <v>78</v>
      </c>
      <c r="AW755" t="s">
        <v>783</v>
      </c>
      <c r="AX755" t="s">
        <v>812</v>
      </c>
      <c r="AY755" t="s">
        <v>1180</v>
      </c>
      <c r="AZ755" t="s">
        <v>72</v>
      </c>
      <c r="BA755" t="s">
        <v>82</v>
      </c>
      <c r="BB755">
        <v>1</v>
      </c>
      <c r="BC755">
        <v>9.0659339999999995E-3</v>
      </c>
      <c r="BD755">
        <v>2.76583658862385E-3</v>
      </c>
      <c r="BE755">
        <v>1.1831770588623799E-2</v>
      </c>
      <c r="BF755">
        <f>IF(AK755&lt;BE755,1,0)</f>
        <v>0</v>
      </c>
      <c r="BG755">
        <f>IF(AK755&lt;BC755,1,0)</f>
        <v>0</v>
      </c>
      <c r="BH755">
        <f>VLOOKUP($B755,[1]Data_Peer_with_peerVars!$B$2:$Z$1050,20,FALSE)</f>
        <v>2</v>
      </c>
      <c r="BI755">
        <f>VLOOKUP($B755,[1]Data_Peer_with_peerVars!$B$2:$Z$1050,21,FALSE)</f>
        <v>1</v>
      </c>
      <c r="BJ755">
        <f>VLOOKUP($B755,[1]Data_Peer_with_peerVars!$B$2:$Z$1050,22,FALSE)</f>
        <v>0.5</v>
      </c>
      <c r="BK755">
        <f>VLOOKUP($B755,[1]Data_Peer_with_peerVars!$B$2:$Z$1050,23,FALSE)</f>
        <v>65</v>
      </c>
      <c r="BL755">
        <f>VLOOKUP($B755,[1]Data_Peer_with_peerVars!$B$2:$Z$1050,24,FALSE)</f>
        <v>28</v>
      </c>
      <c r="BM755">
        <f>VLOOKUP($B755,[1]Data_Peer_with_peerVars!$B$2:$Z$1050,25,FALSE)</f>
        <v>0.43076923099999997</v>
      </c>
    </row>
    <row r="756" spans="1:65" x14ac:dyDescent="0.2">
      <c r="A756">
        <v>1</v>
      </c>
      <c r="B756" t="s">
        <v>1181</v>
      </c>
      <c r="C756">
        <v>435</v>
      </c>
      <c r="D756" t="s">
        <v>68</v>
      </c>
      <c r="E756">
        <v>0</v>
      </c>
      <c r="F756">
        <v>168</v>
      </c>
      <c r="G756" t="s">
        <v>97</v>
      </c>
      <c r="H756" s="1">
        <v>7</v>
      </c>
      <c r="I756" t="s">
        <v>70</v>
      </c>
      <c r="J756" t="s">
        <v>436</v>
      </c>
      <c r="K756" t="s">
        <v>109</v>
      </c>
      <c r="L756">
        <v>1</v>
      </c>
      <c r="M756">
        <v>1</v>
      </c>
      <c r="N756">
        <v>1</v>
      </c>
      <c r="O756">
        <v>1</v>
      </c>
      <c r="P756">
        <v>0</v>
      </c>
      <c r="Q756">
        <v>6</v>
      </c>
      <c r="R756">
        <v>0</v>
      </c>
      <c r="S756">
        <v>0</v>
      </c>
      <c r="T756">
        <v>1</v>
      </c>
      <c r="U756">
        <v>1</v>
      </c>
      <c r="V756">
        <f t="shared" si="317"/>
        <v>1</v>
      </c>
      <c r="W756">
        <v>1</v>
      </c>
      <c r="X756">
        <v>1</v>
      </c>
      <c r="Y756">
        <v>1</v>
      </c>
      <c r="Z756" t="s">
        <v>73</v>
      </c>
      <c r="AA756" s="5" t="s">
        <v>73</v>
      </c>
      <c r="AB756" s="5" t="s">
        <v>73</v>
      </c>
      <c r="AC756" t="s">
        <v>73</v>
      </c>
      <c r="AD756" t="s">
        <v>94</v>
      </c>
      <c r="AE756" s="5" t="s">
        <v>106</v>
      </c>
      <c r="AF756" t="s">
        <v>107</v>
      </c>
      <c r="AG756" t="s">
        <v>95</v>
      </c>
      <c r="AH756">
        <f t="shared" si="335"/>
        <v>4.1028447000000003E-3</v>
      </c>
      <c r="AI756">
        <f t="shared" si="337"/>
        <v>4.1028447000000003E-3</v>
      </c>
      <c r="AJ756">
        <f t="shared" si="320"/>
        <v>4.1028447000000003E-3</v>
      </c>
      <c r="AK756">
        <v>4.1028447000000003E-3</v>
      </c>
      <c r="AL756">
        <v>0.13185306999999999</v>
      </c>
      <c r="AM756">
        <v>0.13571428999999999</v>
      </c>
      <c r="AN756">
        <v>0.13870615</v>
      </c>
      <c r="AO756">
        <v>99.589715530000007</v>
      </c>
      <c r="AP756">
        <v>86.814693000000005</v>
      </c>
      <c r="AQ756">
        <v>86.428571000000005</v>
      </c>
      <c r="AR756">
        <v>86.129384999999999</v>
      </c>
      <c r="AS756" t="b">
        <v>1</v>
      </c>
      <c r="AT756" t="b">
        <v>0</v>
      </c>
      <c r="AU756" t="s">
        <v>77</v>
      </c>
      <c r="AV756" t="s">
        <v>108</v>
      </c>
      <c r="AW756" t="s">
        <v>783</v>
      </c>
      <c r="AX756" t="s">
        <v>812</v>
      </c>
      <c r="AY756" t="s">
        <v>1147</v>
      </c>
      <c r="AZ756" t="s">
        <v>109</v>
      </c>
      <c r="BA756">
        <v>2</v>
      </c>
      <c r="BB756">
        <v>2</v>
      </c>
      <c r="BC756">
        <v>4.1163553999999996E-3</v>
      </c>
      <c r="BD756">
        <v>1.4279989108178799E-4</v>
      </c>
      <c r="BE756">
        <v>4.2591552910817903E-3</v>
      </c>
      <c r="BF756">
        <f>IF(AK756&lt;BE756,1,0)</f>
        <v>1</v>
      </c>
      <c r="BG756">
        <f>IF(AK756&lt;BC756,1,0)</f>
        <v>1</v>
      </c>
      <c r="BH756">
        <f>VLOOKUP($B756,[1]Data_Peer_with_peerVars!$B$2:$Z$1050,20,FALSE)</f>
        <v>0</v>
      </c>
      <c r="BI756">
        <f>VLOOKUP($B756,[1]Data_Peer_with_peerVars!$B$2:$Z$1050,21,FALSE)</f>
        <v>0</v>
      </c>
      <c r="BJ756">
        <v>0</v>
      </c>
      <c r="BK756">
        <f>VLOOKUP($B756,[1]Data_Peer_with_peerVars!$B$2:$Z$1050,23,FALSE)</f>
        <v>32</v>
      </c>
      <c r="BL756">
        <f>VLOOKUP($B756,[1]Data_Peer_with_peerVars!$B$2:$Z$1050,24,FALSE)</f>
        <v>17</v>
      </c>
      <c r="BM756">
        <f>VLOOKUP($B756,[1]Data_Peer_with_peerVars!$B$2:$Z$1050,25,FALSE)</f>
        <v>0.53125</v>
      </c>
    </row>
    <row r="757" spans="1:65" x14ac:dyDescent="0.2">
      <c r="A757">
        <v>1</v>
      </c>
      <c r="B757" t="s">
        <v>1182</v>
      </c>
      <c r="C757">
        <v>435</v>
      </c>
      <c r="D757" t="s">
        <v>68</v>
      </c>
      <c r="E757">
        <v>0</v>
      </c>
      <c r="F757">
        <v>168</v>
      </c>
      <c r="G757" t="s">
        <v>97</v>
      </c>
      <c r="H757" s="1">
        <v>7</v>
      </c>
      <c r="I757" t="s">
        <v>70</v>
      </c>
      <c r="J757" t="s">
        <v>436</v>
      </c>
      <c r="K757" t="s">
        <v>109</v>
      </c>
      <c r="L757">
        <v>1</v>
      </c>
      <c r="M757">
        <v>1</v>
      </c>
      <c r="N757">
        <v>1</v>
      </c>
      <c r="O757">
        <v>1</v>
      </c>
      <c r="P757">
        <v>0</v>
      </c>
      <c r="Q757">
        <v>6</v>
      </c>
      <c r="R757">
        <v>1</v>
      </c>
      <c r="S757">
        <v>1</v>
      </c>
      <c r="T757">
        <v>1</v>
      </c>
      <c r="U757">
        <v>1</v>
      </c>
      <c r="V757">
        <f t="shared" si="317"/>
        <v>0</v>
      </c>
      <c r="W757">
        <f t="shared" si="318"/>
        <v>0</v>
      </c>
      <c r="X757">
        <f t="shared" si="321"/>
        <v>0</v>
      </c>
      <c r="Y757">
        <f t="shared" si="319"/>
        <v>1</v>
      </c>
      <c r="Z757" t="s">
        <v>76</v>
      </c>
      <c r="AA757" s="5" t="s">
        <v>76</v>
      </c>
      <c r="AB757" s="5" t="s">
        <v>76</v>
      </c>
      <c r="AC757" t="s">
        <v>107</v>
      </c>
      <c r="AD757" t="s">
        <v>74</v>
      </c>
      <c r="AE757" s="5" t="s">
        <v>74</v>
      </c>
      <c r="AF757" t="s">
        <v>95</v>
      </c>
      <c r="AG757" t="s">
        <v>76</v>
      </c>
      <c r="AH757">
        <f>AN757</f>
        <v>0.11603722</v>
      </c>
      <c r="AI757">
        <f>AJ757</f>
        <v>8.2601540000000001E-2</v>
      </c>
      <c r="AJ757">
        <f t="shared" si="320"/>
        <v>8.2601540000000001E-2</v>
      </c>
      <c r="AK757">
        <v>8.2601540000000001E-2</v>
      </c>
      <c r="AL757">
        <v>0.108122945</v>
      </c>
      <c r="AM757">
        <v>0.11412151</v>
      </c>
      <c r="AN757">
        <v>0.11603722</v>
      </c>
      <c r="AO757">
        <v>91.739846</v>
      </c>
      <c r="AP757">
        <v>89.187705500000007</v>
      </c>
      <c r="AQ757">
        <v>88.587849000000006</v>
      </c>
      <c r="AR757">
        <v>88.396277999999995</v>
      </c>
      <c r="AS757" t="b">
        <v>0</v>
      </c>
      <c r="AT757" t="b">
        <v>0</v>
      </c>
      <c r="AU757" t="s">
        <v>77</v>
      </c>
      <c r="AV757" t="s">
        <v>78</v>
      </c>
      <c r="AW757" t="s">
        <v>783</v>
      </c>
      <c r="AX757" t="s">
        <v>812</v>
      </c>
      <c r="AY757" t="s">
        <v>1147</v>
      </c>
      <c r="AZ757" t="s">
        <v>109</v>
      </c>
      <c r="BA757">
        <v>2</v>
      </c>
      <c r="BB757">
        <v>1</v>
      </c>
      <c r="BC757">
        <v>2.6475456000000001E-2</v>
      </c>
      <c r="BD757">
        <v>8.8330364056477401E-3</v>
      </c>
      <c r="BE757">
        <v>3.53084924056477E-2</v>
      </c>
      <c r="BF757">
        <f>IF(AK757&lt;BE757,1,0)</f>
        <v>0</v>
      </c>
      <c r="BG757">
        <f>IF(AK757&lt;BC757,1,0)</f>
        <v>0</v>
      </c>
      <c r="BH757">
        <f>VLOOKUP($B757,[1]Data_Peer_with_peerVars!$B$2:$Z$1050,20,FALSE)</f>
        <v>0</v>
      </c>
      <c r="BI757">
        <f>VLOOKUP($B757,[1]Data_Peer_with_peerVars!$B$2:$Z$1050,21,FALSE)</f>
        <v>0</v>
      </c>
      <c r="BJ757">
        <v>0</v>
      </c>
      <c r="BK757">
        <f>VLOOKUP($B757,[1]Data_Peer_with_peerVars!$B$2:$Z$1050,23,FALSE)</f>
        <v>32</v>
      </c>
      <c r="BL757">
        <f>VLOOKUP($B757,[1]Data_Peer_with_peerVars!$B$2:$Z$1050,24,FALSE)</f>
        <v>17</v>
      </c>
      <c r="BM757">
        <f>VLOOKUP($B757,[1]Data_Peer_with_peerVars!$B$2:$Z$1050,25,FALSE)</f>
        <v>0.53125</v>
      </c>
    </row>
    <row r="758" spans="1:65" x14ac:dyDescent="0.2">
      <c r="A758">
        <v>1</v>
      </c>
      <c r="B758" t="s">
        <v>1183</v>
      </c>
      <c r="C758">
        <v>436</v>
      </c>
      <c r="D758" t="s">
        <v>68</v>
      </c>
      <c r="E758">
        <v>0</v>
      </c>
      <c r="F758">
        <v>658</v>
      </c>
      <c r="G758" t="s">
        <v>119</v>
      </c>
      <c r="H758" s="1">
        <v>6</v>
      </c>
      <c r="I758" t="s">
        <v>87</v>
      </c>
      <c r="J758" t="s">
        <v>150</v>
      </c>
      <c r="K758" t="s">
        <v>109</v>
      </c>
      <c r="L758">
        <v>1</v>
      </c>
      <c r="M758">
        <v>1</v>
      </c>
      <c r="N758">
        <v>0</v>
      </c>
      <c r="O758">
        <v>0</v>
      </c>
      <c r="P758">
        <v>0</v>
      </c>
      <c r="Q758">
        <v>0</v>
      </c>
      <c r="R758">
        <v>0</v>
      </c>
      <c r="S758">
        <v>0</v>
      </c>
      <c r="T758">
        <v>0</v>
      </c>
      <c r="U758">
        <v>0</v>
      </c>
      <c r="V758">
        <f t="shared" si="317"/>
        <v>1</v>
      </c>
      <c r="W758">
        <v>1</v>
      </c>
      <c r="X758">
        <v>1</v>
      </c>
      <c r="Y758">
        <v>1</v>
      </c>
      <c r="Z758" t="s">
        <v>73</v>
      </c>
      <c r="AA758" s="5" t="s">
        <v>73</v>
      </c>
      <c r="AB758" s="5" t="s">
        <v>73</v>
      </c>
      <c r="AC758" t="s">
        <v>73</v>
      </c>
      <c r="AD758" t="s">
        <v>91</v>
      </c>
      <c r="AE758" s="5" t="s">
        <v>91</v>
      </c>
      <c r="AF758" t="s">
        <v>94</v>
      </c>
      <c r="AG758" t="s">
        <v>75</v>
      </c>
      <c r="AH758">
        <f>AI758</f>
        <v>6.7782654999999997E-2</v>
      </c>
      <c r="AI758">
        <f>AJ758</f>
        <v>6.7782654999999997E-2</v>
      </c>
      <c r="AJ758">
        <f t="shared" si="320"/>
        <v>6.7782654999999997E-2</v>
      </c>
      <c r="AK758">
        <v>6.7782654999999997E-2</v>
      </c>
      <c r="AL758">
        <v>9.4386354000000006E-2</v>
      </c>
      <c r="AM758">
        <v>0.13399231</v>
      </c>
      <c r="AN758">
        <v>0.14301430000000001</v>
      </c>
      <c r="AO758">
        <v>93.221734499999997</v>
      </c>
      <c r="AP758">
        <v>90.561364600000005</v>
      </c>
      <c r="AQ758">
        <v>86.600769</v>
      </c>
      <c r="AR758">
        <v>85.698570000000004</v>
      </c>
      <c r="AS758" t="b">
        <v>1</v>
      </c>
      <c r="AT758" t="b">
        <v>0</v>
      </c>
      <c r="AU758" t="s">
        <v>77</v>
      </c>
      <c r="AV758" t="s">
        <v>77</v>
      </c>
      <c r="AW758" t="s">
        <v>783</v>
      </c>
      <c r="AX758" t="s">
        <v>812</v>
      </c>
      <c r="AY758" t="s">
        <v>1147</v>
      </c>
      <c r="AZ758" t="s">
        <v>109</v>
      </c>
      <c r="BA758">
        <v>2</v>
      </c>
      <c r="BB758">
        <v>2</v>
      </c>
      <c r="BC758">
        <v>4.1163553999999996E-3</v>
      </c>
      <c r="BD758">
        <v>1.4279989108178799E-4</v>
      </c>
      <c r="BE758">
        <v>4.2591552910817903E-3</v>
      </c>
      <c r="BF758">
        <f>IF(AK758&lt;BE758,1,0)</f>
        <v>0</v>
      </c>
      <c r="BG758">
        <f>IF(AK758&lt;BC758,1,0)</f>
        <v>0</v>
      </c>
      <c r="BH758">
        <f>VLOOKUP($B758,[1]Data_Peer_with_peerVars!$B$2:$Z$1050,20,FALSE)</f>
        <v>1</v>
      </c>
      <c r="BI758">
        <f>VLOOKUP($B758,[1]Data_Peer_with_peerVars!$B$2:$Z$1050,21,FALSE)</f>
        <v>1</v>
      </c>
      <c r="BJ758">
        <f>VLOOKUP($B758,[1]Data_Peer_with_peerVars!$B$2:$Z$1050,22,FALSE)</f>
        <v>1</v>
      </c>
      <c r="BK758">
        <f>VLOOKUP($B758,[1]Data_Peer_with_peerVars!$B$2:$Z$1050,23,FALSE)</f>
        <v>59</v>
      </c>
      <c r="BL758">
        <f>VLOOKUP($B758,[1]Data_Peer_with_peerVars!$B$2:$Z$1050,24,FALSE)</f>
        <v>27</v>
      </c>
      <c r="BM758">
        <f>VLOOKUP($B758,[1]Data_Peer_with_peerVars!$B$2:$Z$1050,25,FALSE)</f>
        <v>0.45762711900000003</v>
      </c>
    </row>
    <row r="759" spans="1:65" x14ac:dyDescent="0.2">
      <c r="A759">
        <v>1</v>
      </c>
      <c r="B759" t="s">
        <v>1184</v>
      </c>
      <c r="C759">
        <v>437</v>
      </c>
      <c r="D759" t="s">
        <v>68</v>
      </c>
      <c r="E759">
        <v>1</v>
      </c>
      <c r="F759">
        <v>19</v>
      </c>
      <c r="G759" t="s">
        <v>86</v>
      </c>
      <c r="H759" s="1">
        <v>6</v>
      </c>
      <c r="I759" t="s">
        <v>70</v>
      </c>
      <c r="J759" t="s">
        <v>71</v>
      </c>
      <c r="K759" t="s">
        <v>109</v>
      </c>
      <c r="L759">
        <v>1</v>
      </c>
      <c r="M759">
        <v>1</v>
      </c>
      <c r="N759">
        <v>1</v>
      </c>
      <c r="O759">
        <v>0</v>
      </c>
      <c r="P759">
        <v>0</v>
      </c>
      <c r="Q759">
        <v>5</v>
      </c>
      <c r="R759">
        <v>0</v>
      </c>
      <c r="S759">
        <v>0</v>
      </c>
      <c r="T759">
        <v>1</v>
      </c>
      <c r="U759">
        <v>1</v>
      </c>
      <c r="V759">
        <f t="shared" si="317"/>
        <v>0</v>
      </c>
      <c r="W759">
        <f t="shared" si="318"/>
        <v>0</v>
      </c>
      <c r="X759">
        <f t="shared" si="321"/>
        <v>0</v>
      </c>
      <c r="Y759">
        <f t="shared" si="319"/>
        <v>0</v>
      </c>
      <c r="Z759" t="s">
        <v>89</v>
      </c>
      <c r="AA759" s="5" t="s">
        <v>268</v>
      </c>
      <c r="AB759" s="5" t="s">
        <v>268</v>
      </c>
      <c r="AC759" t="s">
        <v>73</v>
      </c>
      <c r="AD759" t="s">
        <v>94</v>
      </c>
      <c r="AE759" s="5" t="s">
        <v>106</v>
      </c>
      <c r="AF759" t="s">
        <v>107</v>
      </c>
      <c r="AG759" t="s">
        <v>95</v>
      </c>
      <c r="AH759">
        <f>AI759</f>
        <v>3.8251367000000001E-3</v>
      </c>
      <c r="AI759">
        <f>AJ759</f>
        <v>3.8251367000000001E-3</v>
      </c>
      <c r="AJ759">
        <f t="shared" si="320"/>
        <v>3.8251367000000001E-3</v>
      </c>
      <c r="AK759">
        <v>3.8251367000000001E-3</v>
      </c>
      <c r="AL759">
        <v>0.13170865000000001</v>
      </c>
      <c r="AM759">
        <v>0.13618891</v>
      </c>
      <c r="AN759">
        <v>0.13890411</v>
      </c>
      <c r="AO759">
        <v>99.617486330000006</v>
      </c>
      <c r="AP759">
        <v>86.829134999999994</v>
      </c>
      <c r="AQ759">
        <v>86.381108999999995</v>
      </c>
      <c r="AR759">
        <v>86.109589</v>
      </c>
      <c r="AS759" t="b">
        <v>0</v>
      </c>
      <c r="AT759" t="b">
        <v>0</v>
      </c>
      <c r="AU759" t="s">
        <v>92</v>
      </c>
      <c r="AV759" t="s">
        <v>92</v>
      </c>
      <c r="AW759" t="s">
        <v>783</v>
      </c>
      <c r="AX759" t="s">
        <v>812</v>
      </c>
      <c r="AY759" t="s">
        <v>1185</v>
      </c>
      <c r="AZ759" t="s">
        <v>109</v>
      </c>
      <c r="BA759">
        <v>2</v>
      </c>
      <c r="BB759">
        <v>1.4</v>
      </c>
      <c r="BC759">
        <v>4.1163553999999996E-3</v>
      </c>
      <c r="BD759">
        <v>1.4279989108178799E-4</v>
      </c>
      <c r="BE759">
        <v>4.2591552910817903E-3</v>
      </c>
      <c r="BF759">
        <f>IF(AK759&lt;BE759,1,0)</f>
        <v>1</v>
      </c>
      <c r="BG759">
        <f>IF(AK759&lt;BC759,1,0)</f>
        <v>1</v>
      </c>
      <c r="BH759">
        <f>VLOOKUP($B759,[1]Data_Peer_with_peerVars!$B$2:$Z$1050,20,FALSE)</f>
        <v>16</v>
      </c>
      <c r="BI759">
        <f>VLOOKUP($B759,[1]Data_Peer_with_peerVars!$B$2:$Z$1050,21,FALSE)</f>
        <v>10</v>
      </c>
      <c r="BJ759">
        <f>VLOOKUP($B759,[1]Data_Peer_with_peerVars!$B$2:$Z$1050,22,FALSE)</f>
        <v>0.625</v>
      </c>
      <c r="BK759">
        <f>VLOOKUP($B759,[1]Data_Peer_with_peerVars!$B$2:$Z$1050,23,FALSE)</f>
        <v>41</v>
      </c>
      <c r="BL759">
        <f>VLOOKUP($B759,[1]Data_Peer_with_peerVars!$B$2:$Z$1050,24,FALSE)</f>
        <v>22</v>
      </c>
      <c r="BM759">
        <f>VLOOKUP($B759,[1]Data_Peer_with_peerVars!$B$2:$Z$1050,25,FALSE)</f>
        <v>0.53658536599999995</v>
      </c>
    </row>
    <row r="760" spans="1:65" x14ac:dyDescent="0.2">
      <c r="A760">
        <v>1</v>
      </c>
      <c r="B760" t="s">
        <v>1186</v>
      </c>
      <c r="C760">
        <v>437</v>
      </c>
      <c r="D760" t="s">
        <v>68</v>
      </c>
      <c r="E760">
        <v>1</v>
      </c>
      <c r="F760">
        <v>19</v>
      </c>
      <c r="G760" t="s">
        <v>86</v>
      </c>
      <c r="H760" s="1">
        <v>6</v>
      </c>
      <c r="I760" t="s">
        <v>70</v>
      </c>
      <c r="J760" t="s">
        <v>71</v>
      </c>
      <c r="K760" t="s">
        <v>109</v>
      </c>
      <c r="L760">
        <v>1</v>
      </c>
      <c r="M760">
        <v>1</v>
      </c>
      <c r="N760">
        <v>1</v>
      </c>
      <c r="O760">
        <v>0</v>
      </c>
      <c r="P760">
        <v>0</v>
      </c>
      <c r="Q760">
        <v>5</v>
      </c>
      <c r="R760">
        <v>0</v>
      </c>
      <c r="S760">
        <v>0</v>
      </c>
      <c r="T760">
        <v>0</v>
      </c>
      <c r="U760">
        <v>0</v>
      </c>
      <c r="V760">
        <f t="shared" si="317"/>
        <v>1</v>
      </c>
      <c r="W760">
        <v>1</v>
      </c>
      <c r="X760">
        <v>1</v>
      </c>
      <c r="Y760">
        <v>1</v>
      </c>
      <c r="Z760" t="s">
        <v>120</v>
      </c>
      <c r="AA760" s="5" t="s">
        <v>120</v>
      </c>
      <c r="AB760" s="5" t="s">
        <v>120</v>
      </c>
      <c r="AC760" t="s">
        <v>120</v>
      </c>
      <c r="AD760" t="s">
        <v>75</v>
      </c>
      <c r="AE760" s="5" t="s">
        <v>75</v>
      </c>
      <c r="AF760" t="s">
        <v>74</v>
      </c>
      <c r="AG760" t="s">
        <v>167</v>
      </c>
      <c r="AH760">
        <f t="shared" ref="AH760:AH761" si="338">AI760</f>
        <v>2.8461960000000001E-2</v>
      </c>
      <c r="AI760">
        <f t="shared" ref="AI760:AI761" si="339">AJ760</f>
        <v>2.8461960000000001E-2</v>
      </c>
      <c r="AJ760">
        <f t="shared" si="320"/>
        <v>2.8461960000000001E-2</v>
      </c>
      <c r="AK760">
        <v>2.8461960000000001E-2</v>
      </c>
      <c r="AL760">
        <v>8.520548E-2</v>
      </c>
      <c r="AM760">
        <v>9.0784420000000005E-2</v>
      </c>
      <c r="AN760">
        <v>0.102416255</v>
      </c>
      <c r="AO760">
        <v>97.153803999999994</v>
      </c>
      <c r="AP760">
        <v>91.479451999999995</v>
      </c>
      <c r="AQ760">
        <v>90.921558000000005</v>
      </c>
      <c r="AR760">
        <v>89.758374500000002</v>
      </c>
      <c r="AS760" t="b">
        <v>1</v>
      </c>
      <c r="AT760" t="b">
        <v>0</v>
      </c>
      <c r="AU760" t="s">
        <v>77</v>
      </c>
      <c r="AV760" t="s">
        <v>77</v>
      </c>
      <c r="AW760" t="s">
        <v>783</v>
      </c>
      <c r="AX760" t="s">
        <v>812</v>
      </c>
      <c r="AY760" t="s">
        <v>1185</v>
      </c>
      <c r="AZ760" t="s">
        <v>109</v>
      </c>
      <c r="BA760">
        <v>2</v>
      </c>
      <c r="BB760">
        <v>1.4</v>
      </c>
      <c r="BC760">
        <v>4.6849314000000003E-2</v>
      </c>
      <c r="BD760">
        <v>4.5250577219970098E-3</v>
      </c>
      <c r="BE760">
        <v>5.1374371721996999E-2</v>
      </c>
      <c r="BF760">
        <f>IF(AK760&lt;BE760,1,0)</f>
        <v>1</v>
      </c>
      <c r="BG760">
        <f>IF(AK760&lt;BC760,1,0)</f>
        <v>1</v>
      </c>
      <c r="BH760">
        <f>VLOOKUP($B760,[1]Data_Peer_with_peerVars!$B$2:$Z$1050,20,FALSE)</f>
        <v>16</v>
      </c>
      <c r="BI760">
        <f>VLOOKUP($B760,[1]Data_Peer_with_peerVars!$B$2:$Z$1050,21,FALSE)</f>
        <v>10</v>
      </c>
      <c r="BJ760">
        <f>VLOOKUP($B760,[1]Data_Peer_with_peerVars!$B$2:$Z$1050,22,FALSE)</f>
        <v>0.625</v>
      </c>
      <c r="BK760">
        <f>VLOOKUP($B760,[1]Data_Peer_with_peerVars!$B$2:$Z$1050,23,FALSE)</f>
        <v>41</v>
      </c>
      <c r="BL760">
        <f>VLOOKUP($B760,[1]Data_Peer_with_peerVars!$B$2:$Z$1050,24,FALSE)</f>
        <v>22</v>
      </c>
      <c r="BM760">
        <f>VLOOKUP($B760,[1]Data_Peer_with_peerVars!$B$2:$Z$1050,25,FALSE)</f>
        <v>0.53658536599999995</v>
      </c>
    </row>
    <row r="761" spans="1:65" x14ac:dyDescent="0.2">
      <c r="A761">
        <v>1</v>
      </c>
      <c r="B761" t="s">
        <v>1187</v>
      </c>
      <c r="C761">
        <v>438</v>
      </c>
      <c r="D761" t="s">
        <v>68</v>
      </c>
      <c r="E761">
        <v>1</v>
      </c>
      <c r="F761">
        <v>20</v>
      </c>
      <c r="G761" t="s">
        <v>69</v>
      </c>
      <c r="H761" s="1">
        <v>7</v>
      </c>
      <c r="I761" t="s">
        <v>87</v>
      </c>
      <c r="J761" t="s">
        <v>111</v>
      </c>
      <c r="K761" t="s">
        <v>109</v>
      </c>
      <c r="L761">
        <v>2</v>
      </c>
      <c r="M761">
        <v>1</v>
      </c>
      <c r="N761">
        <v>1</v>
      </c>
      <c r="O761">
        <v>0</v>
      </c>
      <c r="P761">
        <v>0</v>
      </c>
      <c r="Q761">
        <v>0</v>
      </c>
      <c r="R761">
        <v>0</v>
      </c>
      <c r="S761">
        <v>0</v>
      </c>
      <c r="T761">
        <v>0</v>
      </c>
      <c r="U761">
        <v>0</v>
      </c>
      <c r="V761">
        <f t="shared" si="317"/>
        <v>1</v>
      </c>
      <c r="W761">
        <v>1</v>
      </c>
      <c r="X761">
        <v>1</v>
      </c>
      <c r="Y761">
        <v>1</v>
      </c>
      <c r="Z761" t="s">
        <v>91</v>
      </c>
      <c r="AA761" s="5" t="s">
        <v>91</v>
      </c>
      <c r="AB761" s="5" t="s">
        <v>91</v>
      </c>
      <c r="AC761" t="s">
        <v>91</v>
      </c>
      <c r="AD761" t="s">
        <v>75</v>
      </c>
      <c r="AE761" s="5" t="s">
        <v>932</v>
      </c>
      <c r="AF761" t="s">
        <v>287</v>
      </c>
      <c r="AG761" t="s">
        <v>137</v>
      </c>
      <c r="AH761">
        <f t="shared" si="338"/>
        <v>0.1131766</v>
      </c>
      <c r="AI761">
        <f t="shared" si="339"/>
        <v>0.1131766</v>
      </c>
      <c r="AJ761">
        <f t="shared" si="320"/>
        <v>0.1131766</v>
      </c>
      <c r="AK761">
        <v>0.1131766</v>
      </c>
      <c r="AL761">
        <v>0.12089716</v>
      </c>
      <c r="AM761">
        <v>0.12254366999999999</v>
      </c>
      <c r="AN761">
        <v>0.13482532999999999</v>
      </c>
      <c r="AO761">
        <v>88.682339999999996</v>
      </c>
      <c r="AP761">
        <v>87.910284000000004</v>
      </c>
      <c r="AQ761">
        <v>87.745632999999998</v>
      </c>
      <c r="AR761">
        <v>86.517466999999996</v>
      </c>
      <c r="AS761" t="b">
        <v>1</v>
      </c>
      <c r="AT761" t="b">
        <v>0</v>
      </c>
      <c r="AU761" t="s">
        <v>78</v>
      </c>
      <c r="AV761" t="s">
        <v>108</v>
      </c>
      <c r="AW761" t="s">
        <v>783</v>
      </c>
      <c r="AX761" t="s">
        <v>812</v>
      </c>
      <c r="AY761" t="s">
        <v>1185</v>
      </c>
      <c r="AZ761" t="s">
        <v>109</v>
      </c>
      <c r="BA761">
        <v>5</v>
      </c>
      <c r="BB761">
        <v>0.35</v>
      </c>
      <c r="BC761">
        <v>9.0659339999999995E-3</v>
      </c>
      <c r="BD761">
        <v>2.76583658862385E-3</v>
      </c>
      <c r="BE761">
        <v>1.1831770588623799E-2</v>
      </c>
      <c r="BF761">
        <f>IF(AK761&lt;BE761,1,0)</f>
        <v>0</v>
      </c>
      <c r="BG761">
        <f>IF(AK761&lt;BC761,1,0)</f>
        <v>0</v>
      </c>
      <c r="BH761">
        <f>VLOOKUP($B761,[1]Data_Peer_with_peerVars!$B$2:$Z$1050,20,FALSE)</f>
        <v>4</v>
      </c>
      <c r="BI761">
        <f>VLOOKUP($B761,[1]Data_Peer_with_peerVars!$B$2:$Z$1050,21,FALSE)</f>
        <v>2</v>
      </c>
      <c r="BJ761">
        <f>VLOOKUP($B761,[1]Data_Peer_with_peerVars!$B$2:$Z$1050,22,FALSE)</f>
        <v>0.5</v>
      </c>
      <c r="BK761">
        <f>VLOOKUP($B761,[1]Data_Peer_with_peerVars!$B$2:$Z$1050,23,FALSE)</f>
        <v>44</v>
      </c>
      <c r="BL761">
        <f>VLOOKUP($B761,[1]Data_Peer_with_peerVars!$B$2:$Z$1050,24,FALSE)</f>
        <v>22</v>
      </c>
      <c r="BM761">
        <f>VLOOKUP($B761,[1]Data_Peer_with_peerVars!$B$2:$Z$1050,25,FALSE)</f>
        <v>0.5</v>
      </c>
    </row>
    <row r="762" spans="1:65" x14ac:dyDescent="0.2">
      <c r="A762">
        <v>1</v>
      </c>
      <c r="B762" t="s">
        <v>1188</v>
      </c>
      <c r="C762">
        <v>438</v>
      </c>
      <c r="D762" t="s">
        <v>68</v>
      </c>
      <c r="E762">
        <v>1</v>
      </c>
      <c r="F762">
        <v>20</v>
      </c>
      <c r="G762" t="s">
        <v>69</v>
      </c>
      <c r="H762" s="1">
        <v>7</v>
      </c>
      <c r="I762" t="s">
        <v>87</v>
      </c>
      <c r="J762" t="s">
        <v>111</v>
      </c>
      <c r="K762" t="s">
        <v>109</v>
      </c>
      <c r="L762">
        <v>2</v>
      </c>
      <c r="M762">
        <v>1</v>
      </c>
      <c r="N762">
        <v>1</v>
      </c>
      <c r="O762">
        <v>0</v>
      </c>
      <c r="P762">
        <v>0</v>
      </c>
      <c r="Q762">
        <v>0</v>
      </c>
      <c r="R762">
        <v>0</v>
      </c>
      <c r="S762">
        <v>1</v>
      </c>
      <c r="T762">
        <v>1</v>
      </c>
      <c r="U762">
        <v>1</v>
      </c>
      <c r="V762">
        <f t="shared" si="317"/>
        <v>0</v>
      </c>
      <c r="W762">
        <f t="shared" si="318"/>
        <v>0</v>
      </c>
      <c r="X762">
        <f t="shared" si="321"/>
        <v>0</v>
      </c>
      <c r="Y762">
        <f t="shared" si="319"/>
        <v>0</v>
      </c>
      <c r="Z762" t="s">
        <v>76</v>
      </c>
      <c r="AA762" s="5" t="s">
        <v>76</v>
      </c>
      <c r="AB762" s="5" t="s">
        <v>1156</v>
      </c>
      <c r="AC762" t="s">
        <v>95</v>
      </c>
      <c r="AD762" t="s">
        <v>173</v>
      </c>
      <c r="AE762" s="5" t="s">
        <v>1189</v>
      </c>
      <c r="AF762" t="s">
        <v>174</v>
      </c>
      <c r="AG762" t="s">
        <v>198</v>
      </c>
      <c r="AH762">
        <f t="shared" ref="AH762:AH766" si="340">AI762</f>
        <v>7.8227569999999996E-2</v>
      </c>
      <c r="AI762">
        <f t="shared" ref="AI762:AI766" si="341">AJ762</f>
        <v>7.8227569999999996E-2</v>
      </c>
      <c r="AJ762">
        <f t="shared" si="320"/>
        <v>7.8227569999999996E-2</v>
      </c>
      <c r="AK762">
        <v>7.8227569999999996E-2</v>
      </c>
      <c r="AL762">
        <v>9.3220339999999999E-2</v>
      </c>
      <c r="AM762">
        <v>9.4742599999999996E-2</v>
      </c>
      <c r="AN762">
        <v>9.9286890000000003E-2</v>
      </c>
      <c r="AO762">
        <v>92.177243000000004</v>
      </c>
      <c r="AP762">
        <v>90.677965999999998</v>
      </c>
      <c r="AQ762">
        <v>90.525739999999999</v>
      </c>
      <c r="AR762">
        <v>90.071310999999994</v>
      </c>
      <c r="AS762" t="b">
        <v>0</v>
      </c>
      <c r="AT762" t="b">
        <v>0</v>
      </c>
      <c r="AU762" t="s">
        <v>77</v>
      </c>
      <c r="AV762" t="s">
        <v>108</v>
      </c>
      <c r="AW762" t="s">
        <v>783</v>
      </c>
      <c r="AX762" t="s">
        <v>812</v>
      </c>
      <c r="AY762" t="s">
        <v>1185</v>
      </c>
      <c r="AZ762" t="s">
        <v>109</v>
      </c>
      <c r="BA762">
        <v>7</v>
      </c>
      <c r="BB762">
        <v>0.7</v>
      </c>
      <c r="BC762">
        <v>4.2676209999999999E-2</v>
      </c>
      <c r="BD762">
        <v>1.50718657428557E-3</v>
      </c>
      <c r="BE762">
        <v>4.4183396574285598E-2</v>
      </c>
      <c r="BF762">
        <f>IF(AK762&lt;BE762,1,0)</f>
        <v>0</v>
      </c>
      <c r="BG762">
        <f>IF(AK762&lt;BC762,1,0)</f>
        <v>0</v>
      </c>
      <c r="BH762">
        <f>VLOOKUP($B762,[1]Data_Peer_with_peerVars!$B$2:$Z$1050,20,FALSE)</f>
        <v>4</v>
      </c>
      <c r="BI762">
        <f>VLOOKUP($B762,[1]Data_Peer_with_peerVars!$B$2:$Z$1050,21,FALSE)</f>
        <v>2</v>
      </c>
      <c r="BJ762">
        <f>VLOOKUP($B762,[1]Data_Peer_with_peerVars!$B$2:$Z$1050,22,FALSE)</f>
        <v>0.5</v>
      </c>
      <c r="BK762">
        <f>VLOOKUP($B762,[1]Data_Peer_with_peerVars!$B$2:$Z$1050,23,FALSE)</f>
        <v>44</v>
      </c>
      <c r="BL762">
        <f>VLOOKUP($B762,[1]Data_Peer_with_peerVars!$B$2:$Z$1050,24,FALSE)</f>
        <v>22</v>
      </c>
      <c r="BM762">
        <f>VLOOKUP($B762,[1]Data_Peer_with_peerVars!$B$2:$Z$1050,25,FALSE)</f>
        <v>0.5</v>
      </c>
    </row>
    <row r="763" spans="1:65" x14ac:dyDescent="0.2">
      <c r="A763">
        <v>1</v>
      </c>
      <c r="B763" t="s">
        <v>1190</v>
      </c>
      <c r="C763">
        <v>439</v>
      </c>
      <c r="D763" t="s">
        <v>68</v>
      </c>
      <c r="E763">
        <v>1</v>
      </c>
      <c r="F763">
        <v>36</v>
      </c>
      <c r="G763" t="s">
        <v>69</v>
      </c>
      <c r="H763" s="1">
        <v>7</v>
      </c>
      <c r="I763" t="s">
        <v>87</v>
      </c>
      <c r="J763" t="s">
        <v>150</v>
      </c>
      <c r="K763" t="s">
        <v>109</v>
      </c>
      <c r="L763">
        <v>2</v>
      </c>
      <c r="M763">
        <v>0</v>
      </c>
      <c r="N763">
        <v>1</v>
      </c>
      <c r="O763">
        <v>0</v>
      </c>
      <c r="P763">
        <v>0</v>
      </c>
      <c r="Q763">
        <v>6</v>
      </c>
      <c r="R763">
        <v>0</v>
      </c>
      <c r="S763">
        <v>0</v>
      </c>
      <c r="T763">
        <v>0</v>
      </c>
      <c r="U763">
        <v>0</v>
      </c>
      <c r="V763">
        <f t="shared" si="317"/>
        <v>0</v>
      </c>
      <c r="W763">
        <f t="shared" si="318"/>
        <v>0</v>
      </c>
      <c r="X763">
        <f t="shared" si="321"/>
        <v>0</v>
      </c>
      <c r="Y763">
        <f t="shared" si="319"/>
        <v>0</v>
      </c>
      <c r="Z763" t="s">
        <v>73</v>
      </c>
      <c r="AA763" s="5" t="s">
        <v>73</v>
      </c>
      <c r="AB763" s="5" t="s">
        <v>73</v>
      </c>
      <c r="AC763" t="s">
        <v>74</v>
      </c>
      <c r="AD763" t="s">
        <v>75</v>
      </c>
      <c r="AE763" s="5" t="s">
        <v>584</v>
      </c>
      <c r="AF763" t="s">
        <v>76</v>
      </c>
      <c r="AG763" t="s">
        <v>120</v>
      </c>
      <c r="AH763">
        <f t="shared" si="340"/>
        <v>2.1643836E-2</v>
      </c>
      <c r="AI763">
        <f t="shared" si="341"/>
        <v>2.1643836E-2</v>
      </c>
      <c r="AJ763">
        <f t="shared" si="320"/>
        <v>2.1643836E-2</v>
      </c>
      <c r="AK763">
        <v>2.1643836E-2</v>
      </c>
      <c r="AL763">
        <v>8.9764640000000007E-2</v>
      </c>
      <c r="AM763">
        <v>9.0759980000000004E-2</v>
      </c>
      <c r="AN763">
        <v>9.4262293999999996E-2</v>
      </c>
      <c r="AO763">
        <v>97.835616400000006</v>
      </c>
      <c r="AP763">
        <v>91.023536000000007</v>
      </c>
      <c r="AQ763">
        <v>90.924002000000002</v>
      </c>
      <c r="AR763">
        <v>90.573770600000003</v>
      </c>
      <c r="AS763" t="b">
        <v>0</v>
      </c>
      <c r="AT763" t="b">
        <v>0</v>
      </c>
      <c r="AU763" t="s">
        <v>77</v>
      </c>
      <c r="AV763" t="s">
        <v>108</v>
      </c>
      <c r="AW763" t="s">
        <v>783</v>
      </c>
      <c r="AX763" t="s">
        <v>812</v>
      </c>
      <c r="AY763" t="s">
        <v>1185</v>
      </c>
      <c r="AZ763" t="s">
        <v>109</v>
      </c>
      <c r="BA763">
        <v>4</v>
      </c>
      <c r="BB763">
        <v>0.35</v>
      </c>
      <c r="BC763">
        <v>2.4738868000000001E-3</v>
      </c>
      <c r="BD763">
        <v>1.4256942275279999E-4</v>
      </c>
      <c r="BE763">
        <v>2.6164562227527998E-3</v>
      </c>
      <c r="BF763">
        <f>IF(AK763&lt;BE763,1,0)</f>
        <v>0</v>
      </c>
      <c r="BG763">
        <f>IF(AK763&lt;BC763,1,0)</f>
        <v>0</v>
      </c>
      <c r="BH763">
        <f>VLOOKUP($B763,[1]Data_Peer_with_peerVars!$B$2:$Z$1050,20,FALSE)</f>
        <v>16</v>
      </c>
      <c r="BI763">
        <f>VLOOKUP($B763,[1]Data_Peer_with_peerVars!$B$2:$Z$1050,21,FALSE)</f>
        <v>11</v>
      </c>
      <c r="BJ763">
        <f>VLOOKUP($B763,[1]Data_Peer_with_peerVars!$B$2:$Z$1050,22,FALSE)</f>
        <v>0.6875</v>
      </c>
      <c r="BK763">
        <f>VLOOKUP($B763,[1]Data_Peer_with_peerVars!$B$2:$Z$1050,23,FALSE)</f>
        <v>41</v>
      </c>
      <c r="BL763">
        <f>VLOOKUP($B763,[1]Data_Peer_with_peerVars!$B$2:$Z$1050,24,FALSE)</f>
        <v>23</v>
      </c>
      <c r="BM763">
        <f>VLOOKUP($B763,[1]Data_Peer_with_peerVars!$B$2:$Z$1050,25,FALSE)</f>
        <v>0.56097560999999996</v>
      </c>
    </row>
    <row r="764" spans="1:65" x14ac:dyDescent="0.2">
      <c r="A764">
        <v>1</v>
      </c>
      <c r="B764" t="s">
        <v>1191</v>
      </c>
      <c r="C764">
        <v>439</v>
      </c>
      <c r="D764" t="s">
        <v>68</v>
      </c>
      <c r="E764">
        <v>1</v>
      </c>
      <c r="F764">
        <v>36</v>
      </c>
      <c r="G764" t="s">
        <v>69</v>
      </c>
      <c r="H764" s="1">
        <v>7</v>
      </c>
      <c r="I764" t="s">
        <v>87</v>
      </c>
      <c r="J764" t="s">
        <v>150</v>
      </c>
      <c r="K764" t="s">
        <v>109</v>
      </c>
      <c r="L764">
        <v>2</v>
      </c>
      <c r="M764">
        <v>0</v>
      </c>
      <c r="N764">
        <v>1</v>
      </c>
      <c r="O764">
        <v>0</v>
      </c>
      <c r="P764">
        <v>0</v>
      </c>
      <c r="Q764">
        <v>6</v>
      </c>
      <c r="R764">
        <v>0</v>
      </c>
      <c r="S764">
        <v>0</v>
      </c>
      <c r="T764">
        <v>1</v>
      </c>
      <c r="U764">
        <v>1</v>
      </c>
      <c r="V764">
        <f t="shared" si="317"/>
        <v>0</v>
      </c>
      <c r="W764">
        <f t="shared" si="318"/>
        <v>0</v>
      </c>
      <c r="X764">
        <f t="shared" si="321"/>
        <v>0</v>
      </c>
      <c r="Y764">
        <f t="shared" si="319"/>
        <v>0</v>
      </c>
      <c r="Z764" t="s">
        <v>76</v>
      </c>
      <c r="AA764" s="5" t="s">
        <v>76</v>
      </c>
      <c r="AB764" s="5" t="s">
        <v>76</v>
      </c>
      <c r="AC764" t="s">
        <v>73</v>
      </c>
      <c r="AD764" t="s">
        <v>94</v>
      </c>
      <c r="AE764" s="5" t="s">
        <v>106</v>
      </c>
      <c r="AF764" t="s">
        <v>107</v>
      </c>
      <c r="AG764" t="s">
        <v>95</v>
      </c>
      <c r="AH764">
        <f t="shared" si="340"/>
        <v>4.0961225000000004E-3</v>
      </c>
      <c r="AI764">
        <f t="shared" si="341"/>
        <v>4.0961225000000004E-3</v>
      </c>
      <c r="AJ764">
        <f t="shared" si="320"/>
        <v>4.0961225000000004E-3</v>
      </c>
      <c r="AK764">
        <v>4.0961225000000004E-3</v>
      </c>
      <c r="AL764">
        <v>0.13218390999999999</v>
      </c>
      <c r="AM764">
        <v>0.13658803999999999</v>
      </c>
      <c r="AN764">
        <v>0.13902571999999999</v>
      </c>
      <c r="AO764">
        <v>99.590387750000005</v>
      </c>
      <c r="AP764">
        <v>86.781609000000003</v>
      </c>
      <c r="AQ764">
        <v>86.341195999999997</v>
      </c>
      <c r="AR764">
        <v>86.097427999999994</v>
      </c>
      <c r="AS764" t="b">
        <v>0</v>
      </c>
      <c r="AT764" t="b">
        <v>0</v>
      </c>
      <c r="AU764" t="s">
        <v>77</v>
      </c>
      <c r="AV764" t="s">
        <v>108</v>
      </c>
      <c r="AW764" t="s">
        <v>783</v>
      </c>
      <c r="AX764" t="s">
        <v>812</v>
      </c>
      <c r="AY764" t="s">
        <v>1185</v>
      </c>
      <c r="AZ764" t="s">
        <v>109</v>
      </c>
      <c r="BA764">
        <v>3</v>
      </c>
      <c r="BB764">
        <v>1</v>
      </c>
      <c r="BC764">
        <v>4.1163553999999996E-3</v>
      </c>
      <c r="BD764">
        <v>1.4279989108178799E-4</v>
      </c>
      <c r="BE764">
        <v>4.2591552910817903E-3</v>
      </c>
      <c r="BF764">
        <f>IF(AK764&lt;BE764,1,0)</f>
        <v>1</v>
      </c>
      <c r="BG764">
        <f>IF(AK764&lt;BC764,1,0)</f>
        <v>1</v>
      </c>
      <c r="BH764">
        <f>VLOOKUP($B764,[1]Data_Peer_with_peerVars!$B$2:$Z$1050,20,FALSE)</f>
        <v>16</v>
      </c>
      <c r="BI764">
        <f>VLOOKUP($B764,[1]Data_Peer_with_peerVars!$B$2:$Z$1050,21,FALSE)</f>
        <v>11</v>
      </c>
      <c r="BJ764">
        <f>VLOOKUP($B764,[1]Data_Peer_with_peerVars!$B$2:$Z$1050,22,FALSE)</f>
        <v>0.6875</v>
      </c>
      <c r="BK764">
        <f>VLOOKUP($B764,[1]Data_Peer_with_peerVars!$B$2:$Z$1050,23,FALSE)</f>
        <v>41</v>
      </c>
      <c r="BL764">
        <f>VLOOKUP($B764,[1]Data_Peer_with_peerVars!$B$2:$Z$1050,24,FALSE)</f>
        <v>23</v>
      </c>
      <c r="BM764">
        <f>VLOOKUP($B764,[1]Data_Peer_with_peerVars!$B$2:$Z$1050,25,FALSE)</f>
        <v>0.56097560999999996</v>
      </c>
    </row>
    <row r="765" spans="1:65" x14ac:dyDescent="0.2">
      <c r="A765">
        <v>1</v>
      </c>
      <c r="B765" t="s">
        <v>1192</v>
      </c>
      <c r="C765">
        <v>440</v>
      </c>
      <c r="D765" t="s">
        <v>68</v>
      </c>
      <c r="E765">
        <v>1</v>
      </c>
      <c r="F765">
        <v>37</v>
      </c>
      <c r="G765" t="s">
        <v>69</v>
      </c>
      <c r="H765" s="1">
        <v>7</v>
      </c>
      <c r="I765" t="s">
        <v>87</v>
      </c>
      <c r="J765" t="s">
        <v>124</v>
      </c>
      <c r="K765" t="s">
        <v>72</v>
      </c>
      <c r="L765">
        <v>1</v>
      </c>
      <c r="M765">
        <v>1</v>
      </c>
      <c r="N765">
        <v>1</v>
      </c>
      <c r="O765">
        <v>0</v>
      </c>
      <c r="P765">
        <v>1</v>
      </c>
      <c r="Q765">
        <v>3</v>
      </c>
      <c r="R765">
        <v>0</v>
      </c>
      <c r="S765">
        <v>0</v>
      </c>
      <c r="T765">
        <v>0</v>
      </c>
      <c r="U765">
        <v>0</v>
      </c>
      <c r="V765">
        <f t="shared" si="317"/>
        <v>0</v>
      </c>
      <c r="W765">
        <f t="shared" si="318"/>
        <v>0</v>
      </c>
      <c r="X765">
        <f t="shared" si="321"/>
        <v>0</v>
      </c>
      <c r="Y765">
        <f t="shared" si="319"/>
        <v>0</v>
      </c>
      <c r="Z765" t="s">
        <v>98</v>
      </c>
      <c r="AA765" s="5" t="s">
        <v>273</v>
      </c>
      <c r="AB765" s="5" t="s">
        <v>1193</v>
      </c>
      <c r="AC765" t="s">
        <v>101</v>
      </c>
      <c r="AD765" t="s">
        <v>99</v>
      </c>
      <c r="AE765" s="5" t="s">
        <v>99</v>
      </c>
      <c r="AF765" t="s">
        <v>103</v>
      </c>
      <c r="AG765" t="s">
        <v>102</v>
      </c>
      <c r="AH765">
        <f t="shared" si="340"/>
        <v>6.3266439999999993E-2</v>
      </c>
      <c r="AI765">
        <f t="shared" si="341"/>
        <v>6.3266439999999993E-2</v>
      </c>
      <c r="AJ765">
        <f t="shared" si="320"/>
        <v>6.3266439999999993E-2</v>
      </c>
      <c r="AK765">
        <v>6.3266439999999993E-2</v>
      </c>
      <c r="AL765">
        <v>8.1096194999999996E-2</v>
      </c>
      <c r="AM765">
        <v>0.10122699</v>
      </c>
      <c r="AN765">
        <v>0.12583332999999999</v>
      </c>
      <c r="AO765">
        <v>93.673355999999998</v>
      </c>
      <c r="AP765">
        <v>91.890380500000006</v>
      </c>
      <c r="AQ765">
        <v>89.877301000000003</v>
      </c>
      <c r="AR765">
        <v>87.416667000000004</v>
      </c>
      <c r="AS765" t="b">
        <v>0</v>
      </c>
      <c r="AT765" t="b">
        <v>0</v>
      </c>
      <c r="AU765" t="s">
        <v>92</v>
      </c>
      <c r="AV765" t="s">
        <v>92</v>
      </c>
      <c r="AW765" t="s">
        <v>783</v>
      </c>
      <c r="AX765" t="s">
        <v>812</v>
      </c>
      <c r="AY765" t="s">
        <v>1185</v>
      </c>
      <c r="AZ765" t="s">
        <v>72</v>
      </c>
      <c r="BA765" t="s">
        <v>82</v>
      </c>
      <c r="BB765">
        <v>0.7</v>
      </c>
      <c r="BC765">
        <v>1.4096186E-2</v>
      </c>
      <c r="BD765">
        <v>1.55088650053763E-3</v>
      </c>
      <c r="BE765">
        <v>1.5647072500537599E-2</v>
      </c>
      <c r="BF765">
        <f>IF(AK765&lt;BE765,1,0)</f>
        <v>0</v>
      </c>
      <c r="BG765">
        <f>IF(AK765&lt;BC765,1,0)</f>
        <v>0</v>
      </c>
      <c r="BH765">
        <f>VLOOKUP($B765,[1]Data_Peer_with_peerVars!$B$2:$Z$1050,20,FALSE)</f>
        <v>16</v>
      </c>
      <c r="BI765">
        <f>VLOOKUP($B765,[1]Data_Peer_with_peerVars!$B$2:$Z$1050,21,FALSE)</f>
        <v>11</v>
      </c>
      <c r="BJ765">
        <f>VLOOKUP($B765,[1]Data_Peer_with_peerVars!$B$2:$Z$1050,22,FALSE)</f>
        <v>0.6875</v>
      </c>
      <c r="BK765">
        <f>VLOOKUP($B765,[1]Data_Peer_with_peerVars!$B$2:$Z$1050,23,FALSE)</f>
        <v>41</v>
      </c>
      <c r="BL765">
        <f>VLOOKUP($B765,[1]Data_Peer_with_peerVars!$B$2:$Z$1050,24,FALSE)</f>
        <v>23</v>
      </c>
      <c r="BM765">
        <f>VLOOKUP($B765,[1]Data_Peer_with_peerVars!$B$2:$Z$1050,25,FALSE)</f>
        <v>0.56097560999999996</v>
      </c>
    </row>
    <row r="766" spans="1:65" x14ac:dyDescent="0.2">
      <c r="A766">
        <v>1</v>
      </c>
      <c r="B766" t="s">
        <v>1194</v>
      </c>
      <c r="C766">
        <v>440</v>
      </c>
      <c r="D766" t="s">
        <v>68</v>
      </c>
      <c r="E766">
        <v>1</v>
      </c>
      <c r="F766">
        <v>37</v>
      </c>
      <c r="G766" t="s">
        <v>69</v>
      </c>
      <c r="H766" s="1">
        <v>7</v>
      </c>
      <c r="I766" t="s">
        <v>87</v>
      </c>
      <c r="J766" t="s">
        <v>124</v>
      </c>
      <c r="K766" t="s">
        <v>72</v>
      </c>
      <c r="L766">
        <v>1</v>
      </c>
      <c r="M766">
        <v>1</v>
      </c>
      <c r="N766">
        <v>1</v>
      </c>
      <c r="O766">
        <v>0</v>
      </c>
      <c r="P766">
        <v>1</v>
      </c>
      <c r="Q766">
        <v>3</v>
      </c>
      <c r="R766">
        <v>0</v>
      </c>
      <c r="S766">
        <v>0</v>
      </c>
      <c r="T766">
        <v>0</v>
      </c>
      <c r="U766">
        <v>0</v>
      </c>
      <c r="V766">
        <f t="shared" si="317"/>
        <v>0</v>
      </c>
      <c r="W766">
        <f t="shared" si="318"/>
        <v>0</v>
      </c>
      <c r="X766">
        <f t="shared" si="321"/>
        <v>0</v>
      </c>
      <c r="Y766">
        <f t="shared" si="319"/>
        <v>0</v>
      </c>
      <c r="Z766" t="s">
        <v>73</v>
      </c>
      <c r="AA766" s="5" t="s">
        <v>73</v>
      </c>
      <c r="AB766" s="5" t="s">
        <v>73</v>
      </c>
      <c r="AC766" t="s">
        <v>74</v>
      </c>
      <c r="AD766" t="s">
        <v>76</v>
      </c>
      <c r="AE766" s="5" t="s">
        <v>76</v>
      </c>
      <c r="AF766" t="s">
        <v>120</v>
      </c>
      <c r="AG766" t="s">
        <v>75</v>
      </c>
      <c r="AH766">
        <f t="shared" si="340"/>
        <v>8.2690189999999997E-2</v>
      </c>
      <c r="AI766">
        <f t="shared" si="341"/>
        <v>8.2690189999999997E-2</v>
      </c>
      <c r="AJ766">
        <f t="shared" si="320"/>
        <v>8.2690189999999997E-2</v>
      </c>
      <c r="AK766">
        <v>8.2690189999999997E-2</v>
      </c>
      <c r="AL766">
        <v>9.6862963999999996E-2</v>
      </c>
      <c r="AM766">
        <v>0.110011004</v>
      </c>
      <c r="AN766">
        <v>0.11983471</v>
      </c>
      <c r="AO766">
        <v>91.730981</v>
      </c>
      <c r="AP766">
        <v>90.313703599999997</v>
      </c>
      <c r="AQ766">
        <v>88.998899600000001</v>
      </c>
      <c r="AR766">
        <v>88.016529000000006</v>
      </c>
      <c r="AS766" t="b">
        <v>0</v>
      </c>
      <c r="AT766" t="b">
        <v>0</v>
      </c>
      <c r="AU766" t="s">
        <v>77</v>
      </c>
      <c r="AV766" t="s">
        <v>77</v>
      </c>
      <c r="AW766" t="s">
        <v>783</v>
      </c>
      <c r="AX766" t="s">
        <v>812</v>
      </c>
      <c r="AY766" t="s">
        <v>1185</v>
      </c>
      <c r="AZ766" t="s">
        <v>109</v>
      </c>
      <c r="BA766">
        <v>4</v>
      </c>
      <c r="BB766">
        <v>0.35</v>
      </c>
      <c r="BC766">
        <v>2.4738868000000001E-3</v>
      </c>
      <c r="BD766">
        <v>1.4256942275279999E-4</v>
      </c>
      <c r="BE766">
        <v>2.6164562227527998E-3</v>
      </c>
      <c r="BF766">
        <f>IF(AK766&lt;BE766,1,0)</f>
        <v>0</v>
      </c>
      <c r="BG766">
        <f>IF(AK766&lt;BC766,1,0)</f>
        <v>0</v>
      </c>
      <c r="BH766">
        <f>VLOOKUP($B766,[1]Data_Peer_with_peerVars!$B$2:$Z$1050,20,FALSE)</f>
        <v>16</v>
      </c>
      <c r="BI766">
        <f>VLOOKUP($B766,[1]Data_Peer_with_peerVars!$B$2:$Z$1050,21,FALSE)</f>
        <v>11</v>
      </c>
      <c r="BJ766">
        <f>VLOOKUP($B766,[1]Data_Peer_with_peerVars!$B$2:$Z$1050,22,FALSE)</f>
        <v>0.6875</v>
      </c>
      <c r="BK766">
        <f>VLOOKUP($B766,[1]Data_Peer_with_peerVars!$B$2:$Z$1050,23,FALSE)</f>
        <v>41</v>
      </c>
      <c r="BL766">
        <f>VLOOKUP($B766,[1]Data_Peer_with_peerVars!$B$2:$Z$1050,24,FALSE)</f>
        <v>23</v>
      </c>
      <c r="BM766">
        <f>VLOOKUP($B766,[1]Data_Peer_with_peerVars!$B$2:$Z$1050,25,FALSE)</f>
        <v>0.56097560999999996</v>
      </c>
    </row>
    <row r="767" spans="1:65" x14ac:dyDescent="0.2">
      <c r="A767">
        <v>1</v>
      </c>
      <c r="B767" t="s">
        <v>1195</v>
      </c>
      <c r="C767">
        <v>441</v>
      </c>
      <c r="D767" t="s">
        <v>68</v>
      </c>
      <c r="E767">
        <v>1</v>
      </c>
      <c r="F767">
        <v>39</v>
      </c>
      <c r="G767" t="s">
        <v>86</v>
      </c>
      <c r="H767" s="1">
        <v>7</v>
      </c>
      <c r="I767" t="s">
        <v>87</v>
      </c>
      <c r="J767" t="s">
        <v>111</v>
      </c>
      <c r="K767" t="s">
        <v>109</v>
      </c>
      <c r="L767">
        <v>1</v>
      </c>
      <c r="M767">
        <v>1</v>
      </c>
      <c r="N767">
        <v>1</v>
      </c>
      <c r="O767">
        <v>0</v>
      </c>
      <c r="P767">
        <v>0</v>
      </c>
      <c r="Q767">
        <v>3</v>
      </c>
      <c r="R767">
        <v>0</v>
      </c>
      <c r="S767">
        <v>0</v>
      </c>
      <c r="T767">
        <v>0</v>
      </c>
      <c r="U767">
        <v>0</v>
      </c>
      <c r="V767">
        <f t="shared" si="317"/>
        <v>1</v>
      </c>
      <c r="W767">
        <v>1</v>
      </c>
      <c r="X767">
        <v>1</v>
      </c>
      <c r="Y767">
        <v>1</v>
      </c>
      <c r="Z767" t="s">
        <v>91</v>
      </c>
      <c r="AA767" s="5" t="s">
        <v>91</v>
      </c>
      <c r="AB767" s="5" t="s">
        <v>91</v>
      </c>
      <c r="AC767" t="s">
        <v>91</v>
      </c>
      <c r="AD767" t="s">
        <v>287</v>
      </c>
      <c r="AE767" s="5" t="s">
        <v>287</v>
      </c>
      <c r="AF767" t="s">
        <v>137</v>
      </c>
      <c r="AG767" t="s">
        <v>84</v>
      </c>
      <c r="AH767">
        <f>AI767</f>
        <v>7.3810825000000004E-3</v>
      </c>
      <c r="AI767">
        <f>AJ767</f>
        <v>7.3810825000000004E-3</v>
      </c>
      <c r="AJ767">
        <f t="shared" si="320"/>
        <v>7.3810825000000004E-3</v>
      </c>
      <c r="AK767">
        <v>7.3810825000000004E-3</v>
      </c>
      <c r="AL767">
        <v>0.116183706</v>
      </c>
      <c r="AM767">
        <v>0.12759562999999999</v>
      </c>
      <c r="AN767">
        <v>0.13221550000000001</v>
      </c>
      <c r="AO767">
        <v>99.261891750000004</v>
      </c>
      <c r="AP767">
        <v>88.381629399999994</v>
      </c>
      <c r="AQ767">
        <v>87.240437</v>
      </c>
      <c r="AR767">
        <v>86.778450000000007</v>
      </c>
      <c r="AS767" t="b">
        <v>1</v>
      </c>
      <c r="AT767" t="b">
        <v>0</v>
      </c>
      <c r="AU767" t="s">
        <v>77</v>
      </c>
      <c r="AV767" t="s">
        <v>78</v>
      </c>
      <c r="AW767" t="s">
        <v>783</v>
      </c>
      <c r="AX767" t="s">
        <v>812</v>
      </c>
      <c r="AY767" t="s">
        <v>1185</v>
      </c>
      <c r="AZ767" t="s">
        <v>109</v>
      </c>
      <c r="BA767">
        <v>12</v>
      </c>
      <c r="BB767">
        <v>5</v>
      </c>
      <c r="BC767">
        <v>9.0659339999999995E-3</v>
      </c>
      <c r="BD767">
        <v>2.76583658862385E-3</v>
      </c>
      <c r="BE767">
        <v>1.1831770588623799E-2</v>
      </c>
      <c r="BF767">
        <f>IF(AK767&lt;BE767,1,0)</f>
        <v>1</v>
      </c>
      <c r="BG767">
        <f>IF(AK767&lt;BC767,1,0)</f>
        <v>1</v>
      </c>
      <c r="BH767">
        <f>VLOOKUP($B767,[1]Data_Peer_with_peerVars!$B$2:$Z$1050,20,FALSE)</f>
        <v>12</v>
      </c>
      <c r="BI767">
        <f>VLOOKUP($B767,[1]Data_Peer_with_peerVars!$B$2:$Z$1050,21,FALSE)</f>
        <v>5</v>
      </c>
      <c r="BJ767">
        <f>VLOOKUP($B767,[1]Data_Peer_with_peerVars!$B$2:$Z$1050,22,FALSE)</f>
        <v>0.41666666699999999</v>
      </c>
      <c r="BK767">
        <f>VLOOKUP($B767,[1]Data_Peer_with_peerVars!$B$2:$Z$1050,23,FALSE)</f>
        <v>42</v>
      </c>
      <c r="BL767">
        <f>VLOOKUP($B767,[1]Data_Peer_with_peerVars!$B$2:$Z$1050,24,FALSE)</f>
        <v>22</v>
      </c>
      <c r="BM767">
        <f>VLOOKUP($B767,[1]Data_Peer_with_peerVars!$B$2:$Z$1050,25,FALSE)</f>
        <v>0.52380952400000003</v>
      </c>
    </row>
    <row r="768" spans="1:65" x14ac:dyDescent="0.2">
      <c r="A768">
        <v>1</v>
      </c>
      <c r="B768" t="s">
        <v>1196</v>
      </c>
      <c r="C768">
        <v>442</v>
      </c>
      <c r="D768" t="s">
        <v>68</v>
      </c>
      <c r="E768">
        <v>1</v>
      </c>
      <c r="F768">
        <v>40</v>
      </c>
      <c r="G768" t="s">
        <v>86</v>
      </c>
      <c r="H768" s="1">
        <v>6</v>
      </c>
      <c r="I768" t="s">
        <v>87</v>
      </c>
      <c r="J768" t="s">
        <v>150</v>
      </c>
      <c r="K768" t="s">
        <v>109</v>
      </c>
      <c r="L768">
        <v>2</v>
      </c>
      <c r="M768">
        <v>0</v>
      </c>
      <c r="N768">
        <v>1</v>
      </c>
      <c r="O768">
        <v>0</v>
      </c>
      <c r="P768">
        <v>0</v>
      </c>
      <c r="Q768">
        <v>3</v>
      </c>
      <c r="R768">
        <v>0</v>
      </c>
      <c r="S768">
        <v>0</v>
      </c>
      <c r="T768">
        <v>1</v>
      </c>
      <c r="U768">
        <v>1</v>
      </c>
      <c r="V768">
        <f t="shared" si="317"/>
        <v>0</v>
      </c>
      <c r="W768">
        <f t="shared" si="318"/>
        <v>0</v>
      </c>
      <c r="X768">
        <f t="shared" si="321"/>
        <v>0</v>
      </c>
      <c r="Y768">
        <f t="shared" si="319"/>
        <v>0</v>
      </c>
      <c r="Z768" t="s">
        <v>76</v>
      </c>
      <c r="AA768" s="5" t="s">
        <v>76</v>
      </c>
      <c r="AB768" s="5" t="s">
        <v>1156</v>
      </c>
      <c r="AC768" t="s">
        <v>73</v>
      </c>
      <c r="AD768" t="s">
        <v>94</v>
      </c>
      <c r="AE768" s="5" t="s">
        <v>106</v>
      </c>
      <c r="AF768" t="s">
        <v>107</v>
      </c>
      <c r="AG768" t="s">
        <v>95</v>
      </c>
      <c r="AH768">
        <f t="shared" ref="AH768:AH770" si="342">AI768</f>
        <v>3.8209606000000002E-3</v>
      </c>
      <c r="AI768">
        <f t="shared" ref="AI768:AI770" si="343">AJ768</f>
        <v>3.8209606000000002E-3</v>
      </c>
      <c r="AJ768">
        <f t="shared" si="320"/>
        <v>3.8209606000000002E-3</v>
      </c>
      <c r="AK768">
        <v>3.8209606000000002E-3</v>
      </c>
      <c r="AL768">
        <v>0.1321116</v>
      </c>
      <c r="AM768">
        <v>0.13631377</v>
      </c>
      <c r="AN768">
        <v>0.13902571999999999</v>
      </c>
      <c r="AO768">
        <v>99.617903940000005</v>
      </c>
      <c r="AP768">
        <v>86.788839999999993</v>
      </c>
      <c r="AQ768">
        <v>86.368622999999999</v>
      </c>
      <c r="AR768">
        <v>86.097427999999994</v>
      </c>
      <c r="AS768" t="b">
        <v>0</v>
      </c>
      <c r="AT768" t="b">
        <v>0</v>
      </c>
      <c r="AU768" t="s">
        <v>77</v>
      </c>
      <c r="AV768" t="s">
        <v>108</v>
      </c>
      <c r="AW768" t="s">
        <v>783</v>
      </c>
      <c r="AX768" t="s">
        <v>812</v>
      </c>
      <c r="AY768" t="s">
        <v>1185</v>
      </c>
      <c r="AZ768" t="s">
        <v>109</v>
      </c>
      <c r="BA768">
        <v>3</v>
      </c>
      <c r="BB768">
        <v>1</v>
      </c>
      <c r="BC768">
        <v>4.1163553999999996E-3</v>
      </c>
      <c r="BD768">
        <v>1.4279989108178799E-4</v>
      </c>
      <c r="BE768">
        <v>4.2591552910817903E-3</v>
      </c>
      <c r="BF768">
        <f>IF(AK768&lt;BE768,1,0)</f>
        <v>1</v>
      </c>
      <c r="BG768">
        <f>IF(AK768&lt;BC768,1,0)</f>
        <v>1</v>
      </c>
      <c r="BH768">
        <f>VLOOKUP($B768,[1]Data_Peer_with_peerVars!$B$2:$Z$1050,20,FALSE)</f>
        <v>17</v>
      </c>
      <c r="BI768">
        <f>VLOOKUP($B768,[1]Data_Peer_with_peerVars!$B$2:$Z$1050,21,FALSE)</f>
        <v>11</v>
      </c>
      <c r="BJ768">
        <f>VLOOKUP($B768,[1]Data_Peer_with_peerVars!$B$2:$Z$1050,22,FALSE)</f>
        <v>0.64705882400000003</v>
      </c>
      <c r="BK768">
        <f>VLOOKUP($B768,[1]Data_Peer_with_peerVars!$B$2:$Z$1050,23,FALSE)</f>
        <v>47</v>
      </c>
      <c r="BL768">
        <f>VLOOKUP($B768,[1]Data_Peer_with_peerVars!$B$2:$Z$1050,24,FALSE)</f>
        <v>25</v>
      </c>
      <c r="BM768">
        <f>VLOOKUP($B768,[1]Data_Peer_with_peerVars!$B$2:$Z$1050,25,FALSE)</f>
        <v>0.53191489400000003</v>
      </c>
    </row>
    <row r="769" spans="1:65" x14ac:dyDescent="0.2">
      <c r="A769">
        <v>1</v>
      </c>
      <c r="B769" t="s">
        <v>1197</v>
      </c>
      <c r="C769">
        <v>442</v>
      </c>
      <c r="D769" t="s">
        <v>68</v>
      </c>
      <c r="E769">
        <v>1</v>
      </c>
      <c r="F769">
        <v>40</v>
      </c>
      <c r="G769" t="s">
        <v>86</v>
      </c>
      <c r="H769" s="1">
        <v>6</v>
      </c>
      <c r="I769" t="s">
        <v>87</v>
      </c>
      <c r="J769" t="s">
        <v>150</v>
      </c>
      <c r="K769" t="s">
        <v>109</v>
      </c>
      <c r="L769">
        <v>2</v>
      </c>
      <c r="M769">
        <v>0</v>
      </c>
      <c r="N769">
        <v>1</v>
      </c>
      <c r="O769">
        <v>0</v>
      </c>
      <c r="P769">
        <v>0</v>
      </c>
      <c r="Q769">
        <v>3</v>
      </c>
      <c r="R769">
        <v>0</v>
      </c>
      <c r="S769">
        <v>0</v>
      </c>
      <c r="T769">
        <v>0</v>
      </c>
      <c r="U769">
        <v>0</v>
      </c>
      <c r="V769">
        <f t="shared" si="317"/>
        <v>0</v>
      </c>
      <c r="W769">
        <f t="shared" si="318"/>
        <v>0</v>
      </c>
      <c r="X769">
        <f t="shared" si="321"/>
        <v>0</v>
      </c>
      <c r="Y769">
        <f t="shared" si="319"/>
        <v>0</v>
      </c>
      <c r="Z769" t="s">
        <v>89</v>
      </c>
      <c r="AA769" s="5" t="s">
        <v>82</v>
      </c>
      <c r="AB769" s="5" t="s">
        <v>82</v>
      </c>
      <c r="AC769" t="s">
        <v>76</v>
      </c>
      <c r="AD769" t="s">
        <v>74</v>
      </c>
      <c r="AE769" s="5" t="s">
        <v>74</v>
      </c>
      <c r="AF769" t="s">
        <v>120</v>
      </c>
      <c r="AG769" t="s">
        <v>75</v>
      </c>
      <c r="AH769">
        <f t="shared" si="342"/>
        <v>7.8099399999999999E-2</v>
      </c>
      <c r="AI769">
        <f t="shared" si="343"/>
        <v>7.8099399999999999E-2</v>
      </c>
      <c r="AJ769">
        <f t="shared" si="320"/>
        <v>7.8099399999999999E-2</v>
      </c>
      <c r="AK769">
        <v>7.8099399999999999E-2</v>
      </c>
      <c r="AL769">
        <v>8.8493150000000007E-2</v>
      </c>
      <c r="AM769">
        <v>0.11714910000000001</v>
      </c>
      <c r="AN769">
        <v>0.11952954</v>
      </c>
      <c r="AO769">
        <v>92.190060000000003</v>
      </c>
      <c r="AP769">
        <v>91.150684999999996</v>
      </c>
      <c r="AQ769">
        <v>88.285089999999997</v>
      </c>
      <c r="AR769">
        <v>88.047045999999995</v>
      </c>
      <c r="AS769" t="s">
        <v>82</v>
      </c>
      <c r="AT769" t="s">
        <v>82</v>
      </c>
      <c r="AU769" t="s">
        <v>77</v>
      </c>
      <c r="AV769" t="s">
        <v>77</v>
      </c>
      <c r="AW769" t="s">
        <v>783</v>
      </c>
      <c r="AX769" t="s">
        <v>812</v>
      </c>
      <c r="AY769" t="s">
        <v>1185</v>
      </c>
      <c r="AZ769" t="s">
        <v>82</v>
      </c>
      <c r="BA769" t="s">
        <v>82</v>
      </c>
      <c r="BB769" t="s">
        <v>82</v>
      </c>
      <c r="BC769">
        <v>7.7070764999999999E-2</v>
      </c>
      <c r="BD769">
        <v>1.90190515067399E-3</v>
      </c>
      <c r="BE769">
        <v>7.8972670150673996E-2</v>
      </c>
      <c r="BF769">
        <f>IF(AK769&lt;BE769,1,0)</f>
        <v>1</v>
      </c>
      <c r="BG769">
        <f>IF(AK769&lt;BC769,1,0)</f>
        <v>0</v>
      </c>
    </row>
    <row r="770" spans="1:65" x14ac:dyDescent="0.2">
      <c r="A770">
        <v>1</v>
      </c>
      <c r="B770" t="s">
        <v>1198</v>
      </c>
      <c r="C770">
        <v>443</v>
      </c>
      <c r="D770" t="s">
        <v>68</v>
      </c>
      <c r="E770">
        <v>1</v>
      </c>
      <c r="F770">
        <v>43</v>
      </c>
      <c r="G770" t="s">
        <v>86</v>
      </c>
      <c r="H770" s="1">
        <v>7</v>
      </c>
      <c r="I770" t="s">
        <v>87</v>
      </c>
      <c r="J770" t="s">
        <v>111</v>
      </c>
      <c r="K770" t="s">
        <v>109</v>
      </c>
      <c r="L770">
        <v>1</v>
      </c>
      <c r="M770">
        <v>0</v>
      </c>
      <c r="N770">
        <v>0</v>
      </c>
      <c r="O770">
        <v>0</v>
      </c>
      <c r="P770">
        <v>0</v>
      </c>
      <c r="Q770">
        <v>3</v>
      </c>
      <c r="R770">
        <v>0</v>
      </c>
      <c r="S770">
        <v>0</v>
      </c>
      <c r="T770">
        <v>0</v>
      </c>
      <c r="U770">
        <v>0</v>
      </c>
      <c r="V770">
        <f t="shared" si="317"/>
        <v>0</v>
      </c>
      <c r="W770">
        <f t="shared" si="318"/>
        <v>0</v>
      </c>
      <c r="X770">
        <f t="shared" si="321"/>
        <v>0</v>
      </c>
      <c r="Y770">
        <f t="shared" si="319"/>
        <v>0</v>
      </c>
      <c r="Z770" t="s">
        <v>76</v>
      </c>
      <c r="AA770" s="5" t="s">
        <v>76</v>
      </c>
      <c r="AB770" s="5" t="s">
        <v>76</v>
      </c>
      <c r="AC770" t="s">
        <v>101</v>
      </c>
      <c r="AD770" t="s">
        <v>99</v>
      </c>
      <c r="AE770" s="5" t="s">
        <v>99</v>
      </c>
      <c r="AF770" t="s">
        <v>103</v>
      </c>
      <c r="AG770" t="s">
        <v>102</v>
      </c>
      <c r="AH770">
        <f t="shared" si="342"/>
        <v>5.6836903000000001E-2</v>
      </c>
      <c r="AI770">
        <f t="shared" si="343"/>
        <v>5.6836903000000001E-2</v>
      </c>
      <c r="AJ770">
        <f t="shared" si="320"/>
        <v>5.6836903000000001E-2</v>
      </c>
      <c r="AK770">
        <v>5.6836903000000001E-2</v>
      </c>
      <c r="AL770">
        <v>8.2781460000000001E-2</v>
      </c>
      <c r="AM770">
        <v>9.9779493999999996E-2</v>
      </c>
      <c r="AN770">
        <v>0.12923497</v>
      </c>
      <c r="AO770">
        <v>94.316309700000005</v>
      </c>
      <c r="AP770">
        <v>91.721853999999993</v>
      </c>
      <c r="AQ770">
        <v>90.0220506</v>
      </c>
      <c r="AR770">
        <v>87.076503000000002</v>
      </c>
      <c r="AS770" t="b">
        <v>0</v>
      </c>
      <c r="AT770" t="b">
        <v>0</v>
      </c>
      <c r="AU770" t="s">
        <v>77</v>
      </c>
      <c r="AV770" t="s">
        <v>77</v>
      </c>
      <c r="AW770" t="s">
        <v>783</v>
      </c>
      <c r="AX770" t="s">
        <v>812</v>
      </c>
      <c r="AY770" t="s">
        <v>1185</v>
      </c>
      <c r="AZ770" t="s">
        <v>109</v>
      </c>
      <c r="BA770">
        <v>2</v>
      </c>
      <c r="BB770">
        <v>0.7</v>
      </c>
      <c r="BC770">
        <v>1.4096186E-2</v>
      </c>
      <c r="BD770">
        <v>1.55088650053763E-3</v>
      </c>
      <c r="BE770">
        <v>1.5647072500537599E-2</v>
      </c>
      <c r="BF770">
        <f>IF(AK770&lt;BE770,1,0)</f>
        <v>0</v>
      </c>
      <c r="BG770">
        <f>IF(AK770&lt;BC770,1,0)</f>
        <v>0</v>
      </c>
      <c r="BH770">
        <f>VLOOKUP($B770,[1]Data_Peer_with_peerVars!$B$2:$Z$1050,20,FALSE)</f>
        <v>17</v>
      </c>
      <c r="BI770">
        <f>VLOOKUP($B770,[1]Data_Peer_with_peerVars!$B$2:$Z$1050,21,FALSE)</f>
        <v>11</v>
      </c>
      <c r="BJ770">
        <f>VLOOKUP($B770,[1]Data_Peer_with_peerVars!$B$2:$Z$1050,22,FALSE)</f>
        <v>0.64705882400000003</v>
      </c>
      <c r="BK770">
        <f>VLOOKUP($B770,[1]Data_Peer_with_peerVars!$B$2:$Z$1050,23,FALSE)</f>
        <v>42</v>
      </c>
      <c r="BL770">
        <f>VLOOKUP($B770,[1]Data_Peer_with_peerVars!$B$2:$Z$1050,24,FALSE)</f>
        <v>23</v>
      </c>
      <c r="BM770">
        <f>VLOOKUP($B770,[1]Data_Peer_with_peerVars!$B$2:$Z$1050,25,FALSE)</f>
        <v>0.54761904800000005</v>
      </c>
    </row>
    <row r="771" spans="1:65" x14ac:dyDescent="0.2">
      <c r="A771">
        <v>1</v>
      </c>
      <c r="B771" t="s">
        <v>1199</v>
      </c>
      <c r="C771">
        <v>444</v>
      </c>
      <c r="D771" t="s">
        <v>68</v>
      </c>
      <c r="E771">
        <v>1</v>
      </c>
      <c r="F771">
        <v>44</v>
      </c>
      <c r="G771" t="s">
        <v>86</v>
      </c>
      <c r="H771" s="1">
        <v>7</v>
      </c>
      <c r="I771" t="s">
        <v>87</v>
      </c>
      <c r="J771" t="s">
        <v>150</v>
      </c>
      <c r="K771" t="s">
        <v>109</v>
      </c>
      <c r="L771">
        <v>1</v>
      </c>
      <c r="M771">
        <v>1</v>
      </c>
      <c r="N771">
        <v>1</v>
      </c>
      <c r="O771">
        <v>0</v>
      </c>
      <c r="P771">
        <v>0</v>
      </c>
      <c r="Q771">
        <v>3</v>
      </c>
      <c r="R771">
        <v>0</v>
      </c>
      <c r="S771">
        <v>0</v>
      </c>
      <c r="T771">
        <v>1</v>
      </c>
      <c r="U771">
        <v>1</v>
      </c>
      <c r="V771">
        <f t="shared" ref="V771:V834" si="344">IF(Z771=AC771,1,0)</f>
        <v>1</v>
      </c>
      <c r="W771">
        <v>1</v>
      </c>
      <c r="X771">
        <v>1</v>
      </c>
      <c r="Y771">
        <v>1</v>
      </c>
      <c r="Z771" t="s">
        <v>73</v>
      </c>
      <c r="AA771" s="5" t="s">
        <v>73</v>
      </c>
      <c r="AB771" s="5" t="s">
        <v>73</v>
      </c>
      <c r="AC771" t="s">
        <v>73</v>
      </c>
      <c r="AD771" t="s">
        <v>94</v>
      </c>
      <c r="AE771" s="5" t="s">
        <v>106</v>
      </c>
      <c r="AF771" t="s">
        <v>107</v>
      </c>
      <c r="AG771" t="s">
        <v>95</v>
      </c>
      <c r="AH771">
        <f>AI771</f>
        <v>3.8167940000000001E-3</v>
      </c>
      <c r="AI771">
        <f>AJ771</f>
        <v>3.8167940000000001E-3</v>
      </c>
      <c r="AJ771">
        <f t="shared" ref="AJ771:AJ834" si="345">AK771</f>
        <v>3.8167940000000001E-3</v>
      </c>
      <c r="AK771">
        <v>3.8167940000000001E-3</v>
      </c>
      <c r="AL771">
        <v>0.13169399000000001</v>
      </c>
      <c r="AM771">
        <v>0.13678728000000001</v>
      </c>
      <c r="AN771">
        <v>0.13922319</v>
      </c>
      <c r="AO771">
        <v>99.618320600000004</v>
      </c>
      <c r="AP771">
        <v>86.830601000000001</v>
      </c>
      <c r="AQ771">
        <v>86.321271999999993</v>
      </c>
      <c r="AR771">
        <v>86.077680999999998</v>
      </c>
      <c r="AS771" t="b">
        <v>1</v>
      </c>
      <c r="AT771" t="b">
        <v>0</v>
      </c>
      <c r="AU771" t="s">
        <v>77</v>
      </c>
      <c r="AV771" t="s">
        <v>108</v>
      </c>
      <c r="AW771" t="s">
        <v>783</v>
      </c>
      <c r="AX771" t="s">
        <v>812</v>
      </c>
      <c r="AY771" t="s">
        <v>1185</v>
      </c>
      <c r="AZ771" t="s">
        <v>109</v>
      </c>
      <c r="BA771">
        <v>3</v>
      </c>
      <c r="BB771">
        <v>2.8</v>
      </c>
      <c r="BC771">
        <v>4.1163553999999996E-3</v>
      </c>
      <c r="BD771">
        <v>1.4279989108178799E-4</v>
      </c>
      <c r="BE771">
        <v>4.2591552910817903E-3</v>
      </c>
      <c r="BF771">
        <f>IF(AK771&lt;BE771,1,0)</f>
        <v>1</v>
      </c>
      <c r="BG771">
        <f>IF(AK771&lt;BC771,1,0)</f>
        <v>1</v>
      </c>
      <c r="BH771">
        <f>VLOOKUP($B771,[1]Data_Peer_with_peerVars!$B$2:$Z$1050,20,FALSE)</f>
        <v>1</v>
      </c>
      <c r="BI771">
        <f>VLOOKUP($B771,[1]Data_Peer_with_peerVars!$B$2:$Z$1050,21,FALSE)</f>
        <v>0</v>
      </c>
      <c r="BJ771">
        <f>VLOOKUP($B771,[1]Data_Peer_with_peerVars!$B$2:$Z$1050,22,FALSE)</f>
        <v>0</v>
      </c>
      <c r="BK771">
        <f>VLOOKUP($B771,[1]Data_Peer_with_peerVars!$B$2:$Z$1050,23,FALSE)</f>
        <v>31</v>
      </c>
      <c r="BL771">
        <f>VLOOKUP($B771,[1]Data_Peer_with_peerVars!$B$2:$Z$1050,24,FALSE)</f>
        <v>17</v>
      </c>
      <c r="BM771">
        <f>VLOOKUP($B771,[1]Data_Peer_with_peerVars!$B$2:$Z$1050,25,FALSE)</f>
        <v>0.54838709699999999</v>
      </c>
    </row>
    <row r="772" spans="1:65" x14ac:dyDescent="0.2">
      <c r="A772">
        <v>1</v>
      </c>
      <c r="B772" t="s">
        <v>1200</v>
      </c>
      <c r="C772">
        <v>444</v>
      </c>
      <c r="D772" t="s">
        <v>68</v>
      </c>
      <c r="E772">
        <v>1</v>
      </c>
      <c r="F772">
        <v>44</v>
      </c>
      <c r="G772" t="s">
        <v>86</v>
      </c>
      <c r="H772" s="1">
        <v>7</v>
      </c>
      <c r="I772" t="s">
        <v>87</v>
      </c>
      <c r="J772" t="s">
        <v>150</v>
      </c>
      <c r="K772" t="s">
        <v>109</v>
      </c>
      <c r="L772">
        <v>1</v>
      </c>
      <c r="M772">
        <v>1</v>
      </c>
      <c r="N772">
        <v>1</v>
      </c>
      <c r="O772">
        <v>0</v>
      </c>
      <c r="P772">
        <v>0</v>
      </c>
      <c r="Q772">
        <v>3</v>
      </c>
      <c r="R772">
        <v>0</v>
      </c>
      <c r="S772">
        <v>0</v>
      </c>
      <c r="T772">
        <v>0</v>
      </c>
      <c r="U772">
        <v>0</v>
      </c>
      <c r="V772">
        <f t="shared" si="344"/>
        <v>0</v>
      </c>
      <c r="W772">
        <f t="shared" ref="W772:W834" si="346">IF(Z772=AD772,1,0)</f>
        <v>0</v>
      </c>
      <c r="X772">
        <f t="shared" ref="X772:X835" si="347">IF(Z772=AF772,1,0)</f>
        <v>0</v>
      </c>
      <c r="Y772">
        <f t="shared" ref="Y772:Y834" si="348">IF(Z772=AG772,1,0)</f>
        <v>0</v>
      </c>
      <c r="Z772" t="s">
        <v>76</v>
      </c>
      <c r="AA772" s="5" t="s">
        <v>76</v>
      </c>
      <c r="AB772" s="5" t="s">
        <v>76</v>
      </c>
      <c r="AC772" t="s">
        <v>101</v>
      </c>
      <c r="AD772" t="s">
        <v>99</v>
      </c>
      <c r="AE772" s="5" t="s">
        <v>99</v>
      </c>
      <c r="AF772" t="s">
        <v>103</v>
      </c>
      <c r="AG772" t="s">
        <v>102</v>
      </c>
      <c r="AH772">
        <f>AI772</f>
        <v>6.0572688E-2</v>
      </c>
      <c r="AI772">
        <f>AJ772</f>
        <v>6.0572688E-2</v>
      </c>
      <c r="AJ772">
        <f t="shared" si="345"/>
        <v>6.0572688E-2</v>
      </c>
      <c r="AK772">
        <v>6.0572688E-2</v>
      </c>
      <c r="AL772">
        <v>8.7112830000000002E-2</v>
      </c>
      <c r="AM772">
        <v>0.10171366</v>
      </c>
      <c r="AN772">
        <v>0.13123287</v>
      </c>
      <c r="AO772">
        <v>93.942731199999997</v>
      </c>
      <c r="AP772">
        <v>91.288717000000005</v>
      </c>
      <c r="AQ772">
        <v>89.828633999999994</v>
      </c>
      <c r="AR772">
        <v>86.876712999999995</v>
      </c>
      <c r="AS772" t="b">
        <v>0</v>
      </c>
      <c r="AT772" t="b">
        <v>0</v>
      </c>
      <c r="AU772" t="s">
        <v>77</v>
      </c>
      <c r="AV772" t="s">
        <v>77</v>
      </c>
      <c r="AW772" t="s">
        <v>783</v>
      </c>
      <c r="AX772" t="s">
        <v>812</v>
      </c>
      <c r="AY772" t="s">
        <v>1185</v>
      </c>
      <c r="AZ772" t="s">
        <v>109</v>
      </c>
      <c r="BA772">
        <v>3</v>
      </c>
      <c r="BB772">
        <v>0.7</v>
      </c>
      <c r="BC772">
        <v>1.4096186E-2</v>
      </c>
      <c r="BD772">
        <v>1.55088650053763E-3</v>
      </c>
      <c r="BE772">
        <v>1.5647072500537599E-2</v>
      </c>
      <c r="BF772">
        <f>IF(AK772&lt;BE772,1,0)</f>
        <v>0</v>
      </c>
      <c r="BG772">
        <f>IF(AK772&lt;BC772,1,0)</f>
        <v>0</v>
      </c>
      <c r="BH772">
        <f>VLOOKUP($B772,[1]Data_Peer_with_peerVars!$B$2:$Z$1050,20,FALSE)</f>
        <v>1</v>
      </c>
      <c r="BI772">
        <f>VLOOKUP($B772,[1]Data_Peer_with_peerVars!$B$2:$Z$1050,21,FALSE)</f>
        <v>0</v>
      </c>
      <c r="BJ772">
        <f>VLOOKUP($B772,[1]Data_Peer_with_peerVars!$B$2:$Z$1050,22,FALSE)</f>
        <v>0</v>
      </c>
      <c r="BK772">
        <f>VLOOKUP($B772,[1]Data_Peer_with_peerVars!$B$2:$Z$1050,23,FALSE)</f>
        <v>31</v>
      </c>
      <c r="BL772">
        <f>VLOOKUP($B772,[1]Data_Peer_with_peerVars!$B$2:$Z$1050,24,FALSE)</f>
        <v>17</v>
      </c>
      <c r="BM772">
        <f>VLOOKUP($B772,[1]Data_Peer_with_peerVars!$B$2:$Z$1050,25,FALSE)</f>
        <v>0.54838709699999999</v>
      </c>
    </row>
    <row r="773" spans="1:65" x14ac:dyDescent="0.2">
      <c r="A773">
        <v>1</v>
      </c>
      <c r="B773" t="s">
        <v>1201</v>
      </c>
      <c r="C773">
        <v>445</v>
      </c>
      <c r="D773" t="s">
        <v>68</v>
      </c>
      <c r="E773">
        <v>1</v>
      </c>
      <c r="F773">
        <v>45</v>
      </c>
      <c r="G773" t="s">
        <v>69</v>
      </c>
      <c r="H773" s="1">
        <v>7</v>
      </c>
      <c r="I773" t="s">
        <v>70</v>
      </c>
      <c r="J773" t="s">
        <v>436</v>
      </c>
      <c r="K773" t="s">
        <v>109</v>
      </c>
      <c r="L773">
        <v>1</v>
      </c>
      <c r="M773">
        <v>0</v>
      </c>
      <c r="N773">
        <v>1</v>
      </c>
      <c r="O773">
        <v>0</v>
      </c>
      <c r="P773">
        <v>0</v>
      </c>
      <c r="Q773">
        <v>6</v>
      </c>
      <c r="R773">
        <v>0</v>
      </c>
      <c r="S773">
        <v>0</v>
      </c>
      <c r="T773">
        <v>1</v>
      </c>
      <c r="U773">
        <v>1</v>
      </c>
      <c r="V773">
        <f t="shared" si="344"/>
        <v>1</v>
      </c>
      <c r="W773">
        <v>1</v>
      </c>
      <c r="X773">
        <v>1</v>
      </c>
      <c r="Y773">
        <v>1</v>
      </c>
      <c r="Z773" t="s">
        <v>73</v>
      </c>
      <c r="AA773" s="5" t="s">
        <v>73</v>
      </c>
      <c r="AB773" s="5" t="s">
        <v>73</v>
      </c>
      <c r="AC773" t="s">
        <v>73</v>
      </c>
      <c r="AD773" t="s">
        <v>94</v>
      </c>
      <c r="AE773" s="5" t="s">
        <v>106</v>
      </c>
      <c r="AF773" t="s">
        <v>107</v>
      </c>
      <c r="AG773" t="s">
        <v>95</v>
      </c>
      <c r="AH773">
        <f t="shared" ref="AH773:AH774" si="349">AI773</f>
        <v>3.8167940000000001E-3</v>
      </c>
      <c r="AI773">
        <f t="shared" ref="AI773:AI774" si="350">AJ773</f>
        <v>3.8167940000000001E-3</v>
      </c>
      <c r="AJ773">
        <f t="shared" si="345"/>
        <v>3.8167940000000001E-3</v>
      </c>
      <c r="AK773">
        <v>3.8167940000000001E-3</v>
      </c>
      <c r="AL773">
        <v>0.13169399000000001</v>
      </c>
      <c r="AM773">
        <v>0.13623904000000001</v>
      </c>
      <c r="AN773">
        <v>0.13867615</v>
      </c>
      <c r="AO773">
        <v>99.618320600000004</v>
      </c>
      <c r="AP773">
        <v>86.830601000000001</v>
      </c>
      <c r="AQ773">
        <v>86.376096000000004</v>
      </c>
      <c r="AR773">
        <v>86.132384999999999</v>
      </c>
      <c r="AS773" t="b">
        <v>1</v>
      </c>
      <c r="AT773" t="b">
        <v>0</v>
      </c>
      <c r="AU773" t="s">
        <v>77</v>
      </c>
      <c r="AV773" t="s">
        <v>108</v>
      </c>
      <c r="AW773" t="s">
        <v>783</v>
      </c>
      <c r="AX773" t="s">
        <v>812</v>
      </c>
      <c r="AY773" t="s">
        <v>1185</v>
      </c>
      <c r="AZ773" t="s">
        <v>109</v>
      </c>
      <c r="BA773">
        <v>3</v>
      </c>
      <c r="BB773">
        <v>1.4</v>
      </c>
      <c r="BC773">
        <v>4.1163553999999996E-3</v>
      </c>
      <c r="BD773">
        <v>1.4279989108178799E-4</v>
      </c>
      <c r="BE773">
        <v>4.2591552910817903E-3</v>
      </c>
      <c r="BF773">
        <f>IF(AK773&lt;BE773,1,0)</f>
        <v>1</v>
      </c>
      <c r="BG773">
        <f>IF(AK773&lt;BC773,1,0)</f>
        <v>1</v>
      </c>
      <c r="BH773">
        <f>VLOOKUP($B773,[1]Data_Peer_with_peerVars!$B$2:$Z$1050,20,FALSE)</f>
        <v>20</v>
      </c>
      <c r="BI773">
        <f>VLOOKUP($B773,[1]Data_Peer_with_peerVars!$B$2:$Z$1050,21,FALSE)</f>
        <v>12</v>
      </c>
      <c r="BJ773">
        <f>VLOOKUP($B773,[1]Data_Peer_with_peerVars!$B$2:$Z$1050,22,FALSE)</f>
        <v>0.6</v>
      </c>
      <c r="BK773">
        <f>VLOOKUP($B773,[1]Data_Peer_with_peerVars!$B$2:$Z$1050,23,FALSE)</f>
        <v>47</v>
      </c>
      <c r="BL773">
        <f>VLOOKUP($B773,[1]Data_Peer_with_peerVars!$B$2:$Z$1050,24,FALSE)</f>
        <v>24</v>
      </c>
      <c r="BM773">
        <f>VLOOKUP($B773,[1]Data_Peer_with_peerVars!$B$2:$Z$1050,25,FALSE)</f>
        <v>0.51063829800000005</v>
      </c>
    </row>
    <row r="774" spans="1:65" x14ac:dyDescent="0.2">
      <c r="A774">
        <v>1</v>
      </c>
      <c r="B774" t="s">
        <v>1202</v>
      </c>
      <c r="C774">
        <v>446</v>
      </c>
      <c r="D774" t="s">
        <v>68</v>
      </c>
      <c r="E774">
        <v>1</v>
      </c>
      <c r="F774">
        <v>12</v>
      </c>
      <c r="G774" t="s">
        <v>69</v>
      </c>
      <c r="H774" s="1">
        <v>6</v>
      </c>
      <c r="I774" t="s">
        <v>87</v>
      </c>
      <c r="J774" t="s">
        <v>124</v>
      </c>
      <c r="K774" t="s">
        <v>72</v>
      </c>
      <c r="L774">
        <v>2</v>
      </c>
      <c r="M774">
        <v>0</v>
      </c>
      <c r="N774">
        <v>1</v>
      </c>
      <c r="O774">
        <v>1</v>
      </c>
      <c r="P774">
        <v>0</v>
      </c>
      <c r="Q774">
        <v>11</v>
      </c>
      <c r="R774">
        <v>0</v>
      </c>
      <c r="S774">
        <v>0</v>
      </c>
      <c r="T774">
        <v>0</v>
      </c>
      <c r="U774">
        <v>0</v>
      </c>
      <c r="V774">
        <f t="shared" si="344"/>
        <v>1</v>
      </c>
      <c r="W774">
        <v>1</v>
      </c>
      <c r="X774">
        <v>1</v>
      </c>
      <c r="Y774">
        <v>1</v>
      </c>
      <c r="Z774" t="s">
        <v>91</v>
      </c>
      <c r="AA774" s="5" t="s">
        <v>91</v>
      </c>
      <c r="AB774" s="5" t="s">
        <v>1203</v>
      </c>
      <c r="AC774" t="s">
        <v>91</v>
      </c>
      <c r="AD774" t="s">
        <v>84</v>
      </c>
      <c r="AE774" s="5" t="s">
        <v>1204</v>
      </c>
      <c r="AF774" t="s">
        <v>74</v>
      </c>
      <c r="AG774" t="s">
        <v>287</v>
      </c>
      <c r="AH774">
        <f t="shared" si="349"/>
        <v>4.0185894999999999E-2</v>
      </c>
      <c r="AI774">
        <f t="shared" si="350"/>
        <v>4.0185894999999999E-2</v>
      </c>
      <c r="AJ774">
        <f t="shared" si="345"/>
        <v>4.0185894999999999E-2</v>
      </c>
      <c r="AK774">
        <v>4.0185894999999999E-2</v>
      </c>
      <c r="AL774">
        <v>0.11813187</v>
      </c>
      <c r="AM774">
        <v>0.12362938399999999</v>
      </c>
      <c r="AN774">
        <v>0.12786885000000001</v>
      </c>
      <c r="AO774">
        <v>95.981410499999996</v>
      </c>
      <c r="AP774">
        <v>88.186813000000001</v>
      </c>
      <c r="AQ774">
        <v>87.637061599999996</v>
      </c>
      <c r="AR774">
        <v>87.213115000000002</v>
      </c>
      <c r="AS774" t="b">
        <v>1</v>
      </c>
      <c r="AT774" t="b">
        <v>0</v>
      </c>
      <c r="AU774" t="s">
        <v>77</v>
      </c>
      <c r="AV774" t="s">
        <v>108</v>
      </c>
      <c r="AW774" t="s">
        <v>783</v>
      </c>
      <c r="AX774" t="s">
        <v>812</v>
      </c>
      <c r="AY774" t="s">
        <v>1185</v>
      </c>
      <c r="AZ774" t="s">
        <v>72</v>
      </c>
      <c r="BA774" t="s">
        <v>82</v>
      </c>
      <c r="BB774">
        <v>0.52500000000000002</v>
      </c>
      <c r="BC774">
        <v>9.0659339999999995E-3</v>
      </c>
      <c r="BD774">
        <v>2.76583658862385E-3</v>
      </c>
      <c r="BE774">
        <v>1.1831770588623799E-2</v>
      </c>
      <c r="BF774">
        <f>IF(AK774&lt;BE774,1,0)</f>
        <v>0</v>
      </c>
      <c r="BG774">
        <f>IF(AK774&lt;BC774,1,0)</f>
        <v>0</v>
      </c>
      <c r="BH774">
        <f>VLOOKUP($B774,[1]Data_Peer_with_peerVars!$B$2:$Z$1050,20,FALSE)</f>
        <v>0</v>
      </c>
      <c r="BI774">
        <f>VLOOKUP($B774,[1]Data_Peer_with_peerVars!$B$2:$Z$1050,21,FALSE)</f>
        <v>0</v>
      </c>
      <c r="BJ774">
        <v>0</v>
      </c>
      <c r="BK774">
        <f>VLOOKUP($B774,[1]Data_Peer_with_peerVars!$B$2:$Z$1050,23,FALSE)</f>
        <v>41</v>
      </c>
      <c r="BL774">
        <f>VLOOKUP($B774,[1]Data_Peer_with_peerVars!$B$2:$Z$1050,24,FALSE)</f>
        <v>23</v>
      </c>
      <c r="BM774">
        <f>VLOOKUP($B774,[1]Data_Peer_with_peerVars!$B$2:$Z$1050,25,FALSE)</f>
        <v>0.56097560999999996</v>
      </c>
    </row>
    <row r="775" spans="1:65" x14ac:dyDescent="0.2">
      <c r="A775">
        <v>1</v>
      </c>
      <c r="B775" t="s">
        <v>1205</v>
      </c>
      <c r="C775">
        <v>446</v>
      </c>
      <c r="D775" t="s">
        <v>68</v>
      </c>
      <c r="E775">
        <v>1</v>
      </c>
      <c r="F775">
        <v>12</v>
      </c>
      <c r="G775" t="s">
        <v>69</v>
      </c>
      <c r="H775" s="1">
        <v>6</v>
      </c>
      <c r="I775" t="s">
        <v>87</v>
      </c>
      <c r="J775" t="s">
        <v>124</v>
      </c>
      <c r="K775" t="s">
        <v>72</v>
      </c>
      <c r="L775">
        <v>2</v>
      </c>
      <c r="M775">
        <v>0</v>
      </c>
      <c r="N775">
        <v>1</v>
      </c>
      <c r="O775">
        <v>1</v>
      </c>
      <c r="P775">
        <v>0</v>
      </c>
      <c r="Q775">
        <v>11</v>
      </c>
      <c r="R775">
        <v>1</v>
      </c>
      <c r="S775">
        <v>1</v>
      </c>
      <c r="T775">
        <v>1</v>
      </c>
      <c r="U775">
        <v>1</v>
      </c>
      <c r="V775">
        <f t="shared" si="344"/>
        <v>0</v>
      </c>
      <c r="W775">
        <f t="shared" si="346"/>
        <v>0</v>
      </c>
      <c r="X775">
        <f t="shared" si="347"/>
        <v>0</v>
      </c>
      <c r="Y775">
        <f t="shared" si="348"/>
        <v>0</v>
      </c>
      <c r="Z775" t="s">
        <v>177</v>
      </c>
      <c r="AA775" s="5" t="s">
        <v>107</v>
      </c>
      <c r="AB775" s="5" t="s">
        <v>107</v>
      </c>
      <c r="AC775" t="s">
        <v>107</v>
      </c>
      <c r="AD775" t="s">
        <v>74</v>
      </c>
      <c r="AE775" s="5" t="s">
        <v>74</v>
      </c>
      <c r="AF775" t="s">
        <v>76</v>
      </c>
      <c r="AG775" t="s">
        <v>95</v>
      </c>
      <c r="AH775">
        <f>AI775</f>
        <v>8.4337345999999994E-2</v>
      </c>
      <c r="AI775">
        <f t="shared" ref="AI775:AI778" si="351">AJ775</f>
        <v>8.4337345999999994E-2</v>
      </c>
      <c r="AJ775">
        <f t="shared" si="345"/>
        <v>8.4337345999999994E-2</v>
      </c>
      <c r="AK775">
        <v>8.4337345999999994E-2</v>
      </c>
      <c r="AL775">
        <v>0.10767123000000001</v>
      </c>
      <c r="AM775">
        <v>0.11687602</v>
      </c>
      <c r="AN775">
        <v>0.117486335</v>
      </c>
      <c r="AO775">
        <v>91.566265400000006</v>
      </c>
      <c r="AP775">
        <v>89.232877000000002</v>
      </c>
      <c r="AQ775">
        <v>88.312398000000002</v>
      </c>
      <c r="AR775">
        <v>88.251366500000003</v>
      </c>
      <c r="AS775" t="b">
        <v>1</v>
      </c>
      <c r="AT775" t="b">
        <v>0</v>
      </c>
      <c r="AU775" t="s">
        <v>77</v>
      </c>
      <c r="AV775" t="s">
        <v>78</v>
      </c>
      <c r="AW775" t="s">
        <v>783</v>
      </c>
      <c r="AX775" t="s">
        <v>812</v>
      </c>
      <c r="AY775" t="s">
        <v>1185</v>
      </c>
      <c r="AZ775" t="s">
        <v>109</v>
      </c>
      <c r="BA775">
        <v>2</v>
      </c>
      <c r="BB775">
        <v>0.52500000000000002</v>
      </c>
      <c r="BC775">
        <v>2.6475456000000001E-2</v>
      </c>
      <c r="BD775">
        <v>8.8330364056477401E-3</v>
      </c>
      <c r="BE775">
        <v>3.53084924056477E-2</v>
      </c>
      <c r="BF775">
        <f>IF(AK775&lt;BE775,1,0)</f>
        <v>0</v>
      </c>
      <c r="BG775">
        <f>IF(AK775&lt;BC775,1,0)</f>
        <v>0</v>
      </c>
      <c r="BH775">
        <f>VLOOKUP($B775,[1]Data_Peer_with_peerVars!$B$2:$Z$1050,20,FALSE)</f>
        <v>0</v>
      </c>
      <c r="BI775">
        <f>VLOOKUP($B775,[1]Data_Peer_with_peerVars!$B$2:$Z$1050,21,FALSE)</f>
        <v>0</v>
      </c>
      <c r="BJ775">
        <v>0</v>
      </c>
      <c r="BK775">
        <f>VLOOKUP($B775,[1]Data_Peer_with_peerVars!$B$2:$Z$1050,23,FALSE)</f>
        <v>41</v>
      </c>
      <c r="BL775">
        <f>VLOOKUP($B775,[1]Data_Peer_with_peerVars!$B$2:$Z$1050,24,FALSE)</f>
        <v>23</v>
      </c>
      <c r="BM775">
        <f>VLOOKUP($B775,[1]Data_Peer_with_peerVars!$B$2:$Z$1050,25,FALSE)</f>
        <v>0.56097560999999996</v>
      </c>
    </row>
    <row r="776" spans="1:65" x14ac:dyDescent="0.2">
      <c r="A776">
        <v>1</v>
      </c>
      <c r="B776" t="s">
        <v>1206</v>
      </c>
      <c r="C776">
        <v>447</v>
      </c>
      <c r="D776" t="s">
        <v>68</v>
      </c>
      <c r="E776">
        <v>1</v>
      </c>
      <c r="F776">
        <v>15</v>
      </c>
      <c r="G776" t="s">
        <v>86</v>
      </c>
      <c r="H776" s="1">
        <v>6</v>
      </c>
      <c r="I776" t="s">
        <v>70</v>
      </c>
      <c r="J776" t="s">
        <v>436</v>
      </c>
      <c r="K776" t="s">
        <v>109</v>
      </c>
      <c r="L776">
        <v>2</v>
      </c>
      <c r="M776">
        <v>1</v>
      </c>
      <c r="N776">
        <v>1</v>
      </c>
      <c r="O776">
        <v>0</v>
      </c>
      <c r="P776">
        <v>0</v>
      </c>
      <c r="Q776">
        <v>4</v>
      </c>
      <c r="R776">
        <v>0</v>
      </c>
      <c r="S776">
        <v>0</v>
      </c>
      <c r="T776">
        <v>0</v>
      </c>
      <c r="U776">
        <v>0</v>
      </c>
      <c r="V776">
        <f t="shared" si="344"/>
        <v>0</v>
      </c>
      <c r="W776">
        <f t="shared" si="346"/>
        <v>1</v>
      </c>
      <c r="X776">
        <v>1</v>
      </c>
      <c r="Y776">
        <v>1</v>
      </c>
      <c r="Z776" t="s">
        <v>76</v>
      </c>
      <c r="AA776" s="5" t="s">
        <v>76</v>
      </c>
      <c r="AB776" s="5" t="s">
        <v>1156</v>
      </c>
      <c r="AC776" t="s">
        <v>74</v>
      </c>
      <c r="AD776" t="s">
        <v>76</v>
      </c>
      <c r="AE776" s="5" t="s">
        <v>888</v>
      </c>
      <c r="AF776" t="s">
        <v>120</v>
      </c>
      <c r="AG776" t="s">
        <v>167</v>
      </c>
      <c r="AH776">
        <f t="shared" ref="AH776:AH778" si="352">AI776</f>
        <v>0.13688523999999999</v>
      </c>
      <c r="AI776">
        <f t="shared" si="351"/>
        <v>0.13688523999999999</v>
      </c>
      <c r="AJ776">
        <f>AL776</f>
        <v>0.13688523999999999</v>
      </c>
      <c r="AK776">
        <v>0.13678728000000001</v>
      </c>
      <c r="AL776">
        <v>0.13688523999999999</v>
      </c>
      <c r="AM776">
        <v>0.13961749000000001</v>
      </c>
      <c r="AN776">
        <v>0.14473684000000001</v>
      </c>
      <c r="AO776">
        <v>86.321271999999993</v>
      </c>
      <c r="AP776">
        <v>86.311475999999999</v>
      </c>
      <c r="AQ776">
        <v>86.038251000000002</v>
      </c>
      <c r="AR776">
        <v>85.526315999999994</v>
      </c>
      <c r="AS776" t="b">
        <v>0</v>
      </c>
      <c r="AT776" t="b">
        <v>0</v>
      </c>
      <c r="AU776" t="s">
        <v>108</v>
      </c>
      <c r="AV776" t="s">
        <v>108</v>
      </c>
      <c r="AW776" t="s">
        <v>783</v>
      </c>
      <c r="AX776" t="s">
        <v>812</v>
      </c>
      <c r="AY776" t="s">
        <v>1207</v>
      </c>
      <c r="AZ776" t="s">
        <v>109</v>
      </c>
      <c r="BA776">
        <v>3</v>
      </c>
      <c r="BB776">
        <v>3</v>
      </c>
      <c r="BC776">
        <v>2.4738868000000001E-3</v>
      </c>
      <c r="BD776">
        <v>1.4256942275279999E-4</v>
      </c>
      <c r="BE776">
        <v>2.6164562227527998E-3</v>
      </c>
      <c r="BF776">
        <f>IF(AK776&lt;BE776,1,0)</f>
        <v>0</v>
      </c>
      <c r="BG776">
        <f>IF(AK776&lt;BC776,1,0)</f>
        <v>0</v>
      </c>
      <c r="BH776">
        <f>VLOOKUP($B776,[1]Data_Peer_with_peerVars!$B$2:$Z$1050,20,FALSE)</f>
        <v>1</v>
      </c>
      <c r="BI776">
        <f>VLOOKUP($B776,[1]Data_Peer_with_peerVars!$B$2:$Z$1050,21,FALSE)</f>
        <v>0</v>
      </c>
      <c r="BJ776">
        <f>VLOOKUP($B776,[1]Data_Peer_with_peerVars!$B$2:$Z$1050,22,FALSE)</f>
        <v>0</v>
      </c>
      <c r="BK776">
        <f>VLOOKUP($B776,[1]Data_Peer_with_peerVars!$B$2:$Z$1050,23,FALSE)</f>
        <v>42</v>
      </c>
      <c r="BL776">
        <f>VLOOKUP($B776,[1]Data_Peer_with_peerVars!$B$2:$Z$1050,24,FALSE)</f>
        <v>22</v>
      </c>
      <c r="BM776">
        <f>VLOOKUP($B776,[1]Data_Peer_with_peerVars!$B$2:$Z$1050,25,FALSE)</f>
        <v>0.52380952400000003</v>
      </c>
    </row>
    <row r="777" spans="1:65" x14ac:dyDescent="0.2">
      <c r="A777">
        <v>1</v>
      </c>
      <c r="B777" t="s">
        <v>1208</v>
      </c>
      <c r="C777">
        <v>448</v>
      </c>
      <c r="D777" t="s">
        <v>68</v>
      </c>
      <c r="E777">
        <v>1</v>
      </c>
      <c r="F777">
        <v>17</v>
      </c>
      <c r="G777" t="s">
        <v>69</v>
      </c>
      <c r="H777" s="1">
        <v>7</v>
      </c>
      <c r="I777" t="s">
        <v>87</v>
      </c>
      <c r="J777" t="s">
        <v>111</v>
      </c>
      <c r="K777" t="s">
        <v>109</v>
      </c>
      <c r="L777">
        <v>1</v>
      </c>
      <c r="M777">
        <v>1</v>
      </c>
      <c r="N777">
        <v>1</v>
      </c>
      <c r="O777">
        <v>0</v>
      </c>
      <c r="P777">
        <v>0</v>
      </c>
      <c r="Q777">
        <v>6</v>
      </c>
      <c r="R777">
        <v>0</v>
      </c>
      <c r="S777">
        <v>0</v>
      </c>
      <c r="T777">
        <v>0</v>
      </c>
      <c r="U777">
        <v>0</v>
      </c>
      <c r="V777">
        <f t="shared" si="344"/>
        <v>1</v>
      </c>
      <c r="W777">
        <v>1</v>
      </c>
      <c r="X777">
        <v>1</v>
      </c>
      <c r="Y777">
        <v>1</v>
      </c>
      <c r="Z777" t="s">
        <v>73</v>
      </c>
      <c r="AA777" s="5" t="s">
        <v>73</v>
      </c>
      <c r="AB777" s="5" t="s">
        <v>73</v>
      </c>
      <c r="AC777" t="s">
        <v>73</v>
      </c>
      <c r="AD777" t="s">
        <v>91</v>
      </c>
      <c r="AE777" s="5" t="s">
        <v>696</v>
      </c>
      <c r="AF777" t="s">
        <v>287</v>
      </c>
      <c r="AG777" t="s">
        <v>137</v>
      </c>
      <c r="AH777">
        <f t="shared" si="352"/>
        <v>0.11395856</v>
      </c>
      <c r="AI777">
        <f t="shared" si="351"/>
        <v>0.11395856</v>
      </c>
      <c r="AJ777">
        <f t="shared" si="345"/>
        <v>0.11395856</v>
      </c>
      <c r="AK777">
        <v>0.11395856</v>
      </c>
      <c r="AL777">
        <v>0.11481684</v>
      </c>
      <c r="AM777">
        <v>0.125</v>
      </c>
      <c r="AN777">
        <v>0.14001092000000001</v>
      </c>
      <c r="AO777">
        <v>88.604144000000005</v>
      </c>
      <c r="AP777">
        <v>88.518315999999999</v>
      </c>
      <c r="AQ777">
        <v>87.5</v>
      </c>
      <c r="AR777">
        <v>85.998908</v>
      </c>
      <c r="AS777" t="b">
        <v>0</v>
      </c>
      <c r="AT777" t="b">
        <v>0</v>
      </c>
      <c r="AU777" t="s">
        <v>108</v>
      </c>
      <c r="AV777" t="s">
        <v>108</v>
      </c>
      <c r="AW777" t="s">
        <v>783</v>
      </c>
      <c r="AX777" t="s">
        <v>812</v>
      </c>
      <c r="AY777" t="s">
        <v>1185</v>
      </c>
      <c r="AZ777" t="s">
        <v>109</v>
      </c>
      <c r="BA777">
        <v>3</v>
      </c>
      <c r="BB777">
        <v>1</v>
      </c>
      <c r="BC777">
        <v>4.1163553999999996E-3</v>
      </c>
      <c r="BD777">
        <v>1.4279989108178799E-4</v>
      </c>
      <c r="BE777">
        <v>4.2591552910817903E-3</v>
      </c>
      <c r="BF777">
        <f>IF(AK777&lt;BE777,1,0)</f>
        <v>0</v>
      </c>
      <c r="BG777">
        <f>IF(AK777&lt;BC777,1,0)</f>
        <v>0</v>
      </c>
      <c r="BH777">
        <f>VLOOKUP($B777,[1]Data_Peer_with_peerVars!$B$2:$Z$1050,20,FALSE)</f>
        <v>17</v>
      </c>
      <c r="BI777">
        <f>VLOOKUP($B777,[1]Data_Peer_with_peerVars!$B$2:$Z$1050,21,FALSE)</f>
        <v>10</v>
      </c>
      <c r="BJ777">
        <f>VLOOKUP($B777,[1]Data_Peer_with_peerVars!$B$2:$Z$1050,22,FALSE)</f>
        <v>0.58823529399999996</v>
      </c>
      <c r="BK777">
        <f>VLOOKUP($B777,[1]Data_Peer_with_peerVars!$B$2:$Z$1050,23,FALSE)</f>
        <v>47</v>
      </c>
      <c r="BL777">
        <f>VLOOKUP($B777,[1]Data_Peer_with_peerVars!$B$2:$Z$1050,24,FALSE)</f>
        <v>24</v>
      </c>
      <c r="BM777">
        <f>VLOOKUP($B777,[1]Data_Peer_with_peerVars!$B$2:$Z$1050,25,FALSE)</f>
        <v>0.51063829800000005</v>
      </c>
    </row>
    <row r="778" spans="1:65" x14ac:dyDescent="0.2">
      <c r="A778">
        <v>1</v>
      </c>
      <c r="B778" t="s">
        <v>1209</v>
      </c>
      <c r="C778">
        <v>449</v>
      </c>
      <c r="D778" t="s">
        <v>68</v>
      </c>
      <c r="E778">
        <v>1</v>
      </c>
      <c r="F778">
        <v>38</v>
      </c>
      <c r="G778" t="s">
        <v>69</v>
      </c>
      <c r="H778" s="1">
        <v>7</v>
      </c>
      <c r="I778" t="s">
        <v>70</v>
      </c>
      <c r="J778" t="s">
        <v>436</v>
      </c>
      <c r="K778" t="s">
        <v>109</v>
      </c>
      <c r="L778">
        <v>1</v>
      </c>
      <c r="M778">
        <v>1</v>
      </c>
      <c r="N778">
        <v>1</v>
      </c>
      <c r="O778">
        <v>0</v>
      </c>
      <c r="P778">
        <v>0</v>
      </c>
      <c r="Q778">
        <v>5</v>
      </c>
      <c r="R778">
        <v>0</v>
      </c>
      <c r="S778">
        <v>0</v>
      </c>
      <c r="T778">
        <v>0</v>
      </c>
      <c r="U778">
        <v>0</v>
      </c>
      <c r="V778">
        <f t="shared" si="344"/>
        <v>1</v>
      </c>
      <c r="W778">
        <v>1</v>
      </c>
      <c r="X778">
        <v>1</v>
      </c>
      <c r="Y778">
        <v>1</v>
      </c>
      <c r="Z778" t="s">
        <v>73</v>
      </c>
      <c r="AA778" s="5" t="s">
        <v>73</v>
      </c>
      <c r="AB778" s="5" t="s">
        <v>73</v>
      </c>
      <c r="AC778" t="s">
        <v>73</v>
      </c>
      <c r="AD778" t="s">
        <v>287</v>
      </c>
      <c r="AE778" s="5" t="s">
        <v>287</v>
      </c>
      <c r="AF778" t="s">
        <v>137</v>
      </c>
      <c r="AG778" t="s">
        <v>113</v>
      </c>
      <c r="AH778">
        <f t="shared" si="352"/>
        <v>8.7513629999999995E-2</v>
      </c>
      <c r="AI778">
        <f t="shared" si="351"/>
        <v>8.7513629999999995E-2</v>
      </c>
      <c r="AJ778">
        <f t="shared" si="345"/>
        <v>8.7513629999999995E-2</v>
      </c>
      <c r="AK778">
        <v>8.7513629999999995E-2</v>
      </c>
      <c r="AL778">
        <v>0.10835153</v>
      </c>
      <c r="AM778">
        <v>0.13482532999999999</v>
      </c>
      <c r="AN778">
        <v>0.14113125000000001</v>
      </c>
      <c r="AO778">
        <v>91.248637000000002</v>
      </c>
      <c r="AP778">
        <v>89.164846999999995</v>
      </c>
      <c r="AQ778">
        <v>86.517466999999996</v>
      </c>
      <c r="AR778">
        <v>85.886875000000003</v>
      </c>
      <c r="AS778" t="b">
        <v>1</v>
      </c>
      <c r="AT778" t="b">
        <v>0</v>
      </c>
      <c r="AU778" t="s">
        <v>77</v>
      </c>
      <c r="AV778" t="s">
        <v>78</v>
      </c>
      <c r="AW778" t="s">
        <v>783</v>
      </c>
      <c r="AX778" t="s">
        <v>812</v>
      </c>
      <c r="AY778" t="s">
        <v>1185</v>
      </c>
      <c r="AZ778" t="s">
        <v>109</v>
      </c>
      <c r="BA778">
        <v>5</v>
      </c>
      <c r="BB778">
        <v>0.7</v>
      </c>
      <c r="BC778">
        <v>4.1163553999999996E-3</v>
      </c>
      <c r="BD778">
        <v>1.4279989108178799E-4</v>
      </c>
      <c r="BE778">
        <v>4.2591552910817903E-3</v>
      </c>
      <c r="BF778">
        <f>IF(AK778&lt;BE778,1,0)</f>
        <v>0</v>
      </c>
      <c r="BG778">
        <f>IF(AK778&lt;BC778,1,0)</f>
        <v>0</v>
      </c>
      <c r="BH778">
        <f>VLOOKUP($B778,[1]Data_Peer_with_peerVars!$B$2:$Z$1050,20,FALSE)</f>
        <v>20</v>
      </c>
      <c r="BI778">
        <f>VLOOKUP($B778,[1]Data_Peer_with_peerVars!$B$2:$Z$1050,21,FALSE)</f>
        <v>12</v>
      </c>
      <c r="BJ778">
        <f>VLOOKUP($B778,[1]Data_Peer_with_peerVars!$B$2:$Z$1050,22,FALSE)</f>
        <v>0.6</v>
      </c>
      <c r="BK778">
        <f>VLOOKUP($B778,[1]Data_Peer_with_peerVars!$B$2:$Z$1050,23,FALSE)</f>
        <v>47</v>
      </c>
      <c r="BL778">
        <f>VLOOKUP($B778,[1]Data_Peer_with_peerVars!$B$2:$Z$1050,24,FALSE)</f>
        <v>24</v>
      </c>
      <c r="BM778">
        <f>VLOOKUP($B778,[1]Data_Peer_with_peerVars!$B$2:$Z$1050,25,FALSE)</f>
        <v>0.51063829800000005</v>
      </c>
    </row>
    <row r="779" spans="1:65" x14ac:dyDescent="0.2">
      <c r="A779">
        <v>1</v>
      </c>
      <c r="B779" t="s">
        <v>1210</v>
      </c>
      <c r="C779">
        <v>449</v>
      </c>
      <c r="D779" t="s">
        <v>68</v>
      </c>
      <c r="E779">
        <v>1</v>
      </c>
      <c r="F779">
        <v>38</v>
      </c>
      <c r="G779" t="s">
        <v>69</v>
      </c>
      <c r="H779" s="1">
        <v>7</v>
      </c>
      <c r="I779" t="s">
        <v>70</v>
      </c>
      <c r="J779" t="s">
        <v>436</v>
      </c>
      <c r="K779" t="s">
        <v>109</v>
      </c>
      <c r="L779">
        <v>1</v>
      </c>
      <c r="M779">
        <v>1</v>
      </c>
      <c r="N779">
        <v>1</v>
      </c>
      <c r="O779">
        <v>0</v>
      </c>
      <c r="P779">
        <v>0</v>
      </c>
      <c r="Q779">
        <v>5</v>
      </c>
      <c r="R779">
        <v>0</v>
      </c>
      <c r="S779">
        <v>0</v>
      </c>
      <c r="T779">
        <v>0</v>
      </c>
      <c r="U779">
        <v>0</v>
      </c>
      <c r="V779">
        <f t="shared" si="344"/>
        <v>0</v>
      </c>
      <c r="W779">
        <f t="shared" si="346"/>
        <v>0</v>
      </c>
      <c r="X779">
        <f t="shared" si="347"/>
        <v>0</v>
      </c>
      <c r="Y779">
        <f t="shared" si="348"/>
        <v>0</v>
      </c>
      <c r="Z779" t="s">
        <v>89</v>
      </c>
      <c r="AA779" s="5" t="s">
        <v>82</v>
      </c>
      <c r="AB779" s="5" t="s">
        <v>82</v>
      </c>
      <c r="AC779" t="s">
        <v>76</v>
      </c>
      <c r="AD779" t="s">
        <v>74</v>
      </c>
      <c r="AE779" s="5" t="s">
        <v>74</v>
      </c>
      <c r="AF779" t="s">
        <v>73</v>
      </c>
      <c r="AG779" t="s">
        <v>75</v>
      </c>
      <c r="AH779">
        <f>AI779</f>
        <v>0.10868377999999999</v>
      </c>
      <c r="AI779">
        <f>AJ779</f>
        <v>0.10868377999999999</v>
      </c>
      <c r="AJ779">
        <f t="shared" si="345"/>
        <v>0.10868377999999999</v>
      </c>
      <c r="AK779">
        <v>0.10868377999999999</v>
      </c>
      <c r="AL779">
        <v>0.12164383400000001</v>
      </c>
      <c r="AM779">
        <v>0.12513632</v>
      </c>
      <c r="AN779">
        <v>0.13594091999999999</v>
      </c>
      <c r="AO779">
        <v>89.131621999999993</v>
      </c>
      <c r="AP779">
        <v>87.835616599999994</v>
      </c>
      <c r="AQ779">
        <v>87.486367999999999</v>
      </c>
      <c r="AR779">
        <v>86.405907999999997</v>
      </c>
      <c r="AS779" t="s">
        <v>82</v>
      </c>
      <c r="AT779" t="s">
        <v>82</v>
      </c>
      <c r="AU779" t="s">
        <v>78</v>
      </c>
      <c r="AV779" t="s">
        <v>78</v>
      </c>
      <c r="AW779" t="s">
        <v>783</v>
      </c>
      <c r="AX779" t="s">
        <v>812</v>
      </c>
      <c r="AY779" t="s">
        <v>1185</v>
      </c>
      <c r="AZ779" t="s">
        <v>82</v>
      </c>
      <c r="BA779" t="s">
        <v>82</v>
      </c>
      <c r="BB779" t="s">
        <v>82</v>
      </c>
      <c r="BC779">
        <v>7.7070764999999999E-2</v>
      </c>
      <c r="BD779">
        <v>1.90190515067399E-3</v>
      </c>
      <c r="BE779">
        <v>7.8972670150673996E-2</v>
      </c>
      <c r="BF779">
        <f>IF(AK779&lt;BE779,1,0)</f>
        <v>0</v>
      </c>
      <c r="BG779">
        <f>IF(AK779&lt;BC779,1,0)</f>
        <v>0</v>
      </c>
    </row>
    <row r="780" spans="1:65" x14ac:dyDescent="0.2">
      <c r="A780">
        <v>1</v>
      </c>
      <c r="B780" t="s">
        <v>1211</v>
      </c>
      <c r="C780">
        <v>450</v>
      </c>
      <c r="D780" t="s">
        <v>68</v>
      </c>
      <c r="E780">
        <v>1</v>
      </c>
      <c r="F780">
        <v>42</v>
      </c>
      <c r="G780" t="s">
        <v>86</v>
      </c>
      <c r="H780" s="1">
        <v>7</v>
      </c>
      <c r="I780" t="s">
        <v>87</v>
      </c>
      <c r="J780" t="s">
        <v>124</v>
      </c>
      <c r="K780" t="s">
        <v>72</v>
      </c>
      <c r="L780">
        <v>1</v>
      </c>
      <c r="M780">
        <v>1</v>
      </c>
      <c r="N780">
        <v>1</v>
      </c>
      <c r="O780">
        <v>1</v>
      </c>
      <c r="P780">
        <v>0</v>
      </c>
      <c r="Q780">
        <v>6</v>
      </c>
      <c r="R780">
        <v>0</v>
      </c>
      <c r="S780">
        <v>0</v>
      </c>
      <c r="T780">
        <v>0</v>
      </c>
      <c r="U780">
        <v>0</v>
      </c>
      <c r="V780">
        <f t="shared" si="344"/>
        <v>1</v>
      </c>
      <c r="W780">
        <v>1</v>
      </c>
      <c r="X780">
        <v>1</v>
      </c>
      <c r="Y780">
        <v>1</v>
      </c>
      <c r="Z780" t="s">
        <v>76</v>
      </c>
      <c r="AA780" s="5" t="s">
        <v>76</v>
      </c>
      <c r="AB780" s="5" t="s">
        <v>1156</v>
      </c>
      <c r="AC780" t="s">
        <v>76</v>
      </c>
      <c r="AD780" t="s">
        <v>74</v>
      </c>
      <c r="AE780" s="5" t="s">
        <v>74</v>
      </c>
      <c r="AF780" t="s">
        <v>75</v>
      </c>
      <c r="AG780" t="s">
        <v>120</v>
      </c>
      <c r="AH780">
        <f t="shared" ref="AH780:AH781" si="353">AI780</f>
        <v>8.0054650000000005E-2</v>
      </c>
      <c r="AI780">
        <f t="shared" ref="AI780:AI781" si="354">AJ780</f>
        <v>8.0054650000000005E-2</v>
      </c>
      <c r="AJ780">
        <f t="shared" si="345"/>
        <v>8.0054650000000005E-2</v>
      </c>
      <c r="AK780">
        <v>8.0054650000000005E-2</v>
      </c>
      <c r="AL780">
        <v>8.9041099999999998E-2</v>
      </c>
      <c r="AM780">
        <v>0.11515317</v>
      </c>
      <c r="AN780">
        <v>0.11878755000000001</v>
      </c>
      <c r="AO780">
        <v>91.994534999999999</v>
      </c>
      <c r="AP780">
        <v>91.095889999999997</v>
      </c>
      <c r="AQ780">
        <v>88.484683000000004</v>
      </c>
      <c r="AR780">
        <v>88.121245000000002</v>
      </c>
      <c r="AS780" t="b">
        <v>1</v>
      </c>
      <c r="AT780" t="b">
        <v>0</v>
      </c>
      <c r="AU780" t="s">
        <v>77</v>
      </c>
      <c r="AV780" t="s">
        <v>77</v>
      </c>
      <c r="AW780" t="s">
        <v>783</v>
      </c>
      <c r="AX780" t="s">
        <v>812</v>
      </c>
      <c r="AY780" t="s">
        <v>1185</v>
      </c>
      <c r="AZ780" t="s">
        <v>72</v>
      </c>
      <c r="BA780" t="s">
        <v>82</v>
      </c>
      <c r="BB780">
        <v>1</v>
      </c>
      <c r="BC780">
        <v>7.7070764999999999E-2</v>
      </c>
      <c r="BD780">
        <v>1.90190515067399E-3</v>
      </c>
      <c r="BE780">
        <v>7.8972670150673996E-2</v>
      </c>
      <c r="BF780">
        <f>IF(AK780&lt;BE780,1,0)</f>
        <v>0</v>
      </c>
      <c r="BG780">
        <f>IF(AK780&lt;BC780,1,0)</f>
        <v>0</v>
      </c>
      <c r="BH780">
        <f>VLOOKUP($B780,[1]Data_Peer_with_peerVars!$B$2:$Z$1050,20,FALSE)</f>
        <v>1</v>
      </c>
      <c r="BI780">
        <f>VLOOKUP($B780,[1]Data_Peer_with_peerVars!$B$2:$Z$1050,21,FALSE)</f>
        <v>0</v>
      </c>
      <c r="BJ780">
        <f>VLOOKUP($B780,[1]Data_Peer_with_peerVars!$B$2:$Z$1050,22,FALSE)</f>
        <v>0</v>
      </c>
      <c r="BK780">
        <f>VLOOKUP($B780,[1]Data_Peer_with_peerVars!$B$2:$Z$1050,23,FALSE)</f>
        <v>30</v>
      </c>
      <c r="BL780">
        <f>VLOOKUP($B780,[1]Data_Peer_with_peerVars!$B$2:$Z$1050,24,FALSE)</f>
        <v>9</v>
      </c>
      <c r="BM780">
        <f>VLOOKUP($B780,[1]Data_Peer_with_peerVars!$B$2:$Z$1050,25,FALSE)</f>
        <v>0.3</v>
      </c>
    </row>
    <row r="781" spans="1:65" x14ac:dyDescent="0.2">
      <c r="A781">
        <v>1</v>
      </c>
      <c r="B781" t="s">
        <v>1212</v>
      </c>
      <c r="C781">
        <v>450</v>
      </c>
      <c r="D781" t="s">
        <v>68</v>
      </c>
      <c r="E781">
        <v>1</v>
      </c>
      <c r="F781">
        <v>42</v>
      </c>
      <c r="G781" t="s">
        <v>86</v>
      </c>
      <c r="H781" s="1">
        <v>7</v>
      </c>
      <c r="I781" t="s">
        <v>87</v>
      </c>
      <c r="J781" t="s">
        <v>124</v>
      </c>
      <c r="K781" t="s">
        <v>72</v>
      </c>
      <c r="L781">
        <v>1</v>
      </c>
      <c r="M781">
        <v>1</v>
      </c>
      <c r="N781">
        <v>1</v>
      </c>
      <c r="O781">
        <v>1</v>
      </c>
      <c r="P781">
        <v>0</v>
      </c>
      <c r="Q781">
        <v>6</v>
      </c>
      <c r="R781">
        <v>0</v>
      </c>
      <c r="S781">
        <v>0</v>
      </c>
      <c r="T781">
        <v>0</v>
      </c>
      <c r="U781">
        <v>0</v>
      </c>
      <c r="V781">
        <f t="shared" si="344"/>
        <v>1</v>
      </c>
      <c r="W781">
        <v>1</v>
      </c>
      <c r="X781">
        <v>1</v>
      </c>
      <c r="Y781">
        <v>1</v>
      </c>
      <c r="Z781" t="s">
        <v>73</v>
      </c>
      <c r="AA781" s="5" t="s">
        <v>73</v>
      </c>
      <c r="AB781" s="5" t="s">
        <v>73</v>
      </c>
      <c r="AC781" t="s">
        <v>73</v>
      </c>
      <c r="AD781" t="s">
        <v>167</v>
      </c>
      <c r="AE781" s="5" t="s">
        <v>167</v>
      </c>
      <c r="AF781" t="s">
        <v>91</v>
      </c>
      <c r="AG781" t="s">
        <v>84</v>
      </c>
      <c r="AH781">
        <f t="shared" si="353"/>
        <v>0</v>
      </c>
      <c r="AI781">
        <f t="shared" si="354"/>
        <v>0</v>
      </c>
      <c r="AJ781">
        <f t="shared" si="345"/>
        <v>0</v>
      </c>
      <c r="AK781">
        <v>0</v>
      </c>
      <c r="AL781">
        <v>0</v>
      </c>
      <c r="AM781">
        <v>8.3333335999999994E-2</v>
      </c>
      <c r="AN781">
        <v>8.3333335999999994E-2</v>
      </c>
      <c r="AO781">
        <v>100</v>
      </c>
      <c r="AP781">
        <v>100</v>
      </c>
      <c r="AQ781">
        <v>91.666666399999997</v>
      </c>
      <c r="AR781">
        <v>91.666666399999997</v>
      </c>
      <c r="AS781" t="b">
        <v>1</v>
      </c>
      <c r="AT781" t="b">
        <v>0</v>
      </c>
      <c r="AU781" t="s">
        <v>77</v>
      </c>
      <c r="AV781" t="s">
        <v>77</v>
      </c>
      <c r="AW781" t="s">
        <v>783</v>
      </c>
      <c r="AX781" t="s">
        <v>812</v>
      </c>
      <c r="AY781" t="s">
        <v>1185</v>
      </c>
      <c r="AZ781" t="s">
        <v>82</v>
      </c>
      <c r="BA781" t="s">
        <v>82</v>
      </c>
      <c r="BB781">
        <v>1</v>
      </c>
      <c r="BC781">
        <v>4.1163553999999996E-3</v>
      </c>
      <c r="BD781">
        <v>1.4279989108178799E-4</v>
      </c>
      <c r="BE781">
        <v>4.2591552910817903E-3</v>
      </c>
      <c r="BF781">
        <f>IF(AK781&lt;BE781,1,0)</f>
        <v>1</v>
      </c>
      <c r="BG781">
        <f>IF(AK781&lt;BC781,1,0)</f>
        <v>1</v>
      </c>
      <c r="BH781">
        <f>VLOOKUP($B781,[1]Data_Peer_with_peerVars!$B$2:$Z$1050,20,FALSE)</f>
        <v>1</v>
      </c>
      <c r="BI781">
        <f>VLOOKUP($B781,[1]Data_Peer_with_peerVars!$B$2:$Z$1050,21,FALSE)</f>
        <v>0</v>
      </c>
      <c r="BJ781">
        <f>VLOOKUP($B781,[1]Data_Peer_with_peerVars!$B$2:$Z$1050,22,FALSE)</f>
        <v>0</v>
      </c>
      <c r="BK781">
        <f>VLOOKUP($B781,[1]Data_Peer_with_peerVars!$B$2:$Z$1050,23,FALSE)</f>
        <v>30</v>
      </c>
      <c r="BL781">
        <f>VLOOKUP($B781,[1]Data_Peer_with_peerVars!$B$2:$Z$1050,24,FALSE)</f>
        <v>9</v>
      </c>
      <c r="BM781">
        <f>VLOOKUP($B781,[1]Data_Peer_with_peerVars!$B$2:$Z$1050,25,FALSE)</f>
        <v>0.3</v>
      </c>
    </row>
    <row r="782" spans="1:65" x14ac:dyDescent="0.2">
      <c r="A782">
        <v>1</v>
      </c>
      <c r="B782" t="s">
        <v>1213</v>
      </c>
      <c r="C782">
        <v>451</v>
      </c>
      <c r="D782" t="s">
        <v>68</v>
      </c>
      <c r="E782">
        <v>1</v>
      </c>
      <c r="F782">
        <v>46</v>
      </c>
      <c r="G782" t="s">
        <v>69</v>
      </c>
      <c r="H782" s="1">
        <v>7</v>
      </c>
      <c r="I782" t="s">
        <v>87</v>
      </c>
      <c r="J782" t="s">
        <v>111</v>
      </c>
      <c r="K782" t="s">
        <v>109</v>
      </c>
      <c r="L782">
        <v>1</v>
      </c>
      <c r="M782">
        <v>0</v>
      </c>
      <c r="N782">
        <v>1</v>
      </c>
      <c r="O782">
        <v>0</v>
      </c>
      <c r="P782">
        <v>0</v>
      </c>
      <c r="Q782">
        <v>6</v>
      </c>
      <c r="R782">
        <v>0</v>
      </c>
      <c r="S782">
        <v>0</v>
      </c>
      <c r="T782">
        <v>0</v>
      </c>
      <c r="U782">
        <v>0</v>
      </c>
      <c r="V782">
        <f t="shared" si="344"/>
        <v>0</v>
      </c>
      <c r="W782">
        <f t="shared" si="346"/>
        <v>0</v>
      </c>
      <c r="X782">
        <f t="shared" si="347"/>
        <v>0</v>
      </c>
      <c r="Y782">
        <f t="shared" si="348"/>
        <v>0</v>
      </c>
      <c r="Z782" t="s">
        <v>76</v>
      </c>
      <c r="AA782" s="5" t="s">
        <v>76</v>
      </c>
      <c r="AB782" s="5" t="s">
        <v>76</v>
      </c>
      <c r="AC782" t="s">
        <v>101</v>
      </c>
      <c r="AD782" t="s">
        <v>99</v>
      </c>
      <c r="AE782" s="5" t="s">
        <v>99</v>
      </c>
      <c r="AF782" t="s">
        <v>103</v>
      </c>
      <c r="AG782" t="s">
        <v>102</v>
      </c>
      <c r="AH782">
        <f>AI782</f>
        <v>5.7660624000000001E-2</v>
      </c>
      <c r="AI782">
        <f>AJ782</f>
        <v>5.7660624000000001E-2</v>
      </c>
      <c r="AJ782">
        <f t="shared" si="345"/>
        <v>5.7660624000000001E-2</v>
      </c>
      <c r="AK782">
        <v>5.7660624000000001E-2</v>
      </c>
      <c r="AL782">
        <v>7.9106949999999995E-2</v>
      </c>
      <c r="AM782">
        <v>0.10562603</v>
      </c>
      <c r="AN782">
        <v>0.1226106</v>
      </c>
      <c r="AO782">
        <v>94.233937600000004</v>
      </c>
      <c r="AP782">
        <v>92.089304999999996</v>
      </c>
      <c r="AQ782">
        <v>89.437397000000004</v>
      </c>
      <c r="AR782">
        <v>87.738939999999999</v>
      </c>
      <c r="AS782" t="b">
        <v>0</v>
      </c>
      <c r="AT782" t="b">
        <v>0</v>
      </c>
      <c r="AU782" t="s">
        <v>77</v>
      </c>
      <c r="AV782" t="s">
        <v>77</v>
      </c>
      <c r="AW782" t="s">
        <v>783</v>
      </c>
      <c r="AX782" t="s">
        <v>812</v>
      </c>
      <c r="AY782" t="s">
        <v>1214</v>
      </c>
      <c r="AZ782" t="s">
        <v>109</v>
      </c>
      <c r="BA782">
        <v>6</v>
      </c>
      <c r="BB782">
        <v>0.7</v>
      </c>
      <c r="BC782">
        <v>1.4096186E-2</v>
      </c>
      <c r="BD782">
        <v>1.55088650053763E-3</v>
      </c>
      <c r="BE782">
        <v>1.5647072500537599E-2</v>
      </c>
      <c r="BF782">
        <f>IF(AK782&lt;BE782,1,0)</f>
        <v>0</v>
      </c>
      <c r="BG782">
        <f>IF(AK782&lt;BC782,1,0)</f>
        <v>0</v>
      </c>
      <c r="BH782">
        <f>VLOOKUP($B782,[1]Data_Peer_with_peerVars!$B$2:$Z$1050,20,FALSE)</f>
        <v>3</v>
      </c>
      <c r="BI782">
        <f>VLOOKUP($B782,[1]Data_Peer_with_peerVars!$B$2:$Z$1050,21,FALSE)</f>
        <v>1</v>
      </c>
      <c r="BJ782">
        <f>VLOOKUP($B782,[1]Data_Peer_with_peerVars!$B$2:$Z$1050,22,FALSE)</f>
        <v>0.33333333300000001</v>
      </c>
      <c r="BK782">
        <f>VLOOKUP($B782,[1]Data_Peer_with_peerVars!$B$2:$Z$1050,23,FALSE)</f>
        <v>34</v>
      </c>
      <c r="BL782">
        <f>VLOOKUP($B782,[1]Data_Peer_with_peerVars!$B$2:$Z$1050,24,FALSE)</f>
        <v>19</v>
      </c>
      <c r="BM782">
        <f>VLOOKUP($B782,[1]Data_Peer_with_peerVars!$B$2:$Z$1050,25,FALSE)</f>
        <v>0.55882352899999999</v>
      </c>
    </row>
    <row r="783" spans="1:65" x14ac:dyDescent="0.2">
      <c r="A783">
        <v>1</v>
      </c>
      <c r="B783" t="s">
        <v>1215</v>
      </c>
      <c r="C783">
        <v>452</v>
      </c>
      <c r="D783" t="s">
        <v>68</v>
      </c>
      <c r="E783">
        <v>0</v>
      </c>
      <c r="F783">
        <v>16</v>
      </c>
      <c r="G783" t="s">
        <v>119</v>
      </c>
      <c r="H783" s="1">
        <v>7</v>
      </c>
      <c r="I783" t="s">
        <v>70</v>
      </c>
      <c r="J783" t="s">
        <v>436</v>
      </c>
      <c r="K783" t="s">
        <v>109</v>
      </c>
      <c r="L783">
        <v>1</v>
      </c>
      <c r="M783">
        <v>0</v>
      </c>
      <c r="N783">
        <v>0</v>
      </c>
      <c r="O783">
        <v>1</v>
      </c>
      <c r="P783">
        <v>0</v>
      </c>
      <c r="Q783">
        <v>6</v>
      </c>
      <c r="R783">
        <v>0</v>
      </c>
      <c r="S783">
        <v>0</v>
      </c>
      <c r="T783">
        <v>0</v>
      </c>
      <c r="U783">
        <v>0</v>
      </c>
      <c r="V783">
        <f t="shared" si="344"/>
        <v>1</v>
      </c>
      <c r="W783">
        <v>1</v>
      </c>
      <c r="X783">
        <v>1</v>
      </c>
      <c r="Y783">
        <v>1</v>
      </c>
      <c r="Z783" t="s">
        <v>120</v>
      </c>
      <c r="AA783" s="5" t="s">
        <v>120</v>
      </c>
      <c r="AB783" s="5" t="s">
        <v>120</v>
      </c>
      <c r="AC783" t="s">
        <v>120</v>
      </c>
      <c r="AD783" t="s">
        <v>75</v>
      </c>
      <c r="AE783" s="5" t="s">
        <v>75</v>
      </c>
      <c r="AF783" t="s">
        <v>74</v>
      </c>
      <c r="AG783" t="s">
        <v>167</v>
      </c>
      <c r="AH783">
        <f>AI783</f>
        <v>2.6761333000000002E-2</v>
      </c>
      <c r="AI783">
        <f>AJ783</f>
        <v>2.6761333000000002E-2</v>
      </c>
      <c r="AJ783">
        <f t="shared" si="345"/>
        <v>2.6761333000000002E-2</v>
      </c>
      <c r="AK783">
        <v>2.6761333000000002E-2</v>
      </c>
      <c r="AL783">
        <v>7.9868709999999996E-2</v>
      </c>
      <c r="AM783">
        <v>8.7123290000000006E-2</v>
      </c>
      <c r="AN783">
        <v>9.9726029999999993E-2</v>
      </c>
      <c r="AO783">
        <v>97.323866699999996</v>
      </c>
      <c r="AP783">
        <v>92.013129000000006</v>
      </c>
      <c r="AQ783">
        <v>91.287671000000003</v>
      </c>
      <c r="AR783">
        <v>90.027396999999993</v>
      </c>
      <c r="AS783" t="b">
        <v>1</v>
      </c>
      <c r="AT783" t="b">
        <v>0</v>
      </c>
      <c r="AU783" t="s">
        <v>77</v>
      </c>
      <c r="AV783" t="s">
        <v>77</v>
      </c>
      <c r="AW783" t="s">
        <v>783</v>
      </c>
      <c r="AX783" t="s">
        <v>812</v>
      </c>
      <c r="AY783" t="s">
        <v>1216</v>
      </c>
      <c r="AZ783" t="s">
        <v>109</v>
      </c>
      <c r="BA783">
        <v>2</v>
      </c>
      <c r="BB783">
        <v>1.5</v>
      </c>
      <c r="BC783">
        <v>4.6849314000000003E-2</v>
      </c>
      <c r="BD783">
        <v>4.5250577219970098E-3</v>
      </c>
      <c r="BE783">
        <v>5.1374371721996999E-2</v>
      </c>
      <c r="BF783">
        <f>IF(AK783&lt;BE783,1,0)</f>
        <v>1</v>
      </c>
      <c r="BG783">
        <f>IF(AK783&lt;BC783,1,0)</f>
        <v>1</v>
      </c>
      <c r="BH783">
        <f>VLOOKUP($B783,[1]Data_Peer_with_peerVars!$B$2:$Z$1050,20,FALSE)</f>
        <v>2</v>
      </c>
      <c r="BI783">
        <f>VLOOKUP($B783,[1]Data_Peer_with_peerVars!$B$2:$Z$1050,21,FALSE)</f>
        <v>0</v>
      </c>
      <c r="BJ783">
        <f>VLOOKUP($B783,[1]Data_Peer_with_peerVars!$B$2:$Z$1050,22,FALSE)</f>
        <v>0</v>
      </c>
      <c r="BK783">
        <f>VLOOKUP($B783,[1]Data_Peer_with_peerVars!$B$2:$Z$1050,23,FALSE)</f>
        <v>32</v>
      </c>
      <c r="BL783">
        <f>VLOOKUP($B783,[1]Data_Peer_with_peerVars!$B$2:$Z$1050,24,FALSE)</f>
        <v>17</v>
      </c>
      <c r="BM783">
        <f>VLOOKUP($B783,[1]Data_Peer_with_peerVars!$B$2:$Z$1050,25,FALSE)</f>
        <v>0.53125</v>
      </c>
    </row>
    <row r="784" spans="1:65" x14ac:dyDescent="0.2">
      <c r="A784">
        <v>1</v>
      </c>
      <c r="B784" t="s">
        <v>1217</v>
      </c>
      <c r="C784">
        <v>453</v>
      </c>
      <c r="D784" t="s">
        <v>68</v>
      </c>
      <c r="E784">
        <v>0</v>
      </c>
      <c r="F784">
        <v>18</v>
      </c>
      <c r="G784" t="s">
        <v>119</v>
      </c>
      <c r="H784" s="1">
        <v>4</v>
      </c>
      <c r="M784">
        <v>1</v>
      </c>
      <c r="N784">
        <v>0</v>
      </c>
      <c r="R784">
        <v>0</v>
      </c>
      <c r="S784">
        <v>0</v>
      </c>
      <c r="T784">
        <v>0</v>
      </c>
      <c r="U784">
        <v>0</v>
      </c>
      <c r="V784">
        <f t="shared" si="344"/>
        <v>0</v>
      </c>
      <c r="W784">
        <f t="shared" si="346"/>
        <v>0</v>
      </c>
      <c r="X784">
        <f t="shared" si="347"/>
        <v>0</v>
      </c>
      <c r="Y784">
        <f t="shared" si="348"/>
        <v>0</v>
      </c>
      <c r="Z784" t="s">
        <v>89</v>
      </c>
      <c r="AA784" s="5" t="s">
        <v>82</v>
      </c>
      <c r="AB784" s="5" t="s">
        <v>82</v>
      </c>
      <c r="AC784" t="s">
        <v>73</v>
      </c>
      <c r="AD784" t="s">
        <v>75</v>
      </c>
      <c r="AE784" s="5" t="s">
        <v>75</v>
      </c>
      <c r="AF784" t="s">
        <v>94</v>
      </c>
      <c r="AG784" t="s">
        <v>95</v>
      </c>
      <c r="AH784">
        <f t="shared" ref="AH784:AH785" si="355">AI784</f>
        <v>2.7277688000000001E-2</v>
      </c>
      <c r="AI784">
        <f t="shared" ref="AI784:AI785" si="356">AJ784</f>
        <v>2.7277688000000001E-2</v>
      </c>
      <c r="AJ784">
        <f t="shared" si="345"/>
        <v>2.7277688000000001E-2</v>
      </c>
      <c r="AK784">
        <v>2.7277688000000001E-2</v>
      </c>
      <c r="AL784">
        <v>0.12136986</v>
      </c>
      <c r="AM784">
        <v>0.12793876000000001</v>
      </c>
      <c r="AN784">
        <v>0.14121510000000001</v>
      </c>
      <c r="AO784">
        <v>97.272231199999993</v>
      </c>
      <c r="AP784">
        <v>87.863014000000007</v>
      </c>
      <c r="AQ784">
        <v>87.206124000000003</v>
      </c>
      <c r="AR784">
        <v>85.878489999999999</v>
      </c>
      <c r="AS784" t="s">
        <v>82</v>
      </c>
      <c r="AT784" t="s">
        <v>82</v>
      </c>
      <c r="AU784" t="s">
        <v>77</v>
      </c>
      <c r="AV784" t="s">
        <v>78</v>
      </c>
      <c r="AW784" t="s">
        <v>783</v>
      </c>
      <c r="AX784" t="s">
        <v>812</v>
      </c>
      <c r="AY784" t="s">
        <v>1218</v>
      </c>
      <c r="AZ784" t="s">
        <v>82</v>
      </c>
      <c r="BA784" t="s">
        <v>82</v>
      </c>
      <c r="BB784" t="s">
        <v>82</v>
      </c>
      <c r="BC784">
        <v>4.1163553999999996E-3</v>
      </c>
      <c r="BD784">
        <v>1.4279989108178799E-4</v>
      </c>
      <c r="BE784">
        <v>4.2591552910817903E-3</v>
      </c>
      <c r="BF784">
        <f>IF(AK784&lt;BE784,1,0)</f>
        <v>0</v>
      </c>
      <c r="BG784">
        <f>IF(AK784&lt;BC784,1,0)</f>
        <v>0</v>
      </c>
    </row>
    <row r="785" spans="1:65" x14ac:dyDescent="0.2">
      <c r="A785">
        <v>1</v>
      </c>
      <c r="B785" t="s">
        <v>1219</v>
      </c>
      <c r="C785">
        <v>453</v>
      </c>
      <c r="D785" t="s">
        <v>68</v>
      </c>
      <c r="E785">
        <v>0</v>
      </c>
      <c r="F785">
        <v>18</v>
      </c>
      <c r="G785" t="s">
        <v>119</v>
      </c>
      <c r="H785" s="1">
        <v>4</v>
      </c>
      <c r="M785">
        <v>1</v>
      </c>
      <c r="N785">
        <v>0</v>
      </c>
      <c r="R785">
        <v>0</v>
      </c>
      <c r="S785">
        <v>0</v>
      </c>
      <c r="T785">
        <v>0</v>
      </c>
      <c r="U785">
        <v>0</v>
      </c>
      <c r="V785">
        <f t="shared" si="344"/>
        <v>0</v>
      </c>
      <c r="W785">
        <f t="shared" si="346"/>
        <v>0</v>
      </c>
      <c r="X785">
        <f t="shared" si="347"/>
        <v>0</v>
      </c>
      <c r="Y785">
        <f t="shared" si="348"/>
        <v>0</v>
      </c>
      <c r="Z785" t="s">
        <v>89</v>
      </c>
      <c r="AA785" s="5" t="s">
        <v>82</v>
      </c>
      <c r="AB785" s="5" t="s">
        <v>82</v>
      </c>
      <c r="AC785" t="s">
        <v>101</v>
      </c>
      <c r="AD785" t="s">
        <v>99</v>
      </c>
      <c r="AE785" s="5" t="s">
        <v>99</v>
      </c>
      <c r="AF785" t="s">
        <v>103</v>
      </c>
      <c r="AG785" t="s">
        <v>102</v>
      </c>
      <c r="AH785">
        <f t="shared" si="355"/>
        <v>4.6952225E-2</v>
      </c>
      <c r="AI785">
        <f t="shared" si="356"/>
        <v>4.6952225E-2</v>
      </c>
      <c r="AJ785">
        <f t="shared" si="345"/>
        <v>4.6952225E-2</v>
      </c>
      <c r="AK785">
        <v>4.6952225E-2</v>
      </c>
      <c r="AL785">
        <v>8.5217870000000001E-2</v>
      </c>
      <c r="AM785">
        <v>9.4818079999999999E-2</v>
      </c>
      <c r="AN785">
        <v>0.12943746</v>
      </c>
      <c r="AO785">
        <v>95.3047775</v>
      </c>
      <c r="AP785">
        <v>91.478212999999997</v>
      </c>
      <c r="AQ785">
        <v>90.518191999999999</v>
      </c>
      <c r="AR785">
        <v>87.056253999999996</v>
      </c>
      <c r="AS785" t="s">
        <v>82</v>
      </c>
      <c r="AT785" t="s">
        <v>82</v>
      </c>
      <c r="AU785" t="s">
        <v>77</v>
      </c>
      <c r="AV785" t="s">
        <v>77</v>
      </c>
      <c r="AW785" t="s">
        <v>783</v>
      </c>
      <c r="AX785" t="s">
        <v>812</v>
      </c>
      <c r="AY785" t="s">
        <v>1218</v>
      </c>
      <c r="AZ785" t="s">
        <v>82</v>
      </c>
      <c r="BA785" t="s">
        <v>82</v>
      </c>
      <c r="BB785" t="s">
        <v>82</v>
      </c>
      <c r="BC785">
        <v>1.4096186E-2</v>
      </c>
      <c r="BD785">
        <v>1.55088650053763E-3</v>
      </c>
      <c r="BE785">
        <v>1.5647072500537599E-2</v>
      </c>
      <c r="BF785">
        <f>IF(AK785&lt;BE785,1,0)</f>
        <v>0</v>
      </c>
      <c r="BG785">
        <f>IF(AK785&lt;BC785,1,0)</f>
        <v>0</v>
      </c>
    </row>
    <row r="786" spans="1:65" x14ac:dyDescent="0.2">
      <c r="A786">
        <v>1</v>
      </c>
      <c r="B786" t="s">
        <v>1220</v>
      </c>
      <c r="C786">
        <v>454</v>
      </c>
      <c r="D786" t="s">
        <v>68</v>
      </c>
      <c r="E786">
        <v>0</v>
      </c>
      <c r="F786">
        <v>47</v>
      </c>
      <c r="G786" t="s">
        <v>119</v>
      </c>
      <c r="H786" s="1">
        <v>7</v>
      </c>
      <c r="I786" t="s">
        <v>70</v>
      </c>
      <c r="J786" t="s">
        <v>436</v>
      </c>
      <c r="K786" t="s">
        <v>109</v>
      </c>
      <c r="L786">
        <v>2</v>
      </c>
      <c r="M786">
        <v>1</v>
      </c>
      <c r="N786">
        <v>0</v>
      </c>
      <c r="O786">
        <v>0</v>
      </c>
      <c r="P786">
        <v>0</v>
      </c>
      <c r="Q786">
        <v>5</v>
      </c>
      <c r="R786">
        <v>0</v>
      </c>
      <c r="S786">
        <v>0</v>
      </c>
      <c r="T786">
        <v>1</v>
      </c>
      <c r="U786">
        <v>1</v>
      </c>
      <c r="V786">
        <f t="shared" si="344"/>
        <v>1</v>
      </c>
      <c r="W786">
        <v>1</v>
      </c>
      <c r="X786">
        <v>1</v>
      </c>
      <c r="Y786">
        <v>1</v>
      </c>
      <c r="Z786" t="s">
        <v>73</v>
      </c>
      <c r="AA786" s="5" t="s">
        <v>73</v>
      </c>
      <c r="AB786" s="5" t="s">
        <v>73</v>
      </c>
      <c r="AC786" t="s">
        <v>73</v>
      </c>
      <c r="AD786" t="s">
        <v>94</v>
      </c>
      <c r="AE786" s="5" t="s">
        <v>106</v>
      </c>
      <c r="AF786" t="s">
        <v>107</v>
      </c>
      <c r="AG786" t="s">
        <v>95</v>
      </c>
      <c r="AH786">
        <f>AI786</f>
        <v>3.8188760000000001E-3</v>
      </c>
      <c r="AI786">
        <f>AJ786</f>
        <v>3.8188760000000001E-3</v>
      </c>
      <c r="AJ786">
        <f t="shared" si="345"/>
        <v>3.8188760000000001E-3</v>
      </c>
      <c r="AK786">
        <v>3.8188760000000001E-3</v>
      </c>
      <c r="AL786">
        <v>0.13176599</v>
      </c>
      <c r="AM786">
        <v>0.13631377</v>
      </c>
      <c r="AN786">
        <v>0.13875206000000001</v>
      </c>
      <c r="AO786">
        <v>99.618112400000001</v>
      </c>
      <c r="AP786">
        <v>86.823401000000004</v>
      </c>
      <c r="AQ786">
        <v>86.368622999999999</v>
      </c>
      <c r="AR786">
        <v>86.124793999999994</v>
      </c>
      <c r="AS786" t="b">
        <v>1</v>
      </c>
      <c r="AT786" t="b">
        <v>0</v>
      </c>
      <c r="AU786" t="s">
        <v>77</v>
      </c>
      <c r="AV786" t="s">
        <v>108</v>
      </c>
      <c r="AW786" t="s">
        <v>783</v>
      </c>
      <c r="AX786" t="s">
        <v>812</v>
      </c>
      <c r="AY786" t="s">
        <v>1185</v>
      </c>
      <c r="AZ786" t="s">
        <v>109</v>
      </c>
      <c r="BA786">
        <v>3</v>
      </c>
      <c r="BB786">
        <v>0.7</v>
      </c>
      <c r="BC786">
        <v>4.1163553999999996E-3</v>
      </c>
      <c r="BD786">
        <v>1.4279989108178799E-4</v>
      </c>
      <c r="BE786">
        <v>4.2591552910817903E-3</v>
      </c>
      <c r="BF786">
        <f>IF(AK786&lt;BE786,1,0)</f>
        <v>1</v>
      </c>
      <c r="BG786">
        <f>IF(AK786&lt;BC786,1,0)</f>
        <v>1</v>
      </c>
      <c r="BH786">
        <f>VLOOKUP($B786,[1]Data_Peer_with_peerVars!$B$2:$Z$1050,20,FALSE)</f>
        <v>20</v>
      </c>
      <c r="BI786">
        <f>VLOOKUP($B786,[1]Data_Peer_with_peerVars!$B$2:$Z$1050,21,FALSE)</f>
        <v>12</v>
      </c>
      <c r="BJ786">
        <f>VLOOKUP($B786,[1]Data_Peer_with_peerVars!$B$2:$Z$1050,22,FALSE)</f>
        <v>0.6</v>
      </c>
      <c r="BK786">
        <f>VLOOKUP($B786,[1]Data_Peer_with_peerVars!$B$2:$Z$1050,23,FALSE)</f>
        <v>47</v>
      </c>
      <c r="BL786">
        <f>VLOOKUP($B786,[1]Data_Peer_with_peerVars!$B$2:$Z$1050,24,FALSE)</f>
        <v>24</v>
      </c>
      <c r="BM786">
        <f>VLOOKUP($B786,[1]Data_Peer_with_peerVars!$B$2:$Z$1050,25,FALSE)</f>
        <v>0.51063829800000005</v>
      </c>
    </row>
    <row r="787" spans="1:65" x14ac:dyDescent="0.2">
      <c r="A787">
        <v>1</v>
      </c>
      <c r="B787" t="s">
        <v>1221</v>
      </c>
      <c r="C787">
        <v>455</v>
      </c>
      <c r="D787" t="s">
        <v>68</v>
      </c>
      <c r="E787">
        <v>1</v>
      </c>
      <c r="F787">
        <v>743</v>
      </c>
      <c r="G787" t="s">
        <v>69</v>
      </c>
      <c r="H787" s="1">
        <v>7</v>
      </c>
      <c r="I787" t="s">
        <v>87</v>
      </c>
      <c r="J787" t="s">
        <v>150</v>
      </c>
      <c r="K787" t="s">
        <v>72</v>
      </c>
      <c r="L787">
        <v>1</v>
      </c>
      <c r="M787">
        <v>0</v>
      </c>
      <c r="N787">
        <v>1</v>
      </c>
      <c r="O787">
        <v>0</v>
      </c>
      <c r="P787">
        <v>0</v>
      </c>
      <c r="Q787">
        <v>5</v>
      </c>
      <c r="R787">
        <v>1</v>
      </c>
      <c r="S787">
        <v>1</v>
      </c>
      <c r="T787">
        <v>1</v>
      </c>
      <c r="U787">
        <v>1</v>
      </c>
      <c r="V787">
        <f t="shared" si="344"/>
        <v>0</v>
      </c>
      <c r="W787">
        <f t="shared" si="346"/>
        <v>0</v>
      </c>
      <c r="X787">
        <f t="shared" si="347"/>
        <v>0</v>
      </c>
      <c r="Y787">
        <f t="shared" si="348"/>
        <v>1</v>
      </c>
      <c r="Z787" t="s">
        <v>76</v>
      </c>
      <c r="AA787" s="5" t="s">
        <v>76</v>
      </c>
      <c r="AB787" s="5" t="s">
        <v>76</v>
      </c>
      <c r="AC787" t="s">
        <v>107</v>
      </c>
      <c r="AD787" t="s">
        <v>74</v>
      </c>
      <c r="AE787" s="5" t="s">
        <v>74</v>
      </c>
      <c r="AF787" t="s">
        <v>95</v>
      </c>
      <c r="AG787" t="s">
        <v>76</v>
      </c>
      <c r="AH787">
        <f>AN787</f>
        <v>0.11551065000000001</v>
      </c>
      <c r="AI787">
        <f t="shared" ref="AI787:AI793" si="357">AJ787</f>
        <v>8.4063529999999997E-2</v>
      </c>
      <c r="AJ787">
        <f t="shared" si="345"/>
        <v>8.4063529999999997E-2</v>
      </c>
      <c r="AK787">
        <v>8.4063529999999997E-2</v>
      </c>
      <c r="AL787">
        <v>0.107945204</v>
      </c>
      <c r="AM787">
        <v>0.11530054000000001</v>
      </c>
      <c r="AN787">
        <v>0.11551065000000001</v>
      </c>
      <c r="AO787">
        <v>91.593647000000004</v>
      </c>
      <c r="AP787">
        <v>89.205479600000004</v>
      </c>
      <c r="AQ787">
        <v>88.469945999999993</v>
      </c>
      <c r="AR787">
        <v>88.448935000000006</v>
      </c>
      <c r="AS787" t="b">
        <v>0</v>
      </c>
      <c r="AT787" t="b">
        <v>0</v>
      </c>
      <c r="AU787" t="s">
        <v>77</v>
      </c>
      <c r="AV787" t="s">
        <v>78</v>
      </c>
      <c r="AW787" t="s">
        <v>783</v>
      </c>
      <c r="AX787" t="s">
        <v>812</v>
      </c>
      <c r="AY787" t="s">
        <v>1222</v>
      </c>
      <c r="AZ787" t="s">
        <v>72</v>
      </c>
      <c r="BA787" t="s">
        <v>82</v>
      </c>
      <c r="BB787">
        <v>1</v>
      </c>
      <c r="BC787">
        <v>2.6475456000000001E-2</v>
      </c>
      <c r="BD787">
        <v>8.8330364056477401E-3</v>
      </c>
      <c r="BE787">
        <v>3.53084924056477E-2</v>
      </c>
      <c r="BF787">
        <f>IF(AK787&lt;BE787,1,0)</f>
        <v>0</v>
      </c>
      <c r="BG787">
        <f>IF(AK787&lt;BC787,1,0)</f>
        <v>0</v>
      </c>
      <c r="BH787">
        <f>VLOOKUP($B787,[1]Data_Peer_with_peerVars!$B$2:$Z$1050,20,FALSE)</f>
        <v>2</v>
      </c>
      <c r="BI787">
        <f>VLOOKUP($B787,[1]Data_Peer_with_peerVars!$B$2:$Z$1050,21,FALSE)</f>
        <v>2</v>
      </c>
      <c r="BJ787">
        <f>VLOOKUP($B787,[1]Data_Peer_with_peerVars!$B$2:$Z$1050,22,FALSE)</f>
        <v>1</v>
      </c>
      <c r="BK787">
        <f>VLOOKUP($B787,[1]Data_Peer_with_peerVars!$B$2:$Z$1050,23,FALSE)</f>
        <v>29</v>
      </c>
      <c r="BL787">
        <f>VLOOKUP($B787,[1]Data_Peer_with_peerVars!$B$2:$Z$1050,24,FALSE)</f>
        <v>11</v>
      </c>
      <c r="BM787">
        <f>VLOOKUP($B787,[1]Data_Peer_with_peerVars!$B$2:$Z$1050,25,FALSE)</f>
        <v>0.37931034499999999</v>
      </c>
    </row>
    <row r="788" spans="1:65" x14ac:dyDescent="0.2">
      <c r="A788">
        <v>1</v>
      </c>
      <c r="B788" t="s">
        <v>1223</v>
      </c>
      <c r="C788">
        <v>456</v>
      </c>
      <c r="D788" t="s">
        <v>68</v>
      </c>
      <c r="E788">
        <v>1</v>
      </c>
      <c r="F788">
        <v>88</v>
      </c>
      <c r="G788" t="s">
        <v>69</v>
      </c>
      <c r="H788" s="1">
        <v>7</v>
      </c>
      <c r="I788" t="s">
        <v>87</v>
      </c>
      <c r="J788" t="s">
        <v>124</v>
      </c>
      <c r="K788" t="s">
        <v>72</v>
      </c>
      <c r="L788">
        <v>2</v>
      </c>
      <c r="M788">
        <v>0</v>
      </c>
      <c r="N788">
        <v>1</v>
      </c>
      <c r="O788">
        <v>1</v>
      </c>
      <c r="P788">
        <v>0</v>
      </c>
      <c r="Q788">
        <v>11</v>
      </c>
      <c r="R788">
        <v>0</v>
      </c>
      <c r="S788">
        <v>0</v>
      </c>
      <c r="T788">
        <v>0</v>
      </c>
      <c r="U788">
        <v>0</v>
      </c>
      <c r="V788">
        <f t="shared" si="344"/>
        <v>0</v>
      </c>
      <c r="W788">
        <f t="shared" si="346"/>
        <v>0</v>
      </c>
      <c r="X788">
        <f t="shared" si="347"/>
        <v>0</v>
      </c>
      <c r="Y788">
        <f t="shared" si="348"/>
        <v>0</v>
      </c>
      <c r="Z788" t="s">
        <v>89</v>
      </c>
      <c r="AA788" s="5" t="s">
        <v>268</v>
      </c>
      <c r="AB788" s="5" t="s">
        <v>268</v>
      </c>
      <c r="AC788" t="s">
        <v>91</v>
      </c>
      <c r="AD788" t="s">
        <v>287</v>
      </c>
      <c r="AE788" s="5" t="s">
        <v>287</v>
      </c>
      <c r="AF788" t="s">
        <v>137</v>
      </c>
      <c r="AG788" t="s">
        <v>84</v>
      </c>
      <c r="AH788">
        <f t="shared" ref="AH788:AH793" si="358">AI788</f>
        <v>3.280481E-3</v>
      </c>
      <c r="AI788">
        <f t="shared" si="357"/>
        <v>3.280481E-3</v>
      </c>
      <c r="AJ788">
        <f t="shared" si="345"/>
        <v>3.280481E-3</v>
      </c>
      <c r="AK788">
        <v>3.280481E-3</v>
      </c>
      <c r="AL788">
        <v>0.12131148</v>
      </c>
      <c r="AM788">
        <v>0.12971054000000001</v>
      </c>
      <c r="AN788">
        <v>0.13296704000000001</v>
      </c>
      <c r="AO788">
        <v>99.671951899999996</v>
      </c>
      <c r="AP788">
        <v>87.868852000000004</v>
      </c>
      <c r="AQ788">
        <v>87.028946000000005</v>
      </c>
      <c r="AR788">
        <v>86.703295999999995</v>
      </c>
      <c r="AS788" t="b">
        <v>0</v>
      </c>
      <c r="AT788" t="b">
        <v>0</v>
      </c>
      <c r="AU788" t="s">
        <v>92</v>
      </c>
      <c r="AV788" t="s">
        <v>92</v>
      </c>
      <c r="AW788" t="s">
        <v>783</v>
      </c>
      <c r="AX788" t="s">
        <v>812</v>
      </c>
      <c r="AY788" t="s">
        <v>1185</v>
      </c>
      <c r="AZ788" t="s">
        <v>72</v>
      </c>
      <c r="BA788" t="s">
        <v>82</v>
      </c>
      <c r="BB788">
        <v>0.5</v>
      </c>
      <c r="BC788">
        <v>9.0659339999999995E-3</v>
      </c>
      <c r="BD788">
        <v>2.76583658862385E-3</v>
      </c>
      <c r="BE788">
        <v>1.1831770588623799E-2</v>
      </c>
      <c r="BF788">
        <f>IF(AK788&lt;BE788,1,0)</f>
        <v>1</v>
      </c>
      <c r="BG788">
        <f>IF(AK788&lt;BC788,1,0)</f>
        <v>1</v>
      </c>
      <c r="BH788">
        <f>VLOOKUP($B788,[1]Data_Peer_with_peerVars!$B$2:$Z$1050,20,FALSE)</f>
        <v>1</v>
      </c>
      <c r="BI788">
        <f>VLOOKUP($B788,[1]Data_Peer_with_peerVars!$B$2:$Z$1050,21,FALSE)</f>
        <v>0</v>
      </c>
      <c r="BJ788">
        <f>VLOOKUP($B788,[1]Data_Peer_with_peerVars!$B$2:$Z$1050,22,FALSE)</f>
        <v>0</v>
      </c>
      <c r="BK788">
        <f>VLOOKUP($B788,[1]Data_Peer_with_peerVars!$B$2:$Z$1050,23,FALSE)</f>
        <v>44</v>
      </c>
      <c r="BL788">
        <f>VLOOKUP($B788,[1]Data_Peer_with_peerVars!$B$2:$Z$1050,24,FALSE)</f>
        <v>16</v>
      </c>
      <c r="BM788">
        <f>VLOOKUP($B788,[1]Data_Peer_with_peerVars!$B$2:$Z$1050,25,FALSE)</f>
        <v>0.36363636399999999</v>
      </c>
    </row>
    <row r="789" spans="1:65" x14ac:dyDescent="0.2">
      <c r="A789">
        <v>1</v>
      </c>
      <c r="B789" t="s">
        <v>1224</v>
      </c>
      <c r="C789">
        <v>457</v>
      </c>
      <c r="D789" t="s">
        <v>68</v>
      </c>
      <c r="E789">
        <v>1</v>
      </c>
      <c r="F789">
        <v>95</v>
      </c>
      <c r="G789" t="s">
        <v>86</v>
      </c>
      <c r="H789" s="1">
        <v>7</v>
      </c>
      <c r="I789" t="s">
        <v>87</v>
      </c>
      <c r="J789" t="s">
        <v>111</v>
      </c>
      <c r="K789" t="s">
        <v>109</v>
      </c>
      <c r="L789">
        <v>1</v>
      </c>
      <c r="M789">
        <v>1</v>
      </c>
      <c r="N789">
        <v>1</v>
      </c>
      <c r="O789">
        <v>0</v>
      </c>
      <c r="P789">
        <v>0</v>
      </c>
      <c r="Q789">
        <v>3</v>
      </c>
      <c r="R789">
        <v>1</v>
      </c>
      <c r="S789">
        <v>1</v>
      </c>
      <c r="T789">
        <v>1</v>
      </c>
      <c r="U789">
        <v>1</v>
      </c>
      <c r="V789">
        <f t="shared" si="344"/>
        <v>0</v>
      </c>
      <c r="W789">
        <f t="shared" si="346"/>
        <v>0</v>
      </c>
      <c r="X789">
        <f t="shared" si="347"/>
        <v>0</v>
      </c>
      <c r="Y789">
        <f t="shared" si="348"/>
        <v>0</v>
      </c>
      <c r="Z789" t="s">
        <v>91</v>
      </c>
      <c r="AA789" s="5" t="s">
        <v>91</v>
      </c>
      <c r="AB789" s="5" t="s">
        <v>91</v>
      </c>
      <c r="AC789" t="s">
        <v>107</v>
      </c>
      <c r="AD789" t="s">
        <v>74</v>
      </c>
      <c r="AE789" s="5" t="s">
        <v>74</v>
      </c>
      <c r="AF789" t="s">
        <v>95</v>
      </c>
      <c r="AG789" t="s">
        <v>76</v>
      </c>
      <c r="AH789">
        <f t="shared" si="358"/>
        <v>8.383562E-2</v>
      </c>
      <c r="AI789">
        <f t="shared" si="357"/>
        <v>8.383562E-2</v>
      </c>
      <c r="AJ789">
        <f t="shared" si="345"/>
        <v>8.383562E-2</v>
      </c>
      <c r="AK789">
        <v>8.383562E-2</v>
      </c>
      <c r="AL789">
        <v>0.10773025999999999</v>
      </c>
      <c r="AM789">
        <v>0.11509021</v>
      </c>
      <c r="AN789">
        <v>0.11530054000000001</v>
      </c>
      <c r="AO789">
        <v>91.616438000000002</v>
      </c>
      <c r="AP789">
        <v>89.226973999999998</v>
      </c>
      <c r="AQ789">
        <v>88.490978999999996</v>
      </c>
      <c r="AR789">
        <v>88.469945999999993</v>
      </c>
      <c r="AS789" t="b">
        <v>0</v>
      </c>
      <c r="AT789" t="b">
        <v>0</v>
      </c>
      <c r="AU789" t="s">
        <v>77</v>
      </c>
      <c r="AV789" t="s">
        <v>78</v>
      </c>
      <c r="AW789" t="s">
        <v>783</v>
      </c>
      <c r="AX789" t="s">
        <v>812</v>
      </c>
      <c r="AY789" t="s">
        <v>1225</v>
      </c>
      <c r="AZ789" t="s">
        <v>109</v>
      </c>
      <c r="BA789">
        <v>5</v>
      </c>
      <c r="BB789">
        <v>0.52500000000000002</v>
      </c>
      <c r="BC789">
        <v>2.6475456000000001E-2</v>
      </c>
      <c r="BD789">
        <v>8.8330364056477401E-3</v>
      </c>
      <c r="BE789">
        <v>3.53084924056477E-2</v>
      </c>
      <c r="BF789">
        <f>IF(AK789&lt;BE789,1,0)</f>
        <v>0</v>
      </c>
      <c r="BG789">
        <f>IF(AK789&lt;BC789,1,0)</f>
        <v>0</v>
      </c>
      <c r="BH789">
        <f>VLOOKUP($B789,[1]Data_Peer_with_peerVars!$B$2:$Z$1050,20,FALSE)</f>
        <v>2</v>
      </c>
      <c r="BI789">
        <f>VLOOKUP($B789,[1]Data_Peer_with_peerVars!$B$2:$Z$1050,21,FALSE)</f>
        <v>2</v>
      </c>
      <c r="BJ789">
        <f>VLOOKUP($B789,[1]Data_Peer_with_peerVars!$B$2:$Z$1050,22,FALSE)</f>
        <v>1</v>
      </c>
      <c r="BK789">
        <f>VLOOKUP($B789,[1]Data_Peer_with_peerVars!$B$2:$Z$1050,23,FALSE)</f>
        <v>51</v>
      </c>
      <c r="BL789">
        <f>VLOOKUP($B789,[1]Data_Peer_with_peerVars!$B$2:$Z$1050,24,FALSE)</f>
        <v>28</v>
      </c>
      <c r="BM789">
        <f>VLOOKUP($B789,[1]Data_Peer_with_peerVars!$B$2:$Z$1050,25,FALSE)</f>
        <v>0.54901960800000005</v>
      </c>
    </row>
    <row r="790" spans="1:65" x14ac:dyDescent="0.2">
      <c r="A790">
        <v>1</v>
      </c>
      <c r="B790" t="s">
        <v>1226</v>
      </c>
      <c r="C790">
        <v>457</v>
      </c>
      <c r="D790" t="s">
        <v>68</v>
      </c>
      <c r="E790">
        <v>1</v>
      </c>
      <c r="F790">
        <v>95</v>
      </c>
      <c r="G790" t="s">
        <v>86</v>
      </c>
      <c r="H790" s="1">
        <v>7</v>
      </c>
      <c r="I790" t="s">
        <v>87</v>
      </c>
      <c r="J790" t="s">
        <v>111</v>
      </c>
      <c r="K790" t="s">
        <v>109</v>
      </c>
      <c r="L790">
        <v>1</v>
      </c>
      <c r="M790">
        <v>1</v>
      </c>
      <c r="N790">
        <v>1</v>
      </c>
      <c r="O790">
        <v>0</v>
      </c>
      <c r="P790">
        <v>0</v>
      </c>
      <c r="Q790">
        <v>3</v>
      </c>
      <c r="R790">
        <v>0</v>
      </c>
      <c r="S790">
        <v>0</v>
      </c>
      <c r="T790">
        <v>0</v>
      </c>
      <c r="U790">
        <v>0</v>
      </c>
      <c r="V790">
        <f t="shared" si="344"/>
        <v>0</v>
      </c>
      <c r="W790">
        <f t="shared" si="346"/>
        <v>0</v>
      </c>
      <c r="X790">
        <f t="shared" si="347"/>
        <v>0</v>
      </c>
      <c r="Y790">
        <f t="shared" si="348"/>
        <v>0</v>
      </c>
      <c r="Z790" t="s">
        <v>76</v>
      </c>
      <c r="AA790" s="5" t="s">
        <v>76</v>
      </c>
      <c r="AB790" s="5" t="s">
        <v>76</v>
      </c>
      <c r="AC790" t="s">
        <v>287</v>
      </c>
      <c r="AD790" t="s">
        <v>137</v>
      </c>
      <c r="AE790" s="5" t="s">
        <v>137</v>
      </c>
      <c r="AF790" t="s">
        <v>113</v>
      </c>
      <c r="AG790" t="s">
        <v>91</v>
      </c>
      <c r="AH790">
        <f t="shared" si="358"/>
        <v>5.2430365E-2</v>
      </c>
      <c r="AI790">
        <f t="shared" si="357"/>
        <v>5.2430365E-2</v>
      </c>
      <c r="AJ790">
        <f t="shared" si="345"/>
        <v>5.2430365E-2</v>
      </c>
      <c r="AK790">
        <v>5.2430365E-2</v>
      </c>
      <c r="AL790">
        <v>0.10240306</v>
      </c>
      <c r="AM790">
        <v>0.12335164999999999</v>
      </c>
      <c r="AN790">
        <v>0.12773523000000001</v>
      </c>
      <c r="AO790">
        <v>94.756963499999998</v>
      </c>
      <c r="AP790">
        <v>89.759693999999996</v>
      </c>
      <c r="AQ790">
        <v>87.664834999999997</v>
      </c>
      <c r="AR790">
        <v>87.226477000000003</v>
      </c>
      <c r="AS790" t="b">
        <v>0</v>
      </c>
      <c r="AT790" t="b">
        <v>0</v>
      </c>
      <c r="AU790" t="s">
        <v>77</v>
      </c>
      <c r="AV790" t="s">
        <v>78</v>
      </c>
      <c r="AW790" t="s">
        <v>783</v>
      </c>
      <c r="AX790" t="s">
        <v>812</v>
      </c>
      <c r="AY790" t="s">
        <v>1225</v>
      </c>
      <c r="AZ790" t="s">
        <v>109</v>
      </c>
      <c r="BA790">
        <v>4</v>
      </c>
      <c r="BB790">
        <v>1.05</v>
      </c>
      <c r="BC790">
        <v>5.5106750000000003E-2</v>
      </c>
      <c r="BD790">
        <v>2.4361461616194298E-3</v>
      </c>
      <c r="BE790">
        <v>5.7542896161619402E-2</v>
      </c>
      <c r="BF790">
        <f>IF(AK790&lt;BE790,1,0)</f>
        <v>1</v>
      </c>
      <c r="BG790">
        <f>IF(AK790&lt;BC790,1,0)</f>
        <v>1</v>
      </c>
      <c r="BH790">
        <f>VLOOKUP($B790,[1]Data_Peer_with_peerVars!$B$2:$Z$1050,20,FALSE)</f>
        <v>2</v>
      </c>
      <c r="BI790">
        <f>VLOOKUP($B790,[1]Data_Peer_with_peerVars!$B$2:$Z$1050,21,FALSE)</f>
        <v>2</v>
      </c>
      <c r="BJ790">
        <f>VLOOKUP($B790,[1]Data_Peer_with_peerVars!$B$2:$Z$1050,22,FALSE)</f>
        <v>1</v>
      </c>
      <c r="BK790">
        <f>VLOOKUP($B790,[1]Data_Peer_with_peerVars!$B$2:$Z$1050,23,FALSE)</f>
        <v>51</v>
      </c>
      <c r="BL790">
        <f>VLOOKUP($B790,[1]Data_Peer_with_peerVars!$B$2:$Z$1050,24,FALSE)</f>
        <v>28</v>
      </c>
      <c r="BM790">
        <f>VLOOKUP($B790,[1]Data_Peer_with_peerVars!$B$2:$Z$1050,25,FALSE)</f>
        <v>0.54901960800000005</v>
      </c>
    </row>
    <row r="791" spans="1:65" x14ac:dyDescent="0.2">
      <c r="A791">
        <v>1</v>
      </c>
      <c r="B791" t="s">
        <v>1227</v>
      </c>
      <c r="C791">
        <v>458</v>
      </c>
      <c r="D791" t="s">
        <v>68</v>
      </c>
      <c r="E791">
        <v>0</v>
      </c>
      <c r="F791">
        <v>169</v>
      </c>
      <c r="G791" t="s">
        <v>119</v>
      </c>
      <c r="H791" s="1">
        <v>7</v>
      </c>
      <c r="I791" t="s">
        <v>70</v>
      </c>
      <c r="J791" t="s">
        <v>436</v>
      </c>
      <c r="K791" t="s">
        <v>109</v>
      </c>
      <c r="L791">
        <v>1</v>
      </c>
      <c r="M791">
        <v>1</v>
      </c>
      <c r="N791">
        <v>0</v>
      </c>
      <c r="O791">
        <v>0</v>
      </c>
      <c r="P791">
        <v>0</v>
      </c>
      <c r="Q791">
        <v>0</v>
      </c>
      <c r="R791">
        <v>0</v>
      </c>
      <c r="S791">
        <v>0</v>
      </c>
      <c r="T791">
        <v>0</v>
      </c>
      <c r="U791">
        <v>0</v>
      </c>
      <c r="V791">
        <f t="shared" si="344"/>
        <v>1</v>
      </c>
      <c r="W791">
        <v>1</v>
      </c>
      <c r="X791">
        <v>1</v>
      </c>
      <c r="Y791">
        <v>1</v>
      </c>
      <c r="Z791" t="s">
        <v>73</v>
      </c>
      <c r="AA791" s="5" t="s">
        <v>73</v>
      </c>
      <c r="AB791" s="5" t="s">
        <v>73</v>
      </c>
      <c r="AC791" t="s">
        <v>73</v>
      </c>
      <c r="AD791" t="s">
        <v>91</v>
      </c>
      <c r="AE791" s="5" t="s">
        <v>91</v>
      </c>
      <c r="AF791" t="s">
        <v>94</v>
      </c>
      <c r="AG791" t="s">
        <v>137</v>
      </c>
      <c r="AH791">
        <f t="shared" si="358"/>
        <v>7.8789529999999997E-2</v>
      </c>
      <c r="AI791">
        <f t="shared" si="357"/>
        <v>7.8789529999999997E-2</v>
      </c>
      <c r="AJ791">
        <f t="shared" si="345"/>
        <v>7.8789529999999997E-2</v>
      </c>
      <c r="AK791">
        <v>7.8789529999999997E-2</v>
      </c>
      <c r="AL791">
        <v>8.4199019999999999E-2</v>
      </c>
      <c r="AM791">
        <v>0.13455239999999999</v>
      </c>
      <c r="AN791">
        <v>0.14028383999999999</v>
      </c>
      <c r="AO791">
        <v>92.121047000000004</v>
      </c>
      <c r="AP791">
        <v>91.580098000000007</v>
      </c>
      <c r="AQ791">
        <v>86.544759999999997</v>
      </c>
      <c r="AR791">
        <v>85.971615999999997</v>
      </c>
      <c r="AS791" t="b">
        <v>1</v>
      </c>
      <c r="AT791" t="b">
        <v>0</v>
      </c>
      <c r="AU791" t="s">
        <v>77</v>
      </c>
      <c r="AV791" t="s">
        <v>77</v>
      </c>
      <c r="AW791" t="s">
        <v>783</v>
      </c>
      <c r="AX791" t="s">
        <v>812</v>
      </c>
      <c r="AY791" t="s">
        <v>1185</v>
      </c>
      <c r="AZ791" t="s">
        <v>109</v>
      </c>
      <c r="BA791">
        <v>5</v>
      </c>
      <c r="BB791">
        <v>2.1</v>
      </c>
      <c r="BC791">
        <v>4.1163553999999996E-3</v>
      </c>
      <c r="BD791">
        <v>1.4279989108178799E-4</v>
      </c>
      <c r="BE791">
        <v>4.2591552910817903E-3</v>
      </c>
      <c r="BF791">
        <f>IF(AK791&lt;BE791,1,0)</f>
        <v>0</v>
      </c>
      <c r="BG791">
        <f>IF(AK791&lt;BC791,1,0)</f>
        <v>0</v>
      </c>
      <c r="BH791">
        <f>VLOOKUP($B791,[1]Data_Peer_with_peerVars!$B$2:$Z$1050,20,FALSE)</f>
        <v>12</v>
      </c>
      <c r="BI791">
        <f>VLOOKUP($B791,[1]Data_Peer_with_peerVars!$B$2:$Z$1050,21,FALSE)</f>
        <v>9</v>
      </c>
      <c r="BJ791">
        <f>VLOOKUP($B791,[1]Data_Peer_with_peerVars!$B$2:$Z$1050,22,FALSE)</f>
        <v>0.75</v>
      </c>
      <c r="BK791">
        <f>VLOOKUP($B791,[1]Data_Peer_with_peerVars!$B$2:$Z$1050,23,FALSE)</f>
        <v>49</v>
      </c>
      <c r="BL791">
        <f>VLOOKUP($B791,[1]Data_Peer_with_peerVars!$B$2:$Z$1050,24,FALSE)</f>
        <v>26</v>
      </c>
      <c r="BM791">
        <f>VLOOKUP($B791,[1]Data_Peer_with_peerVars!$B$2:$Z$1050,25,FALSE)</f>
        <v>0.53061224500000004</v>
      </c>
    </row>
    <row r="792" spans="1:65" x14ac:dyDescent="0.2">
      <c r="A792">
        <v>1</v>
      </c>
      <c r="B792" t="s">
        <v>1228</v>
      </c>
      <c r="C792">
        <v>458</v>
      </c>
      <c r="D792" t="s">
        <v>68</v>
      </c>
      <c r="E792">
        <v>0</v>
      </c>
      <c r="F792">
        <v>169</v>
      </c>
      <c r="G792" t="s">
        <v>119</v>
      </c>
      <c r="H792" s="1">
        <v>7</v>
      </c>
      <c r="I792" t="s">
        <v>70</v>
      </c>
      <c r="J792" t="s">
        <v>436</v>
      </c>
      <c r="K792" t="s">
        <v>109</v>
      </c>
      <c r="L792">
        <v>1</v>
      </c>
      <c r="M792">
        <v>1</v>
      </c>
      <c r="N792">
        <v>0</v>
      </c>
      <c r="O792">
        <v>0</v>
      </c>
      <c r="P792">
        <v>0</v>
      </c>
      <c r="Q792">
        <v>0</v>
      </c>
      <c r="R792">
        <v>0</v>
      </c>
      <c r="S792">
        <v>0</v>
      </c>
      <c r="T792">
        <v>0</v>
      </c>
      <c r="U792">
        <v>0</v>
      </c>
      <c r="V792">
        <f t="shared" si="344"/>
        <v>1</v>
      </c>
      <c r="W792">
        <v>1</v>
      </c>
      <c r="X792">
        <v>1</v>
      </c>
      <c r="Y792">
        <v>1</v>
      </c>
      <c r="Z792" t="s">
        <v>76</v>
      </c>
      <c r="AA792" s="5" t="s">
        <v>76</v>
      </c>
      <c r="AB792" s="5" t="s">
        <v>76</v>
      </c>
      <c r="AC792" t="s">
        <v>76</v>
      </c>
      <c r="AD792" t="s">
        <v>74</v>
      </c>
      <c r="AE792" s="5" t="s">
        <v>142</v>
      </c>
      <c r="AF792" t="s">
        <v>120</v>
      </c>
      <c r="AG792" t="s">
        <v>75</v>
      </c>
      <c r="AH792">
        <f t="shared" si="358"/>
        <v>8.0010919999999999E-2</v>
      </c>
      <c r="AI792">
        <f t="shared" si="357"/>
        <v>8.0010919999999999E-2</v>
      </c>
      <c r="AJ792">
        <f t="shared" si="345"/>
        <v>8.0010919999999999E-2</v>
      </c>
      <c r="AK792">
        <v>8.0010919999999999E-2</v>
      </c>
      <c r="AL792">
        <v>8.4109589999999998E-2</v>
      </c>
      <c r="AM792">
        <v>0.11551065000000001</v>
      </c>
      <c r="AN792">
        <v>0.11761488</v>
      </c>
      <c r="AO792">
        <v>91.998908</v>
      </c>
      <c r="AP792">
        <v>91.589040999999995</v>
      </c>
      <c r="AQ792">
        <v>88.448935000000006</v>
      </c>
      <c r="AR792">
        <v>88.238512</v>
      </c>
      <c r="AS792" t="b">
        <v>0</v>
      </c>
      <c r="AT792" t="b">
        <v>0</v>
      </c>
      <c r="AU792" t="s">
        <v>108</v>
      </c>
      <c r="AV792" t="s">
        <v>108</v>
      </c>
      <c r="AW792" t="s">
        <v>783</v>
      </c>
      <c r="AX792" t="s">
        <v>812</v>
      </c>
      <c r="AY792" t="s">
        <v>1185</v>
      </c>
      <c r="AZ792" t="s">
        <v>72</v>
      </c>
      <c r="BA792" t="s">
        <v>82</v>
      </c>
      <c r="BB792">
        <v>0.7</v>
      </c>
      <c r="BC792">
        <v>7.7070764999999999E-2</v>
      </c>
      <c r="BD792">
        <v>1.90190515067399E-3</v>
      </c>
      <c r="BE792">
        <v>7.8972670150673996E-2</v>
      </c>
      <c r="BF792">
        <f>IF(AK792&lt;BE792,1,0)</f>
        <v>0</v>
      </c>
      <c r="BG792">
        <f>IF(AK792&lt;BC792,1,0)</f>
        <v>0</v>
      </c>
      <c r="BH792">
        <f>VLOOKUP($B792,[1]Data_Peer_with_peerVars!$B$2:$Z$1050,20,FALSE)</f>
        <v>12</v>
      </c>
      <c r="BI792">
        <f>VLOOKUP($B792,[1]Data_Peer_with_peerVars!$B$2:$Z$1050,21,FALSE)</f>
        <v>9</v>
      </c>
      <c r="BJ792">
        <f>VLOOKUP($B792,[1]Data_Peer_with_peerVars!$B$2:$Z$1050,22,FALSE)</f>
        <v>0.75</v>
      </c>
      <c r="BK792">
        <f>VLOOKUP($B792,[1]Data_Peer_with_peerVars!$B$2:$Z$1050,23,FALSE)</f>
        <v>49</v>
      </c>
      <c r="BL792">
        <f>VLOOKUP($B792,[1]Data_Peer_with_peerVars!$B$2:$Z$1050,24,FALSE)</f>
        <v>26</v>
      </c>
      <c r="BM792">
        <f>VLOOKUP($B792,[1]Data_Peer_with_peerVars!$B$2:$Z$1050,25,FALSE)</f>
        <v>0.53061224500000004</v>
      </c>
    </row>
    <row r="793" spans="1:65" x14ac:dyDescent="0.2">
      <c r="A793">
        <v>1</v>
      </c>
      <c r="B793" t="s">
        <v>1229</v>
      </c>
      <c r="C793">
        <v>459</v>
      </c>
      <c r="D793" t="s">
        <v>68</v>
      </c>
      <c r="E793">
        <v>0</v>
      </c>
      <c r="F793">
        <v>170</v>
      </c>
      <c r="G793" t="s">
        <v>119</v>
      </c>
      <c r="H793" s="1">
        <v>7</v>
      </c>
      <c r="J793" t="s">
        <v>82</v>
      </c>
      <c r="L793">
        <v>1</v>
      </c>
      <c r="M793">
        <v>1</v>
      </c>
      <c r="N793">
        <v>0</v>
      </c>
      <c r="O793">
        <v>0</v>
      </c>
      <c r="P793">
        <v>0</v>
      </c>
      <c r="Q793">
        <v>6</v>
      </c>
      <c r="R793">
        <v>0</v>
      </c>
      <c r="S793">
        <v>0</v>
      </c>
      <c r="T793">
        <v>0</v>
      </c>
      <c r="U793">
        <v>0</v>
      </c>
      <c r="V793">
        <f t="shared" si="344"/>
        <v>0</v>
      </c>
      <c r="W793">
        <f t="shared" si="346"/>
        <v>0</v>
      </c>
      <c r="X793">
        <f t="shared" si="347"/>
        <v>0</v>
      </c>
      <c r="Y793">
        <f t="shared" si="348"/>
        <v>0</v>
      </c>
      <c r="Z793" t="s">
        <v>89</v>
      </c>
      <c r="AA793" s="5" t="s">
        <v>82</v>
      </c>
      <c r="AB793" s="5" t="s">
        <v>82</v>
      </c>
      <c r="AC793" t="s">
        <v>76</v>
      </c>
      <c r="AD793" t="s">
        <v>120</v>
      </c>
      <c r="AE793" s="5" t="s">
        <v>120</v>
      </c>
      <c r="AF793" t="s">
        <v>75</v>
      </c>
      <c r="AG793" t="s">
        <v>167</v>
      </c>
      <c r="AH793">
        <f t="shared" si="358"/>
        <v>0</v>
      </c>
      <c r="AI793">
        <f t="shared" si="357"/>
        <v>0</v>
      </c>
      <c r="AO793">
        <v>100</v>
      </c>
      <c r="AP793">
        <v>100</v>
      </c>
      <c r="AQ793">
        <v>100</v>
      </c>
      <c r="AR793">
        <v>100</v>
      </c>
      <c r="AS793" t="s">
        <v>82</v>
      </c>
      <c r="AT793" t="s">
        <v>82</v>
      </c>
      <c r="AU793" t="s">
        <v>77</v>
      </c>
      <c r="AV793" t="s">
        <v>77</v>
      </c>
      <c r="AW793" t="s">
        <v>783</v>
      </c>
      <c r="AX793" t="s">
        <v>812</v>
      </c>
      <c r="AY793" t="s">
        <v>1185</v>
      </c>
      <c r="AZ793" t="s">
        <v>82</v>
      </c>
      <c r="BA793" t="s">
        <v>82</v>
      </c>
      <c r="BB793" t="s">
        <v>82</v>
      </c>
      <c r="BC793">
        <v>7.7070764999999999E-2</v>
      </c>
      <c r="BD793">
        <v>1.90190515067399E-3</v>
      </c>
      <c r="BE793">
        <v>7.8972670150673996E-2</v>
      </c>
      <c r="BF793">
        <f>IF(AK793&lt;BE793,1,0)</f>
        <v>1</v>
      </c>
      <c r="BG793">
        <f>IF(AK793&lt;BC793,1,0)</f>
        <v>1</v>
      </c>
    </row>
    <row r="794" spans="1:65" x14ac:dyDescent="0.2">
      <c r="A794">
        <v>1</v>
      </c>
      <c r="B794" t="s">
        <v>1230</v>
      </c>
      <c r="C794">
        <v>460</v>
      </c>
      <c r="D794" t="s">
        <v>68</v>
      </c>
      <c r="E794">
        <v>1</v>
      </c>
      <c r="F794">
        <v>646</v>
      </c>
      <c r="G794" t="s">
        <v>69</v>
      </c>
      <c r="H794" s="1">
        <v>6</v>
      </c>
      <c r="I794" t="s">
        <v>87</v>
      </c>
      <c r="J794" t="s">
        <v>88</v>
      </c>
      <c r="K794" t="s">
        <v>72</v>
      </c>
      <c r="L794">
        <v>1</v>
      </c>
      <c r="M794">
        <v>1</v>
      </c>
      <c r="N794">
        <v>0</v>
      </c>
      <c r="O794">
        <v>0</v>
      </c>
      <c r="P794">
        <v>0</v>
      </c>
      <c r="Q794">
        <v>6</v>
      </c>
      <c r="R794">
        <v>0</v>
      </c>
      <c r="S794">
        <v>0</v>
      </c>
      <c r="T794">
        <v>0</v>
      </c>
      <c r="U794">
        <v>0</v>
      </c>
      <c r="V794">
        <f t="shared" si="344"/>
        <v>0</v>
      </c>
      <c r="W794">
        <f t="shared" si="346"/>
        <v>0</v>
      </c>
      <c r="X794">
        <f t="shared" si="347"/>
        <v>0</v>
      </c>
      <c r="Y794">
        <f t="shared" si="348"/>
        <v>0</v>
      </c>
      <c r="Z794" t="s">
        <v>73</v>
      </c>
      <c r="AA794" s="5" t="s">
        <v>73</v>
      </c>
      <c r="AB794" s="5" t="s">
        <v>73</v>
      </c>
      <c r="AC794" t="s">
        <v>91</v>
      </c>
      <c r="AD794" t="s">
        <v>287</v>
      </c>
      <c r="AE794" s="5" t="s">
        <v>287</v>
      </c>
      <c r="AF794" t="s">
        <v>137</v>
      </c>
      <c r="AG794" t="s">
        <v>84</v>
      </c>
      <c r="AH794">
        <f t="shared" ref="AH794" si="359">AI794</f>
        <v>1.0661564E-2</v>
      </c>
      <c r="AI794">
        <f t="shared" ref="AI794:AI799" si="360">AJ794</f>
        <v>1.0661564E-2</v>
      </c>
      <c r="AJ794">
        <f t="shared" si="345"/>
        <v>1.0661564E-2</v>
      </c>
      <c r="AK794">
        <v>1.0661564E-2</v>
      </c>
      <c r="AL794">
        <v>0.117486335</v>
      </c>
      <c r="AM794">
        <v>0.12861823999999999</v>
      </c>
      <c r="AN794">
        <v>0.13379120999999999</v>
      </c>
      <c r="AO794">
        <v>98.933843600000003</v>
      </c>
      <c r="AP794">
        <v>88.251366500000003</v>
      </c>
      <c r="AQ794">
        <v>87.138176000000001</v>
      </c>
      <c r="AR794">
        <v>86.620879000000002</v>
      </c>
      <c r="AS794" t="b">
        <v>0</v>
      </c>
      <c r="AT794" t="b">
        <v>0</v>
      </c>
      <c r="AU794" t="s">
        <v>77</v>
      </c>
      <c r="AV794" t="s">
        <v>78</v>
      </c>
      <c r="AW794" t="s">
        <v>783</v>
      </c>
      <c r="AX794" t="s">
        <v>812</v>
      </c>
      <c r="AY794" t="s">
        <v>1185</v>
      </c>
      <c r="AZ794" t="s">
        <v>72</v>
      </c>
      <c r="BA794" t="s">
        <v>82</v>
      </c>
      <c r="BB794">
        <v>1.4</v>
      </c>
      <c r="BC794">
        <v>9.0659339999999995E-3</v>
      </c>
      <c r="BD794">
        <v>2.76583658862385E-3</v>
      </c>
      <c r="BE794">
        <v>1.1831770588623799E-2</v>
      </c>
      <c r="BF794">
        <f>IF(AK794&lt;BE794,1,0)</f>
        <v>1</v>
      </c>
      <c r="BG794">
        <f>IF(AK794&lt;BC794,1,0)</f>
        <v>0</v>
      </c>
      <c r="BH794">
        <f>VLOOKUP($B794,[1]Data_Peer_with_peerVars!$B$2:$Z$1050,20,FALSE)</f>
        <v>7</v>
      </c>
      <c r="BI794">
        <f>VLOOKUP($B794,[1]Data_Peer_with_peerVars!$B$2:$Z$1050,21,FALSE)</f>
        <v>7</v>
      </c>
      <c r="BJ794">
        <f>VLOOKUP($B794,[1]Data_Peer_with_peerVars!$B$2:$Z$1050,22,FALSE)</f>
        <v>1</v>
      </c>
      <c r="BK794">
        <f>VLOOKUP($B794,[1]Data_Peer_with_peerVars!$B$2:$Z$1050,23,FALSE)</f>
        <v>46</v>
      </c>
      <c r="BL794">
        <f>VLOOKUP($B794,[1]Data_Peer_with_peerVars!$B$2:$Z$1050,24,FALSE)</f>
        <v>24</v>
      </c>
      <c r="BM794">
        <f>VLOOKUP($B794,[1]Data_Peer_with_peerVars!$B$2:$Z$1050,25,FALSE)</f>
        <v>0.52173913000000005</v>
      </c>
    </row>
    <row r="795" spans="1:65" x14ac:dyDescent="0.2">
      <c r="A795">
        <v>1</v>
      </c>
      <c r="B795" t="s">
        <v>1231</v>
      </c>
      <c r="C795">
        <v>460</v>
      </c>
      <c r="D795" t="s">
        <v>68</v>
      </c>
      <c r="E795">
        <v>1</v>
      </c>
      <c r="F795">
        <v>646</v>
      </c>
      <c r="G795" t="s">
        <v>69</v>
      </c>
      <c r="H795" s="1">
        <v>6</v>
      </c>
      <c r="I795" t="s">
        <v>87</v>
      </c>
      <c r="J795" t="s">
        <v>88</v>
      </c>
      <c r="K795" t="s">
        <v>72</v>
      </c>
      <c r="L795">
        <v>1</v>
      </c>
      <c r="M795">
        <v>1</v>
      </c>
      <c r="N795">
        <v>0</v>
      </c>
      <c r="O795">
        <v>0</v>
      </c>
      <c r="P795">
        <v>0</v>
      </c>
      <c r="Q795">
        <v>6</v>
      </c>
      <c r="R795">
        <v>0</v>
      </c>
      <c r="S795">
        <v>0</v>
      </c>
      <c r="T795">
        <v>0</v>
      </c>
      <c r="U795">
        <v>0</v>
      </c>
      <c r="V795">
        <f t="shared" si="344"/>
        <v>0</v>
      </c>
      <c r="W795">
        <f t="shared" si="346"/>
        <v>1</v>
      </c>
      <c r="X795">
        <v>1</v>
      </c>
      <c r="Y795">
        <v>1</v>
      </c>
      <c r="Z795" t="s">
        <v>76</v>
      </c>
      <c r="AA795" s="5" t="s">
        <v>76</v>
      </c>
      <c r="AB795" s="5" t="s">
        <v>76</v>
      </c>
      <c r="AC795" t="s">
        <v>74</v>
      </c>
      <c r="AD795" t="s">
        <v>76</v>
      </c>
      <c r="AE795" s="5" t="s">
        <v>241</v>
      </c>
      <c r="AF795" t="s">
        <v>75</v>
      </c>
      <c r="AG795" t="s">
        <v>120</v>
      </c>
      <c r="AH795">
        <f>AI795</f>
        <v>8.6837789999999998E-2</v>
      </c>
      <c r="AI795">
        <f t="shared" si="360"/>
        <v>8.6837789999999998E-2</v>
      </c>
      <c r="AJ795">
        <f>AL795</f>
        <v>8.6837789999999998E-2</v>
      </c>
      <c r="AK795">
        <v>8.6301370000000002E-2</v>
      </c>
      <c r="AL795">
        <v>8.6837789999999998E-2</v>
      </c>
      <c r="AM795">
        <v>0.11870897</v>
      </c>
      <c r="AN795">
        <v>0.11878755000000001</v>
      </c>
      <c r="AO795">
        <v>91.369862999999995</v>
      </c>
      <c r="AP795">
        <v>91.316220999999999</v>
      </c>
      <c r="AQ795">
        <v>88.129103000000001</v>
      </c>
      <c r="AR795">
        <v>88.121245000000002</v>
      </c>
      <c r="AS795" t="b">
        <v>0</v>
      </c>
      <c r="AT795" t="b">
        <v>0</v>
      </c>
      <c r="AU795" t="s">
        <v>108</v>
      </c>
      <c r="AV795" t="s">
        <v>108</v>
      </c>
      <c r="AW795" t="s">
        <v>783</v>
      </c>
      <c r="AX795" t="s">
        <v>812</v>
      </c>
      <c r="AY795" t="s">
        <v>1185</v>
      </c>
      <c r="AZ795" t="s">
        <v>72</v>
      </c>
      <c r="BA795" t="s">
        <v>82</v>
      </c>
      <c r="BB795">
        <v>0.7</v>
      </c>
      <c r="BC795">
        <v>2.4738868000000001E-3</v>
      </c>
      <c r="BD795">
        <v>1.4256942275279999E-4</v>
      </c>
      <c r="BE795">
        <v>2.6164562227527998E-3</v>
      </c>
      <c r="BF795">
        <f>IF(AK795&lt;BE795,1,0)</f>
        <v>0</v>
      </c>
      <c r="BG795">
        <f>IF(AK795&lt;BC795,1,0)</f>
        <v>0</v>
      </c>
      <c r="BH795">
        <f>VLOOKUP($B795,[1]Data_Peer_with_peerVars!$B$2:$Z$1050,20,FALSE)</f>
        <v>7</v>
      </c>
      <c r="BI795">
        <f>VLOOKUP($B795,[1]Data_Peer_with_peerVars!$B$2:$Z$1050,21,FALSE)</f>
        <v>7</v>
      </c>
      <c r="BJ795">
        <f>VLOOKUP($B795,[1]Data_Peer_with_peerVars!$B$2:$Z$1050,22,FALSE)</f>
        <v>1</v>
      </c>
      <c r="BK795">
        <f>VLOOKUP($B795,[1]Data_Peer_with_peerVars!$B$2:$Z$1050,23,FALSE)</f>
        <v>46</v>
      </c>
      <c r="BL795">
        <f>VLOOKUP($B795,[1]Data_Peer_with_peerVars!$B$2:$Z$1050,24,FALSE)</f>
        <v>24</v>
      </c>
      <c r="BM795">
        <f>VLOOKUP($B795,[1]Data_Peer_with_peerVars!$B$2:$Z$1050,25,FALSE)</f>
        <v>0.52173913000000005</v>
      </c>
    </row>
    <row r="796" spans="1:65" x14ac:dyDescent="0.2">
      <c r="A796">
        <v>1</v>
      </c>
      <c r="B796" t="s">
        <v>1232</v>
      </c>
      <c r="C796">
        <v>461</v>
      </c>
      <c r="D796" t="s">
        <v>68</v>
      </c>
      <c r="E796">
        <v>1</v>
      </c>
      <c r="F796">
        <v>648</v>
      </c>
      <c r="G796" t="s">
        <v>86</v>
      </c>
      <c r="H796" s="1">
        <v>7</v>
      </c>
      <c r="I796" t="s">
        <v>87</v>
      </c>
      <c r="J796" t="s">
        <v>88</v>
      </c>
      <c r="K796" t="s">
        <v>72</v>
      </c>
      <c r="L796">
        <v>1</v>
      </c>
      <c r="M796">
        <v>0</v>
      </c>
      <c r="N796">
        <v>1</v>
      </c>
      <c r="O796">
        <v>0</v>
      </c>
      <c r="P796">
        <v>0</v>
      </c>
      <c r="Q796">
        <v>6</v>
      </c>
      <c r="R796">
        <v>0</v>
      </c>
      <c r="S796">
        <v>0</v>
      </c>
      <c r="T796">
        <v>0</v>
      </c>
      <c r="U796">
        <v>0</v>
      </c>
      <c r="V796">
        <f t="shared" si="344"/>
        <v>0</v>
      </c>
      <c r="W796">
        <f t="shared" si="346"/>
        <v>0</v>
      </c>
      <c r="X796">
        <f t="shared" si="347"/>
        <v>0</v>
      </c>
      <c r="Y796">
        <f t="shared" si="348"/>
        <v>0</v>
      </c>
      <c r="Z796" t="s">
        <v>91</v>
      </c>
      <c r="AA796" s="5" t="s">
        <v>91</v>
      </c>
      <c r="AB796" s="5" t="s">
        <v>91</v>
      </c>
      <c r="AC796" t="s">
        <v>73</v>
      </c>
      <c r="AD796" t="s">
        <v>94</v>
      </c>
      <c r="AE796" s="5" t="s">
        <v>94</v>
      </c>
      <c r="AF796" t="s">
        <v>75</v>
      </c>
      <c r="AG796" t="s">
        <v>95</v>
      </c>
      <c r="AH796">
        <f t="shared" ref="AH796:AH799" si="361">AI796</f>
        <v>6.9520175000000003E-2</v>
      </c>
      <c r="AI796">
        <f t="shared" si="360"/>
        <v>6.9520175000000003E-2</v>
      </c>
      <c r="AJ796">
        <f t="shared" si="345"/>
        <v>6.9520175000000003E-2</v>
      </c>
      <c r="AK796">
        <v>6.9520175000000003E-2</v>
      </c>
      <c r="AL796">
        <v>0.11790393</v>
      </c>
      <c r="AM796">
        <v>0.13019694000000001</v>
      </c>
      <c r="AN796">
        <v>0.14234972000000001</v>
      </c>
      <c r="AO796">
        <v>93.047982500000003</v>
      </c>
      <c r="AP796">
        <v>88.209607000000005</v>
      </c>
      <c r="AQ796">
        <v>86.980305999999999</v>
      </c>
      <c r="AR796">
        <v>85.765028000000001</v>
      </c>
      <c r="AS796" t="b">
        <v>0</v>
      </c>
      <c r="AT796" t="b">
        <v>0</v>
      </c>
      <c r="AU796" t="s">
        <v>77</v>
      </c>
      <c r="AV796" t="s">
        <v>78</v>
      </c>
      <c r="AW796" t="s">
        <v>783</v>
      </c>
      <c r="AX796" t="s">
        <v>812</v>
      </c>
      <c r="AY796" t="s">
        <v>1185</v>
      </c>
      <c r="AZ796" t="s">
        <v>72</v>
      </c>
      <c r="BA796" t="s">
        <v>82</v>
      </c>
      <c r="BB796">
        <v>0.35</v>
      </c>
      <c r="BC796">
        <v>4.1163553999999996E-3</v>
      </c>
      <c r="BD796">
        <v>1.4279989108178799E-4</v>
      </c>
      <c r="BE796">
        <v>4.2591552910817903E-3</v>
      </c>
      <c r="BF796">
        <f>IF(AK796&lt;BE796,1,0)</f>
        <v>0</v>
      </c>
      <c r="BG796">
        <f>IF(AK796&lt;BC796,1,0)</f>
        <v>0</v>
      </c>
      <c r="BH796">
        <f>VLOOKUP($B796,[1]Data_Peer_with_peerVars!$B$2:$Z$1050,20,FALSE)</f>
        <v>4</v>
      </c>
      <c r="BI796">
        <f>VLOOKUP($B796,[1]Data_Peer_with_peerVars!$B$2:$Z$1050,21,FALSE)</f>
        <v>1</v>
      </c>
      <c r="BJ796">
        <f>VLOOKUP($B796,[1]Data_Peer_with_peerVars!$B$2:$Z$1050,22,FALSE)</f>
        <v>0.25</v>
      </c>
      <c r="BK796">
        <f>VLOOKUP($B796,[1]Data_Peer_with_peerVars!$B$2:$Z$1050,23,FALSE)</f>
        <v>34</v>
      </c>
      <c r="BL796">
        <f>VLOOKUP($B796,[1]Data_Peer_with_peerVars!$B$2:$Z$1050,24,FALSE)</f>
        <v>19</v>
      </c>
      <c r="BM796">
        <f>VLOOKUP($B796,[1]Data_Peer_with_peerVars!$B$2:$Z$1050,25,FALSE)</f>
        <v>0.55882352899999999</v>
      </c>
    </row>
    <row r="797" spans="1:65" x14ac:dyDescent="0.2">
      <c r="A797">
        <v>1</v>
      </c>
      <c r="B797" t="s">
        <v>1233</v>
      </c>
      <c r="C797">
        <v>462</v>
      </c>
      <c r="D797" t="s">
        <v>68</v>
      </c>
      <c r="E797">
        <v>1</v>
      </c>
      <c r="F797">
        <v>649</v>
      </c>
      <c r="G797" t="s">
        <v>69</v>
      </c>
      <c r="H797" s="1">
        <v>7</v>
      </c>
      <c r="I797" t="s">
        <v>87</v>
      </c>
      <c r="J797" t="s">
        <v>111</v>
      </c>
      <c r="K797" t="s">
        <v>109</v>
      </c>
      <c r="L797">
        <v>1</v>
      </c>
      <c r="M797">
        <v>1</v>
      </c>
      <c r="N797">
        <v>1</v>
      </c>
      <c r="O797">
        <v>0</v>
      </c>
      <c r="P797">
        <v>0</v>
      </c>
      <c r="Q797">
        <v>6</v>
      </c>
      <c r="R797">
        <v>0</v>
      </c>
      <c r="S797">
        <v>0</v>
      </c>
      <c r="T797">
        <v>0</v>
      </c>
      <c r="U797">
        <v>0</v>
      </c>
      <c r="V797">
        <f t="shared" si="344"/>
        <v>0</v>
      </c>
      <c r="W797">
        <f t="shared" si="346"/>
        <v>0</v>
      </c>
      <c r="X797">
        <f t="shared" si="347"/>
        <v>0</v>
      </c>
      <c r="Y797">
        <f t="shared" si="348"/>
        <v>0</v>
      </c>
      <c r="Z797" t="s">
        <v>76</v>
      </c>
      <c r="AA797" s="5" t="s">
        <v>76</v>
      </c>
      <c r="AB797" s="5" t="s">
        <v>76</v>
      </c>
      <c r="AC797" t="s">
        <v>101</v>
      </c>
      <c r="AD797" t="s">
        <v>99</v>
      </c>
      <c r="AE797" s="5" t="s">
        <v>99</v>
      </c>
      <c r="AF797" t="s">
        <v>103</v>
      </c>
      <c r="AG797" t="s">
        <v>102</v>
      </c>
      <c r="AH797">
        <f t="shared" si="361"/>
        <v>5.6562327000000003E-2</v>
      </c>
      <c r="AI797">
        <f t="shared" si="360"/>
        <v>5.6562327000000003E-2</v>
      </c>
      <c r="AJ797">
        <f t="shared" si="345"/>
        <v>5.6562327000000003E-2</v>
      </c>
      <c r="AK797">
        <v>5.6562327000000003E-2</v>
      </c>
      <c r="AL797">
        <v>7.8831314999999999E-2</v>
      </c>
      <c r="AM797">
        <v>0.10479867499999999</v>
      </c>
      <c r="AN797">
        <v>0.12315674</v>
      </c>
      <c r="AO797">
        <v>94.343767299999996</v>
      </c>
      <c r="AP797">
        <v>92.116868499999995</v>
      </c>
      <c r="AQ797">
        <v>89.520132500000003</v>
      </c>
      <c r="AR797">
        <v>87.684325999999999</v>
      </c>
      <c r="AS797" t="b">
        <v>0</v>
      </c>
      <c r="AT797" t="b">
        <v>0</v>
      </c>
      <c r="AU797" t="s">
        <v>77</v>
      </c>
      <c r="AV797" t="s">
        <v>77</v>
      </c>
      <c r="AW797" t="s">
        <v>783</v>
      </c>
      <c r="AX797" t="s">
        <v>812</v>
      </c>
      <c r="AY797" t="s">
        <v>1185</v>
      </c>
      <c r="AZ797" t="s">
        <v>109</v>
      </c>
      <c r="BA797">
        <v>5</v>
      </c>
      <c r="BB797">
        <v>1</v>
      </c>
      <c r="BC797">
        <v>1.4096186E-2</v>
      </c>
      <c r="BD797">
        <v>1.55088650053763E-3</v>
      </c>
      <c r="BE797">
        <v>1.5647072500537599E-2</v>
      </c>
      <c r="BF797">
        <f>IF(AK797&lt;BE797,1,0)</f>
        <v>0</v>
      </c>
      <c r="BG797">
        <f>IF(AK797&lt;BC797,1,0)</f>
        <v>0</v>
      </c>
      <c r="BH797">
        <f>VLOOKUP($B797,[1]Data_Peer_with_peerVars!$B$2:$Z$1050,20,FALSE)</f>
        <v>5</v>
      </c>
      <c r="BI797">
        <f>VLOOKUP($B797,[1]Data_Peer_with_peerVars!$B$2:$Z$1050,21,FALSE)</f>
        <v>2</v>
      </c>
      <c r="BJ797">
        <f>VLOOKUP($B797,[1]Data_Peer_with_peerVars!$B$2:$Z$1050,22,FALSE)</f>
        <v>0.4</v>
      </c>
      <c r="BK797">
        <f>VLOOKUP($B797,[1]Data_Peer_with_peerVars!$B$2:$Z$1050,23,FALSE)</f>
        <v>34</v>
      </c>
      <c r="BL797">
        <f>VLOOKUP($B797,[1]Data_Peer_with_peerVars!$B$2:$Z$1050,24,FALSE)</f>
        <v>19</v>
      </c>
      <c r="BM797">
        <f>VLOOKUP($B797,[1]Data_Peer_with_peerVars!$B$2:$Z$1050,25,FALSE)</f>
        <v>0.55882352899999999</v>
      </c>
    </row>
    <row r="798" spans="1:65" x14ac:dyDescent="0.2">
      <c r="A798">
        <v>1</v>
      </c>
      <c r="B798" t="s">
        <v>1234</v>
      </c>
      <c r="C798">
        <v>463</v>
      </c>
      <c r="D798" t="s">
        <v>68</v>
      </c>
      <c r="E798">
        <v>1</v>
      </c>
      <c r="F798">
        <v>741</v>
      </c>
      <c r="G798" t="s">
        <v>69</v>
      </c>
      <c r="H798" s="1">
        <v>7</v>
      </c>
      <c r="I798" t="s">
        <v>87</v>
      </c>
      <c r="J798" t="s">
        <v>111</v>
      </c>
      <c r="K798" t="s">
        <v>109</v>
      </c>
      <c r="L798">
        <v>1</v>
      </c>
      <c r="M798">
        <v>0</v>
      </c>
      <c r="N798">
        <v>1</v>
      </c>
      <c r="O798">
        <v>0</v>
      </c>
      <c r="P798">
        <v>0</v>
      </c>
      <c r="Q798">
        <v>6</v>
      </c>
      <c r="R798">
        <v>0</v>
      </c>
      <c r="S798">
        <v>0</v>
      </c>
      <c r="T798">
        <v>0</v>
      </c>
      <c r="U798">
        <v>0</v>
      </c>
      <c r="V798">
        <f t="shared" si="344"/>
        <v>0</v>
      </c>
      <c r="W798">
        <f t="shared" si="346"/>
        <v>0</v>
      </c>
      <c r="X798">
        <f t="shared" si="347"/>
        <v>0</v>
      </c>
      <c r="Y798">
        <f t="shared" si="348"/>
        <v>0</v>
      </c>
      <c r="Z798" t="s">
        <v>73</v>
      </c>
      <c r="AA798" s="5" t="s">
        <v>73</v>
      </c>
      <c r="AB798" s="5" t="s">
        <v>73</v>
      </c>
      <c r="AC798" t="s">
        <v>91</v>
      </c>
      <c r="AD798" t="s">
        <v>287</v>
      </c>
      <c r="AE798" s="5" t="s">
        <v>287</v>
      </c>
      <c r="AF798" t="s">
        <v>137</v>
      </c>
      <c r="AG798" t="s">
        <v>84</v>
      </c>
      <c r="AH798">
        <f t="shared" si="361"/>
        <v>9.8414430000000001E-3</v>
      </c>
      <c r="AI798">
        <f t="shared" si="360"/>
        <v>9.8414430000000001E-3</v>
      </c>
      <c r="AJ798">
        <f t="shared" si="345"/>
        <v>9.8414430000000001E-3</v>
      </c>
      <c r="AK798">
        <v>9.8414430000000001E-3</v>
      </c>
      <c r="AL798">
        <v>0.11721311500000001</v>
      </c>
      <c r="AM798">
        <v>0.12834516000000001</v>
      </c>
      <c r="AN798">
        <v>0.13351648999999999</v>
      </c>
      <c r="AO798">
        <v>99.015855700000003</v>
      </c>
      <c r="AP798">
        <v>88.278688500000001</v>
      </c>
      <c r="AQ798">
        <v>87.165484000000006</v>
      </c>
      <c r="AR798">
        <v>86.648351000000005</v>
      </c>
      <c r="AS798" t="b">
        <v>0</v>
      </c>
      <c r="AT798" t="b">
        <v>0</v>
      </c>
      <c r="AU798" t="s">
        <v>77</v>
      </c>
      <c r="AV798" t="s">
        <v>78</v>
      </c>
      <c r="AW798" t="s">
        <v>783</v>
      </c>
      <c r="AX798" t="s">
        <v>812</v>
      </c>
      <c r="AY798" t="s">
        <v>234</v>
      </c>
      <c r="AZ798" t="s">
        <v>109</v>
      </c>
      <c r="BA798">
        <v>2</v>
      </c>
      <c r="BB798">
        <v>3</v>
      </c>
      <c r="BC798">
        <v>9.0659339999999995E-3</v>
      </c>
      <c r="BD798">
        <v>2.76583658862385E-3</v>
      </c>
      <c r="BE798">
        <v>1.1831770588623799E-2</v>
      </c>
      <c r="BF798">
        <f>IF(AK798&lt;BE798,1,0)</f>
        <v>1</v>
      </c>
      <c r="BG798">
        <f>IF(AK798&lt;BC798,1,0)</f>
        <v>0</v>
      </c>
      <c r="BH798">
        <f>VLOOKUP($B798,[1]Data_Peer_with_peerVars!$B$2:$Z$1050,20,FALSE)</f>
        <v>5</v>
      </c>
      <c r="BI798">
        <f>VLOOKUP($B798,[1]Data_Peer_with_peerVars!$B$2:$Z$1050,21,FALSE)</f>
        <v>2</v>
      </c>
      <c r="BJ798">
        <f>VLOOKUP($B798,[1]Data_Peer_with_peerVars!$B$2:$Z$1050,22,FALSE)</f>
        <v>0.4</v>
      </c>
      <c r="BK798">
        <f>VLOOKUP($B798,[1]Data_Peer_with_peerVars!$B$2:$Z$1050,23,FALSE)</f>
        <v>32</v>
      </c>
      <c r="BL798">
        <f>VLOOKUP($B798,[1]Data_Peer_with_peerVars!$B$2:$Z$1050,24,FALSE)</f>
        <v>18</v>
      </c>
      <c r="BM798">
        <f>VLOOKUP($B798,[1]Data_Peer_with_peerVars!$B$2:$Z$1050,25,FALSE)</f>
        <v>0.5625</v>
      </c>
    </row>
    <row r="799" spans="1:65" x14ac:dyDescent="0.2">
      <c r="A799">
        <v>1</v>
      </c>
      <c r="B799" t="s">
        <v>1235</v>
      </c>
      <c r="C799">
        <v>464</v>
      </c>
      <c r="D799" t="s">
        <v>68</v>
      </c>
      <c r="E799">
        <v>1</v>
      </c>
      <c r="F799">
        <v>663</v>
      </c>
      <c r="G799" t="s">
        <v>69</v>
      </c>
      <c r="H799" s="1">
        <v>6.5</v>
      </c>
      <c r="I799" t="s">
        <v>87</v>
      </c>
      <c r="J799" t="s">
        <v>88</v>
      </c>
      <c r="K799" t="s">
        <v>72</v>
      </c>
      <c r="L799">
        <v>1</v>
      </c>
      <c r="M799">
        <v>0</v>
      </c>
      <c r="N799">
        <v>1</v>
      </c>
      <c r="O799">
        <v>0</v>
      </c>
      <c r="P799">
        <v>0</v>
      </c>
      <c r="Q799">
        <v>6</v>
      </c>
      <c r="R799">
        <v>0</v>
      </c>
      <c r="S799">
        <v>0</v>
      </c>
      <c r="T799">
        <v>0</v>
      </c>
      <c r="U799">
        <v>0</v>
      </c>
      <c r="V799">
        <f t="shared" si="344"/>
        <v>0</v>
      </c>
      <c r="W799">
        <f t="shared" si="346"/>
        <v>0</v>
      </c>
      <c r="X799">
        <f t="shared" si="347"/>
        <v>0</v>
      </c>
      <c r="Y799">
        <f t="shared" si="348"/>
        <v>0</v>
      </c>
      <c r="Z799" t="s">
        <v>73</v>
      </c>
      <c r="AA799" s="5" t="s">
        <v>73</v>
      </c>
      <c r="AB799" s="5" t="s">
        <v>73</v>
      </c>
      <c r="AC799" t="s">
        <v>91</v>
      </c>
      <c r="AD799" t="s">
        <v>287</v>
      </c>
      <c r="AE799" s="5" t="s">
        <v>287</v>
      </c>
      <c r="AF799" t="s">
        <v>137</v>
      </c>
      <c r="AG799" t="s">
        <v>84</v>
      </c>
      <c r="AH799">
        <f t="shared" si="361"/>
        <v>3.280481E-3</v>
      </c>
      <c r="AI799">
        <f t="shared" si="360"/>
        <v>3.280481E-3</v>
      </c>
      <c r="AJ799">
        <f t="shared" si="345"/>
        <v>3.280481E-3</v>
      </c>
      <c r="AK799">
        <v>3.280481E-3</v>
      </c>
      <c r="AL799">
        <v>0.12131148</v>
      </c>
      <c r="AM799">
        <v>0.12971054000000001</v>
      </c>
      <c r="AN799">
        <v>0.13296704000000001</v>
      </c>
      <c r="AO799">
        <v>99.671951899999996</v>
      </c>
      <c r="AP799">
        <v>87.868852000000004</v>
      </c>
      <c r="AQ799">
        <v>87.028946000000005</v>
      </c>
      <c r="AR799">
        <v>86.703295999999995</v>
      </c>
      <c r="AS799" t="b">
        <v>0</v>
      </c>
      <c r="AT799" t="b">
        <v>0</v>
      </c>
      <c r="AU799" t="s">
        <v>77</v>
      </c>
      <c r="AV799" t="s">
        <v>78</v>
      </c>
      <c r="AW799" t="s">
        <v>783</v>
      </c>
      <c r="AX799" t="s">
        <v>812</v>
      </c>
      <c r="AY799" t="s">
        <v>1236</v>
      </c>
      <c r="AZ799" t="s">
        <v>72</v>
      </c>
      <c r="BA799" t="s">
        <v>82</v>
      </c>
      <c r="BB799">
        <v>1</v>
      </c>
      <c r="BC799">
        <v>9.0659339999999995E-3</v>
      </c>
      <c r="BD799">
        <v>2.76583658862385E-3</v>
      </c>
      <c r="BE799">
        <v>1.1831770588623799E-2</v>
      </c>
      <c r="BF799">
        <f>IF(AK799&lt;BE799,1,0)</f>
        <v>1</v>
      </c>
      <c r="BG799">
        <f>IF(AK799&lt;BC799,1,0)</f>
        <v>1</v>
      </c>
      <c r="BH799">
        <f>VLOOKUP($B799,[1]Data_Peer_with_peerVars!$B$2:$Z$1050,20,FALSE)</f>
        <v>0</v>
      </c>
      <c r="BI799">
        <f>VLOOKUP($B799,[1]Data_Peer_with_peerVars!$B$2:$Z$1050,21,FALSE)</f>
        <v>0</v>
      </c>
      <c r="BJ799">
        <v>0</v>
      </c>
      <c r="BK799">
        <f>VLOOKUP($B799,[1]Data_Peer_with_peerVars!$B$2:$Z$1050,23,FALSE)</f>
        <v>32</v>
      </c>
      <c r="BL799">
        <f>VLOOKUP($B799,[1]Data_Peer_with_peerVars!$B$2:$Z$1050,24,FALSE)</f>
        <v>10</v>
      </c>
      <c r="BM799">
        <f>VLOOKUP($B799,[1]Data_Peer_with_peerVars!$B$2:$Z$1050,25,FALSE)</f>
        <v>0.3125</v>
      </c>
    </row>
    <row r="800" spans="1:65" x14ac:dyDescent="0.2">
      <c r="A800">
        <v>1</v>
      </c>
      <c r="B800" t="s">
        <v>1237</v>
      </c>
      <c r="C800">
        <v>464</v>
      </c>
      <c r="D800" t="s">
        <v>68</v>
      </c>
      <c r="E800">
        <v>1</v>
      </c>
      <c r="F800">
        <v>663</v>
      </c>
      <c r="G800" t="s">
        <v>69</v>
      </c>
      <c r="H800" s="1">
        <v>6.5</v>
      </c>
      <c r="I800" t="s">
        <v>87</v>
      </c>
      <c r="J800" t="s">
        <v>88</v>
      </c>
      <c r="K800" t="s">
        <v>72</v>
      </c>
      <c r="L800">
        <v>1</v>
      </c>
      <c r="M800">
        <v>0</v>
      </c>
      <c r="N800">
        <v>1</v>
      </c>
      <c r="O800">
        <v>0</v>
      </c>
      <c r="P800">
        <v>0</v>
      </c>
      <c r="Q800">
        <v>6</v>
      </c>
      <c r="R800">
        <v>0</v>
      </c>
      <c r="S800">
        <v>0</v>
      </c>
      <c r="T800">
        <v>0</v>
      </c>
      <c r="U800">
        <v>0</v>
      </c>
      <c r="V800">
        <f t="shared" si="344"/>
        <v>1</v>
      </c>
      <c r="W800">
        <v>1</v>
      </c>
      <c r="X800">
        <v>1</v>
      </c>
      <c r="Y800">
        <v>1</v>
      </c>
      <c r="Z800" t="s">
        <v>76</v>
      </c>
      <c r="AA800" s="5" t="s">
        <v>76</v>
      </c>
      <c r="AB800" s="5" t="s">
        <v>1156</v>
      </c>
      <c r="AC800" t="s">
        <v>76</v>
      </c>
      <c r="AD800" t="s">
        <v>74</v>
      </c>
      <c r="AE800" s="5" t="s">
        <v>142</v>
      </c>
      <c r="AF800" t="s">
        <v>75</v>
      </c>
      <c r="AG800" t="s">
        <v>120</v>
      </c>
      <c r="AH800">
        <f>AI800</f>
        <v>6.9125679999999995E-2</v>
      </c>
      <c r="AI800">
        <f>AJ800</f>
        <v>6.9125679999999995E-2</v>
      </c>
      <c r="AJ800">
        <f t="shared" si="345"/>
        <v>6.9125679999999995E-2</v>
      </c>
      <c r="AK800">
        <v>6.9125679999999995E-2</v>
      </c>
      <c r="AL800">
        <v>7.2642540000000005E-2</v>
      </c>
      <c r="AM800">
        <v>0.108315095</v>
      </c>
      <c r="AN800">
        <v>0.11092895999999999</v>
      </c>
      <c r="AO800">
        <v>93.087432000000007</v>
      </c>
      <c r="AP800">
        <v>92.735746000000006</v>
      </c>
      <c r="AQ800">
        <v>89.168490500000004</v>
      </c>
      <c r="AR800">
        <v>88.907104000000004</v>
      </c>
      <c r="AS800" t="b">
        <v>0</v>
      </c>
      <c r="AT800" t="b">
        <v>0</v>
      </c>
      <c r="AU800" t="s">
        <v>108</v>
      </c>
      <c r="AV800" t="s">
        <v>108</v>
      </c>
      <c r="AW800" t="s">
        <v>783</v>
      </c>
      <c r="AX800" t="s">
        <v>812</v>
      </c>
      <c r="AY800" t="s">
        <v>1236</v>
      </c>
      <c r="AZ800" t="s">
        <v>72</v>
      </c>
      <c r="BA800" t="s">
        <v>82</v>
      </c>
      <c r="BB800">
        <v>1</v>
      </c>
      <c r="BC800">
        <v>7.7070764999999999E-2</v>
      </c>
      <c r="BD800">
        <v>1.90190515067399E-3</v>
      </c>
      <c r="BE800">
        <v>7.8972670150673996E-2</v>
      </c>
      <c r="BF800">
        <f>IF(AK800&lt;BE800,1,0)</f>
        <v>1</v>
      </c>
      <c r="BG800">
        <f>IF(AK800&lt;BC800,1,0)</f>
        <v>1</v>
      </c>
      <c r="BH800">
        <f>VLOOKUP($B800,[1]Data_Peer_with_peerVars!$B$2:$Z$1050,20,FALSE)</f>
        <v>0</v>
      </c>
      <c r="BI800">
        <f>VLOOKUP($B800,[1]Data_Peer_with_peerVars!$B$2:$Z$1050,21,FALSE)</f>
        <v>0</v>
      </c>
      <c r="BJ800">
        <v>0</v>
      </c>
      <c r="BK800">
        <f>VLOOKUP($B800,[1]Data_Peer_with_peerVars!$B$2:$Z$1050,23,FALSE)</f>
        <v>32</v>
      </c>
      <c r="BL800">
        <f>VLOOKUP($B800,[1]Data_Peer_with_peerVars!$B$2:$Z$1050,24,FALSE)</f>
        <v>10</v>
      </c>
      <c r="BM800">
        <f>VLOOKUP($B800,[1]Data_Peer_with_peerVars!$B$2:$Z$1050,25,FALSE)</f>
        <v>0.3125</v>
      </c>
    </row>
    <row r="801" spans="1:65" x14ac:dyDescent="0.2">
      <c r="A801">
        <v>1</v>
      </c>
      <c r="B801" t="s">
        <v>1238</v>
      </c>
      <c r="C801">
        <v>465</v>
      </c>
      <c r="D801" t="s">
        <v>68</v>
      </c>
      <c r="E801">
        <v>1</v>
      </c>
      <c r="F801">
        <v>671</v>
      </c>
      <c r="G801" t="s">
        <v>86</v>
      </c>
      <c r="H801" s="1">
        <v>7</v>
      </c>
      <c r="I801" t="s">
        <v>87</v>
      </c>
      <c r="J801" t="s">
        <v>111</v>
      </c>
      <c r="K801" t="s">
        <v>109</v>
      </c>
      <c r="L801">
        <v>2</v>
      </c>
      <c r="M801">
        <v>1</v>
      </c>
      <c r="N801">
        <v>1</v>
      </c>
      <c r="O801">
        <v>0</v>
      </c>
      <c r="P801">
        <v>0</v>
      </c>
      <c r="Q801">
        <v>2</v>
      </c>
      <c r="R801">
        <v>0</v>
      </c>
      <c r="S801">
        <v>0</v>
      </c>
      <c r="T801">
        <v>0</v>
      </c>
      <c r="U801">
        <v>0</v>
      </c>
      <c r="V801">
        <f t="shared" si="344"/>
        <v>0</v>
      </c>
      <c r="W801">
        <f t="shared" si="346"/>
        <v>0</v>
      </c>
      <c r="X801">
        <f t="shared" si="347"/>
        <v>0</v>
      </c>
      <c r="Y801">
        <f t="shared" si="348"/>
        <v>0</v>
      </c>
      <c r="Z801" t="s">
        <v>73</v>
      </c>
      <c r="AA801" s="5" t="s">
        <v>73</v>
      </c>
      <c r="AB801" s="5" t="s">
        <v>73</v>
      </c>
      <c r="AC801" t="s">
        <v>120</v>
      </c>
      <c r="AD801" t="s">
        <v>74</v>
      </c>
      <c r="AE801" s="5" t="s">
        <v>74</v>
      </c>
      <c r="AF801" t="s">
        <v>75</v>
      </c>
      <c r="AG801" t="s">
        <v>167</v>
      </c>
      <c r="AH801">
        <f t="shared" ref="AH801:AH806" si="362">AI801</f>
        <v>5.9289620000000001E-2</v>
      </c>
      <c r="AI801">
        <f t="shared" ref="AI801:AI806" si="363">AJ801</f>
        <v>5.9289620000000001E-2</v>
      </c>
      <c r="AJ801">
        <f t="shared" si="345"/>
        <v>5.9289620000000001E-2</v>
      </c>
      <c r="AK801">
        <v>5.9289620000000001E-2</v>
      </c>
      <c r="AL801">
        <v>8.16886E-2</v>
      </c>
      <c r="AM801">
        <v>9.6332790000000001E-2</v>
      </c>
      <c r="AN801">
        <v>0.112664476</v>
      </c>
      <c r="AO801">
        <v>94.071038000000001</v>
      </c>
      <c r="AP801">
        <v>91.831140000000005</v>
      </c>
      <c r="AQ801">
        <v>90.366720999999998</v>
      </c>
      <c r="AR801">
        <v>88.733552399999994</v>
      </c>
      <c r="AS801" t="b">
        <v>0</v>
      </c>
      <c r="AT801" t="b">
        <v>0</v>
      </c>
      <c r="AU801" t="s">
        <v>77</v>
      </c>
      <c r="AV801" t="s">
        <v>77</v>
      </c>
      <c r="AW801" t="s">
        <v>783</v>
      </c>
      <c r="AX801" t="s">
        <v>812</v>
      </c>
      <c r="AY801" t="s">
        <v>1236</v>
      </c>
      <c r="AZ801" t="s">
        <v>109</v>
      </c>
      <c r="BA801">
        <v>4</v>
      </c>
      <c r="BB801">
        <v>1</v>
      </c>
      <c r="BC801">
        <v>4.6849314000000003E-2</v>
      </c>
      <c r="BD801">
        <v>4.5250577219970098E-3</v>
      </c>
      <c r="BE801">
        <v>5.1374371721996999E-2</v>
      </c>
      <c r="BF801">
        <f>IF(AK801&lt;BE801,1,0)</f>
        <v>0</v>
      </c>
      <c r="BG801">
        <f>IF(AK801&lt;BC801,1,0)</f>
        <v>0</v>
      </c>
      <c r="BH801">
        <f>VLOOKUP($B801,[1]Data_Peer_with_peerVars!$B$2:$Z$1050,20,FALSE)</f>
        <v>2</v>
      </c>
      <c r="BI801">
        <f>VLOOKUP($B801,[1]Data_Peer_with_peerVars!$B$2:$Z$1050,21,FALSE)</f>
        <v>0</v>
      </c>
      <c r="BJ801">
        <f>VLOOKUP($B801,[1]Data_Peer_with_peerVars!$B$2:$Z$1050,22,FALSE)</f>
        <v>0</v>
      </c>
      <c r="BK801">
        <f>VLOOKUP($B801,[1]Data_Peer_with_peerVars!$B$2:$Z$1050,23,FALSE)</f>
        <v>43</v>
      </c>
      <c r="BL801">
        <f>VLOOKUP($B801,[1]Data_Peer_with_peerVars!$B$2:$Z$1050,24,FALSE)</f>
        <v>17</v>
      </c>
      <c r="BM801">
        <f>VLOOKUP($B801,[1]Data_Peer_with_peerVars!$B$2:$Z$1050,25,FALSE)</f>
        <v>0.39534883700000001</v>
      </c>
    </row>
    <row r="802" spans="1:65" x14ac:dyDescent="0.2">
      <c r="A802">
        <v>1</v>
      </c>
      <c r="B802" t="s">
        <v>1239</v>
      </c>
      <c r="C802">
        <v>465</v>
      </c>
      <c r="D802" t="s">
        <v>68</v>
      </c>
      <c r="E802">
        <v>1</v>
      </c>
      <c r="F802">
        <v>671</v>
      </c>
      <c r="G802" t="s">
        <v>86</v>
      </c>
      <c r="H802" s="1">
        <v>7</v>
      </c>
      <c r="I802" t="s">
        <v>87</v>
      </c>
      <c r="J802" t="s">
        <v>111</v>
      </c>
      <c r="K802" t="s">
        <v>109</v>
      </c>
      <c r="L802">
        <v>2</v>
      </c>
      <c r="M802">
        <v>1</v>
      </c>
      <c r="N802">
        <v>1</v>
      </c>
      <c r="O802">
        <v>0</v>
      </c>
      <c r="P802">
        <v>0</v>
      </c>
      <c r="Q802">
        <v>2</v>
      </c>
      <c r="R802">
        <v>0</v>
      </c>
      <c r="S802">
        <v>0</v>
      </c>
      <c r="T802">
        <v>1</v>
      </c>
      <c r="U802">
        <v>1</v>
      </c>
      <c r="V802">
        <f t="shared" si="344"/>
        <v>0</v>
      </c>
      <c r="W802">
        <f t="shared" si="346"/>
        <v>0</v>
      </c>
      <c r="X802">
        <f t="shared" si="347"/>
        <v>0</v>
      </c>
      <c r="Y802">
        <f t="shared" si="348"/>
        <v>0</v>
      </c>
      <c r="Z802" t="s">
        <v>120</v>
      </c>
      <c r="AA802" s="5" t="s">
        <v>120</v>
      </c>
      <c r="AB802" s="5" t="s">
        <v>827</v>
      </c>
      <c r="AC802" t="s">
        <v>73</v>
      </c>
      <c r="AD802" t="s">
        <v>94</v>
      </c>
      <c r="AE802" s="5" t="s">
        <v>106</v>
      </c>
      <c r="AF802" t="s">
        <v>107</v>
      </c>
      <c r="AG802" t="s">
        <v>95</v>
      </c>
      <c r="AH802">
        <f t="shared" si="362"/>
        <v>4.0894219999999997E-3</v>
      </c>
      <c r="AI802">
        <f t="shared" si="363"/>
        <v>4.0894219999999997E-3</v>
      </c>
      <c r="AJ802">
        <f t="shared" si="345"/>
        <v>4.0894219999999997E-3</v>
      </c>
      <c r="AK802">
        <v>4.0894219999999997E-3</v>
      </c>
      <c r="AL802">
        <v>0.13196722</v>
      </c>
      <c r="AM802">
        <v>0.13651315999999999</v>
      </c>
      <c r="AN802">
        <v>0.13894967999999999</v>
      </c>
      <c r="AO802">
        <v>99.591057800000002</v>
      </c>
      <c r="AP802">
        <v>86.803278000000006</v>
      </c>
      <c r="AQ802">
        <v>86.348684000000006</v>
      </c>
      <c r="AR802">
        <v>86.105031999999994</v>
      </c>
      <c r="AS802" t="b">
        <v>0</v>
      </c>
      <c r="AT802" t="b">
        <v>0</v>
      </c>
      <c r="AU802" t="s">
        <v>77</v>
      </c>
      <c r="AV802" t="s">
        <v>108</v>
      </c>
      <c r="AW802" t="s">
        <v>783</v>
      </c>
      <c r="AX802" t="s">
        <v>812</v>
      </c>
      <c r="AY802" t="s">
        <v>1236</v>
      </c>
      <c r="AZ802" t="s">
        <v>109</v>
      </c>
      <c r="BA802">
        <v>4</v>
      </c>
      <c r="BB802">
        <v>1</v>
      </c>
      <c r="BC802">
        <v>4.1163553999999996E-3</v>
      </c>
      <c r="BD802">
        <v>1.4279989108178799E-4</v>
      </c>
      <c r="BE802">
        <v>4.2591552910817903E-3</v>
      </c>
      <c r="BF802">
        <f>IF(AK802&lt;BE802,1,0)</f>
        <v>1</v>
      </c>
      <c r="BG802">
        <f>IF(AK802&lt;BC802,1,0)</f>
        <v>1</v>
      </c>
      <c r="BH802">
        <f>VLOOKUP($B802,[1]Data_Peer_with_peerVars!$B$2:$Z$1050,20,FALSE)</f>
        <v>2</v>
      </c>
      <c r="BI802">
        <f>VLOOKUP($B802,[1]Data_Peer_with_peerVars!$B$2:$Z$1050,21,FALSE)</f>
        <v>0</v>
      </c>
      <c r="BJ802">
        <f>VLOOKUP($B802,[1]Data_Peer_with_peerVars!$B$2:$Z$1050,22,FALSE)</f>
        <v>0</v>
      </c>
      <c r="BK802">
        <f>VLOOKUP($B802,[1]Data_Peer_with_peerVars!$B$2:$Z$1050,23,FALSE)</f>
        <v>43</v>
      </c>
      <c r="BL802">
        <f>VLOOKUP($B802,[1]Data_Peer_with_peerVars!$B$2:$Z$1050,24,FALSE)</f>
        <v>17</v>
      </c>
      <c r="BM802">
        <f>VLOOKUP($B802,[1]Data_Peer_with_peerVars!$B$2:$Z$1050,25,FALSE)</f>
        <v>0.39534883700000001</v>
      </c>
    </row>
    <row r="803" spans="1:65" x14ac:dyDescent="0.2">
      <c r="A803">
        <v>1</v>
      </c>
      <c r="B803" t="s">
        <v>1240</v>
      </c>
      <c r="C803">
        <v>466</v>
      </c>
      <c r="D803" t="s">
        <v>68</v>
      </c>
      <c r="E803">
        <v>1</v>
      </c>
      <c r="F803">
        <v>675</v>
      </c>
      <c r="G803" t="s">
        <v>86</v>
      </c>
      <c r="H803" s="1">
        <v>7</v>
      </c>
      <c r="I803" t="s">
        <v>87</v>
      </c>
      <c r="J803" t="s">
        <v>88</v>
      </c>
      <c r="K803" t="s">
        <v>72</v>
      </c>
      <c r="L803">
        <v>1</v>
      </c>
      <c r="M803">
        <v>0</v>
      </c>
      <c r="N803">
        <v>1</v>
      </c>
      <c r="O803">
        <v>0</v>
      </c>
      <c r="P803">
        <v>0</v>
      </c>
      <c r="Q803">
        <v>6</v>
      </c>
      <c r="R803">
        <v>0</v>
      </c>
      <c r="S803">
        <v>0</v>
      </c>
      <c r="T803">
        <v>0</v>
      </c>
      <c r="U803">
        <v>0</v>
      </c>
      <c r="V803">
        <f t="shared" si="344"/>
        <v>0</v>
      </c>
      <c r="W803">
        <f t="shared" si="346"/>
        <v>0</v>
      </c>
      <c r="X803">
        <f t="shared" si="347"/>
        <v>0</v>
      </c>
      <c r="Y803">
        <f t="shared" si="348"/>
        <v>0</v>
      </c>
      <c r="Z803" t="s">
        <v>89</v>
      </c>
      <c r="AA803" s="5" t="s">
        <v>170</v>
      </c>
      <c r="AB803" s="5" t="s">
        <v>82</v>
      </c>
      <c r="AC803" t="s">
        <v>120</v>
      </c>
      <c r="AD803" t="s">
        <v>74</v>
      </c>
      <c r="AE803" s="5" t="s">
        <v>1014</v>
      </c>
      <c r="AF803" t="s">
        <v>75</v>
      </c>
      <c r="AG803" t="s">
        <v>167</v>
      </c>
      <c r="AH803">
        <f t="shared" si="362"/>
        <v>3.1967210000000003E-2</v>
      </c>
      <c r="AI803">
        <f t="shared" si="363"/>
        <v>3.1967210000000003E-2</v>
      </c>
      <c r="AJ803">
        <f t="shared" si="345"/>
        <v>3.1967210000000003E-2</v>
      </c>
      <c r="AK803">
        <v>3.1967210000000003E-2</v>
      </c>
      <c r="AL803">
        <v>9.01864E-2</v>
      </c>
      <c r="AM803">
        <v>9.1406680000000004E-2</v>
      </c>
      <c r="AN803">
        <v>0.10307018</v>
      </c>
      <c r="AO803">
        <v>96.803279000000003</v>
      </c>
      <c r="AP803">
        <v>90.981359999999995</v>
      </c>
      <c r="AQ803">
        <v>90.859331999999995</v>
      </c>
      <c r="AR803">
        <v>89.692982000000001</v>
      </c>
      <c r="AS803" t="b">
        <v>0</v>
      </c>
      <c r="AT803" t="b">
        <v>0</v>
      </c>
      <c r="AU803" t="s">
        <v>92</v>
      </c>
      <c r="AV803" t="s">
        <v>92</v>
      </c>
      <c r="AW803" t="s">
        <v>783</v>
      </c>
      <c r="AX803" t="s">
        <v>812</v>
      </c>
      <c r="AY803" t="s">
        <v>1236</v>
      </c>
      <c r="AZ803" t="s">
        <v>72</v>
      </c>
      <c r="BA803" t="s">
        <v>82</v>
      </c>
      <c r="BB803">
        <v>3</v>
      </c>
      <c r="BC803">
        <v>4.6849314000000003E-2</v>
      </c>
      <c r="BD803">
        <v>4.5250577219970098E-3</v>
      </c>
      <c r="BE803">
        <v>5.1374371721996999E-2</v>
      </c>
      <c r="BF803">
        <f>IF(AK803&lt;BE803,1,0)</f>
        <v>1</v>
      </c>
      <c r="BG803">
        <f>IF(AK803&lt;BC803,1,0)</f>
        <v>1</v>
      </c>
      <c r="BH803">
        <f>VLOOKUP($B803,[1]Data_Peer_with_peerVars!$B$2:$Z$1050,20,FALSE)</f>
        <v>14</v>
      </c>
      <c r="BI803">
        <f>VLOOKUP($B803,[1]Data_Peer_with_peerVars!$B$2:$Z$1050,21,FALSE)</f>
        <v>3</v>
      </c>
      <c r="BJ803">
        <f>VLOOKUP($B803,[1]Data_Peer_with_peerVars!$B$2:$Z$1050,22,FALSE)</f>
        <v>0.21428571399999999</v>
      </c>
      <c r="BK803">
        <f>VLOOKUP($B803,[1]Data_Peer_with_peerVars!$B$2:$Z$1050,23,FALSE)</f>
        <v>52</v>
      </c>
      <c r="BL803">
        <f>VLOOKUP($B803,[1]Data_Peer_with_peerVars!$B$2:$Z$1050,24,FALSE)</f>
        <v>21</v>
      </c>
      <c r="BM803">
        <f>VLOOKUP($B803,[1]Data_Peer_with_peerVars!$B$2:$Z$1050,25,FALSE)</f>
        <v>0.40384615400000001</v>
      </c>
    </row>
    <row r="804" spans="1:65" x14ac:dyDescent="0.2">
      <c r="A804">
        <v>1</v>
      </c>
      <c r="B804" t="s">
        <v>1241</v>
      </c>
      <c r="C804">
        <v>467</v>
      </c>
      <c r="D804" t="s">
        <v>68</v>
      </c>
      <c r="E804">
        <v>1</v>
      </c>
      <c r="F804">
        <v>676</v>
      </c>
      <c r="G804" t="s">
        <v>69</v>
      </c>
      <c r="H804" s="1">
        <v>7</v>
      </c>
      <c r="I804" t="s">
        <v>87</v>
      </c>
      <c r="J804" t="s">
        <v>820</v>
      </c>
      <c r="K804" t="s">
        <v>109</v>
      </c>
      <c r="L804">
        <v>1</v>
      </c>
      <c r="M804">
        <v>0</v>
      </c>
      <c r="N804">
        <v>1</v>
      </c>
      <c r="O804">
        <v>0</v>
      </c>
      <c r="P804">
        <v>0</v>
      </c>
      <c r="Q804">
        <v>5</v>
      </c>
      <c r="R804">
        <v>0</v>
      </c>
      <c r="S804">
        <v>0</v>
      </c>
      <c r="T804">
        <v>1</v>
      </c>
      <c r="U804">
        <v>1</v>
      </c>
      <c r="V804">
        <f t="shared" si="344"/>
        <v>0</v>
      </c>
      <c r="W804">
        <f t="shared" si="346"/>
        <v>0</v>
      </c>
      <c r="X804">
        <f t="shared" si="347"/>
        <v>0</v>
      </c>
      <c r="Y804">
        <f t="shared" si="348"/>
        <v>0</v>
      </c>
      <c r="Z804" t="s">
        <v>76</v>
      </c>
      <c r="AA804" s="5" t="s">
        <v>76</v>
      </c>
      <c r="AB804" s="5" t="s">
        <v>76</v>
      </c>
      <c r="AC804" t="s">
        <v>73</v>
      </c>
      <c r="AD804" t="s">
        <v>94</v>
      </c>
      <c r="AE804" s="5" t="s">
        <v>106</v>
      </c>
      <c r="AF804" t="s">
        <v>107</v>
      </c>
      <c r="AG804" t="s">
        <v>95</v>
      </c>
      <c r="AH804">
        <f t="shared" si="362"/>
        <v>4.0894219999999997E-3</v>
      </c>
      <c r="AI804">
        <f t="shared" si="363"/>
        <v>4.0894219999999997E-3</v>
      </c>
      <c r="AJ804">
        <f t="shared" si="345"/>
        <v>4.0894219999999997E-3</v>
      </c>
      <c r="AK804">
        <v>4.0894219999999997E-3</v>
      </c>
      <c r="AL804">
        <v>0.13196722</v>
      </c>
      <c r="AM804">
        <v>0.13678728000000001</v>
      </c>
      <c r="AN804">
        <v>0.13922319</v>
      </c>
      <c r="AO804">
        <v>99.591057800000002</v>
      </c>
      <c r="AP804">
        <v>86.803278000000006</v>
      </c>
      <c r="AQ804">
        <v>86.321271999999993</v>
      </c>
      <c r="AR804">
        <v>86.077680999999998</v>
      </c>
      <c r="AS804" t="b">
        <v>0</v>
      </c>
      <c r="AT804" t="b">
        <v>0</v>
      </c>
      <c r="AU804" t="s">
        <v>77</v>
      </c>
      <c r="AV804" t="s">
        <v>108</v>
      </c>
      <c r="AW804" t="s">
        <v>783</v>
      </c>
      <c r="AX804" t="s">
        <v>812</v>
      </c>
      <c r="AY804" t="s">
        <v>1242</v>
      </c>
      <c r="AZ804" t="s">
        <v>109</v>
      </c>
      <c r="BA804">
        <v>6</v>
      </c>
      <c r="BB804">
        <v>2</v>
      </c>
      <c r="BC804">
        <v>4.1163553999999996E-3</v>
      </c>
      <c r="BD804">
        <v>1.4279989108178799E-4</v>
      </c>
      <c r="BE804">
        <v>4.2591552910817903E-3</v>
      </c>
      <c r="BF804">
        <f>IF(AK804&lt;BE804,1,0)</f>
        <v>1</v>
      </c>
      <c r="BG804">
        <f>IF(AK804&lt;BC804,1,0)</f>
        <v>1</v>
      </c>
      <c r="BH804">
        <f>VLOOKUP($B804,[1]Data_Peer_with_peerVars!$B$2:$Z$1050,20,FALSE)</f>
        <v>12</v>
      </c>
      <c r="BI804">
        <f>VLOOKUP($B804,[1]Data_Peer_with_peerVars!$B$2:$Z$1050,21,FALSE)</f>
        <v>4</v>
      </c>
      <c r="BJ804">
        <f>VLOOKUP($B804,[1]Data_Peer_with_peerVars!$B$2:$Z$1050,22,FALSE)</f>
        <v>0.33333333300000001</v>
      </c>
      <c r="BK804">
        <f>VLOOKUP($B804,[1]Data_Peer_with_peerVars!$B$2:$Z$1050,23,FALSE)</f>
        <v>46</v>
      </c>
      <c r="BL804">
        <f>VLOOKUP($B804,[1]Data_Peer_with_peerVars!$B$2:$Z$1050,24,FALSE)</f>
        <v>18</v>
      </c>
      <c r="BM804">
        <f>VLOOKUP($B804,[1]Data_Peer_with_peerVars!$B$2:$Z$1050,25,FALSE)</f>
        <v>0.39130434800000002</v>
      </c>
    </row>
    <row r="805" spans="1:65" x14ac:dyDescent="0.2">
      <c r="A805">
        <v>1</v>
      </c>
      <c r="B805" t="s">
        <v>1243</v>
      </c>
      <c r="C805">
        <v>467</v>
      </c>
      <c r="D805" t="s">
        <v>68</v>
      </c>
      <c r="E805">
        <v>1</v>
      </c>
      <c r="F805">
        <v>676</v>
      </c>
      <c r="G805" t="s">
        <v>69</v>
      </c>
      <c r="H805" s="1">
        <v>7</v>
      </c>
      <c r="I805" t="s">
        <v>87</v>
      </c>
      <c r="J805" t="s">
        <v>820</v>
      </c>
      <c r="K805" t="s">
        <v>109</v>
      </c>
      <c r="L805">
        <v>1</v>
      </c>
      <c r="M805">
        <v>0</v>
      </c>
      <c r="N805">
        <v>1</v>
      </c>
      <c r="O805">
        <v>0</v>
      </c>
      <c r="P805">
        <v>0</v>
      </c>
      <c r="Q805">
        <v>5</v>
      </c>
      <c r="R805">
        <v>0</v>
      </c>
      <c r="S805">
        <v>0</v>
      </c>
      <c r="T805">
        <v>0</v>
      </c>
      <c r="U805">
        <v>0</v>
      </c>
      <c r="V805">
        <f t="shared" si="344"/>
        <v>0</v>
      </c>
      <c r="W805">
        <f t="shared" si="346"/>
        <v>0</v>
      </c>
      <c r="X805">
        <f t="shared" si="347"/>
        <v>0</v>
      </c>
      <c r="Y805">
        <f t="shared" si="348"/>
        <v>0</v>
      </c>
      <c r="Z805" t="s">
        <v>73</v>
      </c>
      <c r="AA805" s="5" t="s">
        <v>73</v>
      </c>
      <c r="AB805" s="5" t="s">
        <v>73</v>
      </c>
      <c r="AC805" t="s">
        <v>74</v>
      </c>
      <c r="AD805" t="s">
        <v>76</v>
      </c>
      <c r="AE805" s="5" t="s">
        <v>76</v>
      </c>
      <c r="AF805" t="s">
        <v>75</v>
      </c>
      <c r="AG805" t="s">
        <v>120</v>
      </c>
      <c r="AH805">
        <f t="shared" si="362"/>
        <v>2.8219178000000001E-2</v>
      </c>
      <c r="AI805">
        <f t="shared" si="363"/>
        <v>2.8219178000000001E-2</v>
      </c>
      <c r="AJ805">
        <f t="shared" si="345"/>
        <v>2.8219178000000001E-2</v>
      </c>
      <c r="AK805">
        <v>2.8219178000000001E-2</v>
      </c>
      <c r="AL805">
        <v>8.1420764000000007E-2</v>
      </c>
      <c r="AM805">
        <v>9.4964419999999994E-2</v>
      </c>
      <c r="AN805">
        <v>0.101912566</v>
      </c>
      <c r="AO805">
        <v>97.178082200000006</v>
      </c>
      <c r="AP805">
        <v>91.857923600000007</v>
      </c>
      <c r="AQ805">
        <v>90.503557999999998</v>
      </c>
      <c r="AR805">
        <v>89.808743399999997</v>
      </c>
      <c r="AS805" t="b">
        <v>0</v>
      </c>
      <c r="AT805" t="b">
        <v>0</v>
      </c>
      <c r="AU805" t="s">
        <v>77</v>
      </c>
      <c r="AV805" t="s">
        <v>77</v>
      </c>
      <c r="AW805" t="s">
        <v>783</v>
      </c>
      <c r="AX805" t="s">
        <v>812</v>
      </c>
      <c r="AY805" t="s">
        <v>1242</v>
      </c>
      <c r="AZ805" t="s">
        <v>109</v>
      </c>
      <c r="BA805">
        <v>6</v>
      </c>
      <c r="BB805">
        <v>2</v>
      </c>
      <c r="BC805">
        <v>2.4738868000000001E-3</v>
      </c>
      <c r="BD805">
        <v>1.4256942275279999E-4</v>
      </c>
      <c r="BE805">
        <v>2.6164562227527998E-3</v>
      </c>
      <c r="BF805">
        <f>IF(AK805&lt;BE805,1,0)</f>
        <v>0</v>
      </c>
      <c r="BG805">
        <f>IF(AK805&lt;BC805,1,0)</f>
        <v>0</v>
      </c>
      <c r="BH805">
        <f>VLOOKUP($B805,[1]Data_Peer_with_peerVars!$B$2:$Z$1050,20,FALSE)</f>
        <v>12</v>
      </c>
      <c r="BI805">
        <f>VLOOKUP($B805,[1]Data_Peer_with_peerVars!$B$2:$Z$1050,21,FALSE)</f>
        <v>4</v>
      </c>
      <c r="BJ805">
        <f>VLOOKUP($B805,[1]Data_Peer_with_peerVars!$B$2:$Z$1050,22,FALSE)</f>
        <v>0.33333333300000001</v>
      </c>
      <c r="BK805">
        <f>VLOOKUP($B805,[1]Data_Peer_with_peerVars!$B$2:$Z$1050,23,FALSE)</f>
        <v>46</v>
      </c>
      <c r="BL805">
        <f>VLOOKUP($B805,[1]Data_Peer_with_peerVars!$B$2:$Z$1050,24,FALSE)</f>
        <v>18</v>
      </c>
      <c r="BM805">
        <f>VLOOKUP($B805,[1]Data_Peer_with_peerVars!$B$2:$Z$1050,25,FALSE)</f>
        <v>0.39130434800000002</v>
      </c>
    </row>
    <row r="806" spans="1:65" x14ac:dyDescent="0.2">
      <c r="A806">
        <v>1</v>
      </c>
      <c r="B806" t="s">
        <v>1244</v>
      </c>
      <c r="C806">
        <v>468</v>
      </c>
      <c r="D806" t="s">
        <v>68</v>
      </c>
      <c r="E806">
        <v>1</v>
      </c>
      <c r="F806">
        <v>677</v>
      </c>
      <c r="G806" t="s">
        <v>86</v>
      </c>
      <c r="H806" s="1">
        <v>7</v>
      </c>
      <c r="I806" t="s">
        <v>87</v>
      </c>
      <c r="J806" t="s">
        <v>111</v>
      </c>
      <c r="K806" t="s">
        <v>109</v>
      </c>
      <c r="L806">
        <v>1</v>
      </c>
      <c r="M806">
        <v>0</v>
      </c>
      <c r="N806">
        <v>1</v>
      </c>
      <c r="O806">
        <v>0</v>
      </c>
      <c r="P806">
        <v>0</v>
      </c>
      <c r="Q806">
        <v>12</v>
      </c>
      <c r="R806">
        <v>0</v>
      </c>
      <c r="S806">
        <v>0</v>
      </c>
      <c r="T806">
        <v>0</v>
      </c>
      <c r="U806">
        <v>0</v>
      </c>
      <c r="V806">
        <f t="shared" si="344"/>
        <v>0</v>
      </c>
      <c r="W806">
        <f t="shared" si="346"/>
        <v>0</v>
      </c>
      <c r="X806">
        <f t="shared" si="347"/>
        <v>0</v>
      </c>
      <c r="Y806">
        <f t="shared" si="348"/>
        <v>0</v>
      </c>
      <c r="Z806" t="s">
        <v>73</v>
      </c>
      <c r="AA806" s="5" t="s">
        <v>73</v>
      </c>
      <c r="AB806" s="5" t="s">
        <v>73</v>
      </c>
      <c r="AC806" t="s">
        <v>102</v>
      </c>
      <c r="AD806" t="s">
        <v>75</v>
      </c>
      <c r="AE806" s="5" t="s">
        <v>75</v>
      </c>
      <c r="AF806" t="s">
        <v>167</v>
      </c>
      <c r="AG806" t="s">
        <v>103</v>
      </c>
      <c r="AH806">
        <f t="shared" si="362"/>
        <v>8.5714289999999999E-2</v>
      </c>
      <c r="AI806">
        <f t="shared" si="363"/>
        <v>8.5714289999999999E-2</v>
      </c>
      <c r="AJ806">
        <f t="shared" si="345"/>
        <v>8.5714289999999999E-2</v>
      </c>
      <c r="AK806">
        <v>8.5714289999999999E-2</v>
      </c>
      <c r="AL806">
        <v>0.114285715</v>
      </c>
      <c r="AM806">
        <v>0.114285715</v>
      </c>
      <c r="AN806">
        <v>0.114285715</v>
      </c>
      <c r="AO806">
        <v>91.428571000000005</v>
      </c>
      <c r="AP806">
        <v>88.571428499999996</v>
      </c>
      <c r="AQ806">
        <v>88.571428499999996</v>
      </c>
      <c r="AR806">
        <v>88.571428499999996</v>
      </c>
      <c r="AS806" t="b">
        <v>0</v>
      </c>
      <c r="AT806" t="b">
        <v>0</v>
      </c>
      <c r="AU806" t="s">
        <v>77</v>
      </c>
      <c r="AV806" t="s">
        <v>78</v>
      </c>
      <c r="AW806" t="s">
        <v>783</v>
      </c>
      <c r="AX806" t="s">
        <v>812</v>
      </c>
      <c r="AY806" t="s">
        <v>1236</v>
      </c>
      <c r="AZ806" t="s">
        <v>109</v>
      </c>
      <c r="BA806">
        <v>3</v>
      </c>
      <c r="BB806">
        <v>0.35</v>
      </c>
      <c r="BC806">
        <v>3.0153507999999998E-3</v>
      </c>
      <c r="BD806">
        <v>1.41556405228766E-4</v>
      </c>
      <c r="BE806">
        <v>3.1569072052287702E-3</v>
      </c>
      <c r="BF806">
        <f>IF(AK806&lt;BE806,1,0)</f>
        <v>0</v>
      </c>
      <c r="BG806">
        <f>IF(AK806&lt;BC806,1,0)</f>
        <v>0</v>
      </c>
      <c r="BH806">
        <f>VLOOKUP($B806,[1]Data_Peer_with_peerVars!$B$2:$Z$1050,20,FALSE)</f>
        <v>12</v>
      </c>
      <c r="BI806">
        <f>VLOOKUP($B806,[1]Data_Peer_with_peerVars!$B$2:$Z$1050,21,FALSE)</f>
        <v>2</v>
      </c>
      <c r="BJ806">
        <f>VLOOKUP($B806,[1]Data_Peer_with_peerVars!$B$2:$Z$1050,22,FALSE)</f>
        <v>0.16666666699999999</v>
      </c>
      <c r="BK806">
        <f>VLOOKUP($B806,[1]Data_Peer_with_peerVars!$B$2:$Z$1050,23,FALSE)</f>
        <v>47</v>
      </c>
      <c r="BL806">
        <f>VLOOKUP($B806,[1]Data_Peer_with_peerVars!$B$2:$Z$1050,24,FALSE)</f>
        <v>19</v>
      </c>
      <c r="BM806">
        <f>VLOOKUP($B806,[1]Data_Peer_with_peerVars!$B$2:$Z$1050,25,FALSE)</f>
        <v>0.404255319</v>
      </c>
    </row>
    <row r="807" spans="1:65" x14ac:dyDescent="0.2">
      <c r="A807">
        <v>1</v>
      </c>
      <c r="B807" t="s">
        <v>1245</v>
      </c>
      <c r="C807">
        <v>468</v>
      </c>
      <c r="D807" t="s">
        <v>68</v>
      </c>
      <c r="E807">
        <v>1</v>
      </c>
      <c r="F807">
        <v>677</v>
      </c>
      <c r="G807" t="s">
        <v>86</v>
      </c>
      <c r="H807" s="1">
        <v>7</v>
      </c>
      <c r="I807" t="s">
        <v>87</v>
      </c>
      <c r="J807" t="s">
        <v>111</v>
      </c>
      <c r="K807" t="s">
        <v>109</v>
      </c>
      <c r="L807">
        <v>1</v>
      </c>
      <c r="M807">
        <v>0</v>
      </c>
      <c r="N807">
        <v>1</v>
      </c>
      <c r="O807">
        <v>0</v>
      </c>
      <c r="P807">
        <v>0</v>
      </c>
      <c r="Q807">
        <v>12</v>
      </c>
      <c r="R807">
        <v>0</v>
      </c>
      <c r="S807">
        <v>0</v>
      </c>
      <c r="T807">
        <v>0</v>
      </c>
      <c r="U807">
        <v>0</v>
      </c>
      <c r="V807">
        <f t="shared" si="344"/>
        <v>1</v>
      </c>
      <c r="W807">
        <v>1</v>
      </c>
      <c r="X807">
        <v>1</v>
      </c>
      <c r="Y807">
        <v>1</v>
      </c>
      <c r="Z807" t="s">
        <v>91</v>
      </c>
      <c r="AA807" s="5" t="s">
        <v>91</v>
      </c>
      <c r="AB807" s="5" t="s">
        <v>91</v>
      </c>
      <c r="AC807" t="s">
        <v>91</v>
      </c>
      <c r="AD807" t="s">
        <v>287</v>
      </c>
      <c r="AE807" s="5" t="s">
        <v>287</v>
      </c>
      <c r="AF807" t="s">
        <v>137</v>
      </c>
      <c r="AG807" t="s">
        <v>84</v>
      </c>
      <c r="AH807">
        <f>AI807</f>
        <v>1.4762165000000001E-2</v>
      </c>
      <c r="AI807">
        <f>AJ807</f>
        <v>1.4762165000000001E-2</v>
      </c>
      <c r="AJ807">
        <f t="shared" si="345"/>
        <v>1.4762165000000001E-2</v>
      </c>
      <c r="AK807">
        <v>1.4762165000000001E-2</v>
      </c>
      <c r="AL807">
        <v>0.11612022</v>
      </c>
      <c r="AM807">
        <v>0.13326051999999999</v>
      </c>
      <c r="AN807">
        <v>0.13489011000000001</v>
      </c>
      <c r="AO807">
        <v>98.523783499999993</v>
      </c>
      <c r="AP807">
        <v>88.387978000000004</v>
      </c>
      <c r="AQ807">
        <v>86.673947999999996</v>
      </c>
      <c r="AR807">
        <v>86.510988999999995</v>
      </c>
      <c r="AS807" t="b">
        <v>1</v>
      </c>
      <c r="AT807" t="b">
        <v>0</v>
      </c>
      <c r="AU807" t="s">
        <v>77</v>
      </c>
      <c r="AV807" t="s">
        <v>78</v>
      </c>
      <c r="AW807" t="s">
        <v>783</v>
      </c>
      <c r="AX807" t="s">
        <v>812</v>
      </c>
      <c r="AY807" t="s">
        <v>1236</v>
      </c>
      <c r="AZ807" t="s">
        <v>72</v>
      </c>
      <c r="BA807" t="s">
        <v>82</v>
      </c>
      <c r="BB807">
        <v>1.05</v>
      </c>
      <c r="BC807">
        <v>9.0659339999999995E-3</v>
      </c>
      <c r="BD807">
        <v>2.76583658862385E-3</v>
      </c>
      <c r="BE807">
        <v>1.1831770588623799E-2</v>
      </c>
      <c r="BF807">
        <f>IF(AK807&lt;BE807,1,0)</f>
        <v>0</v>
      </c>
      <c r="BG807">
        <f>IF(AK807&lt;BC807,1,0)</f>
        <v>0</v>
      </c>
      <c r="BH807">
        <f>VLOOKUP($B807,[1]Data_Peer_with_peerVars!$B$2:$Z$1050,20,FALSE)</f>
        <v>12</v>
      </c>
      <c r="BI807">
        <f>VLOOKUP($B807,[1]Data_Peer_with_peerVars!$B$2:$Z$1050,21,FALSE)</f>
        <v>2</v>
      </c>
      <c r="BJ807">
        <f>VLOOKUP($B807,[1]Data_Peer_with_peerVars!$B$2:$Z$1050,22,FALSE)</f>
        <v>0.16666666699999999</v>
      </c>
      <c r="BK807">
        <f>VLOOKUP($B807,[1]Data_Peer_with_peerVars!$B$2:$Z$1050,23,FALSE)</f>
        <v>47</v>
      </c>
      <c r="BL807">
        <f>VLOOKUP($B807,[1]Data_Peer_with_peerVars!$B$2:$Z$1050,24,FALSE)</f>
        <v>19</v>
      </c>
      <c r="BM807">
        <f>VLOOKUP($B807,[1]Data_Peer_with_peerVars!$B$2:$Z$1050,25,FALSE)</f>
        <v>0.404255319</v>
      </c>
    </row>
    <row r="808" spans="1:65" x14ac:dyDescent="0.2">
      <c r="A808">
        <v>1</v>
      </c>
      <c r="B808" t="s">
        <v>1246</v>
      </c>
      <c r="C808">
        <v>468</v>
      </c>
      <c r="D808" t="s">
        <v>68</v>
      </c>
      <c r="E808">
        <v>1</v>
      </c>
      <c r="F808">
        <v>677</v>
      </c>
      <c r="G808" t="s">
        <v>86</v>
      </c>
      <c r="H808" s="1">
        <v>7</v>
      </c>
      <c r="I808" t="s">
        <v>87</v>
      </c>
      <c r="J808" t="s">
        <v>111</v>
      </c>
      <c r="K808" t="s">
        <v>109</v>
      </c>
      <c r="L808">
        <v>1</v>
      </c>
      <c r="M808">
        <v>0</v>
      </c>
      <c r="N808">
        <v>1</v>
      </c>
      <c r="O808">
        <v>0</v>
      </c>
      <c r="P808">
        <v>0</v>
      </c>
      <c r="Q808">
        <v>12</v>
      </c>
      <c r="R808">
        <v>0</v>
      </c>
      <c r="S808">
        <v>0</v>
      </c>
      <c r="T808">
        <v>0</v>
      </c>
      <c r="U808">
        <v>0</v>
      </c>
      <c r="V808">
        <f t="shared" si="344"/>
        <v>0</v>
      </c>
      <c r="W808">
        <f t="shared" si="346"/>
        <v>0</v>
      </c>
      <c r="X808">
        <f t="shared" si="347"/>
        <v>0</v>
      </c>
      <c r="Y808">
        <f t="shared" si="348"/>
        <v>0</v>
      </c>
      <c r="Z808" t="s">
        <v>89</v>
      </c>
      <c r="AA808" s="5" t="s">
        <v>273</v>
      </c>
      <c r="AB808" s="5" t="s">
        <v>273</v>
      </c>
      <c r="AC808" t="s">
        <v>120</v>
      </c>
      <c r="AD808" t="s">
        <v>75</v>
      </c>
      <c r="AE808" s="5" t="s">
        <v>1247</v>
      </c>
      <c r="AF808" t="s">
        <v>74</v>
      </c>
      <c r="AG808" t="s">
        <v>167</v>
      </c>
      <c r="AH808">
        <f t="shared" ref="AH808:AH812" si="364">AI808</f>
        <v>2.949208E-2</v>
      </c>
      <c r="AI808">
        <f t="shared" ref="AI808:AI812" si="365">AJ808</f>
        <v>2.949208E-2</v>
      </c>
      <c r="AJ808">
        <f t="shared" si="345"/>
        <v>2.949208E-2</v>
      </c>
      <c r="AK808">
        <v>2.949208E-2</v>
      </c>
      <c r="AL808">
        <v>8.5612690000000005E-2</v>
      </c>
      <c r="AM808">
        <v>8.6301370000000002E-2</v>
      </c>
      <c r="AN808">
        <v>0.10054795</v>
      </c>
      <c r="AO808">
        <v>97.050792000000001</v>
      </c>
      <c r="AP808">
        <v>91.438731000000004</v>
      </c>
      <c r="AQ808">
        <v>91.369862999999995</v>
      </c>
      <c r="AR808">
        <v>89.945205000000001</v>
      </c>
      <c r="AS808" t="b">
        <v>0</v>
      </c>
      <c r="AT808" t="b">
        <v>0</v>
      </c>
      <c r="AU808" t="s">
        <v>92</v>
      </c>
      <c r="AV808" t="s">
        <v>92</v>
      </c>
      <c r="AW808" t="s">
        <v>783</v>
      </c>
      <c r="AX808" t="s">
        <v>812</v>
      </c>
      <c r="AY808" t="s">
        <v>1236</v>
      </c>
      <c r="AZ808" t="s">
        <v>82</v>
      </c>
      <c r="BA808" t="s">
        <v>82</v>
      </c>
      <c r="BB808">
        <v>0.35</v>
      </c>
      <c r="BC808">
        <v>4.6849314000000003E-2</v>
      </c>
      <c r="BD808">
        <v>4.5250577219970098E-3</v>
      </c>
      <c r="BE808">
        <v>5.1374371721996999E-2</v>
      </c>
      <c r="BF808">
        <f>IF(AK808&lt;BE808,1,0)</f>
        <v>1</v>
      </c>
      <c r="BG808">
        <f>IF(AK808&lt;BC808,1,0)</f>
        <v>1</v>
      </c>
      <c r="BH808">
        <f>VLOOKUP($B808,[1]Data_Peer_with_peerVars!$B$2:$Z$1050,20,FALSE)</f>
        <v>12</v>
      </c>
      <c r="BI808">
        <f>VLOOKUP($B808,[1]Data_Peer_with_peerVars!$B$2:$Z$1050,21,FALSE)</f>
        <v>2</v>
      </c>
      <c r="BJ808">
        <f>VLOOKUP($B808,[1]Data_Peer_with_peerVars!$B$2:$Z$1050,22,FALSE)</f>
        <v>0.16666666699999999</v>
      </c>
      <c r="BK808">
        <f>VLOOKUP($B808,[1]Data_Peer_with_peerVars!$B$2:$Z$1050,23,FALSE)</f>
        <v>47</v>
      </c>
      <c r="BL808">
        <f>VLOOKUP($B808,[1]Data_Peer_with_peerVars!$B$2:$Z$1050,24,FALSE)</f>
        <v>19</v>
      </c>
      <c r="BM808">
        <f>VLOOKUP($B808,[1]Data_Peer_with_peerVars!$B$2:$Z$1050,25,FALSE)</f>
        <v>0.404255319</v>
      </c>
    </row>
    <row r="809" spans="1:65" x14ac:dyDescent="0.2">
      <c r="A809">
        <v>1</v>
      </c>
      <c r="B809" t="s">
        <v>1248</v>
      </c>
      <c r="C809">
        <v>469</v>
      </c>
      <c r="D809" t="s">
        <v>68</v>
      </c>
      <c r="E809">
        <v>0</v>
      </c>
      <c r="F809">
        <v>669</v>
      </c>
      <c r="G809" t="s">
        <v>97</v>
      </c>
      <c r="H809" s="1">
        <v>7</v>
      </c>
      <c r="I809" t="s">
        <v>87</v>
      </c>
      <c r="J809" t="s">
        <v>88</v>
      </c>
      <c r="K809" t="s">
        <v>109</v>
      </c>
      <c r="L809">
        <v>1</v>
      </c>
      <c r="M809">
        <v>1</v>
      </c>
      <c r="N809">
        <v>1</v>
      </c>
      <c r="O809">
        <v>0</v>
      </c>
      <c r="P809">
        <v>0</v>
      </c>
      <c r="Q809">
        <v>2</v>
      </c>
      <c r="R809">
        <v>0</v>
      </c>
      <c r="S809">
        <v>0</v>
      </c>
      <c r="T809">
        <v>0</v>
      </c>
      <c r="U809">
        <v>0</v>
      </c>
      <c r="V809">
        <f t="shared" si="344"/>
        <v>0</v>
      </c>
      <c r="W809">
        <f t="shared" si="346"/>
        <v>0</v>
      </c>
      <c r="X809">
        <f t="shared" si="347"/>
        <v>0</v>
      </c>
      <c r="Y809">
        <f t="shared" si="348"/>
        <v>0</v>
      </c>
      <c r="Z809" t="s">
        <v>73</v>
      </c>
      <c r="AA809" s="5" t="s">
        <v>73</v>
      </c>
      <c r="AB809" s="5" t="s">
        <v>73</v>
      </c>
      <c r="AC809" t="s">
        <v>91</v>
      </c>
      <c r="AD809" t="s">
        <v>137</v>
      </c>
      <c r="AE809" s="5" t="s">
        <v>137</v>
      </c>
      <c r="AF809" t="s">
        <v>113</v>
      </c>
      <c r="AG809" t="s">
        <v>103</v>
      </c>
      <c r="AH809">
        <f t="shared" si="364"/>
        <v>9.8810609999999993E-2</v>
      </c>
      <c r="AI809">
        <f t="shared" si="365"/>
        <v>9.8810609999999993E-2</v>
      </c>
      <c r="AJ809">
        <f t="shared" si="345"/>
        <v>9.8810609999999993E-2</v>
      </c>
      <c r="AK809">
        <v>9.8810609999999993E-2</v>
      </c>
      <c r="AL809">
        <v>0.11319890000000001</v>
      </c>
      <c r="AM809">
        <v>0.13590450000000001</v>
      </c>
      <c r="AN809">
        <v>0.13778800999999999</v>
      </c>
      <c r="AO809">
        <v>90.118938999999997</v>
      </c>
      <c r="AP809">
        <v>88.680109999999999</v>
      </c>
      <c r="AQ809">
        <v>86.409549999999996</v>
      </c>
      <c r="AR809">
        <v>86.221198999999999</v>
      </c>
      <c r="AS809" t="b">
        <v>0</v>
      </c>
      <c r="AT809" t="b">
        <v>0</v>
      </c>
      <c r="AU809" t="s">
        <v>77</v>
      </c>
      <c r="AV809" t="s">
        <v>78</v>
      </c>
      <c r="AW809" t="s">
        <v>783</v>
      </c>
      <c r="AX809" t="s">
        <v>812</v>
      </c>
      <c r="AY809" t="s">
        <v>1236</v>
      </c>
      <c r="AZ809" t="s">
        <v>109</v>
      </c>
      <c r="BA809">
        <v>3</v>
      </c>
      <c r="BB809">
        <v>0.5</v>
      </c>
      <c r="BC809">
        <v>9.0659339999999995E-3</v>
      </c>
      <c r="BD809">
        <v>2.76583658862385E-3</v>
      </c>
      <c r="BE809">
        <v>1.1831770588623799E-2</v>
      </c>
      <c r="BF809">
        <f>IF(AK809&lt;BE809,1,0)</f>
        <v>0</v>
      </c>
      <c r="BG809">
        <f>IF(AK809&lt;BC809,1,0)</f>
        <v>0</v>
      </c>
      <c r="BH809">
        <f>VLOOKUP($B809,[1]Data_Peer_with_peerVars!$B$2:$Z$1050,20,FALSE)</f>
        <v>11</v>
      </c>
      <c r="BI809">
        <f>VLOOKUP($B809,[1]Data_Peer_with_peerVars!$B$2:$Z$1050,21,FALSE)</f>
        <v>1</v>
      </c>
      <c r="BJ809">
        <f>VLOOKUP($B809,[1]Data_Peer_with_peerVars!$B$2:$Z$1050,22,FALSE)</f>
        <v>9.0909090999999997E-2</v>
      </c>
      <c r="BK809">
        <f>VLOOKUP($B809,[1]Data_Peer_with_peerVars!$B$2:$Z$1050,23,FALSE)</f>
        <v>52</v>
      </c>
      <c r="BL809">
        <f>VLOOKUP($B809,[1]Data_Peer_with_peerVars!$B$2:$Z$1050,24,FALSE)</f>
        <v>20</v>
      </c>
      <c r="BM809">
        <f>VLOOKUP($B809,[1]Data_Peer_with_peerVars!$B$2:$Z$1050,25,FALSE)</f>
        <v>0.38461538499999998</v>
      </c>
    </row>
    <row r="810" spans="1:65" x14ac:dyDescent="0.2">
      <c r="A810">
        <v>1</v>
      </c>
      <c r="B810" t="s">
        <v>1249</v>
      </c>
      <c r="C810">
        <v>470</v>
      </c>
      <c r="D810" t="s">
        <v>68</v>
      </c>
      <c r="E810">
        <v>0</v>
      </c>
      <c r="F810">
        <v>670</v>
      </c>
      <c r="G810" t="s">
        <v>97</v>
      </c>
      <c r="H810" s="1">
        <v>7</v>
      </c>
      <c r="I810" t="s">
        <v>70</v>
      </c>
      <c r="J810" t="s">
        <v>436</v>
      </c>
      <c r="K810" t="s">
        <v>72</v>
      </c>
      <c r="L810">
        <v>2</v>
      </c>
      <c r="M810">
        <v>0</v>
      </c>
      <c r="N810">
        <v>1</v>
      </c>
      <c r="O810">
        <v>1</v>
      </c>
      <c r="P810">
        <v>0</v>
      </c>
      <c r="Q810">
        <v>6</v>
      </c>
      <c r="R810">
        <v>0</v>
      </c>
      <c r="S810">
        <v>0</v>
      </c>
      <c r="T810">
        <v>0</v>
      </c>
      <c r="U810">
        <v>0</v>
      </c>
      <c r="V810">
        <f t="shared" si="344"/>
        <v>0</v>
      </c>
      <c r="W810">
        <f t="shared" si="346"/>
        <v>0</v>
      </c>
      <c r="X810">
        <f t="shared" si="347"/>
        <v>0</v>
      </c>
      <c r="Y810">
        <f t="shared" si="348"/>
        <v>0</v>
      </c>
      <c r="Z810" t="s">
        <v>73</v>
      </c>
      <c r="AA810" s="5" t="s">
        <v>73</v>
      </c>
      <c r="AB810" s="5" t="s">
        <v>73</v>
      </c>
      <c r="AC810" t="s">
        <v>120</v>
      </c>
      <c r="AD810" t="s">
        <v>74</v>
      </c>
      <c r="AE810" s="5" t="s">
        <v>1014</v>
      </c>
      <c r="AF810" t="s">
        <v>75</v>
      </c>
      <c r="AG810" t="s">
        <v>167</v>
      </c>
      <c r="AH810">
        <f t="shared" si="364"/>
        <v>3.4134353999999999E-2</v>
      </c>
      <c r="AI810">
        <f t="shared" si="365"/>
        <v>3.4134353999999999E-2</v>
      </c>
      <c r="AJ810">
        <f t="shared" si="345"/>
        <v>3.4134353999999999E-2</v>
      </c>
      <c r="AK810">
        <v>3.4134353999999999E-2</v>
      </c>
      <c r="AL810">
        <v>9.0958899999999995E-2</v>
      </c>
      <c r="AM810">
        <v>9.3271339999999994E-2</v>
      </c>
      <c r="AN810">
        <v>0.10273973</v>
      </c>
      <c r="AO810">
        <v>96.586564600000003</v>
      </c>
      <c r="AP810">
        <v>90.904110000000003</v>
      </c>
      <c r="AQ810">
        <v>90.672865999999999</v>
      </c>
      <c r="AR810">
        <v>89.726027000000002</v>
      </c>
      <c r="AS810" t="b">
        <v>0</v>
      </c>
      <c r="AT810" t="b">
        <v>0</v>
      </c>
      <c r="AU810" t="s">
        <v>77</v>
      </c>
      <c r="AV810" t="s">
        <v>108</v>
      </c>
      <c r="AW810" t="s">
        <v>783</v>
      </c>
      <c r="AX810" t="s">
        <v>812</v>
      </c>
      <c r="AY810" t="s">
        <v>1236</v>
      </c>
      <c r="AZ810" t="s">
        <v>72</v>
      </c>
      <c r="BA810" t="s">
        <v>82</v>
      </c>
      <c r="BB810">
        <v>1</v>
      </c>
      <c r="BC810">
        <v>4.6849314000000003E-2</v>
      </c>
      <c r="BD810">
        <v>4.5250577219970098E-3</v>
      </c>
      <c r="BE810">
        <v>5.1374371721996999E-2</v>
      </c>
      <c r="BF810">
        <f>IF(AK810&lt;BE810,1,0)</f>
        <v>1</v>
      </c>
      <c r="BG810">
        <f>IF(AK810&lt;BC810,1,0)</f>
        <v>1</v>
      </c>
      <c r="BH810">
        <f>VLOOKUP($B810,[1]Data_Peer_with_peerVars!$B$2:$Z$1050,20,FALSE)</f>
        <v>16</v>
      </c>
      <c r="BI810">
        <f>VLOOKUP($B810,[1]Data_Peer_with_peerVars!$B$2:$Z$1050,21,FALSE)</f>
        <v>5</v>
      </c>
      <c r="BJ810">
        <f>VLOOKUP($B810,[1]Data_Peer_with_peerVars!$B$2:$Z$1050,22,FALSE)</f>
        <v>0.3125</v>
      </c>
      <c r="BK810">
        <f>VLOOKUP($B810,[1]Data_Peer_with_peerVars!$B$2:$Z$1050,23,FALSE)</f>
        <v>51</v>
      </c>
      <c r="BL810">
        <f>VLOOKUP($B810,[1]Data_Peer_with_peerVars!$B$2:$Z$1050,24,FALSE)</f>
        <v>21</v>
      </c>
      <c r="BM810">
        <f>VLOOKUP($B810,[1]Data_Peer_with_peerVars!$B$2:$Z$1050,25,FALSE)</f>
        <v>0.41176470599999998</v>
      </c>
    </row>
    <row r="811" spans="1:65" x14ac:dyDescent="0.2">
      <c r="A811">
        <v>1</v>
      </c>
      <c r="B811" t="s">
        <v>1250</v>
      </c>
      <c r="C811">
        <v>470</v>
      </c>
      <c r="D811" t="s">
        <v>68</v>
      </c>
      <c r="E811">
        <v>0</v>
      </c>
      <c r="F811">
        <v>670</v>
      </c>
      <c r="G811" t="s">
        <v>97</v>
      </c>
      <c r="H811" s="1">
        <v>7</v>
      </c>
      <c r="I811" t="s">
        <v>70</v>
      </c>
      <c r="J811" t="s">
        <v>436</v>
      </c>
      <c r="K811" t="s">
        <v>72</v>
      </c>
      <c r="L811">
        <v>2</v>
      </c>
      <c r="M811">
        <v>0</v>
      </c>
      <c r="N811">
        <v>1</v>
      </c>
      <c r="O811">
        <v>1</v>
      </c>
      <c r="P811">
        <v>0</v>
      </c>
      <c r="Q811">
        <v>6</v>
      </c>
      <c r="R811">
        <v>0</v>
      </c>
      <c r="S811">
        <v>0</v>
      </c>
      <c r="T811">
        <v>1</v>
      </c>
      <c r="U811">
        <v>1</v>
      </c>
      <c r="V811">
        <f t="shared" si="344"/>
        <v>0</v>
      </c>
      <c r="W811">
        <f t="shared" si="346"/>
        <v>0</v>
      </c>
      <c r="X811">
        <f t="shared" si="347"/>
        <v>0</v>
      </c>
      <c r="Y811">
        <f t="shared" si="348"/>
        <v>0</v>
      </c>
      <c r="Z811" t="s">
        <v>120</v>
      </c>
      <c r="AA811" s="5" t="s">
        <v>120</v>
      </c>
      <c r="AB811" s="5" t="s">
        <v>827</v>
      </c>
      <c r="AC811" t="s">
        <v>73</v>
      </c>
      <c r="AD811" t="s">
        <v>94</v>
      </c>
      <c r="AE811" s="5" t="s">
        <v>106</v>
      </c>
      <c r="AF811" t="s">
        <v>107</v>
      </c>
      <c r="AG811" t="s">
        <v>95</v>
      </c>
      <c r="AH811">
        <f t="shared" si="364"/>
        <v>3.8167940000000001E-3</v>
      </c>
      <c r="AI811">
        <f t="shared" si="365"/>
        <v>3.8167940000000001E-3</v>
      </c>
      <c r="AJ811">
        <f t="shared" si="345"/>
        <v>3.8167940000000001E-3</v>
      </c>
      <c r="AK811">
        <v>3.8167940000000001E-3</v>
      </c>
      <c r="AL811">
        <v>0.13169399000000001</v>
      </c>
      <c r="AM811">
        <v>0.13623904000000001</v>
      </c>
      <c r="AN811">
        <v>0.13867615</v>
      </c>
      <c r="AO811">
        <v>99.618320600000004</v>
      </c>
      <c r="AP811">
        <v>86.830601000000001</v>
      </c>
      <c r="AQ811">
        <v>86.376096000000004</v>
      </c>
      <c r="AR811">
        <v>86.132384999999999</v>
      </c>
      <c r="AS811" t="b">
        <v>0</v>
      </c>
      <c r="AT811" t="b">
        <v>0</v>
      </c>
      <c r="AU811" t="s">
        <v>77</v>
      </c>
      <c r="AV811" t="s">
        <v>108</v>
      </c>
      <c r="AW811" t="s">
        <v>783</v>
      </c>
      <c r="AX811" t="s">
        <v>812</v>
      </c>
      <c r="AY811" t="s">
        <v>1236</v>
      </c>
      <c r="AZ811" t="s">
        <v>72</v>
      </c>
      <c r="BA811" t="s">
        <v>82</v>
      </c>
      <c r="BB811">
        <v>0.7</v>
      </c>
      <c r="BC811">
        <v>4.1163553999999996E-3</v>
      </c>
      <c r="BD811">
        <v>1.4279989108178799E-4</v>
      </c>
      <c r="BE811">
        <v>4.2591552910817903E-3</v>
      </c>
      <c r="BF811">
        <f>IF(AK811&lt;BE811,1,0)</f>
        <v>1</v>
      </c>
      <c r="BG811">
        <f>IF(AK811&lt;BC811,1,0)</f>
        <v>1</v>
      </c>
      <c r="BH811">
        <f>VLOOKUP($B811,[1]Data_Peer_with_peerVars!$B$2:$Z$1050,20,FALSE)</f>
        <v>16</v>
      </c>
      <c r="BI811">
        <f>VLOOKUP($B811,[1]Data_Peer_with_peerVars!$B$2:$Z$1050,21,FALSE)</f>
        <v>5</v>
      </c>
      <c r="BJ811">
        <f>VLOOKUP($B811,[1]Data_Peer_with_peerVars!$B$2:$Z$1050,22,FALSE)</f>
        <v>0.3125</v>
      </c>
      <c r="BK811">
        <f>VLOOKUP($B811,[1]Data_Peer_with_peerVars!$B$2:$Z$1050,23,FALSE)</f>
        <v>51</v>
      </c>
      <c r="BL811">
        <f>VLOOKUP($B811,[1]Data_Peer_with_peerVars!$B$2:$Z$1050,24,FALSE)</f>
        <v>21</v>
      </c>
      <c r="BM811">
        <f>VLOOKUP($B811,[1]Data_Peer_with_peerVars!$B$2:$Z$1050,25,FALSE)</f>
        <v>0.41176470599999998</v>
      </c>
    </row>
    <row r="812" spans="1:65" x14ac:dyDescent="0.2">
      <c r="A812">
        <v>1</v>
      </c>
      <c r="B812" t="s">
        <v>1251</v>
      </c>
      <c r="C812">
        <v>471</v>
      </c>
      <c r="D812" t="s">
        <v>68</v>
      </c>
      <c r="E812">
        <v>0</v>
      </c>
      <c r="F812">
        <v>672</v>
      </c>
      <c r="G812" t="s">
        <v>97</v>
      </c>
      <c r="H812" s="1">
        <v>7</v>
      </c>
      <c r="I812" t="s">
        <v>87</v>
      </c>
      <c r="J812" t="s">
        <v>88</v>
      </c>
      <c r="K812" t="s">
        <v>72</v>
      </c>
      <c r="L812">
        <v>1</v>
      </c>
      <c r="M812">
        <v>1</v>
      </c>
      <c r="N812">
        <v>1</v>
      </c>
      <c r="O812">
        <v>0</v>
      </c>
      <c r="P812">
        <v>0</v>
      </c>
      <c r="Q812">
        <v>6</v>
      </c>
      <c r="R812">
        <v>0</v>
      </c>
      <c r="S812">
        <v>0</v>
      </c>
      <c r="T812">
        <v>0</v>
      </c>
      <c r="U812">
        <v>0</v>
      </c>
      <c r="V812">
        <f t="shared" si="344"/>
        <v>0</v>
      </c>
      <c r="W812">
        <f t="shared" si="346"/>
        <v>0</v>
      </c>
      <c r="X812">
        <f t="shared" si="347"/>
        <v>0</v>
      </c>
      <c r="Y812">
        <f t="shared" si="348"/>
        <v>0</v>
      </c>
      <c r="Z812" t="s">
        <v>170</v>
      </c>
      <c r="AA812" s="5" t="s">
        <v>170</v>
      </c>
      <c r="AB812" s="5" t="s">
        <v>845</v>
      </c>
      <c r="AC812" t="s">
        <v>99</v>
      </c>
      <c r="AD812" t="s">
        <v>101</v>
      </c>
      <c r="AE812" s="5" t="s">
        <v>101</v>
      </c>
      <c r="AF812" t="s">
        <v>103</v>
      </c>
      <c r="AG812" t="s">
        <v>102</v>
      </c>
      <c r="AH812">
        <f t="shared" si="364"/>
        <v>7.2491730000000004E-2</v>
      </c>
      <c r="AI812">
        <f t="shared" si="365"/>
        <v>7.2491730000000004E-2</v>
      </c>
      <c r="AJ812">
        <f t="shared" si="345"/>
        <v>7.2491730000000004E-2</v>
      </c>
      <c r="AK812">
        <v>7.2491730000000004E-2</v>
      </c>
      <c r="AL812">
        <v>7.6331679999999999E-2</v>
      </c>
      <c r="AM812">
        <v>0.115426995</v>
      </c>
      <c r="AN812">
        <v>0.12117904</v>
      </c>
      <c r="AO812">
        <v>92.750827000000001</v>
      </c>
      <c r="AP812">
        <v>92.366832000000002</v>
      </c>
      <c r="AQ812">
        <v>88.457300500000002</v>
      </c>
      <c r="AR812">
        <v>87.882096000000004</v>
      </c>
      <c r="AS812" t="b">
        <v>0</v>
      </c>
      <c r="AT812" t="b">
        <v>0</v>
      </c>
      <c r="AU812" t="s">
        <v>92</v>
      </c>
      <c r="AV812" t="s">
        <v>92</v>
      </c>
      <c r="AW812" t="s">
        <v>783</v>
      </c>
      <c r="AX812" t="s">
        <v>812</v>
      </c>
      <c r="AY812" t="s">
        <v>1242</v>
      </c>
      <c r="AZ812" t="s">
        <v>72</v>
      </c>
      <c r="BA812" t="s">
        <v>82</v>
      </c>
      <c r="BB812">
        <v>0.5</v>
      </c>
      <c r="BC812">
        <v>2.4711695999999998E-2</v>
      </c>
      <c r="BD812">
        <v>1.72884756304863E-3</v>
      </c>
      <c r="BE812">
        <v>2.6440543563048601E-2</v>
      </c>
      <c r="BF812">
        <f>IF(AK812&lt;BE812,1,0)</f>
        <v>0</v>
      </c>
      <c r="BG812">
        <f>IF(AK812&lt;BC812,1,0)</f>
        <v>0</v>
      </c>
      <c r="BH812">
        <f>VLOOKUP($B812,[1]Data_Peer_with_peerVars!$B$2:$Z$1050,20,FALSE)</f>
        <v>0</v>
      </c>
      <c r="BI812">
        <f>VLOOKUP($B812,[1]Data_Peer_with_peerVars!$B$2:$Z$1050,21,FALSE)</f>
        <v>0</v>
      </c>
      <c r="BJ812">
        <v>0</v>
      </c>
      <c r="BK812">
        <f>VLOOKUP($B812,[1]Data_Peer_with_peerVars!$B$2:$Z$1050,23,FALSE)</f>
        <v>26</v>
      </c>
      <c r="BL812">
        <f>VLOOKUP($B812,[1]Data_Peer_with_peerVars!$B$2:$Z$1050,24,FALSE)</f>
        <v>7</v>
      </c>
      <c r="BM812">
        <f>VLOOKUP($B812,[1]Data_Peer_with_peerVars!$B$2:$Z$1050,25,FALSE)</f>
        <v>0.26923076899999998</v>
      </c>
    </row>
    <row r="813" spans="1:65" x14ac:dyDescent="0.2">
      <c r="A813">
        <v>1</v>
      </c>
      <c r="B813" t="s">
        <v>1252</v>
      </c>
      <c r="C813">
        <v>471</v>
      </c>
      <c r="D813" t="s">
        <v>68</v>
      </c>
      <c r="E813">
        <v>0</v>
      </c>
      <c r="F813">
        <v>672</v>
      </c>
      <c r="G813" t="s">
        <v>97</v>
      </c>
      <c r="H813" s="1">
        <v>7</v>
      </c>
      <c r="I813" t="s">
        <v>87</v>
      </c>
      <c r="J813" t="s">
        <v>88</v>
      </c>
      <c r="K813" t="s">
        <v>72</v>
      </c>
      <c r="L813">
        <v>1</v>
      </c>
      <c r="M813">
        <v>1</v>
      </c>
      <c r="N813">
        <v>1</v>
      </c>
      <c r="O813">
        <v>0</v>
      </c>
      <c r="P813">
        <v>0</v>
      </c>
      <c r="Q813">
        <v>6</v>
      </c>
      <c r="R813">
        <v>0</v>
      </c>
      <c r="S813">
        <v>0</v>
      </c>
      <c r="T813">
        <v>0</v>
      </c>
      <c r="U813">
        <v>1</v>
      </c>
      <c r="V813">
        <f t="shared" si="344"/>
        <v>1</v>
      </c>
      <c r="W813">
        <v>1</v>
      </c>
      <c r="X813">
        <v>1</v>
      </c>
      <c r="Y813">
        <v>1</v>
      </c>
      <c r="Z813" t="s">
        <v>73</v>
      </c>
      <c r="AA813" s="5" t="s">
        <v>73</v>
      </c>
      <c r="AB813" s="5" t="s">
        <v>73</v>
      </c>
      <c r="AC813" t="s">
        <v>73</v>
      </c>
      <c r="AD813" t="s">
        <v>94</v>
      </c>
      <c r="AE813" s="5" t="s">
        <v>106</v>
      </c>
      <c r="AF813" t="s">
        <v>75</v>
      </c>
      <c r="AG813" t="s">
        <v>107</v>
      </c>
      <c r="AH813">
        <f>AI813</f>
        <v>3.0806980000000001E-2</v>
      </c>
      <c r="AI813">
        <f>AJ813</f>
        <v>3.0806980000000001E-2</v>
      </c>
      <c r="AJ813">
        <f t="shared" si="345"/>
        <v>3.0806980000000001E-2</v>
      </c>
      <c r="AK813">
        <v>3.0806980000000001E-2</v>
      </c>
      <c r="AL813">
        <v>0.13080284</v>
      </c>
      <c r="AM813">
        <v>0.13492064000000001</v>
      </c>
      <c r="AN813">
        <v>0.14383562</v>
      </c>
      <c r="AO813">
        <v>96.919302000000002</v>
      </c>
      <c r="AP813">
        <v>86.919715999999994</v>
      </c>
      <c r="AQ813">
        <v>86.507936000000001</v>
      </c>
      <c r="AR813">
        <v>85.616438000000002</v>
      </c>
      <c r="AS813" t="b">
        <v>1</v>
      </c>
      <c r="AT813" t="b">
        <v>0</v>
      </c>
      <c r="AU813" t="s">
        <v>77</v>
      </c>
      <c r="AV813" t="s">
        <v>108</v>
      </c>
      <c r="AW813" t="s">
        <v>783</v>
      </c>
      <c r="AX813" t="s">
        <v>812</v>
      </c>
      <c r="AY813" t="s">
        <v>1242</v>
      </c>
      <c r="AZ813" t="s">
        <v>109</v>
      </c>
      <c r="BA813">
        <v>3</v>
      </c>
      <c r="BB813">
        <v>0.5</v>
      </c>
      <c r="BC813">
        <v>4.1163553999999996E-3</v>
      </c>
      <c r="BD813">
        <v>1.4279989108178799E-4</v>
      </c>
      <c r="BE813">
        <v>4.2591552910817903E-3</v>
      </c>
      <c r="BF813">
        <f>IF(AK813&lt;BE813,1,0)</f>
        <v>0</v>
      </c>
      <c r="BG813">
        <f>IF(AK813&lt;BC813,1,0)</f>
        <v>0</v>
      </c>
      <c r="BH813">
        <f>VLOOKUP($B813,[1]Data_Peer_with_peerVars!$B$2:$Z$1050,20,FALSE)</f>
        <v>0</v>
      </c>
      <c r="BI813">
        <f>VLOOKUP($B813,[1]Data_Peer_with_peerVars!$B$2:$Z$1050,21,FALSE)</f>
        <v>0</v>
      </c>
      <c r="BJ813">
        <v>0</v>
      </c>
      <c r="BK813">
        <f>VLOOKUP($B813,[1]Data_Peer_with_peerVars!$B$2:$Z$1050,23,FALSE)</f>
        <v>26</v>
      </c>
      <c r="BL813">
        <f>VLOOKUP($B813,[1]Data_Peer_with_peerVars!$B$2:$Z$1050,24,FALSE)</f>
        <v>7</v>
      </c>
      <c r="BM813">
        <f>VLOOKUP($B813,[1]Data_Peer_with_peerVars!$B$2:$Z$1050,25,FALSE)</f>
        <v>0.26923076899999998</v>
      </c>
    </row>
    <row r="814" spans="1:65" x14ac:dyDescent="0.2">
      <c r="A814">
        <v>1</v>
      </c>
      <c r="B814" t="s">
        <v>1253</v>
      </c>
      <c r="C814">
        <v>472</v>
      </c>
      <c r="D814" t="s">
        <v>68</v>
      </c>
      <c r="E814">
        <v>0</v>
      </c>
      <c r="F814">
        <v>738</v>
      </c>
      <c r="G814" t="s">
        <v>97</v>
      </c>
      <c r="H814" s="1">
        <v>7</v>
      </c>
      <c r="I814" t="s">
        <v>87</v>
      </c>
      <c r="J814" t="s">
        <v>124</v>
      </c>
      <c r="K814" t="s">
        <v>72</v>
      </c>
      <c r="L814">
        <v>2</v>
      </c>
      <c r="M814">
        <v>0</v>
      </c>
      <c r="N814">
        <v>1</v>
      </c>
      <c r="O814">
        <v>1</v>
      </c>
      <c r="P814">
        <v>0</v>
      </c>
      <c r="Q814">
        <v>11</v>
      </c>
      <c r="R814">
        <v>0</v>
      </c>
      <c r="S814">
        <v>0</v>
      </c>
      <c r="T814">
        <v>0</v>
      </c>
      <c r="U814">
        <v>0</v>
      </c>
      <c r="V814">
        <f t="shared" si="344"/>
        <v>0</v>
      </c>
      <c r="W814">
        <f t="shared" si="346"/>
        <v>0</v>
      </c>
      <c r="X814">
        <f t="shared" si="347"/>
        <v>0</v>
      </c>
      <c r="Y814">
        <f t="shared" si="348"/>
        <v>0</v>
      </c>
      <c r="Z814" t="s">
        <v>73</v>
      </c>
      <c r="AA814" s="5" t="s">
        <v>73</v>
      </c>
      <c r="AB814" s="5" t="s">
        <v>73</v>
      </c>
      <c r="AC814" t="s">
        <v>91</v>
      </c>
      <c r="AD814" t="s">
        <v>287</v>
      </c>
      <c r="AE814" s="5" t="s">
        <v>287</v>
      </c>
      <c r="AF814" t="s">
        <v>137</v>
      </c>
      <c r="AG814" t="s">
        <v>84</v>
      </c>
      <c r="AH814">
        <f t="shared" ref="AH814:AH816" si="366">AI814</f>
        <v>6.8343355999999997E-3</v>
      </c>
      <c r="AI814">
        <f t="shared" ref="AI814:AI816" si="367">AJ814</f>
        <v>6.8343355999999997E-3</v>
      </c>
      <c r="AJ814">
        <f t="shared" si="345"/>
        <v>6.8343355999999997E-3</v>
      </c>
      <c r="AK814">
        <v>6.8343355999999997E-3</v>
      </c>
      <c r="AL814">
        <v>0.11666667</v>
      </c>
      <c r="AM814">
        <v>0.12834516000000001</v>
      </c>
      <c r="AN814">
        <v>0.13296704000000001</v>
      </c>
      <c r="AO814">
        <v>99.316566440000003</v>
      </c>
      <c r="AP814">
        <v>88.333332999999996</v>
      </c>
      <c r="AQ814">
        <v>87.165484000000006</v>
      </c>
      <c r="AR814">
        <v>86.703295999999995</v>
      </c>
      <c r="AS814" t="b">
        <v>0</v>
      </c>
      <c r="AT814" t="b">
        <v>0</v>
      </c>
      <c r="AU814" t="s">
        <v>77</v>
      </c>
      <c r="AV814" t="s">
        <v>78</v>
      </c>
      <c r="AW814" t="s">
        <v>783</v>
      </c>
      <c r="AX814" t="s">
        <v>812</v>
      </c>
      <c r="AY814" t="s">
        <v>1236</v>
      </c>
      <c r="AZ814" t="s">
        <v>72</v>
      </c>
      <c r="BA814" t="s">
        <v>82</v>
      </c>
      <c r="BB814">
        <v>0.5</v>
      </c>
      <c r="BC814">
        <v>9.0659339999999995E-3</v>
      </c>
      <c r="BD814">
        <v>2.76583658862385E-3</v>
      </c>
      <c r="BE814">
        <v>1.1831770588623799E-2</v>
      </c>
      <c r="BF814">
        <f>IF(AK814&lt;BE814,1,0)</f>
        <v>1</v>
      </c>
      <c r="BG814">
        <f>IF(AK814&lt;BC814,1,0)</f>
        <v>1</v>
      </c>
      <c r="BH814">
        <f>VLOOKUP($B814,[1]Data_Peer_with_peerVars!$B$2:$Z$1050,20,FALSE)</f>
        <v>14</v>
      </c>
      <c r="BI814">
        <f>VLOOKUP($B814,[1]Data_Peer_with_peerVars!$B$2:$Z$1050,21,FALSE)</f>
        <v>4</v>
      </c>
      <c r="BJ814">
        <f>VLOOKUP($B814,[1]Data_Peer_with_peerVars!$B$2:$Z$1050,22,FALSE)</f>
        <v>0.28571428599999998</v>
      </c>
      <c r="BK814">
        <f>VLOOKUP($B814,[1]Data_Peer_with_peerVars!$B$2:$Z$1050,23,FALSE)</f>
        <v>50</v>
      </c>
      <c r="BL814">
        <f>VLOOKUP($B814,[1]Data_Peer_with_peerVars!$B$2:$Z$1050,24,FALSE)</f>
        <v>21</v>
      </c>
      <c r="BM814">
        <f>VLOOKUP($B814,[1]Data_Peer_with_peerVars!$B$2:$Z$1050,25,FALSE)</f>
        <v>0.42</v>
      </c>
    </row>
    <row r="815" spans="1:65" x14ac:dyDescent="0.2">
      <c r="A815">
        <v>1</v>
      </c>
      <c r="B815" t="s">
        <v>1254</v>
      </c>
      <c r="C815">
        <v>472</v>
      </c>
      <c r="D815" t="s">
        <v>68</v>
      </c>
      <c r="E815">
        <v>0</v>
      </c>
      <c r="F815">
        <v>738</v>
      </c>
      <c r="G815" t="s">
        <v>97</v>
      </c>
      <c r="H815" s="1">
        <v>7</v>
      </c>
      <c r="I815" t="s">
        <v>87</v>
      </c>
      <c r="J815" t="s">
        <v>124</v>
      </c>
      <c r="K815" t="s">
        <v>72</v>
      </c>
      <c r="L815">
        <v>2</v>
      </c>
      <c r="M815">
        <v>0</v>
      </c>
      <c r="N815">
        <v>1</v>
      </c>
      <c r="O815">
        <v>1</v>
      </c>
      <c r="P815">
        <v>0</v>
      </c>
      <c r="Q815">
        <v>11</v>
      </c>
      <c r="R815">
        <v>0</v>
      </c>
      <c r="S815">
        <v>0</v>
      </c>
      <c r="T815">
        <v>0</v>
      </c>
      <c r="U815">
        <v>0</v>
      </c>
      <c r="V815">
        <f t="shared" si="344"/>
        <v>0</v>
      </c>
      <c r="W815">
        <f t="shared" si="346"/>
        <v>0</v>
      </c>
      <c r="X815">
        <f t="shared" si="347"/>
        <v>0</v>
      </c>
      <c r="Y815">
        <f t="shared" si="348"/>
        <v>0</v>
      </c>
      <c r="Z815" t="s">
        <v>76</v>
      </c>
      <c r="AA815" s="5" t="s">
        <v>76</v>
      </c>
      <c r="AB815" s="5" t="s">
        <v>1156</v>
      </c>
      <c r="AC815" t="s">
        <v>91</v>
      </c>
      <c r="AD815" t="s">
        <v>120</v>
      </c>
      <c r="AE815" s="5" t="s">
        <v>120</v>
      </c>
      <c r="AF815" t="s">
        <v>74</v>
      </c>
      <c r="AG815" t="s">
        <v>75</v>
      </c>
      <c r="AH815">
        <f t="shared" si="366"/>
        <v>5.7681789999999997E-2</v>
      </c>
      <c r="AI815">
        <f t="shared" si="367"/>
        <v>5.7681789999999997E-2</v>
      </c>
      <c r="AJ815">
        <f t="shared" si="345"/>
        <v>5.7681789999999997E-2</v>
      </c>
      <c r="AK815">
        <v>5.7681789999999997E-2</v>
      </c>
      <c r="AL815">
        <v>0.11004915</v>
      </c>
      <c r="AM815">
        <v>0.11890410999999999</v>
      </c>
      <c r="AN815">
        <v>0.12308534</v>
      </c>
      <c r="AO815">
        <v>94.231820999999997</v>
      </c>
      <c r="AP815">
        <v>88.995085000000003</v>
      </c>
      <c r="AQ815">
        <v>88.109589</v>
      </c>
      <c r="AR815">
        <v>87.691466000000005</v>
      </c>
      <c r="AS815" t="b">
        <v>0</v>
      </c>
      <c r="AT815" t="b">
        <v>0</v>
      </c>
      <c r="AU815" t="s">
        <v>77</v>
      </c>
      <c r="AV815" t="s">
        <v>78</v>
      </c>
      <c r="AW815" t="s">
        <v>783</v>
      </c>
      <c r="AX815" t="s">
        <v>812</v>
      </c>
      <c r="AY815" t="s">
        <v>1236</v>
      </c>
      <c r="AZ815" t="s">
        <v>72</v>
      </c>
      <c r="BA815" t="s">
        <v>82</v>
      </c>
      <c r="BB815">
        <v>0.5</v>
      </c>
      <c r="BC815">
        <v>9.0659339999999995E-3</v>
      </c>
      <c r="BD815">
        <v>2.76583658862385E-3</v>
      </c>
      <c r="BE815">
        <v>1.1831770588623799E-2</v>
      </c>
      <c r="BF815">
        <f>IF(AK815&lt;BE815,1,0)</f>
        <v>0</v>
      </c>
      <c r="BG815">
        <f>IF(AK815&lt;BC815,1,0)</f>
        <v>0</v>
      </c>
      <c r="BH815">
        <f>VLOOKUP($B815,[1]Data_Peer_with_peerVars!$B$2:$Z$1050,20,FALSE)</f>
        <v>14</v>
      </c>
      <c r="BI815">
        <f>VLOOKUP($B815,[1]Data_Peer_with_peerVars!$B$2:$Z$1050,21,FALSE)</f>
        <v>4</v>
      </c>
      <c r="BJ815">
        <f>VLOOKUP($B815,[1]Data_Peer_with_peerVars!$B$2:$Z$1050,22,FALSE)</f>
        <v>0.28571428599999998</v>
      </c>
      <c r="BK815">
        <f>VLOOKUP($B815,[1]Data_Peer_with_peerVars!$B$2:$Z$1050,23,FALSE)</f>
        <v>50</v>
      </c>
      <c r="BL815">
        <f>VLOOKUP($B815,[1]Data_Peer_with_peerVars!$B$2:$Z$1050,24,FALSE)</f>
        <v>21</v>
      </c>
      <c r="BM815">
        <f>VLOOKUP($B815,[1]Data_Peer_with_peerVars!$B$2:$Z$1050,25,FALSE)</f>
        <v>0.42</v>
      </c>
    </row>
    <row r="816" spans="1:65" x14ac:dyDescent="0.2">
      <c r="A816">
        <v>1</v>
      </c>
      <c r="B816" t="s">
        <v>1255</v>
      </c>
      <c r="C816">
        <v>473</v>
      </c>
      <c r="D816" t="s">
        <v>68</v>
      </c>
      <c r="E816">
        <v>0</v>
      </c>
      <c r="F816">
        <v>740</v>
      </c>
      <c r="G816" t="s">
        <v>97</v>
      </c>
      <c r="H816" s="1">
        <v>6.5</v>
      </c>
      <c r="J816" t="s">
        <v>82</v>
      </c>
      <c r="L816">
        <v>2</v>
      </c>
      <c r="M816">
        <v>0</v>
      </c>
      <c r="N816">
        <v>1</v>
      </c>
      <c r="O816">
        <v>0</v>
      </c>
      <c r="P816">
        <v>0</v>
      </c>
      <c r="Q816">
        <v>1</v>
      </c>
      <c r="R816">
        <v>0</v>
      </c>
      <c r="S816">
        <v>0</v>
      </c>
      <c r="T816">
        <v>0</v>
      </c>
      <c r="U816">
        <v>0</v>
      </c>
      <c r="V816">
        <f t="shared" si="344"/>
        <v>0</v>
      </c>
      <c r="W816">
        <f t="shared" si="346"/>
        <v>0</v>
      </c>
      <c r="X816">
        <f t="shared" si="347"/>
        <v>0</v>
      </c>
      <c r="Y816">
        <f t="shared" si="348"/>
        <v>0</v>
      </c>
      <c r="Z816" t="s">
        <v>170</v>
      </c>
      <c r="AA816" s="5" t="s">
        <v>170</v>
      </c>
      <c r="AB816" s="5" t="s">
        <v>845</v>
      </c>
      <c r="AC816" t="s">
        <v>101</v>
      </c>
      <c r="AD816" t="s">
        <v>99</v>
      </c>
      <c r="AE816" s="5" t="s">
        <v>99</v>
      </c>
      <c r="AF816" t="s">
        <v>103</v>
      </c>
      <c r="AG816" t="s">
        <v>102</v>
      </c>
      <c r="AH816">
        <f t="shared" si="366"/>
        <v>6.2877539999999996E-2</v>
      </c>
      <c r="AI816">
        <f t="shared" si="367"/>
        <v>6.2877539999999996E-2</v>
      </c>
      <c r="AJ816">
        <f t="shared" si="345"/>
        <v>6.2877539999999996E-2</v>
      </c>
      <c r="AK816">
        <v>6.2877539999999996E-2</v>
      </c>
      <c r="AL816">
        <v>6.8319560000000001E-2</v>
      </c>
      <c r="AM816">
        <v>0.10501654000000001</v>
      </c>
      <c r="AN816">
        <v>0.12199782000000001</v>
      </c>
      <c r="AO816">
        <v>93.712245999999993</v>
      </c>
      <c r="AP816">
        <v>93.168043999999995</v>
      </c>
      <c r="AQ816">
        <v>89.498345999999998</v>
      </c>
      <c r="AR816">
        <v>87.800218000000001</v>
      </c>
      <c r="AS816" t="b">
        <v>0</v>
      </c>
      <c r="AT816" t="b">
        <v>0</v>
      </c>
      <c r="AU816" t="s">
        <v>92</v>
      </c>
      <c r="AV816" t="s">
        <v>92</v>
      </c>
      <c r="AW816" t="s">
        <v>783</v>
      </c>
      <c r="AX816" t="s">
        <v>812</v>
      </c>
      <c r="AY816" t="s">
        <v>1242</v>
      </c>
      <c r="AZ816" t="s">
        <v>82</v>
      </c>
      <c r="BA816" t="s">
        <v>82</v>
      </c>
      <c r="BB816">
        <v>1</v>
      </c>
      <c r="BC816">
        <v>1.4096186E-2</v>
      </c>
      <c r="BD816">
        <v>1.55088650053763E-3</v>
      </c>
      <c r="BE816">
        <v>1.5647072500537599E-2</v>
      </c>
      <c r="BF816">
        <f>IF(AK816&lt;BE816,1,0)</f>
        <v>0</v>
      </c>
      <c r="BG816">
        <f>IF(AK816&lt;BC816,1,0)</f>
        <v>0</v>
      </c>
      <c r="BH816">
        <f>VLOOKUP($B816,[1]Data_Peer_with_peerVars!$B$2:$Z$1050,20,FALSE)</f>
        <v>2</v>
      </c>
      <c r="BI816">
        <f>VLOOKUP($B816,[1]Data_Peer_with_peerVars!$B$2:$Z$1050,21,FALSE)</f>
        <v>0</v>
      </c>
      <c r="BJ816">
        <f>VLOOKUP($B816,[1]Data_Peer_with_peerVars!$B$2:$Z$1050,22,FALSE)</f>
        <v>0</v>
      </c>
      <c r="BK816">
        <f>VLOOKUP($B816,[1]Data_Peer_with_peerVars!$B$2:$Z$1050,23,FALSE)</f>
        <v>38</v>
      </c>
      <c r="BL816">
        <f>VLOOKUP($B816,[1]Data_Peer_with_peerVars!$B$2:$Z$1050,24,FALSE)</f>
        <v>12</v>
      </c>
      <c r="BM816">
        <f>VLOOKUP($B816,[1]Data_Peer_with_peerVars!$B$2:$Z$1050,25,FALSE)</f>
        <v>0.31578947400000001</v>
      </c>
    </row>
    <row r="817" spans="1:65" x14ac:dyDescent="0.2">
      <c r="A817">
        <v>1</v>
      </c>
      <c r="B817" t="s">
        <v>1256</v>
      </c>
      <c r="C817">
        <v>473</v>
      </c>
      <c r="D817" t="s">
        <v>68</v>
      </c>
      <c r="E817">
        <v>0</v>
      </c>
      <c r="F817">
        <v>740</v>
      </c>
      <c r="G817" t="s">
        <v>97</v>
      </c>
      <c r="H817" s="1">
        <v>6.5</v>
      </c>
      <c r="J817" t="s">
        <v>82</v>
      </c>
      <c r="L817">
        <v>2</v>
      </c>
      <c r="M817">
        <v>0</v>
      </c>
      <c r="N817">
        <v>1</v>
      </c>
      <c r="O817">
        <v>0</v>
      </c>
      <c r="P817">
        <v>0</v>
      </c>
      <c r="Q817">
        <v>1</v>
      </c>
      <c r="R817">
        <v>0</v>
      </c>
      <c r="S817">
        <v>0</v>
      </c>
      <c r="T817">
        <v>0</v>
      </c>
      <c r="U817">
        <v>0</v>
      </c>
      <c r="V817">
        <f t="shared" si="344"/>
        <v>1</v>
      </c>
      <c r="W817">
        <v>1</v>
      </c>
      <c r="X817">
        <v>1</v>
      </c>
      <c r="Y817">
        <v>1</v>
      </c>
      <c r="Z817" t="s">
        <v>73</v>
      </c>
      <c r="AA817" s="5" t="s">
        <v>73</v>
      </c>
      <c r="AB817" s="5" t="s">
        <v>73</v>
      </c>
      <c r="AC817" t="s">
        <v>73</v>
      </c>
      <c r="AD817" t="s">
        <v>94</v>
      </c>
      <c r="AE817" s="5" t="s">
        <v>94</v>
      </c>
      <c r="AF817" t="s">
        <v>75</v>
      </c>
      <c r="AG817" t="s">
        <v>95</v>
      </c>
      <c r="AH817">
        <f>AI817</f>
        <v>6.733915E-2</v>
      </c>
      <c r="AI817">
        <f>AJ817</f>
        <v>6.733915E-2</v>
      </c>
      <c r="AJ817">
        <f t="shared" si="345"/>
        <v>6.733915E-2</v>
      </c>
      <c r="AK817">
        <v>6.733915E-2</v>
      </c>
      <c r="AL817">
        <v>0.11735808</v>
      </c>
      <c r="AM817">
        <v>0.1285558</v>
      </c>
      <c r="AN817">
        <v>0.14098361000000001</v>
      </c>
      <c r="AO817">
        <v>93.266085000000004</v>
      </c>
      <c r="AP817">
        <v>88.264191999999994</v>
      </c>
      <c r="AQ817">
        <v>87.144419999999997</v>
      </c>
      <c r="AR817">
        <v>85.901639000000003</v>
      </c>
      <c r="AS817" t="b">
        <v>1</v>
      </c>
      <c r="AT817" t="b">
        <v>0</v>
      </c>
      <c r="AU817" t="s">
        <v>77</v>
      </c>
      <c r="AV817" t="s">
        <v>78</v>
      </c>
      <c r="AW817" t="s">
        <v>783</v>
      </c>
      <c r="AX817" t="s">
        <v>812</v>
      </c>
      <c r="AY817" t="s">
        <v>1242</v>
      </c>
      <c r="AZ817" t="s">
        <v>109</v>
      </c>
      <c r="BA817">
        <v>2</v>
      </c>
      <c r="BB817">
        <v>0.5</v>
      </c>
      <c r="BC817">
        <v>4.1163553999999996E-3</v>
      </c>
      <c r="BD817">
        <v>1.4279989108178799E-4</v>
      </c>
      <c r="BE817">
        <v>4.2591552910817903E-3</v>
      </c>
      <c r="BF817">
        <f>IF(AK817&lt;BE817,1,0)</f>
        <v>0</v>
      </c>
      <c r="BG817">
        <f>IF(AK817&lt;BC817,1,0)</f>
        <v>0</v>
      </c>
      <c r="BH817">
        <f>VLOOKUP($B817,[1]Data_Peer_with_peerVars!$B$2:$Z$1050,20,FALSE)</f>
        <v>2</v>
      </c>
      <c r="BI817">
        <f>VLOOKUP($B817,[1]Data_Peer_with_peerVars!$B$2:$Z$1050,21,FALSE)</f>
        <v>0</v>
      </c>
      <c r="BJ817">
        <f>VLOOKUP($B817,[1]Data_Peer_with_peerVars!$B$2:$Z$1050,22,FALSE)</f>
        <v>0</v>
      </c>
      <c r="BK817">
        <f>VLOOKUP($B817,[1]Data_Peer_with_peerVars!$B$2:$Z$1050,23,FALSE)</f>
        <v>38</v>
      </c>
      <c r="BL817">
        <f>VLOOKUP($B817,[1]Data_Peer_with_peerVars!$B$2:$Z$1050,24,FALSE)</f>
        <v>12</v>
      </c>
      <c r="BM817">
        <f>VLOOKUP($B817,[1]Data_Peer_with_peerVars!$B$2:$Z$1050,25,FALSE)</f>
        <v>0.31578947400000001</v>
      </c>
    </row>
    <row r="818" spans="1:65" x14ac:dyDescent="0.2">
      <c r="A818">
        <v>1</v>
      </c>
      <c r="B818" t="s">
        <v>1257</v>
      </c>
      <c r="C818">
        <v>474</v>
      </c>
      <c r="D818" t="s">
        <v>68</v>
      </c>
      <c r="E818">
        <v>0</v>
      </c>
      <c r="F818">
        <v>742</v>
      </c>
      <c r="G818" t="s">
        <v>97</v>
      </c>
      <c r="H818" s="1">
        <v>7</v>
      </c>
      <c r="I818" t="s">
        <v>87</v>
      </c>
      <c r="J818" t="s">
        <v>88</v>
      </c>
      <c r="K818" t="s">
        <v>109</v>
      </c>
      <c r="L818">
        <v>1</v>
      </c>
      <c r="M818">
        <v>0</v>
      </c>
      <c r="N818">
        <v>1</v>
      </c>
      <c r="O818">
        <v>0</v>
      </c>
      <c r="P818">
        <v>0</v>
      </c>
      <c r="Q818">
        <v>6</v>
      </c>
      <c r="R818">
        <v>0</v>
      </c>
      <c r="S818">
        <v>0</v>
      </c>
      <c r="T818">
        <v>0</v>
      </c>
      <c r="U818">
        <v>0</v>
      </c>
      <c r="V818">
        <f t="shared" si="344"/>
        <v>0</v>
      </c>
      <c r="W818">
        <f t="shared" si="346"/>
        <v>0</v>
      </c>
      <c r="X818">
        <f t="shared" si="347"/>
        <v>0</v>
      </c>
      <c r="Y818">
        <f t="shared" si="348"/>
        <v>0</v>
      </c>
      <c r="Z818" t="s">
        <v>76</v>
      </c>
      <c r="AA818" s="5" t="s">
        <v>76</v>
      </c>
      <c r="AB818" s="5" t="s">
        <v>76</v>
      </c>
      <c r="AC818" t="s">
        <v>120</v>
      </c>
      <c r="AD818" t="s">
        <v>74</v>
      </c>
      <c r="AE818" s="5" t="s">
        <v>74</v>
      </c>
      <c r="AF818" t="s">
        <v>94</v>
      </c>
      <c r="AG818" t="s">
        <v>167</v>
      </c>
      <c r="AH818">
        <f t="shared" ref="AH818:AH831" si="368">AI818</f>
        <v>7.6923080000000005E-2</v>
      </c>
      <c r="AI818">
        <f t="shared" ref="AI818:AI827" si="369">AJ818</f>
        <v>7.6923080000000005E-2</v>
      </c>
      <c r="AJ818">
        <f t="shared" si="345"/>
        <v>7.6923080000000005E-2</v>
      </c>
      <c r="AK818">
        <v>7.6923080000000005E-2</v>
      </c>
      <c r="AL818">
        <v>8.9743589999999998E-2</v>
      </c>
      <c r="AM818">
        <v>0.13461539</v>
      </c>
      <c r="AN818">
        <v>0.14102565</v>
      </c>
      <c r="AO818">
        <v>92.307692000000003</v>
      </c>
      <c r="AP818">
        <v>91.025640999999993</v>
      </c>
      <c r="AQ818">
        <v>86.538460999999998</v>
      </c>
      <c r="AR818">
        <v>85.897435000000002</v>
      </c>
      <c r="AS818" t="b">
        <v>0</v>
      </c>
      <c r="AT818" t="b">
        <v>0</v>
      </c>
      <c r="AU818" t="s">
        <v>77</v>
      </c>
      <c r="AV818" t="s">
        <v>77</v>
      </c>
      <c r="AW818" t="s">
        <v>783</v>
      </c>
      <c r="AX818" t="s">
        <v>812</v>
      </c>
      <c r="AY818" t="s">
        <v>1242</v>
      </c>
      <c r="AZ818" t="s">
        <v>109</v>
      </c>
      <c r="BA818">
        <v>2</v>
      </c>
      <c r="BB818">
        <v>1.4</v>
      </c>
      <c r="BC818">
        <v>4.6849314000000003E-2</v>
      </c>
      <c r="BD818">
        <v>4.5250577219970098E-3</v>
      </c>
      <c r="BE818">
        <v>5.1374371721996999E-2</v>
      </c>
      <c r="BF818">
        <f>IF(AK818&lt;BE818,1,0)</f>
        <v>0</v>
      </c>
      <c r="BG818">
        <f>IF(AK818&lt;BC818,1,0)</f>
        <v>0</v>
      </c>
      <c r="BH818">
        <f>VLOOKUP($B818,[1]Data_Peer_with_peerVars!$B$2:$Z$1050,20,FALSE)</f>
        <v>9</v>
      </c>
      <c r="BI818">
        <f>VLOOKUP($B818,[1]Data_Peer_with_peerVars!$B$2:$Z$1050,21,FALSE)</f>
        <v>8</v>
      </c>
      <c r="BJ818">
        <f>VLOOKUP($B818,[1]Data_Peer_with_peerVars!$B$2:$Z$1050,22,FALSE)</f>
        <v>0.88888888899999996</v>
      </c>
      <c r="BK818">
        <f>VLOOKUP($B818,[1]Data_Peer_with_peerVars!$B$2:$Z$1050,23,FALSE)</f>
        <v>53</v>
      </c>
      <c r="BL818">
        <f>VLOOKUP($B818,[1]Data_Peer_with_peerVars!$B$2:$Z$1050,24,FALSE)</f>
        <v>24</v>
      </c>
      <c r="BM818">
        <f>VLOOKUP($B818,[1]Data_Peer_with_peerVars!$B$2:$Z$1050,25,FALSE)</f>
        <v>0.45283018899999999</v>
      </c>
    </row>
    <row r="819" spans="1:65" x14ac:dyDescent="0.2">
      <c r="A819">
        <v>1</v>
      </c>
      <c r="B819" t="s">
        <v>1258</v>
      </c>
      <c r="C819">
        <v>475</v>
      </c>
      <c r="D819" t="s">
        <v>155</v>
      </c>
      <c r="E819">
        <v>0</v>
      </c>
      <c r="F819" s="14" t="s">
        <v>82</v>
      </c>
      <c r="G819" s="14" t="s">
        <v>82</v>
      </c>
      <c r="H819" s="1">
        <v>6.5</v>
      </c>
      <c r="J819" t="s">
        <v>82</v>
      </c>
      <c r="L819">
        <v>2</v>
      </c>
      <c r="M819">
        <v>0</v>
      </c>
      <c r="N819">
        <v>0</v>
      </c>
      <c r="O819">
        <v>0</v>
      </c>
      <c r="P819">
        <v>0</v>
      </c>
      <c r="Q819">
        <v>11</v>
      </c>
      <c r="R819">
        <v>0</v>
      </c>
      <c r="S819">
        <v>0</v>
      </c>
      <c r="T819">
        <v>0</v>
      </c>
      <c r="U819">
        <v>0</v>
      </c>
      <c r="V819">
        <f t="shared" si="344"/>
        <v>0</v>
      </c>
      <c r="W819">
        <f t="shared" si="346"/>
        <v>0</v>
      </c>
      <c r="X819">
        <f t="shared" si="347"/>
        <v>0</v>
      </c>
      <c r="Y819">
        <f t="shared" si="348"/>
        <v>0</v>
      </c>
      <c r="Z819" t="s">
        <v>89</v>
      </c>
      <c r="AA819" s="5" t="s">
        <v>82</v>
      </c>
      <c r="AB819" s="5" t="s">
        <v>82</v>
      </c>
      <c r="AC819" t="s">
        <v>73</v>
      </c>
      <c r="AD819" t="s">
        <v>287</v>
      </c>
      <c r="AE819" s="5" t="s">
        <v>287</v>
      </c>
      <c r="AF819" t="s">
        <v>137</v>
      </c>
      <c r="AG819" t="s">
        <v>113</v>
      </c>
      <c r="AH819">
        <f t="shared" si="368"/>
        <v>9.2966190000000004E-2</v>
      </c>
      <c r="AI819">
        <f t="shared" si="369"/>
        <v>9.2966190000000004E-2</v>
      </c>
      <c r="AJ819">
        <f t="shared" si="345"/>
        <v>9.2966190000000004E-2</v>
      </c>
      <c r="AK819">
        <v>9.2966190000000004E-2</v>
      </c>
      <c r="AL819">
        <v>0.10453056500000001</v>
      </c>
      <c r="AM819">
        <v>0.13318777000000001</v>
      </c>
      <c r="AN819">
        <v>0.13975837999999999</v>
      </c>
      <c r="AO819">
        <v>90.703380999999993</v>
      </c>
      <c r="AP819">
        <v>89.546943499999998</v>
      </c>
      <c r="AQ819">
        <v>86.681223000000003</v>
      </c>
      <c r="AR819">
        <v>86.024162000000004</v>
      </c>
      <c r="AS819" t="s">
        <v>82</v>
      </c>
      <c r="AT819" t="s">
        <v>82</v>
      </c>
      <c r="AU819" t="s">
        <v>77</v>
      </c>
      <c r="AV819" t="s">
        <v>78</v>
      </c>
      <c r="AW819" t="s">
        <v>783</v>
      </c>
      <c r="AX819" t="s">
        <v>812</v>
      </c>
      <c r="AY819" t="s">
        <v>1147</v>
      </c>
      <c r="AZ819" t="s">
        <v>82</v>
      </c>
      <c r="BA819" t="s">
        <v>82</v>
      </c>
      <c r="BB819" t="s">
        <v>82</v>
      </c>
      <c r="BC819">
        <v>4.1163553999999996E-3</v>
      </c>
      <c r="BD819">
        <v>1.4279989108178799E-4</v>
      </c>
      <c r="BE819">
        <v>4.2591552910817903E-3</v>
      </c>
      <c r="BF819">
        <f>IF(AK819&lt;BE819,1,0)</f>
        <v>0</v>
      </c>
      <c r="BG819">
        <f>IF(AK819&lt;BC819,1,0)</f>
        <v>0</v>
      </c>
    </row>
    <row r="820" spans="1:65" x14ac:dyDescent="0.2">
      <c r="A820">
        <v>1</v>
      </c>
      <c r="B820" t="s">
        <v>1259</v>
      </c>
      <c r="C820">
        <v>476</v>
      </c>
      <c r="D820" t="s">
        <v>155</v>
      </c>
      <c r="E820">
        <v>0</v>
      </c>
      <c r="F820" s="14" t="s">
        <v>82</v>
      </c>
      <c r="G820" s="14" t="s">
        <v>82</v>
      </c>
      <c r="H820" s="1">
        <v>5</v>
      </c>
      <c r="I820" t="s">
        <v>87</v>
      </c>
      <c r="J820" t="s">
        <v>111</v>
      </c>
      <c r="K820" t="s">
        <v>109</v>
      </c>
      <c r="L820">
        <v>1</v>
      </c>
      <c r="M820">
        <v>0</v>
      </c>
      <c r="N820">
        <v>0</v>
      </c>
      <c r="O820">
        <v>0</v>
      </c>
      <c r="P820">
        <v>0</v>
      </c>
      <c r="Q820">
        <v>3</v>
      </c>
      <c r="R820">
        <v>0</v>
      </c>
      <c r="S820">
        <v>0</v>
      </c>
      <c r="T820">
        <v>0</v>
      </c>
      <c r="U820">
        <v>0</v>
      </c>
      <c r="V820">
        <f t="shared" si="344"/>
        <v>0</v>
      </c>
      <c r="W820">
        <f t="shared" si="346"/>
        <v>0</v>
      </c>
      <c r="X820">
        <f t="shared" si="347"/>
        <v>0</v>
      </c>
      <c r="Y820">
        <f t="shared" si="348"/>
        <v>0</v>
      </c>
      <c r="Z820" t="s">
        <v>89</v>
      </c>
      <c r="AA820" s="5" t="s">
        <v>268</v>
      </c>
      <c r="AB820" s="5" t="s">
        <v>268</v>
      </c>
      <c r="AC820" t="s">
        <v>76</v>
      </c>
      <c r="AD820" t="s">
        <v>74</v>
      </c>
      <c r="AE820" s="5" t="s">
        <v>142</v>
      </c>
      <c r="AF820" t="s">
        <v>167</v>
      </c>
      <c r="AG820" t="s">
        <v>101</v>
      </c>
      <c r="AH820">
        <f t="shared" si="368"/>
        <v>0.1226106</v>
      </c>
      <c r="AI820">
        <f t="shared" si="369"/>
        <v>0.1226106</v>
      </c>
      <c r="AJ820">
        <f t="shared" si="345"/>
        <v>0.1226106</v>
      </c>
      <c r="AK820">
        <v>0.1226106</v>
      </c>
      <c r="AL820">
        <v>0.12493151</v>
      </c>
      <c r="AM820">
        <v>0.13945205999999999</v>
      </c>
      <c r="AN820">
        <v>0.14270032999999999</v>
      </c>
      <c r="AO820">
        <v>87.738939999999999</v>
      </c>
      <c r="AP820">
        <v>87.506849000000003</v>
      </c>
      <c r="AQ820">
        <v>86.054794000000001</v>
      </c>
      <c r="AR820">
        <v>85.729967000000002</v>
      </c>
      <c r="AS820" t="b">
        <v>0</v>
      </c>
      <c r="AT820" t="b">
        <v>0</v>
      </c>
      <c r="AU820" t="s">
        <v>92</v>
      </c>
      <c r="AV820" t="s">
        <v>92</v>
      </c>
      <c r="AW820" t="s">
        <v>783</v>
      </c>
      <c r="AX820" t="s">
        <v>812</v>
      </c>
      <c r="AY820" t="s">
        <v>1225</v>
      </c>
      <c r="AZ820" t="s">
        <v>109</v>
      </c>
      <c r="BA820">
        <v>3</v>
      </c>
      <c r="BB820">
        <v>1.4</v>
      </c>
      <c r="BC820">
        <v>7.7070764999999999E-2</v>
      </c>
      <c r="BD820">
        <v>1.90190515067399E-3</v>
      </c>
      <c r="BE820">
        <v>7.8972670150673996E-2</v>
      </c>
      <c r="BF820">
        <f>IF(AK820&lt;BE820,1,0)</f>
        <v>0</v>
      </c>
      <c r="BG820">
        <f>IF(AK820&lt;BC820,1,0)</f>
        <v>0</v>
      </c>
      <c r="BH820">
        <f>VLOOKUP($B820,[1]Data_Peer_with_peerVars!$B$2:$Z$1050,20,FALSE)</f>
        <v>4</v>
      </c>
      <c r="BI820">
        <f>VLOOKUP($B820,[1]Data_Peer_with_peerVars!$B$2:$Z$1050,21,FALSE)</f>
        <v>0</v>
      </c>
      <c r="BJ820">
        <f>VLOOKUP($B820,[1]Data_Peer_with_peerVars!$B$2:$Z$1050,22,FALSE)</f>
        <v>0</v>
      </c>
      <c r="BK820">
        <f>VLOOKUP($B820,[1]Data_Peer_with_peerVars!$B$2:$Z$1050,23,FALSE)</f>
        <v>49</v>
      </c>
      <c r="BL820">
        <f>VLOOKUP($B820,[1]Data_Peer_with_peerVars!$B$2:$Z$1050,24,FALSE)</f>
        <v>19</v>
      </c>
      <c r="BM820">
        <f>VLOOKUP($B820,[1]Data_Peer_with_peerVars!$B$2:$Z$1050,25,FALSE)</f>
        <v>0.38775510200000002</v>
      </c>
    </row>
    <row r="821" spans="1:65" x14ac:dyDescent="0.2">
      <c r="A821">
        <v>1</v>
      </c>
      <c r="B821" t="s">
        <v>1260</v>
      </c>
      <c r="C821">
        <v>476</v>
      </c>
      <c r="D821" t="s">
        <v>155</v>
      </c>
      <c r="E821">
        <v>0</v>
      </c>
      <c r="F821" s="14" t="s">
        <v>82</v>
      </c>
      <c r="G821" s="14" t="s">
        <v>82</v>
      </c>
      <c r="H821" s="1">
        <v>5</v>
      </c>
      <c r="I821" t="s">
        <v>87</v>
      </c>
      <c r="J821" t="s">
        <v>111</v>
      </c>
      <c r="K821" t="s">
        <v>109</v>
      </c>
      <c r="L821">
        <v>1</v>
      </c>
      <c r="M821">
        <v>0</v>
      </c>
      <c r="N821">
        <v>0</v>
      </c>
      <c r="O821">
        <v>0</v>
      </c>
      <c r="P821">
        <v>0</v>
      </c>
      <c r="Q821">
        <v>3</v>
      </c>
      <c r="R821">
        <v>0</v>
      </c>
      <c r="S821">
        <v>0</v>
      </c>
      <c r="T821">
        <v>1</v>
      </c>
      <c r="U821">
        <v>1</v>
      </c>
      <c r="V821">
        <f t="shared" si="344"/>
        <v>0</v>
      </c>
      <c r="W821">
        <f t="shared" si="346"/>
        <v>0</v>
      </c>
      <c r="X821">
        <f t="shared" si="347"/>
        <v>0</v>
      </c>
      <c r="Y821">
        <f t="shared" si="348"/>
        <v>0</v>
      </c>
      <c r="Z821" t="s">
        <v>89</v>
      </c>
      <c r="AA821" s="5" t="s">
        <v>273</v>
      </c>
      <c r="AB821" s="5" t="s">
        <v>273</v>
      </c>
      <c r="AC821" t="s">
        <v>73</v>
      </c>
      <c r="AD821" t="s">
        <v>94</v>
      </c>
      <c r="AE821" s="5" t="s">
        <v>106</v>
      </c>
      <c r="AF821" t="s">
        <v>107</v>
      </c>
      <c r="AG821" t="s">
        <v>95</v>
      </c>
      <c r="AH821">
        <f t="shared" si="368"/>
        <v>3.8167940000000001E-3</v>
      </c>
      <c r="AI821">
        <f t="shared" si="369"/>
        <v>3.8167940000000001E-3</v>
      </c>
      <c r="AJ821">
        <f t="shared" si="345"/>
        <v>3.8167940000000001E-3</v>
      </c>
      <c r="AK821">
        <v>3.8167940000000001E-3</v>
      </c>
      <c r="AL821">
        <v>0.13169399000000001</v>
      </c>
      <c r="AM821">
        <v>0.13623904000000001</v>
      </c>
      <c r="AN821">
        <v>0.13867615</v>
      </c>
      <c r="AO821">
        <v>99.618320600000004</v>
      </c>
      <c r="AP821">
        <v>86.830601000000001</v>
      </c>
      <c r="AQ821">
        <v>86.376096000000004</v>
      </c>
      <c r="AR821">
        <v>86.132384999999999</v>
      </c>
      <c r="AS821" t="b">
        <v>0</v>
      </c>
      <c r="AT821" t="b">
        <v>0</v>
      </c>
      <c r="AU821" t="s">
        <v>92</v>
      </c>
      <c r="AV821" t="s">
        <v>92</v>
      </c>
      <c r="AW821" t="s">
        <v>783</v>
      </c>
      <c r="AX821" t="s">
        <v>812</v>
      </c>
      <c r="AY821" t="s">
        <v>1225</v>
      </c>
      <c r="AZ821" t="s">
        <v>109</v>
      </c>
      <c r="BA821">
        <v>4</v>
      </c>
      <c r="BB821">
        <v>0.7</v>
      </c>
      <c r="BC821">
        <v>4.1163553999999996E-3</v>
      </c>
      <c r="BD821">
        <v>1.4279989108178799E-4</v>
      </c>
      <c r="BE821">
        <v>4.2591552910817903E-3</v>
      </c>
      <c r="BF821">
        <f>IF(AK821&lt;BE821,1,0)</f>
        <v>1</v>
      </c>
      <c r="BG821">
        <f>IF(AK821&lt;BC821,1,0)</f>
        <v>1</v>
      </c>
      <c r="BH821">
        <f>VLOOKUP($B821,[1]Data_Peer_with_peerVars!$B$2:$Z$1050,20,FALSE)</f>
        <v>4</v>
      </c>
      <c r="BI821">
        <f>VLOOKUP($B821,[1]Data_Peer_with_peerVars!$B$2:$Z$1050,21,FALSE)</f>
        <v>0</v>
      </c>
      <c r="BJ821">
        <f>VLOOKUP($B821,[1]Data_Peer_with_peerVars!$B$2:$Z$1050,22,FALSE)</f>
        <v>0</v>
      </c>
      <c r="BK821">
        <f>VLOOKUP($B821,[1]Data_Peer_with_peerVars!$B$2:$Z$1050,23,FALSE)</f>
        <v>49</v>
      </c>
      <c r="BL821">
        <f>VLOOKUP($B821,[1]Data_Peer_with_peerVars!$B$2:$Z$1050,24,FALSE)</f>
        <v>19</v>
      </c>
      <c r="BM821">
        <f>VLOOKUP($B821,[1]Data_Peer_with_peerVars!$B$2:$Z$1050,25,FALSE)</f>
        <v>0.38775510200000002</v>
      </c>
    </row>
    <row r="822" spans="1:65" x14ac:dyDescent="0.2">
      <c r="A822">
        <v>1</v>
      </c>
      <c r="B822" t="s">
        <v>1261</v>
      </c>
      <c r="C822">
        <v>477</v>
      </c>
      <c r="D822" t="s">
        <v>155</v>
      </c>
      <c r="E822">
        <v>0</v>
      </c>
      <c r="F822" s="14" t="s">
        <v>82</v>
      </c>
      <c r="G822" s="14" t="s">
        <v>82</v>
      </c>
      <c r="H822" s="1">
        <v>7</v>
      </c>
      <c r="I822" t="s">
        <v>70</v>
      </c>
      <c r="J822" t="s">
        <v>436</v>
      </c>
      <c r="K822" t="s">
        <v>109</v>
      </c>
      <c r="L822">
        <v>1</v>
      </c>
      <c r="M822">
        <v>0</v>
      </c>
      <c r="N822">
        <v>0</v>
      </c>
      <c r="O822">
        <v>0</v>
      </c>
      <c r="P822">
        <v>0</v>
      </c>
      <c r="Q822">
        <v>3</v>
      </c>
      <c r="R822">
        <v>0</v>
      </c>
      <c r="S822">
        <v>0</v>
      </c>
      <c r="T822">
        <v>0</v>
      </c>
      <c r="U822">
        <v>0</v>
      </c>
      <c r="V822">
        <f t="shared" si="344"/>
        <v>1</v>
      </c>
      <c r="W822">
        <v>1</v>
      </c>
      <c r="X822">
        <v>1</v>
      </c>
      <c r="Y822">
        <v>1</v>
      </c>
      <c r="Z822" t="s">
        <v>73</v>
      </c>
      <c r="AA822" s="5" t="s">
        <v>73</v>
      </c>
      <c r="AB822" s="5" t="s">
        <v>73</v>
      </c>
      <c r="AC822" t="s">
        <v>73</v>
      </c>
      <c r="AD822" t="s">
        <v>94</v>
      </c>
      <c r="AE822" s="5" t="s">
        <v>94</v>
      </c>
      <c r="AF822" t="s">
        <v>75</v>
      </c>
      <c r="AG822" t="s">
        <v>95</v>
      </c>
      <c r="AH822">
        <f t="shared" si="368"/>
        <v>2.3173392000000001E-2</v>
      </c>
      <c r="AI822">
        <f t="shared" si="369"/>
        <v>2.3173392000000001E-2</v>
      </c>
      <c r="AJ822">
        <f t="shared" si="345"/>
        <v>2.3173392000000001E-2</v>
      </c>
      <c r="AK822">
        <v>2.3173392000000001E-2</v>
      </c>
      <c r="AL822">
        <v>0.12725286</v>
      </c>
      <c r="AM822">
        <v>0.13382594</v>
      </c>
      <c r="AN822">
        <v>0.14242755000000001</v>
      </c>
      <c r="AO822">
        <v>97.682660799999994</v>
      </c>
      <c r="AP822">
        <v>87.274714000000003</v>
      </c>
      <c r="AQ822">
        <v>86.617406000000003</v>
      </c>
      <c r="AR822">
        <v>85.757244999999998</v>
      </c>
      <c r="AS822" t="b">
        <v>1</v>
      </c>
      <c r="AT822" t="b">
        <v>0</v>
      </c>
      <c r="AU822" t="s">
        <v>77</v>
      </c>
      <c r="AV822" t="s">
        <v>78</v>
      </c>
      <c r="AW822" t="s">
        <v>783</v>
      </c>
      <c r="AX822" t="s">
        <v>812</v>
      </c>
      <c r="AY822" t="s">
        <v>1185</v>
      </c>
      <c r="AZ822" t="s">
        <v>109</v>
      </c>
      <c r="BA822">
        <v>2</v>
      </c>
      <c r="BB822">
        <v>2</v>
      </c>
      <c r="BC822">
        <v>4.1163553999999996E-3</v>
      </c>
      <c r="BD822">
        <v>1.4279989108178799E-4</v>
      </c>
      <c r="BE822">
        <v>4.2591552910817903E-3</v>
      </c>
      <c r="BF822">
        <f>IF(AK822&lt;BE822,1,0)</f>
        <v>0</v>
      </c>
      <c r="BG822">
        <f>IF(AK822&lt;BC822,1,0)</f>
        <v>0</v>
      </c>
      <c r="BH822">
        <f>VLOOKUP($B822,[1]Data_Peer_with_peerVars!$B$2:$Z$1050,20,FALSE)</f>
        <v>19</v>
      </c>
      <c r="BI822">
        <f>VLOOKUP($B822,[1]Data_Peer_with_peerVars!$B$2:$Z$1050,21,FALSE)</f>
        <v>12</v>
      </c>
      <c r="BJ822">
        <f>VLOOKUP($B822,[1]Data_Peer_with_peerVars!$B$2:$Z$1050,22,FALSE)</f>
        <v>0.63157894699999995</v>
      </c>
      <c r="BK822">
        <f>VLOOKUP($B822,[1]Data_Peer_with_peerVars!$B$2:$Z$1050,23,FALSE)</f>
        <v>47</v>
      </c>
      <c r="BL822">
        <f>VLOOKUP($B822,[1]Data_Peer_with_peerVars!$B$2:$Z$1050,24,FALSE)</f>
        <v>24</v>
      </c>
      <c r="BM822">
        <f>VLOOKUP($B822,[1]Data_Peer_with_peerVars!$B$2:$Z$1050,25,FALSE)</f>
        <v>0.51063829800000005</v>
      </c>
    </row>
    <row r="823" spans="1:65" x14ac:dyDescent="0.2">
      <c r="A823">
        <v>1</v>
      </c>
      <c r="B823" t="s">
        <v>1262</v>
      </c>
      <c r="C823">
        <v>478</v>
      </c>
      <c r="D823" t="s">
        <v>155</v>
      </c>
      <c r="E823">
        <v>0</v>
      </c>
      <c r="F823" s="14" t="s">
        <v>82</v>
      </c>
      <c r="G823" s="14" t="s">
        <v>82</v>
      </c>
      <c r="H823" s="1">
        <v>6.3333333333333304</v>
      </c>
      <c r="I823" t="s">
        <v>70</v>
      </c>
      <c r="J823" t="s">
        <v>436</v>
      </c>
      <c r="K823" t="s">
        <v>109</v>
      </c>
      <c r="L823">
        <v>1</v>
      </c>
      <c r="M823">
        <v>1</v>
      </c>
      <c r="N823">
        <v>0</v>
      </c>
      <c r="O823">
        <v>0</v>
      </c>
      <c r="P823">
        <v>0</v>
      </c>
      <c r="Q823">
        <v>3</v>
      </c>
      <c r="R823">
        <v>0</v>
      </c>
      <c r="S823">
        <v>0</v>
      </c>
      <c r="T823">
        <v>0</v>
      </c>
      <c r="U823">
        <v>0</v>
      </c>
      <c r="V823">
        <f t="shared" si="344"/>
        <v>1</v>
      </c>
      <c r="W823">
        <v>1</v>
      </c>
      <c r="X823">
        <v>1</v>
      </c>
      <c r="Y823">
        <v>1</v>
      </c>
      <c r="Z823" t="s">
        <v>76</v>
      </c>
      <c r="AA823" s="5" t="s">
        <v>76</v>
      </c>
      <c r="AB823" s="5" t="s">
        <v>76</v>
      </c>
      <c r="AC823" t="s">
        <v>76</v>
      </c>
      <c r="AD823" t="s">
        <v>74</v>
      </c>
      <c r="AE823" s="5" t="s">
        <v>74</v>
      </c>
      <c r="AF823" t="s">
        <v>120</v>
      </c>
      <c r="AG823" t="s">
        <v>75</v>
      </c>
      <c r="AH823">
        <f t="shared" si="368"/>
        <v>7.8918619999999995E-2</v>
      </c>
      <c r="AI823">
        <f t="shared" si="369"/>
        <v>7.8918619999999995E-2</v>
      </c>
      <c r="AJ823">
        <f t="shared" si="345"/>
        <v>7.8918619999999995E-2</v>
      </c>
      <c r="AK823">
        <v>7.8918619999999995E-2</v>
      </c>
      <c r="AL823">
        <v>9.1232869999999994E-2</v>
      </c>
      <c r="AM823">
        <v>0.12124522</v>
      </c>
      <c r="AN823">
        <v>0.12308534</v>
      </c>
      <c r="AO823">
        <v>92.108137999999997</v>
      </c>
      <c r="AP823">
        <v>90.876712999999995</v>
      </c>
      <c r="AQ823">
        <v>87.875478000000001</v>
      </c>
      <c r="AR823">
        <v>87.691466000000005</v>
      </c>
      <c r="AS823" t="b">
        <v>1</v>
      </c>
      <c r="AT823" t="b">
        <v>0</v>
      </c>
      <c r="AU823" t="s">
        <v>77</v>
      </c>
      <c r="AV823" t="s">
        <v>77</v>
      </c>
      <c r="AW823" t="s">
        <v>783</v>
      </c>
      <c r="AX823" t="s">
        <v>812</v>
      </c>
      <c r="AY823" t="s">
        <v>1185</v>
      </c>
      <c r="AZ823" t="s">
        <v>109</v>
      </c>
      <c r="BA823">
        <v>3</v>
      </c>
      <c r="BB823">
        <v>0.7</v>
      </c>
      <c r="BC823">
        <v>7.7070764999999999E-2</v>
      </c>
      <c r="BD823">
        <v>1.90190515067399E-3</v>
      </c>
      <c r="BE823">
        <v>7.8972670150673996E-2</v>
      </c>
      <c r="BF823">
        <f>IF(AK823&lt;BE823,1,0)</f>
        <v>1</v>
      </c>
      <c r="BG823">
        <f>IF(AK823&lt;BC823,1,0)</f>
        <v>0</v>
      </c>
      <c r="BH823">
        <f>VLOOKUP($B823,[1]Data_Peer_with_peerVars!$B$2:$Z$1050,20,FALSE)</f>
        <v>18</v>
      </c>
      <c r="BI823">
        <f>VLOOKUP($B823,[1]Data_Peer_with_peerVars!$B$2:$Z$1050,21,FALSE)</f>
        <v>11</v>
      </c>
      <c r="BJ823">
        <f>VLOOKUP($B823,[1]Data_Peer_with_peerVars!$B$2:$Z$1050,22,FALSE)</f>
        <v>0.61111111100000004</v>
      </c>
      <c r="BK823">
        <f>VLOOKUP($B823,[1]Data_Peer_with_peerVars!$B$2:$Z$1050,23,FALSE)</f>
        <v>46</v>
      </c>
      <c r="BL823">
        <f>VLOOKUP($B823,[1]Data_Peer_with_peerVars!$B$2:$Z$1050,24,FALSE)</f>
        <v>23</v>
      </c>
      <c r="BM823">
        <f>VLOOKUP($B823,[1]Data_Peer_with_peerVars!$B$2:$Z$1050,25,FALSE)</f>
        <v>0.5</v>
      </c>
    </row>
    <row r="824" spans="1:65" x14ac:dyDescent="0.2">
      <c r="A824">
        <v>1</v>
      </c>
      <c r="B824" t="s">
        <v>1263</v>
      </c>
      <c r="C824">
        <v>478</v>
      </c>
      <c r="D824" t="s">
        <v>155</v>
      </c>
      <c r="E824">
        <v>0</v>
      </c>
      <c r="F824" s="14" t="s">
        <v>82</v>
      </c>
      <c r="G824" s="14" t="s">
        <v>82</v>
      </c>
      <c r="H824" s="1">
        <v>6.3333333333333304</v>
      </c>
      <c r="I824" t="s">
        <v>70</v>
      </c>
      <c r="J824" t="s">
        <v>436</v>
      </c>
      <c r="K824" t="s">
        <v>109</v>
      </c>
      <c r="L824">
        <v>1</v>
      </c>
      <c r="M824">
        <v>1</v>
      </c>
      <c r="N824">
        <v>0</v>
      </c>
      <c r="O824">
        <v>0</v>
      </c>
      <c r="P824">
        <v>0</v>
      </c>
      <c r="Q824">
        <v>3</v>
      </c>
      <c r="R824">
        <v>0</v>
      </c>
      <c r="S824">
        <v>0</v>
      </c>
      <c r="T824">
        <v>0</v>
      </c>
      <c r="U824">
        <v>1</v>
      </c>
      <c r="V824">
        <f t="shared" si="344"/>
        <v>1</v>
      </c>
      <c r="W824">
        <v>1</v>
      </c>
      <c r="X824">
        <v>1</v>
      </c>
      <c r="Y824">
        <v>1</v>
      </c>
      <c r="Z824" t="s">
        <v>73</v>
      </c>
      <c r="AA824" s="5" t="s">
        <v>73</v>
      </c>
      <c r="AB824" s="5" t="s">
        <v>73</v>
      </c>
      <c r="AC824" t="s">
        <v>73</v>
      </c>
      <c r="AD824" t="s">
        <v>94</v>
      </c>
      <c r="AE824" s="5" t="s">
        <v>94</v>
      </c>
      <c r="AF824" t="s">
        <v>75</v>
      </c>
      <c r="AG824" t="s">
        <v>107</v>
      </c>
      <c r="AH824">
        <f t="shared" si="368"/>
        <v>2.9459901E-2</v>
      </c>
      <c r="AI824">
        <f t="shared" si="369"/>
        <v>2.9459901E-2</v>
      </c>
      <c r="AJ824">
        <f t="shared" si="345"/>
        <v>2.9459901E-2</v>
      </c>
      <c r="AK824">
        <v>2.9459901E-2</v>
      </c>
      <c r="AL824">
        <v>0.12923497</v>
      </c>
      <c r="AM824">
        <v>0.14101860999999999</v>
      </c>
      <c r="AN824">
        <v>0.14438355999999999</v>
      </c>
      <c r="AO824">
        <v>97.054009899999997</v>
      </c>
      <c r="AP824">
        <v>87.076503000000002</v>
      </c>
      <c r="AQ824">
        <v>85.898139</v>
      </c>
      <c r="AR824">
        <v>85.561644000000001</v>
      </c>
      <c r="AS824" t="b">
        <v>1</v>
      </c>
      <c r="AT824" t="b">
        <v>0</v>
      </c>
      <c r="AU824" t="s">
        <v>77</v>
      </c>
      <c r="AV824" t="s">
        <v>78</v>
      </c>
      <c r="AW824" t="s">
        <v>783</v>
      </c>
      <c r="AX824" t="s">
        <v>812</v>
      </c>
      <c r="AY824" t="s">
        <v>1185</v>
      </c>
      <c r="AZ824" t="s">
        <v>109</v>
      </c>
      <c r="BA824">
        <v>3</v>
      </c>
      <c r="BB824">
        <v>0.7</v>
      </c>
      <c r="BC824">
        <v>4.1163553999999996E-3</v>
      </c>
      <c r="BD824">
        <v>1.4279989108178799E-4</v>
      </c>
      <c r="BE824">
        <v>4.2591552910817903E-3</v>
      </c>
      <c r="BF824">
        <f>IF(AK824&lt;BE824,1,0)</f>
        <v>0</v>
      </c>
      <c r="BG824">
        <f>IF(AK824&lt;BC824,1,0)</f>
        <v>0</v>
      </c>
      <c r="BH824">
        <f>VLOOKUP($B824,[1]Data_Peer_with_peerVars!$B$2:$Z$1050,20,FALSE)</f>
        <v>18</v>
      </c>
      <c r="BI824">
        <f>VLOOKUP($B824,[1]Data_Peer_with_peerVars!$B$2:$Z$1050,21,FALSE)</f>
        <v>11</v>
      </c>
      <c r="BJ824">
        <f>VLOOKUP($B824,[1]Data_Peer_with_peerVars!$B$2:$Z$1050,22,FALSE)</f>
        <v>0.61111111100000004</v>
      </c>
      <c r="BK824">
        <f>VLOOKUP($B824,[1]Data_Peer_with_peerVars!$B$2:$Z$1050,23,FALSE)</f>
        <v>46</v>
      </c>
      <c r="BL824">
        <f>VLOOKUP($B824,[1]Data_Peer_with_peerVars!$B$2:$Z$1050,24,FALSE)</f>
        <v>23</v>
      </c>
      <c r="BM824">
        <f>VLOOKUP($B824,[1]Data_Peer_with_peerVars!$B$2:$Z$1050,25,FALSE)</f>
        <v>0.5</v>
      </c>
    </row>
    <row r="825" spans="1:65" x14ac:dyDescent="0.2">
      <c r="A825">
        <v>1</v>
      </c>
      <c r="B825" t="s">
        <v>1264</v>
      </c>
      <c r="C825">
        <v>479</v>
      </c>
      <c r="D825" t="s">
        <v>155</v>
      </c>
      <c r="E825">
        <v>0</v>
      </c>
      <c r="F825" s="14" t="s">
        <v>82</v>
      </c>
      <c r="G825" s="14" t="s">
        <v>82</v>
      </c>
      <c r="H825" s="1">
        <v>7</v>
      </c>
      <c r="I825" t="s">
        <v>70</v>
      </c>
      <c r="J825" t="s">
        <v>436</v>
      </c>
      <c r="K825" t="s">
        <v>109</v>
      </c>
      <c r="L825">
        <v>1</v>
      </c>
      <c r="M825">
        <v>1</v>
      </c>
      <c r="N825">
        <v>0</v>
      </c>
      <c r="O825">
        <v>0</v>
      </c>
      <c r="P825">
        <v>0</v>
      </c>
      <c r="Q825">
        <v>6</v>
      </c>
      <c r="R825">
        <v>0</v>
      </c>
      <c r="S825">
        <v>0</v>
      </c>
      <c r="T825">
        <v>1</v>
      </c>
      <c r="U825">
        <v>1</v>
      </c>
      <c r="V825">
        <f t="shared" si="344"/>
        <v>1</v>
      </c>
      <c r="W825">
        <v>1</v>
      </c>
      <c r="X825">
        <v>1</v>
      </c>
      <c r="Y825">
        <v>1</v>
      </c>
      <c r="Z825" t="s">
        <v>73</v>
      </c>
      <c r="AA825" s="5" t="s">
        <v>73</v>
      </c>
      <c r="AB825" s="5" t="s">
        <v>73</v>
      </c>
      <c r="AC825" t="s">
        <v>73</v>
      </c>
      <c r="AD825" t="s">
        <v>94</v>
      </c>
      <c r="AE825" s="5" t="s">
        <v>106</v>
      </c>
      <c r="AF825" t="s">
        <v>107</v>
      </c>
      <c r="AG825" t="s">
        <v>95</v>
      </c>
      <c r="AH825">
        <f t="shared" si="368"/>
        <v>3.8188760000000001E-3</v>
      </c>
      <c r="AI825">
        <f t="shared" si="369"/>
        <v>3.8188760000000001E-3</v>
      </c>
      <c r="AJ825">
        <f t="shared" si="345"/>
        <v>3.8188760000000001E-3</v>
      </c>
      <c r="AK825">
        <v>3.8188760000000001E-3</v>
      </c>
      <c r="AL825">
        <v>0.13176599</v>
      </c>
      <c r="AM825">
        <v>0.13631377</v>
      </c>
      <c r="AN825">
        <v>0.13875206000000001</v>
      </c>
      <c r="AO825">
        <v>99.618112400000001</v>
      </c>
      <c r="AP825">
        <v>86.823401000000004</v>
      </c>
      <c r="AQ825">
        <v>86.368622999999999</v>
      </c>
      <c r="AR825">
        <v>86.124793999999994</v>
      </c>
      <c r="AS825" t="b">
        <v>1</v>
      </c>
      <c r="AT825" t="b">
        <v>0</v>
      </c>
      <c r="AU825" t="s">
        <v>77</v>
      </c>
      <c r="AV825" t="s">
        <v>108</v>
      </c>
      <c r="AW825" t="s">
        <v>783</v>
      </c>
      <c r="AX825" t="s">
        <v>812</v>
      </c>
      <c r="AY825" t="s">
        <v>1185</v>
      </c>
      <c r="AZ825" t="s">
        <v>109</v>
      </c>
      <c r="BA825">
        <v>3</v>
      </c>
      <c r="BB825">
        <v>0.7</v>
      </c>
      <c r="BC825">
        <v>4.1163553999999996E-3</v>
      </c>
      <c r="BD825">
        <v>1.4279989108178799E-4</v>
      </c>
      <c r="BE825">
        <v>4.2591552910817903E-3</v>
      </c>
      <c r="BF825">
        <f>IF(AK825&lt;BE825,1,0)</f>
        <v>1</v>
      </c>
      <c r="BG825">
        <f>IF(AK825&lt;BC825,1,0)</f>
        <v>1</v>
      </c>
      <c r="BH825">
        <f>VLOOKUP($B825,[1]Data_Peer_with_peerVars!$B$2:$Z$1050,20,FALSE)</f>
        <v>20</v>
      </c>
      <c r="BI825">
        <f>VLOOKUP($B825,[1]Data_Peer_with_peerVars!$B$2:$Z$1050,21,FALSE)</f>
        <v>12</v>
      </c>
      <c r="BJ825">
        <f>VLOOKUP($B825,[1]Data_Peer_with_peerVars!$B$2:$Z$1050,22,FALSE)</f>
        <v>0.6</v>
      </c>
      <c r="BK825">
        <f>VLOOKUP($B825,[1]Data_Peer_with_peerVars!$B$2:$Z$1050,23,FALSE)</f>
        <v>47</v>
      </c>
      <c r="BL825">
        <f>VLOOKUP($B825,[1]Data_Peer_with_peerVars!$B$2:$Z$1050,24,FALSE)</f>
        <v>24</v>
      </c>
      <c r="BM825">
        <f>VLOOKUP($B825,[1]Data_Peer_with_peerVars!$B$2:$Z$1050,25,FALSE)</f>
        <v>0.51063829800000005</v>
      </c>
    </row>
    <row r="826" spans="1:65" x14ac:dyDescent="0.2">
      <c r="A826">
        <v>1</v>
      </c>
      <c r="B826" t="s">
        <v>1265</v>
      </c>
      <c r="C826">
        <v>480</v>
      </c>
      <c r="D826" t="s">
        <v>155</v>
      </c>
      <c r="E826">
        <v>0</v>
      </c>
      <c r="F826" s="14" t="s">
        <v>82</v>
      </c>
      <c r="G826" s="14" t="s">
        <v>82</v>
      </c>
      <c r="H826" s="1">
        <v>5.5</v>
      </c>
      <c r="I826" t="s">
        <v>87</v>
      </c>
      <c r="J826" t="s">
        <v>124</v>
      </c>
      <c r="K826" t="s">
        <v>109</v>
      </c>
      <c r="L826">
        <v>1</v>
      </c>
      <c r="M826">
        <v>1</v>
      </c>
      <c r="N826">
        <v>0</v>
      </c>
      <c r="O826">
        <v>0</v>
      </c>
      <c r="P826">
        <v>0</v>
      </c>
      <c r="Q826">
        <v>3</v>
      </c>
      <c r="R826">
        <v>0</v>
      </c>
      <c r="S826">
        <v>0</v>
      </c>
      <c r="T826">
        <v>1</v>
      </c>
      <c r="U826">
        <v>1</v>
      </c>
      <c r="V826">
        <f t="shared" si="344"/>
        <v>1</v>
      </c>
      <c r="W826">
        <v>1</v>
      </c>
      <c r="X826">
        <v>1</v>
      </c>
      <c r="Y826">
        <v>1</v>
      </c>
      <c r="Z826" t="s">
        <v>73</v>
      </c>
      <c r="AA826" s="5" t="s">
        <v>73</v>
      </c>
      <c r="AB826" s="5" t="s">
        <v>73</v>
      </c>
      <c r="AC826" t="s">
        <v>73</v>
      </c>
      <c r="AD826" t="s">
        <v>94</v>
      </c>
      <c r="AE826" s="5" t="s">
        <v>106</v>
      </c>
      <c r="AF826" t="s">
        <v>107</v>
      </c>
      <c r="AG826" t="s">
        <v>95</v>
      </c>
      <c r="AH826">
        <f t="shared" si="368"/>
        <v>3.8167940000000001E-3</v>
      </c>
      <c r="AI826">
        <f t="shared" si="369"/>
        <v>3.8167940000000001E-3</v>
      </c>
      <c r="AJ826">
        <f t="shared" si="345"/>
        <v>3.8167940000000001E-3</v>
      </c>
      <c r="AK826">
        <v>3.8167940000000001E-3</v>
      </c>
      <c r="AL826">
        <v>0.13169399000000001</v>
      </c>
      <c r="AM826">
        <v>0.13623904000000001</v>
      </c>
      <c r="AN826">
        <v>0.13867615</v>
      </c>
      <c r="AO826">
        <v>99.618320600000004</v>
      </c>
      <c r="AP826">
        <v>86.830601000000001</v>
      </c>
      <c r="AQ826">
        <v>86.376096000000004</v>
      </c>
      <c r="AR826">
        <v>86.132384999999999</v>
      </c>
      <c r="AS826" t="b">
        <v>1</v>
      </c>
      <c r="AT826" t="b">
        <v>0</v>
      </c>
      <c r="AU826" t="s">
        <v>77</v>
      </c>
      <c r="AV826" t="s">
        <v>108</v>
      </c>
      <c r="AW826" t="s">
        <v>783</v>
      </c>
      <c r="AX826" t="s">
        <v>812</v>
      </c>
      <c r="AY826" t="s">
        <v>1207</v>
      </c>
      <c r="AZ826" t="s">
        <v>109</v>
      </c>
      <c r="BA826">
        <v>3</v>
      </c>
      <c r="BB826">
        <v>2.1</v>
      </c>
      <c r="BC826">
        <v>4.1163553999999996E-3</v>
      </c>
      <c r="BD826">
        <v>1.4279989108178799E-4</v>
      </c>
      <c r="BE826">
        <v>4.2591552910817903E-3</v>
      </c>
      <c r="BF826">
        <f>IF(AK826&lt;BE826,1,0)</f>
        <v>1</v>
      </c>
      <c r="BG826">
        <f>IF(AK826&lt;BC826,1,0)</f>
        <v>1</v>
      </c>
      <c r="BH826">
        <f>VLOOKUP($B826,[1]Data_Peer_with_peerVars!$B$2:$Z$1050,20,FALSE)</f>
        <v>2</v>
      </c>
      <c r="BI826">
        <f>VLOOKUP($B826,[1]Data_Peer_with_peerVars!$B$2:$Z$1050,21,FALSE)</f>
        <v>0</v>
      </c>
      <c r="BJ826">
        <f>VLOOKUP($B826,[1]Data_Peer_with_peerVars!$B$2:$Z$1050,22,FALSE)</f>
        <v>0</v>
      </c>
      <c r="BK826">
        <f>VLOOKUP($B826,[1]Data_Peer_with_peerVars!$B$2:$Z$1050,23,FALSE)</f>
        <v>40</v>
      </c>
      <c r="BL826">
        <f>VLOOKUP($B826,[1]Data_Peer_with_peerVars!$B$2:$Z$1050,24,FALSE)</f>
        <v>22</v>
      </c>
      <c r="BM826">
        <f>VLOOKUP($B826,[1]Data_Peer_with_peerVars!$B$2:$Z$1050,25,FALSE)</f>
        <v>0.55000000000000004</v>
      </c>
    </row>
    <row r="827" spans="1:65" x14ac:dyDescent="0.2">
      <c r="A827">
        <v>1</v>
      </c>
      <c r="B827" t="s">
        <v>1266</v>
      </c>
      <c r="C827">
        <v>481</v>
      </c>
      <c r="D827" t="s">
        <v>155</v>
      </c>
      <c r="E827">
        <v>0</v>
      </c>
      <c r="F827" s="14" t="s">
        <v>82</v>
      </c>
      <c r="G827" s="14" t="s">
        <v>82</v>
      </c>
      <c r="H827" s="1">
        <v>5</v>
      </c>
      <c r="I827" t="s">
        <v>70</v>
      </c>
      <c r="J827" t="s">
        <v>436</v>
      </c>
      <c r="K827" t="s">
        <v>109</v>
      </c>
      <c r="L827">
        <v>1</v>
      </c>
      <c r="M827">
        <v>1</v>
      </c>
      <c r="N827">
        <v>0</v>
      </c>
      <c r="O827">
        <v>0</v>
      </c>
      <c r="P827">
        <v>0</v>
      </c>
      <c r="Q827">
        <v>0</v>
      </c>
      <c r="R827">
        <v>0</v>
      </c>
      <c r="S827">
        <v>0</v>
      </c>
      <c r="T827">
        <v>1</v>
      </c>
      <c r="U827">
        <v>1</v>
      </c>
      <c r="V827">
        <f t="shared" si="344"/>
        <v>1</v>
      </c>
      <c r="W827">
        <v>1</v>
      </c>
      <c r="X827">
        <v>1</v>
      </c>
      <c r="Y827">
        <v>1</v>
      </c>
      <c r="Z827" t="s">
        <v>73</v>
      </c>
      <c r="AA827" s="5" t="s">
        <v>73</v>
      </c>
      <c r="AB827" s="5" t="s">
        <v>73</v>
      </c>
      <c r="AC827" t="s">
        <v>73</v>
      </c>
      <c r="AD827" t="s">
        <v>94</v>
      </c>
      <c r="AE827" s="5" t="s">
        <v>106</v>
      </c>
      <c r="AF827" t="s">
        <v>107</v>
      </c>
      <c r="AG827" t="s">
        <v>95</v>
      </c>
      <c r="AH827">
        <f t="shared" si="368"/>
        <v>3.8167940000000001E-3</v>
      </c>
      <c r="AI827">
        <f t="shared" si="369"/>
        <v>3.8167940000000001E-3</v>
      </c>
      <c r="AJ827">
        <f t="shared" si="345"/>
        <v>3.8167940000000001E-3</v>
      </c>
      <c r="AK827">
        <v>3.8167940000000001E-3</v>
      </c>
      <c r="AL827">
        <v>0.13169399000000001</v>
      </c>
      <c r="AM827">
        <v>0.13623904000000001</v>
      </c>
      <c r="AN827">
        <v>0.13867615</v>
      </c>
      <c r="AO827">
        <v>99.618320600000004</v>
      </c>
      <c r="AP827">
        <v>86.830601000000001</v>
      </c>
      <c r="AQ827">
        <v>86.376096000000004</v>
      </c>
      <c r="AR827">
        <v>86.132384999999999</v>
      </c>
      <c r="AS827" t="b">
        <v>1</v>
      </c>
      <c r="AT827" t="b">
        <v>0</v>
      </c>
      <c r="AU827" t="s">
        <v>77</v>
      </c>
      <c r="AV827" t="s">
        <v>108</v>
      </c>
      <c r="AW827" t="s">
        <v>783</v>
      </c>
      <c r="AX827" t="s">
        <v>812</v>
      </c>
      <c r="AY827" t="s">
        <v>1185</v>
      </c>
      <c r="AZ827" t="s">
        <v>109</v>
      </c>
      <c r="BA827">
        <v>3</v>
      </c>
      <c r="BB827">
        <v>1.575</v>
      </c>
      <c r="BC827">
        <v>4.1163553999999996E-3</v>
      </c>
      <c r="BD827">
        <v>1.4279989108178799E-4</v>
      </c>
      <c r="BE827">
        <v>4.2591552910817903E-3</v>
      </c>
      <c r="BF827">
        <f>IF(AK827&lt;BE827,1,0)</f>
        <v>1</v>
      </c>
      <c r="BG827">
        <f>IF(AK827&lt;BC827,1,0)</f>
        <v>1</v>
      </c>
      <c r="BH827">
        <f>VLOOKUP($B827,[1]Data_Peer_with_peerVars!$B$2:$Z$1050,20,FALSE)</f>
        <v>20</v>
      </c>
      <c r="BI827">
        <f>VLOOKUP($B827,[1]Data_Peer_with_peerVars!$B$2:$Z$1050,21,FALSE)</f>
        <v>12</v>
      </c>
      <c r="BJ827">
        <f>VLOOKUP($B827,[1]Data_Peer_with_peerVars!$B$2:$Z$1050,22,FALSE)</f>
        <v>0.6</v>
      </c>
      <c r="BK827">
        <f>VLOOKUP($B827,[1]Data_Peer_with_peerVars!$B$2:$Z$1050,23,FALSE)</f>
        <v>47</v>
      </c>
      <c r="BL827">
        <f>VLOOKUP($B827,[1]Data_Peer_with_peerVars!$B$2:$Z$1050,24,FALSE)</f>
        <v>24</v>
      </c>
      <c r="BM827">
        <f>VLOOKUP($B827,[1]Data_Peer_with_peerVars!$B$2:$Z$1050,25,FALSE)</f>
        <v>0.51063829800000005</v>
      </c>
    </row>
    <row r="828" spans="1:65" x14ac:dyDescent="0.2">
      <c r="A828">
        <v>1</v>
      </c>
      <c r="B828" t="s">
        <v>1267</v>
      </c>
      <c r="C828">
        <v>482</v>
      </c>
      <c r="D828" t="s">
        <v>155</v>
      </c>
      <c r="E828">
        <v>0</v>
      </c>
      <c r="F828" s="14" t="s">
        <v>82</v>
      </c>
      <c r="G828" s="14" t="s">
        <v>82</v>
      </c>
      <c r="H828" s="1">
        <v>6.6666666666666696</v>
      </c>
      <c r="I828" t="s">
        <v>87</v>
      </c>
      <c r="J828" t="s">
        <v>150</v>
      </c>
      <c r="K828" t="s">
        <v>109</v>
      </c>
      <c r="L828">
        <v>1</v>
      </c>
      <c r="M828">
        <v>1</v>
      </c>
      <c r="N828">
        <v>0</v>
      </c>
      <c r="O828">
        <v>0</v>
      </c>
      <c r="P828">
        <v>0</v>
      </c>
      <c r="Q828">
        <v>0</v>
      </c>
      <c r="R828">
        <v>0</v>
      </c>
      <c r="S828">
        <v>0</v>
      </c>
      <c r="T828">
        <v>0</v>
      </c>
      <c r="U828">
        <v>0</v>
      </c>
      <c r="V828">
        <f t="shared" si="344"/>
        <v>0</v>
      </c>
      <c r="W828">
        <f t="shared" si="346"/>
        <v>0</v>
      </c>
      <c r="X828">
        <f t="shared" si="347"/>
        <v>1</v>
      </c>
      <c r="Y828">
        <v>1</v>
      </c>
      <c r="Z828" t="s">
        <v>137</v>
      </c>
      <c r="AA828" s="5" t="s">
        <v>137</v>
      </c>
      <c r="AB828" s="5" t="s">
        <v>137</v>
      </c>
      <c r="AC828" t="s">
        <v>91</v>
      </c>
      <c r="AD828" t="s">
        <v>113</v>
      </c>
      <c r="AE828" s="5" t="s">
        <v>1268</v>
      </c>
      <c r="AF828" t="s">
        <v>137</v>
      </c>
      <c r="AG828" t="s">
        <v>287</v>
      </c>
      <c r="AH828">
        <f t="shared" si="368"/>
        <v>0.13169399000000001</v>
      </c>
      <c r="AI828">
        <f>AM828</f>
        <v>0.13169399000000001</v>
      </c>
      <c r="AJ828">
        <f t="shared" si="345"/>
        <v>0.12753147000000001</v>
      </c>
      <c r="AK828">
        <v>0.12753147000000001</v>
      </c>
      <c r="AL828">
        <v>0.13049450000000001</v>
      </c>
      <c r="AM828">
        <v>0.13169399000000001</v>
      </c>
      <c r="AN828">
        <v>0.13278688</v>
      </c>
      <c r="AO828">
        <v>87.246853000000002</v>
      </c>
      <c r="AP828">
        <v>86.950550000000007</v>
      </c>
      <c r="AQ828">
        <v>86.830601000000001</v>
      </c>
      <c r="AR828">
        <v>86.721311999999998</v>
      </c>
      <c r="AS828" t="b">
        <v>0</v>
      </c>
      <c r="AT828" t="b">
        <v>0</v>
      </c>
      <c r="AU828" t="s">
        <v>78</v>
      </c>
      <c r="AV828" t="s">
        <v>108</v>
      </c>
      <c r="AW828" t="s">
        <v>783</v>
      </c>
      <c r="AX828" t="s">
        <v>812</v>
      </c>
      <c r="AY828" t="s">
        <v>1242</v>
      </c>
      <c r="AZ828" t="s">
        <v>109</v>
      </c>
      <c r="BA828">
        <v>2</v>
      </c>
      <c r="BB828">
        <v>1.25</v>
      </c>
      <c r="BC828">
        <v>9.0659339999999995E-3</v>
      </c>
      <c r="BD828">
        <v>2.76583658862385E-3</v>
      </c>
      <c r="BE828">
        <v>1.1831770588623799E-2</v>
      </c>
      <c r="BF828">
        <f>IF(AK828&lt;BE828,1,0)</f>
        <v>0</v>
      </c>
      <c r="BG828">
        <f>IF(AK828&lt;BC828,1,0)</f>
        <v>0</v>
      </c>
      <c r="BH828">
        <f>VLOOKUP($B828,[1]Data_Peer_with_peerVars!$B$2:$Z$1050,20,FALSE)</f>
        <v>11</v>
      </c>
      <c r="BI828">
        <f>VLOOKUP($B828,[1]Data_Peer_with_peerVars!$B$2:$Z$1050,21,FALSE)</f>
        <v>2</v>
      </c>
      <c r="BJ828">
        <f>VLOOKUP($B828,[1]Data_Peer_with_peerVars!$B$2:$Z$1050,22,FALSE)</f>
        <v>0.18181818199999999</v>
      </c>
      <c r="BK828">
        <f>VLOOKUP($B828,[1]Data_Peer_with_peerVars!$B$2:$Z$1050,23,FALSE)</f>
        <v>45</v>
      </c>
      <c r="BL828">
        <f>VLOOKUP($B828,[1]Data_Peer_with_peerVars!$B$2:$Z$1050,24,FALSE)</f>
        <v>16</v>
      </c>
      <c r="BM828">
        <f>VLOOKUP($B828,[1]Data_Peer_with_peerVars!$B$2:$Z$1050,25,FALSE)</f>
        <v>0.35555555599999999</v>
      </c>
    </row>
    <row r="829" spans="1:65" x14ac:dyDescent="0.2">
      <c r="A829">
        <v>1</v>
      </c>
      <c r="B829" t="s">
        <v>1269</v>
      </c>
      <c r="C829">
        <v>482</v>
      </c>
      <c r="D829" t="s">
        <v>155</v>
      </c>
      <c r="E829">
        <v>0</v>
      </c>
      <c r="F829" s="14" t="s">
        <v>82</v>
      </c>
      <c r="G829" s="14" t="s">
        <v>82</v>
      </c>
      <c r="H829" s="1">
        <v>6.6666666666666696</v>
      </c>
      <c r="I829" t="s">
        <v>87</v>
      </c>
      <c r="J829" t="s">
        <v>150</v>
      </c>
      <c r="K829" t="s">
        <v>109</v>
      </c>
      <c r="L829">
        <v>1</v>
      </c>
      <c r="M829">
        <v>1</v>
      </c>
      <c r="N829">
        <v>0</v>
      </c>
      <c r="O829">
        <v>0</v>
      </c>
      <c r="P829">
        <v>0</v>
      </c>
      <c r="Q829">
        <v>0</v>
      </c>
      <c r="R829">
        <v>0</v>
      </c>
      <c r="S829">
        <v>0</v>
      </c>
      <c r="T829">
        <v>0</v>
      </c>
      <c r="U829">
        <v>0</v>
      </c>
      <c r="V829">
        <f t="shared" si="344"/>
        <v>1</v>
      </c>
      <c r="W829">
        <v>1</v>
      </c>
      <c r="X829">
        <v>1</v>
      </c>
      <c r="Y829">
        <v>1</v>
      </c>
      <c r="Z829" t="s">
        <v>73</v>
      </c>
      <c r="AA829" s="5" t="s">
        <v>73</v>
      </c>
      <c r="AB829" s="5" t="s">
        <v>73</v>
      </c>
      <c r="AC829" t="s">
        <v>73</v>
      </c>
      <c r="AD829" t="s">
        <v>94</v>
      </c>
      <c r="AE829" s="5" t="s">
        <v>94</v>
      </c>
      <c r="AF829" t="s">
        <v>75</v>
      </c>
      <c r="AG829" t="s">
        <v>95</v>
      </c>
      <c r="AH829">
        <f t="shared" si="368"/>
        <v>6.8974919999999995E-2</v>
      </c>
      <c r="AI829">
        <f t="shared" ref="AI829:AI830" si="370">AJ829</f>
        <v>6.8974919999999995E-2</v>
      </c>
      <c r="AJ829">
        <f t="shared" si="345"/>
        <v>6.8974919999999995E-2</v>
      </c>
      <c r="AK829">
        <v>6.8974919999999995E-2</v>
      </c>
      <c r="AL829">
        <v>0.11790393</v>
      </c>
      <c r="AM829">
        <v>0.12964988999999999</v>
      </c>
      <c r="AN829">
        <v>0.14207649999999999</v>
      </c>
      <c r="AO829">
        <v>93.102508</v>
      </c>
      <c r="AP829">
        <v>88.209607000000005</v>
      </c>
      <c r="AQ829">
        <v>87.035010999999997</v>
      </c>
      <c r="AR829">
        <v>85.792349999999999</v>
      </c>
      <c r="AS829" t="b">
        <v>1</v>
      </c>
      <c r="AT829" t="b">
        <v>0</v>
      </c>
      <c r="AU829" t="s">
        <v>77</v>
      </c>
      <c r="AV829" t="s">
        <v>78</v>
      </c>
      <c r="AW829" t="s">
        <v>783</v>
      </c>
      <c r="AX829" t="s">
        <v>812</v>
      </c>
      <c r="AY829" t="s">
        <v>1242</v>
      </c>
      <c r="AZ829" t="s">
        <v>72</v>
      </c>
      <c r="BA829" t="s">
        <v>82</v>
      </c>
      <c r="BB829">
        <v>1.25</v>
      </c>
      <c r="BC829">
        <v>4.1163553999999996E-3</v>
      </c>
      <c r="BD829">
        <v>1.4279989108178799E-4</v>
      </c>
      <c r="BE829">
        <v>4.2591552910817903E-3</v>
      </c>
      <c r="BF829">
        <f>IF(AK829&lt;BE829,1,0)</f>
        <v>0</v>
      </c>
      <c r="BG829">
        <f>IF(AK829&lt;BC829,1,0)</f>
        <v>0</v>
      </c>
      <c r="BH829">
        <f>VLOOKUP($B829,[1]Data_Peer_with_peerVars!$B$2:$Z$1050,20,FALSE)</f>
        <v>11</v>
      </c>
      <c r="BI829">
        <f>VLOOKUP($B829,[1]Data_Peer_with_peerVars!$B$2:$Z$1050,21,FALSE)</f>
        <v>2</v>
      </c>
      <c r="BJ829">
        <f>VLOOKUP($B829,[1]Data_Peer_with_peerVars!$B$2:$Z$1050,22,FALSE)</f>
        <v>0.18181818199999999</v>
      </c>
      <c r="BK829">
        <f>VLOOKUP($B829,[1]Data_Peer_with_peerVars!$B$2:$Z$1050,23,FALSE)</f>
        <v>45</v>
      </c>
      <c r="BL829">
        <f>VLOOKUP($B829,[1]Data_Peer_with_peerVars!$B$2:$Z$1050,24,FALSE)</f>
        <v>16</v>
      </c>
      <c r="BM829">
        <f>VLOOKUP($B829,[1]Data_Peer_with_peerVars!$B$2:$Z$1050,25,FALSE)</f>
        <v>0.35555555599999999</v>
      </c>
    </row>
    <row r="830" spans="1:65" x14ac:dyDescent="0.2">
      <c r="A830">
        <v>1</v>
      </c>
      <c r="B830" t="s">
        <v>1270</v>
      </c>
      <c r="C830">
        <v>482</v>
      </c>
      <c r="D830" t="s">
        <v>155</v>
      </c>
      <c r="E830">
        <v>0</v>
      </c>
      <c r="F830" s="14" t="s">
        <v>82</v>
      </c>
      <c r="G830" s="14" t="s">
        <v>82</v>
      </c>
      <c r="H830" s="1">
        <v>6.6666666666666696</v>
      </c>
      <c r="I830" t="s">
        <v>87</v>
      </c>
      <c r="J830" t="s">
        <v>150</v>
      </c>
      <c r="K830" t="s">
        <v>109</v>
      </c>
      <c r="L830">
        <v>1</v>
      </c>
      <c r="M830">
        <v>1</v>
      </c>
      <c r="N830">
        <v>0</v>
      </c>
      <c r="O830">
        <v>0</v>
      </c>
      <c r="P830">
        <v>0</v>
      </c>
      <c r="Q830">
        <v>0</v>
      </c>
      <c r="R830">
        <v>0</v>
      </c>
      <c r="S830">
        <v>0</v>
      </c>
      <c r="T830">
        <v>0</v>
      </c>
      <c r="U830">
        <v>0</v>
      </c>
      <c r="V830">
        <f t="shared" si="344"/>
        <v>1</v>
      </c>
      <c r="W830">
        <v>1</v>
      </c>
      <c r="X830">
        <v>1</v>
      </c>
      <c r="Y830">
        <v>1</v>
      </c>
      <c r="Z830" t="s">
        <v>76</v>
      </c>
      <c r="AA830" s="5" t="s">
        <v>76</v>
      </c>
      <c r="AB830" s="5" t="s">
        <v>76</v>
      </c>
      <c r="AC830" t="s">
        <v>76</v>
      </c>
      <c r="AD830" t="s">
        <v>74</v>
      </c>
      <c r="AE830" s="5" t="s">
        <v>74</v>
      </c>
      <c r="AF830" t="s">
        <v>120</v>
      </c>
      <c r="AG830" t="s">
        <v>75</v>
      </c>
      <c r="AH830">
        <f t="shared" si="368"/>
        <v>7.4630946000000004E-2</v>
      </c>
      <c r="AI830">
        <f t="shared" si="370"/>
        <v>7.4630946000000004E-2</v>
      </c>
      <c r="AJ830">
        <f t="shared" si="345"/>
        <v>7.4630946000000004E-2</v>
      </c>
      <c r="AK830">
        <v>7.4630946000000004E-2</v>
      </c>
      <c r="AL830">
        <v>9.5668859999999994E-2</v>
      </c>
      <c r="AM830">
        <v>0.11939891</v>
      </c>
      <c r="AN830">
        <v>0.12068965</v>
      </c>
      <c r="AO830">
        <v>92.536905399999995</v>
      </c>
      <c r="AP830">
        <v>90.433114000000003</v>
      </c>
      <c r="AQ830">
        <v>88.060108999999997</v>
      </c>
      <c r="AR830">
        <v>87.931034999999994</v>
      </c>
      <c r="AS830" t="b">
        <v>1</v>
      </c>
      <c r="AT830" t="b">
        <v>0</v>
      </c>
      <c r="AU830" t="s">
        <v>77</v>
      </c>
      <c r="AV830" t="s">
        <v>77</v>
      </c>
      <c r="AW830" t="s">
        <v>783</v>
      </c>
      <c r="AX830" t="s">
        <v>812</v>
      </c>
      <c r="AY830" t="s">
        <v>1242</v>
      </c>
      <c r="AZ830" t="s">
        <v>109</v>
      </c>
      <c r="BA830">
        <v>2</v>
      </c>
      <c r="BB830">
        <v>1.25</v>
      </c>
      <c r="BC830">
        <v>7.7070764999999999E-2</v>
      </c>
      <c r="BD830">
        <v>1.90190515067399E-3</v>
      </c>
      <c r="BE830">
        <v>7.8972670150673996E-2</v>
      </c>
      <c r="BF830">
        <f>IF(AK830&lt;BE830,1,0)</f>
        <v>1</v>
      </c>
      <c r="BG830">
        <f>IF(AK830&lt;BC830,1,0)</f>
        <v>1</v>
      </c>
      <c r="BH830">
        <f>VLOOKUP($B830,[1]Data_Peer_with_peerVars!$B$2:$Z$1050,20,FALSE)</f>
        <v>11</v>
      </c>
      <c r="BI830">
        <f>VLOOKUP($B830,[1]Data_Peer_with_peerVars!$B$2:$Z$1050,21,FALSE)</f>
        <v>2</v>
      </c>
      <c r="BJ830">
        <f>VLOOKUP($B830,[1]Data_Peer_with_peerVars!$B$2:$Z$1050,22,FALSE)</f>
        <v>0.18181818199999999</v>
      </c>
      <c r="BK830">
        <f>VLOOKUP($B830,[1]Data_Peer_with_peerVars!$B$2:$Z$1050,23,FALSE)</f>
        <v>45</v>
      </c>
      <c r="BL830">
        <f>VLOOKUP($B830,[1]Data_Peer_with_peerVars!$B$2:$Z$1050,24,FALSE)</f>
        <v>16</v>
      </c>
      <c r="BM830">
        <f>VLOOKUP($B830,[1]Data_Peer_with_peerVars!$B$2:$Z$1050,25,FALSE)</f>
        <v>0.35555555599999999</v>
      </c>
    </row>
    <row r="831" spans="1:65" x14ac:dyDescent="0.2">
      <c r="A831">
        <v>1</v>
      </c>
      <c r="B831" t="s">
        <v>1271</v>
      </c>
      <c r="C831">
        <v>483</v>
      </c>
      <c r="D831" t="s">
        <v>155</v>
      </c>
      <c r="E831">
        <v>0</v>
      </c>
      <c r="F831" s="14" t="s">
        <v>82</v>
      </c>
      <c r="G831" s="14" t="s">
        <v>82</v>
      </c>
      <c r="H831" s="1">
        <v>7</v>
      </c>
      <c r="I831" t="s">
        <v>87</v>
      </c>
      <c r="J831" t="s">
        <v>150</v>
      </c>
      <c r="K831" t="s">
        <v>109</v>
      </c>
      <c r="L831">
        <v>1</v>
      </c>
      <c r="M831">
        <v>0</v>
      </c>
      <c r="N831">
        <v>0</v>
      </c>
      <c r="O831">
        <v>0</v>
      </c>
      <c r="P831">
        <v>0</v>
      </c>
      <c r="Q831">
        <v>9</v>
      </c>
      <c r="R831">
        <v>0</v>
      </c>
      <c r="S831">
        <v>0</v>
      </c>
      <c r="T831">
        <v>0</v>
      </c>
      <c r="U831">
        <v>0</v>
      </c>
      <c r="V831">
        <f t="shared" si="344"/>
        <v>0</v>
      </c>
      <c r="W831">
        <f t="shared" si="346"/>
        <v>1</v>
      </c>
      <c r="X831">
        <v>1</v>
      </c>
      <c r="Y831">
        <v>1</v>
      </c>
      <c r="Z831" t="s">
        <v>76</v>
      </c>
      <c r="AA831" s="5" t="s">
        <v>76</v>
      </c>
      <c r="AB831" s="5" t="s">
        <v>76</v>
      </c>
      <c r="AC831" t="s">
        <v>287</v>
      </c>
      <c r="AD831" t="s">
        <v>76</v>
      </c>
      <c r="AE831" s="5" t="s">
        <v>1272</v>
      </c>
      <c r="AF831" t="s">
        <v>73</v>
      </c>
      <c r="AG831" t="s">
        <v>91</v>
      </c>
      <c r="AH831">
        <f t="shared" si="368"/>
        <v>0</v>
      </c>
      <c r="AI831">
        <f t="shared" ref="AI831:AI832" si="371">AJ831</f>
        <v>0</v>
      </c>
      <c r="AJ831">
        <f>AL831</f>
        <v>0</v>
      </c>
      <c r="AK831">
        <v>0</v>
      </c>
      <c r="AL831">
        <v>0</v>
      </c>
      <c r="AM831">
        <v>0</v>
      </c>
      <c r="AN831">
        <v>0</v>
      </c>
      <c r="AO831">
        <v>100</v>
      </c>
      <c r="AP831">
        <v>100</v>
      </c>
      <c r="AQ831">
        <v>100</v>
      </c>
      <c r="AR831">
        <v>100</v>
      </c>
      <c r="AS831" t="b">
        <v>0</v>
      </c>
      <c r="AT831" t="b">
        <v>0</v>
      </c>
      <c r="AU831" t="s">
        <v>108</v>
      </c>
      <c r="AV831" t="s">
        <v>108</v>
      </c>
      <c r="AW831" t="s">
        <v>783</v>
      </c>
      <c r="AX831" t="s">
        <v>812</v>
      </c>
      <c r="AY831" t="s">
        <v>1242</v>
      </c>
      <c r="AZ831" t="s">
        <v>109</v>
      </c>
      <c r="BA831">
        <v>3</v>
      </c>
      <c r="BB831">
        <v>0.52500000000000002</v>
      </c>
      <c r="BC831">
        <v>5.5106750000000003E-2</v>
      </c>
      <c r="BD831">
        <v>2.4361461616194298E-3</v>
      </c>
      <c r="BE831">
        <v>5.7542896161619402E-2</v>
      </c>
      <c r="BF831">
        <f>IF(AK831&lt;BE831,1,0)</f>
        <v>1</v>
      </c>
      <c r="BG831">
        <f>IF(AK831&lt;BC831,1,0)</f>
        <v>1</v>
      </c>
      <c r="BH831">
        <f>VLOOKUP($B831,[1]Data_Peer_with_peerVars!$B$2:$Z$1050,20,FALSE)</f>
        <v>9</v>
      </c>
      <c r="BI831">
        <f>VLOOKUP($B831,[1]Data_Peer_with_peerVars!$B$2:$Z$1050,21,FALSE)</f>
        <v>2</v>
      </c>
      <c r="BJ831">
        <f>VLOOKUP($B831,[1]Data_Peer_with_peerVars!$B$2:$Z$1050,22,FALSE)</f>
        <v>0.222222222</v>
      </c>
      <c r="BK831">
        <f>VLOOKUP($B831,[1]Data_Peer_with_peerVars!$B$2:$Z$1050,23,FALSE)</f>
        <v>47</v>
      </c>
      <c r="BL831">
        <f>VLOOKUP($B831,[1]Data_Peer_with_peerVars!$B$2:$Z$1050,24,FALSE)</f>
        <v>17</v>
      </c>
      <c r="BM831">
        <f>VLOOKUP($B831,[1]Data_Peer_with_peerVars!$B$2:$Z$1050,25,FALSE)</f>
        <v>0.36170212800000001</v>
      </c>
    </row>
    <row r="832" spans="1:65" x14ac:dyDescent="0.2">
      <c r="A832">
        <v>1</v>
      </c>
      <c r="B832" t="s">
        <v>1273</v>
      </c>
      <c r="C832">
        <v>484</v>
      </c>
      <c r="D832" t="s">
        <v>155</v>
      </c>
      <c r="E832">
        <v>0</v>
      </c>
      <c r="F832" s="14" t="s">
        <v>82</v>
      </c>
      <c r="G832" s="14" t="s">
        <v>82</v>
      </c>
      <c r="H832" s="1">
        <v>7</v>
      </c>
      <c r="I832" t="s">
        <v>87</v>
      </c>
      <c r="J832" t="s">
        <v>88</v>
      </c>
      <c r="K832" t="s">
        <v>109</v>
      </c>
      <c r="L832">
        <v>1</v>
      </c>
      <c r="M832">
        <v>1</v>
      </c>
      <c r="N832">
        <v>0</v>
      </c>
      <c r="O832">
        <v>0</v>
      </c>
      <c r="P832">
        <v>0</v>
      </c>
      <c r="Q832">
        <v>2</v>
      </c>
      <c r="R832">
        <v>0</v>
      </c>
      <c r="S832">
        <v>0</v>
      </c>
      <c r="T832">
        <v>0</v>
      </c>
      <c r="U832">
        <v>0</v>
      </c>
      <c r="V832">
        <f t="shared" si="344"/>
        <v>0</v>
      </c>
      <c r="W832">
        <f t="shared" si="346"/>
        <v>0</v>
      </c>
      <c r="X832">
        <f t="shared" si="347"/>
        <v>0</v>
      </c>
      <c r="Y832">
        <f t="shared" si="348"/>
        <v>0</v>
      </c>
      <c r="Z832" t="s">
        <v>73</v>
      </c>
      <c r="AA832" s="5" t="s">
        <v>73</v>
      </c>
      <c r="AB832" s="5" t="s">
        <v>73</v>
      </c>
      <c r="AC832" t="s">
        <v>91</v>
      </c>
      <c r="AD832" t="s">
        <v>137</v>
      </c>
      <c r="AE832" s="5" t="s">
        <v>497</v>
      </c>
      <c r="AF832" t="s">
        <v>287</v>
      </c>
      <c r="AG832" t="s">
        <v>113</v>
      </c>
      <c r="AH832">
        <f>AI832</f>
        <v>7.7235769999999995E-2</v>
      </c>
      <c r="AI832">
        <f t="shared" si="371"/>
        <v>7.7235769999999995E-2</v>
      </c>
      <c r="AJ832">
        <f t="shared" si="345"/>
        <v>7.7235769999999995E-2</v>
      </c>
      <c r="AK832">
        <v>7.7235769999999995E-2</v>
      </c>
      <c r="AL832">
        <v>0.11636680000000001</v>
      </c>
      <c r="AM832">
        <v>0.12869564999999999</v>
      </c>
      <c r="AN832">
        <v>0.13047285</v>
      </c>
      <c r="AO832">
        <v>92.276422999999994</v>
      </c>
      <c r="AP832">
        <v>88.363320000000002</v>
      </c>
      <c r="AQ832">
        <v>87.130435000000006</v>
      </c>
      <c r="AR832">
        <v>86.952714999999998</v>
      </c>
      <c r="AS832" t="b">
        <v>0</v>
      </c>
      <c r="AT832" t="b">
        <v>0</v>
      </c>
      <c r="AU832" t="s">
        <v>77</v>
      </c>
      <c r="AV832" t="s">
        <v>108</v>
      </c>
      <c r="AW832" t="s">
        <v>783</v>
      </c>
      <c r="AX832" t="s">
        <v>812</v>
      </c>
      <c r="AY832" t="s">
        <v>1236</v>
      </c>
      <c r="AZ832" t="s">
        <v>109</v>
      </c>
      <c r="BA832">
        <v>3</v>
      </c>
      <c r="BB832">
        <v>0.25</v>
      </c>
      <c r="BC832">
        <v>9.0659339999999995E-3</v>
      </c>
      <c r="BD832">
        <v>2.76583658862385E-3</v>
      </c>
      <c r="BE832">
        <v>1.1831770588623799E-2</v>
      </c>
      <c r="BF832">
        <f>IF(AK832&lt;BE832,1,0)</f>
        <v>0</v>
      </c>
      <c r="BG832">
        <f>IF(AK832&lt;BC832,1,0)</f>
        <v>0</v>
      </c>
      <c r="BH832">
        <f>VLOOKUP($B832,[1]Data_Peer_with_peerVars!$B$2:$Z$1050,20,FALSE)</f>
        <v>11</v>
      </c>
      <c r="BI832">
        <f>VLOOKUP($B832,[1]Data_Peer_with_peerVars!$B$2:$Z$1050,21,FALSE)</f>
        <v>1</v>
      </c>
      <c r="BJ832">
        <f>VLOOKUP($B832,[1]Data_Peer_with_peerVars!$B$2:$Z$1050,22,FALSE)</f>
        <v>9.0909090999999997E-2</v>
      </c>
      <c r="BK832">
        <f>VLOOKUP($B832,[1]Data_Peer_with_peerVars!$B$2:$Z$1050,23,FALSE)</f>
        <v>52</v>
      </c>
      <c r="BL832">
        <f>VLOOKUP($B832,[1]Data_Peer_with_peerVars!$B$2:$Z$1050,24,FALSE)</f>
        <v>20</v>
      </c>
      <c r="BM832">
        <f>VLOOKUP($B832,[1]Data_Peer_with_peerVars!$B$2:$Z$1050,25,FALSE)</f>
        <v>0.38461538499999998</v>
      </c>
    </row>
    <row r="833" spans="1:65" x14ac:dyDescent="0.2">
      <c r="A833">
        <v>1</v>
      </c>
      <c r="B833" t="s">
        <v>1274</v>
      </c>
      <c r="C833">
        <v>486</v>
      </c>
      <c r="D833" t="s">
        <v>68</v>
      </c>
      <c r="E833">
        <v>0</v>
      </c>
      <c r="F833">
        <v>469</v>
      </c>
      <c r="G833" t="s">
        <v>97</v>
      </c>
      <c r="H833" s="1">
        <v>5</v>
      </c>
      <c r="I833" t="s">
        <v>87</v>
      </c>
      <c r="J833" t="s">
        <v>150</v>
      </c>
      <c r="K833" t="s">
        <v>109</v>
      </c>
      <c r="L833">
        <v>1</v>
      </c>
      <c r="M833">
        <v>0</v>
      </c>
      <c r="N833">
        <v>0</v>
      </c>
      <c r="O833">
        <v>0</v>
      </c>
      <c r="P833">
        <v>0</v>
      </c>
      <c r="Q833">
        <v>2</v>
      </c>
      <c r="R833">
        <v>0</v>
      </c>
      <c r="S833">
        <v>0</v>
      </c>
      <c r="T833">
        <v>0</v>
      </c>
      <c r="U833">
        <v>0</v>
      </c>
      <c r="V833">
        <f t="shared" si="344"/>
        <v>0</v>
      </c>
      <c r="W833">
        <f t="shared" si="346"/>
        <v>0</v>
      </c>
      <c r="X833">
        <f t="shared" si="347"/>
        <v>1</v>
      </c>
      <c r="Y833">
        <v>1</v>
      </c>
      <c r="Z833" t="s">
        <v>75</v>
      </c>
      <c r="AA833" s="5" t="s">
        <v>75</v>
      </c>
      <c r="AB833" s="5" t="s">
        <v>75</v>
      </c>
      <c r="AC833" t="s">
        <v>73</v>
      </c>
      <c r="AD833" t="s">
        <v>94</v>
      </c>
      <c r="AE833" s="5" t="s">
        <v>94</v>
      </c>
      <c r="AF833" t="s">
        <v>75</v>
      </c>
      <c r="AG833" t="s">
        <v>95</v>
      </c>
      <c r="AH833">
        <f>AI833</f>
        <v>0.13035126</v>
      </c>
      <c r="AI833">
        <f>AM833</f>
        <v>0.13035126</v>
      </c>
      <c r="AJ833">
        <f t="shared" si="345"/>
        <v>3.6045874999999998E-2</v>
      </c>
      <c r="AK833">
        <v>3.6045874999999998E-2</v>
      </c>
      <c r="AL833">
        <v>0.11850027</v>
      </c>
      <c r="AM833">
        <v>0.13035126</v>
      </c>
      <c r="AN833">
        <v>0.13377193000000001</v>
      </c>
      <c r="AO833">
        <v>96.395412500000006</v>
      </c>
      <c r="AP833">
        <v>88.149973000000003</v>
      </c>
      <c r="AQ833">
        <v>86.964873999999995</v>
      </c>
      <c r="AR833">
        <v>86.622806999999995</v>
      </c>
      <c r="AS833" t="b">
        <v>0</v>
      </c>
      <c r="AT833" t="b">
        <v>0</v>
      </c>
      <c r="AU833" t="s">
        <v>77</v>
      </c>
      <c r="AV833" t="s">
        <v>78</v>
      </c>
      <c r="AW833" t="s">
        <v>783</v>
      </c>
      <c r="AX833" t="s">
        <v>784</v>
      </c>
      <c r="AY833" t="s">
        <v>1275</v>
      </c>
      <c r="AZ833" t="s">
        <v>109</v>
      </c>
      <c r="BA833">
        <v>2</v>
      </c>
      <c r="BB833">
        <v>0.56000000000000005</v>
      </c>
      <c r="BC833">
        <v>4.1163553999999996E-3</v>
      </c>
      <c r="BD833">
        <v>1.4279989108178799E-4</v>
      </c>
      <c r="BE833">
        <v>4.2591552910817903E-3</v>
      </c>
      <c r="BF833">
        <f>IF(AK833&lt;BE833,1,0)</f>
        <v>0</v>
      </c>
      <c r="BG833">
        <f>IF(AK833&lt;BC833,1,0)</f>
        <v>0</v>
      </c>
      <c r="BH833">
        <f>VLOOKUP($B833,[1]Data_Peer_with_peerVars!$B$2:$Z$1050,20,FALSE)</f>
        <v>5</v>
      </c>
      <c r="BI833">
        <f>VLOOKUP($B833,[1]Data_Peer_with_peerVars!$B$2:$Z$1050,21,FALSE)</f>
        <v>1</v>
      </c>
      <c r="BJ833">
        <f>VLOOKUP($B833,[1]Data_Peer_with_peerVars!$B$2:$Z$1050,22,FALSE)</f>
        <v>0.2</v>
      </c>
      <c r="BK833">
        <f>VLOOKUP($B833,[1]Data_Peer_with_peerVars!$B$2:$Z$1050,23,FALSE)</f>
        <v>5</v>
      </c>
      <c r="BL833">
        <f>VLOOKUP($B833,[1]Data_Peer_with_peerVars!$B$2:$Z$1050,24,FALSE)</f>
        <v>1</v>
      </c>
      <c r="BM833">
        <f>VLOOKUP($B833,[1]Data_Peer_with_peerVars!$B$2:$Z$1050,25,FALSE)</f>
        <v>0.2</v>
      </c>
    </row>
    <row r="834" spans="1:65" x14ac:dyDescent="0.2">
      <c r="A834">
        <v>1</v>
      </c>
      <c r="B834" t="s">
        <v>1276</v>
      </c>
      <c r="C834">
        <v>487</v>
      </c>
      <c r="D834" t="s">
        <v>68</v>
      </c>
      <c r="E834">
        <v>0</v>
      </c>
      <c r="F834">
        <v>623</v>
      </c>
      <c r="G834" t="s">
        <v>97</v>
      </c>
      <c r="H834" s="1">
        <v>6</v>
      </c>
      <c r="I834" t="s">
        <v>70</v>
      </c>
      <c r="J834" t="s">
        <v>301</v>
      </c>
      <c r="K834" t="s">
        <v>109</v>
      </c>
      <c r="L834">
        <v>1</v>
      </c>
      <c r="M834">
        <v>0</v>
      </c>
      <c r="N834">
        <v>1</v>
      </c>
      <c r="O834">
        <v>0</v>
      </c>
      <c r="P834">
        <v>0</v>
      </c>
      <c r="Q834">
        <v>6</v>
      </c>
      <c r="R834">
        <v>0</v>
      </c>
      <c r="S834">
        <v>0</v>
      </c>
      <c r="T834">
        <v>0</v>
      </c>
      <c r="U834">
        <v>0</v>
      </c>
      <c r="V834">
        <f t="shared" si="344"/>
        <v>0</v>
      </c>
      <c r="W834">
        <f t="shared" si="346"/>
        <v>0</v>
      </c>
      <c r="X834">
        <f t="shared" si="347"/>
        <v>0</v>
      </c>
      <c r="Y834">
        <f t="shared" si="348"/>
        <v>0</v>
      </c>
      <c r="Z834" t="s">
        <v>76</v>
      </c>
      <c r="AA834" s="5" t="s">
        <v>76</v>
      </c>
      <c r="AB834" s="5" t="s">
        <v>76</v>
      </c>
      <c r="AC834" t="s">
        <v>91</v>
      </c>
      <c r="AD834" t="s">
        <v>287</v>
      </c>
      <c r="AE834" s="5" t="s">
        <v>287</v>
      </c>
      <c r="AF834" t="s">
        <v>137</v>
      </c>
      <c r="AG834" t="s">
        <v>84</v>
      </c>
      <c r="AH834">
        <f t="shared" ref="AH834:AH835" si="372">AI834</f>
        <v>3.2822757000000001E-3</v>
      </c>
      <c r="AI834">
        <f t="shared" ref="AI834:AI837" si="373">AJ834</f>
        <v>3.2822757000000001E-3</v>
      </c>
      <c r="AJ834">
        <f t="shared" si="345"/>
        <v>3.2822757000000001E-3</v>
      </c>
      <c r="AK834">
        <v>3.2822757000000001E-3</v>
      </c>
      <c r="AL834">
        <v>0.12055768</v>
      </c>
      <c r="AM834">
        <v>0.12896173999999999</v>
      </c>
      <c r="AN834">
        <v>0.13386476</v>
      </c>
      <c r="AO834">
        <v>99.671772430000004</v>
      </c>
      <c r="AP834">
        <v>87.944232</v>
      </c>
      <c r="AQ834">
        <v>87.103825999999998</v>
      </c>
      <c r="AR834">
        <v>86.613523999999998</v>
      </c>
      <c r="AS834" t="b">
        <v>0</v>
      </c>
      <c r="AT834" t="b">
        <v>0</v>
      </c>
      <c r="AU834" t="s">
        <v>77</v>
      </c>
      <c r="AV834" t="s">
        <v>78</v>
      </c>
      <c r="AW834" t="s">
        <v>783</v>
      </c>
      <c r="AX834" t="s">
        <v>1277</v>
      </c>
      <c r="AY834" t="s">
        <v>1278</v>
      </c>
      <c r="AZ834" t="s">
        <v>109</v>
      </c>
      <c r="BA834">
        <v>4</v>
      </c>
      <c r="BB834">
        <v>0.7</v>
      </c>
      <c r="BC834">
        <v>9.0659339999999995E-3</v>
      </c>
      <c r="BD834">
        <v>2.76583658862385E-3</v>
      </c>
      <c r="BE834">
        <v>1.1831770588623799E-2</v>
      </c>
      <c r="BF834">
        <f>IF(AK834&lt;BE834,1,0)</f>
        <v>1</v>
      </c>
      <c r="BG834">
        <f>IF(AK834&lt;BC834,1,0)</f>
        <v>1</v>
      </c>
      <c r="BH834">
        <f>VLOOKUP($B834,[1]Data_Peer_with_peerVars!$B$2:$Z$1050,20,FALSE)</f>
        <v>5</v>
      </c>
      <c r="BI834">
        <f>VLOOKUP($B834,[1]Data_Peer_with_peerVars!$B$2:$Z$1050,21,FALSE)</f>
        <v>1</v>
      </c>
      <c r="BJ834">
        <f>VLOOKUP($B834,[1]Data_Peer_with_peerVars!$B$2:$Z$1050,22,FALSE)</f>
        <v>0.2</v>
      </c>
      <c r="BK834">
        <f>VLOOKUP($B834,[1]Data_Peer_with_peerVars!$B$2:$Z$1050,23,FALSE)</f>
        <v>5</v>
      </c>
      <c r="BL834">
        <f>VLOOKUP($B834,[1]Data_Peer_with_peerVars!$B$2:$Z$1050,24,FALSE)</f>
        <v>1</v>
      </c>
      <c r="BM834">
        <f>VLOOKUP($B834,[1]Data_Peer_with_peerVars!$B$2:$Z$1050,25,FALSE)</f>
        <v>0.2</v>
      </c>
    </row>
    <row r="835" spans="1:65" x14ac:dyDescent="0.2">
      <c r="A835">
        <v>1</v>
      </c>
      <c r="B835" t="s">
        <v>1279</v>
      </c>
      <c r="C835">
        <v>488</v>
      </c>
      <c r="D835" t="s">
        <v>68</v>
      </c>
      <c r="E835">
        <v>1</v>
      </c>
      <c r="F835">
        <v>631</v>
      </c>
      <c r="G835" t="s">
        <v>86</v>
      </c>
      <c r="H835" s="1">
        <v>6</v>
      </c>
      <c r="I835" t="s">
        <v>70</v>
      </c>
      <c r="J835" t="s">
        <v>301</v>
      </c>
      <c r="K835" t="s">
        <v>109</v>
      </c>
      <c r="L835">
        <v>1</v>
      </c>
      <c r="M835">
        <v>0</v>
      </c>
      <c r="N835">
        <v>1</v>
      </c>
      <c r="O835">
        <v>0</v>
      </c>
      <c r="P835">
        <v>1</v>
      </c>
      <c r="Q835">
        <v>6</v>
      </c>
      <c r="R835">
        <v>0</v>
      </c>
      <c r="S835">
        <v>0</v>
      </c>
      <c r="T835">
        <v>0</v>
      </c>
      <c r="U835">
        <v>0</v>
      </c>
      <c r="V835">
        <f t="shared" ref="V835:V898" si="374">IF(Z835=AC835,1,0)</f>
        <v>0</v>
      </c>
      <c r="W835">
        <f t="shared" ref="W835:W896" si="375">IF(Z835=AD835,1,0)</f>
        <v>0</v>
      </c>
      <c r="X835">
        <f t="shared" si="347"/>
        <v>0</v>
      </c>
      <c r="Y835">
        <f t="shared" ref="Y835:Y896" si="376">IF(Z835=AG835,1,0)</f>
        <v>0</v>
      </c>
      <c r="Z835" t="s">
        <v>75</v>
      </c>
      <c r="AA835" s="5" t="s">
        <v>75</v>
      </c>
      <c r="AB835" s="5" t="s">
        <v>75</v>
      </c>
      <c r="AC835" t="s">
        <v>91</v>
      </c>
      <c r="AD835" t="s">
        <v>287</v>
      </c>
      <c r="AE835" s="5" t="s">
        <v>287</v>
      </c>
      <c r="AF835" t="s">
        <v>137</v>
      </c>
      <c r="AG835" t="s">
        <v>113</v>
      </c>
      <c r="AH835">
        <f t="shared" si="372"/>
        <v>5.3854566E-2</v>
      </c>
      <c r="AI835">
        <f t="shared" si="373"/>
        <v>5.3854566E-2</v>
      </c>
      <c r="AJ835">
        <f t="shared" ref="AJ835:AJ898" si="377">AK835</f>
        <v>5.3854566E-2</v>
      </c>
      <c r="AK835">
        <v>5.3854566E-2</v>
      </c>
      <c r="AL835">
        <v>0.113264196</v>
      </c>
      <c r="AM835">
        <v>0.12363537400000001</v>
      </c>
      <c r="AN835">
        <v>0.13069741000000001</v>
      </c>
      <c r="AO835">
        <v>94.614543400000002</v>
      </c>
      <c r="AP835">
        <v>88.673580400000006</v>
      </c>
      <c r="AQ835">
        <v>87.636462600000002</v>
      </c>
      <c r="AR835">
        <v>86.930259000000007</v>
      </c>
      <c r="AS835" t="b">
        <v>0</v>
      </c>
      <c r="AT835" t="b">
        <v>0</v>
      </c>
      <c r="AU835" t="s">
        <v>77</v>
      </c>
      <c r="AV835" t="s">
        <v>78</v>
      </c>
      <c r="AW835" t="s">
        <v>783</v>
      </c>
      <c r="AX835" t="s">
        <v>1277</v>
      </c>
      <c r="AY835" t="s">
        <v>1278</v>
      </c>
      <c r="AZ835" t="s">
        <v>109</v>
      </c>
      <c r="BA835">
        <v>3</v>
      </c>
      <c r="BB835">
        <v>1.4</v>
      </c>
      <c r="BC835">
        <v>9.0659339999999995E-3</v>
      </c>
      <c r="BD835">
        <v>2.76583658862385E-3</v>
      </c>
      <c r="BE835">
        <v>1.1831770588623799E-2</v>
      </c>
      <c r="BF835">
        <f>IF(AK835&lt;BE835,1,0)</f>
        <v>0</v>
      </c>
      <c r="BG835">
        <f>IF(AK835&lt;BC835,1,0)</f>
        <v>0</v>
      </c>
      <c r="BH835">
        <f>VLOOKUP($B835,[1]Data_Peer_with_peerVars!$B$2:$Z$1050,20,FALSE)</f>
        <v>2</v>
      </c>
      <c r="BI835">
        <f>VLOOKUP($B835,[1]Data_Peer_with_peerVars!$B$2:$Z$1050,21,FALSE)</f>
        <v>0</v>
      </c>
      <c r="BJ835">
        <f>VLOOKUP($B835,[1]Data_Peer_with_peerVars!$B$2:$Z$1050,22,FALSE)</f>
        <v>0</v>
      </c>
      <c r="BK835">
        <f>VLOOKUP($B835,[1]Data_Peer_with_peerVars!$B$2:$Z$1050,23,FALSE)</f>
        <v>10</v>
      </c>
      <c r="BL835">
        <f>VLOOKUP($B835,[1]Data_Peer_with_peerVars!$B$2:$Z$1050,24,FALSE)</f>
        <v>4</v>
      </c>
      <c r="BM835">
        <f>VLOOKUP($B835,[1]Data_Peer_with_peerVars!$B$2:$Z$1050,25,FALSE)</f>
        <v>0.4</v>
      </c>
    </row>
    <row r="836" spans="1:65" x14ac:dyDescent="0.2">
      <c r="A836">
        <v>1</v>
      </c>
      <c r="B836" t="s">
        <v>1280</v>
      </c>
      <c r="C836">
        <v>489</v>
      </c>
      <c r="D836" t="s">
        <v>68</v>
      </c>
      <c r="E836">
        <v>0</v>
      </c>
      <c r="F836">
        <v>656</v>
      </c>
      <c r="G836" t="s">
        <v>97</v>
      </c>
      <c r="H836" s="1">
        <v>6</v>
      </c>
      <c r="I836" t="s">
        <v>87</v>
      </c>
      <c r="J836" t="s">
        <v>111</v>
      </c>
      <c r="K836" t="s">
        <v>109</v>
      </c>
      <c r="L836">
        <v>1</v>
      </c>
      <c r="M836">
        <v>0</v>
      </c>
      <c r="N836">
        <v>0</v>
      </c>
      <c r="O836">
        <v>0</v>
      </c>
      <c r="P836">
        <v>0</v>
      </c>
      <c r="Q836">
        <v>11</v>
      </c>
      <c r="R836">
        <v>0</v>
      </c>
      <c r="S836">
        <v>0</v>
      </c>
      <c r="T836">
        <v>0</v>
      </c>
      <c r="U836">
        <v>0</v>
      </c>
      <c r="V836">
        <f t="shared" si="374"/>
        <v>0</v>
      </c>
      <c r="W836">
        <f t="shared" si="375"/>
        <v>1</v>
      </c>
      <c r="X836">
        <v>1</v>
      </c>
      <c r="Y836">
        <v>1</v>
      </c>
      <c r="Z836" t="s">
        <v>76</v>
      </c>
      <c r="AA836" s="5" t="s">
        <v>76</v>
      </c>
      <c r="AB836" s="5" t="s">
        <v>76</v>
      </c>
      <c r="AC836" t="s">
        <v>74</v>
      </c>
      <c r="AD836" t="s">
        <v>76</v>
      </c>
      <c r="AE836" s="5" t="s">
        <v>76</v>
      </c>
      <c r="AF836" t="s">
        <v>120</v>
      </c>
      <c r="AG836" t="s">
        <v>75</v>
      </c>
      <c r="AH836">
        <f>AI836</f>
        <v>8.3333335999999994E-2</v>
      </c>
      <c r="AI836">
        <f t="shared" si="373"/>
        <v>8.3333335999999994E-2</v>
      </c>
      <c r="AJ836">
        <f>AL836</f>
        <v>8.3333335999999994E-2</v>
      </c>
      <c r="AK836">
        <v>7.2876713999999995E-2</v>
      </c>
      <c r="AL836">
        <v>8.3333335999999994E-2</v>
      </c>
      <c r="AM836">
        <v>0.11223374999999999</v>
      </c>
      <c r="AN836">
        <v>0.11269147</v>
      </c>
      <c r="AO836">
        <v>92.712328600000006</v>
      </c>
      <c r="AP836">
        <v>91.666666399999997</v>
      </c>
      <c r="AQ836">
        <v>88.776624999999996</v>
      </c>
      <c r="AR836">
        <v>88.730852999999996</v>
      </c>
      <c r="AS836" t="b">
        <v>0</v>
      </c>
      <c r="AT836" t="b">
        <v>1</v>
      </c>
      <c r="AU836" t="s">
        <v>77</v>
      </c>
      <c r="AV836" t="s">
        <v>77</v>
      </c>
      <c r="AW836" t="s">
        <v>783</v>
      </c>
      <c r="AX836" t="s">
        <v>1277</v>
      </c>
      <c r="AY836" t="s">
        <v>1281</v>
      </c>
      <c r="AZ836" t="s">
        <v>109</v>
      </c>
      <c r="BA836">
        <v>3</v>
      </c>
      <c r="BB836">
        <v>0.7</v>
      </c>
      <c r="BC836">
        <v>2.4738868000000001E-3</v>
      </c>
      <c r="BD836">
        <v>1.4256942275279999E-4</v>
      </c>
      <c r="BE836">
        <v>2.6164562227527998E-3</v>
      </c>
      <c r="BF836">
        <f>IF(AK836&lt;BE836,1,0)</f>
        <v>0</v>
      </c>
      <c r="BG836">
        <f>IF(AK836&lt;BC836,1,0)</f>
        <v>0</v>
      </c>
      <c r="BH836">
        <f>VLOOKUP($B836,[1]Data_Peer_with_peerVars!$B$2:$Z$1050,20,FALSE)</f>
        <v>3</v>
      </c>
      <c r="BI836">
        <f>VLOOKUP($B836,[1]Data_Peer_with_peerVars!$B$2:$Z$1050,21,FALSE)</f>
        <v>0</v>
      </c>
      <c r="BJ836">
        <f>VLOOKUP($B836,[1]Data_Peer_with_peerVars!$B$2:$Z$1050,22,FALSE)</f>
        <v>0</v>
      </c>
      <c r="BK836">
        <f>VLOOKUP($B836,[1]Data_Peer_with_peerVars!$B$2:$Z$1050,23,FALSE)</f>
        <v>13</v>
      </c>
      <c r="BL836">
        <f>VLOOKUP($B836,[1]Data_Peer_with_peerVars!$B$2:$Z$1050,24,FALSE)</f>
        <v>3</v>
      </c>
      <c r="BM836">
        <f>VLOOKUP($B836,[1]Data_Peer_with_peerVars!$B$2:$Z$1050,25,FALSE)</f>
        <v>0.23076923099999999</v>
      </c>
    </row>
    <row r="837" spans="1:65" x14ac:dyDescent="0.2">
      <c r="A837">
        <v>1</v>
      </c>
      <c r="B837" t="s">
        <v>1282</v>
      </c>
      <c r="C837">
        <v>491</v>
      </c>
      <c r="D837" t="s">
        <v>68</v>
      </c>
      <c r="E837">
        <v>0</v>
      </c>
      <c r="F837">
        <v>545</v>
      </c>
      <c r="G837" t="s">
        <v>119</v>
      </c>
      <c r="H837" s="1">
        <v>7</v>
      </c>
      <c r="M837">
        <v>1</v>
      </c>
      <c r="N837">
        <v>0</v>
      </c>
      <c r="R837">
        <v>0</v>
      </c>
      <c r="S837">
        <v>0</v>
      </c>
      <c r="T837">
        <v>0</v>
      </c>
      <c r="U837">
        <v>0</v>
      </c>
      <c r="V837">
        <f t="shared" si="374"/>
        <v>0</v>
      </c>
      <c r="W837">
        <f t="shared" si="375"/>
        <v>0</v>
      </c>
      <c r="X837">
        <f t="shared" ref="X837:X899" si="378">IF(Z837=AF837,1,0)</f>
        <v>0</v>
      </c>
      <c r="Y837">
        <f t="shared" si="376"/>
        <v>0</v>
      </c>
      <c r="Z837" t="s">
        <v>89</v>
      </c>
      <c r="AA837" s="5" t="s">
        <v>82</v>
      </c>
      <c r="AB837" s="5" t="s">
        <v>82</v>
      </c>
      <c r="AC837" t="s">
        <v>91</v>
      </c>
      <c r="AD837" t="s">
        <v>287</v>
      </c>
      <c r="AE837" s="5" t="s">
        <v>287</v>
      </c>
      <c r="AF837" t="s">
        <v>137</v>
      </c>
      <c r="AG837" t="s">
        <v>113</v>
      </c>
      <c r="AH837">
        <f>AI837</f>
        <v>6.4277899999999999E-2</v>
      </c>
      <c r="AI837">
        <f t="shared" si="373"/>
        <v>6.4277899999999999E-2</v>
      </c>
      <c r="AJ837">
        <f t="shared" si="377"/>
        <v>6.4277899999999999E-2</v>
      </c>
      <c r="AK837">
        <v>6.4277899999999999E-2</v>
      </c>
      <c r="AL837">
        <v>8.1420764000000007E-2</v>
      </c>
      <c r="AM837">
        <v>0.12124522</v>
      </c>
      <c r="AN837">
        <v>0.13194063</v>
      </c>
      <c r="AO837">
        <v>93.572209999999998</v>
      </c>
      <c r="AP837">
        <v>91.857923600000007</v>
      </c>
      <c r="AQ837">
        <v>87.875478000000001</v>
      </c>
      <c r="AR837">
        <v>86.805937</v>
      </c>
      <c r="AS837" t="s">
        <v>82</v>
      </c>
      <c r="AT837" t="s">
        <v>82</v>
      </c>
      <c r="AU837" t="s">
        <v>77</v>
      </c>
      <c r="AV837" t="s">
        <v>77</v>
      </c>
      <c r="AW837" t="s">
        <v>783</v>
      </c>
      <c r="AX837" t="s">
        <v>1277</v>
      </c>
      <c r="AY837" t="s">
        <v>1283</v>
      </c>
      <c r="AZ837" t="s">
        <v>82</v>
      </c>
      <c r="BA837" t="s">
        <v>82</v>
      </c>
      <c r="BB837" t="s">
        <v>82</v>
      </c>
      <c r="BC837">
        <v>9.0659339999999995E-3</v>
      </c>
      <c r="BD837">
        <v>2.76583658862385E-3</v>
      </c>
      <c r="BE837">
        <v>1.1831770588623799E-2</v>
      </c>
      <c r="BF837">
        <f>IF(AK837&lt;BE837,1,0)</f>
        <v>0</v>
      </c>
      <c r="BG837">
        <f>IF(AK837&lt;BC837,1,0)</f>
        <v>0</v>
      </c>
    </row>
    <row r="838" spans="1:65" x14ac:dyDescent="0.2">
      <c r="A838">
        <v>1</v>
      </c>
      <c r="B838" t="s">
        <v>1284</v>
      </c>
      <c r="C838">
        <v>492</v>
      </c>
      <c r="D838" t="s">
        <v>68</v>
      </c>
      <c r="E838">
        <v>0</v>
      </c>
      <c r="F838">
        <v>549</v>
      </c>
      <c r="G838" t="s">
        <v>119</v>
      </c>
      <c r="H838" s="1">
        <v>7</v>
      </c>
      <c r="I838" t="s">
        <v>87</v>
      </c>
      <c r="J838" t="s">
        <v>111</v>
      </c>
      <c r="K838" t="s">
        <v>109</v>
      </c>
      <c r="L838">
        <v>2</v>
      </c>
      <c r="M838">
        <v>0</v>
      </c>
      <c r="N838">
        <v>1</v>
      </c>
      <c r="O838">
        <v>0</v>
      </c>
      <c r="P838">
        <v>0</v>
      </c>
      <c r="Q838">
        <v>9</v>
      </c>
      <c r="R838">
        <v>0</v>
      </c>
      <c r="S838">
        <v>0</v>
      </c>
      <c r="T838">
        <v>0</v>
      </c>
      <c r="U838">
        <v>0</v>
      </c>
      <c r="V838">
        <f t="shared" si="374"/>
        <v>1</v>
      </c>
      <c r="W838">
        <v>1</v>
      </c>
      <c r="X838">
        <v>1</v>
      </c>
      <c r="Y838">
        <v>1</v>
      </c>
      <c r="Z838" t="s">
        <v>91</v>
      </c>
      <c r="AA838" s="5" t="s">
        <v>91</v>
      </c>
      <c r="AB838" s="5" t="s">
        <v>998</v>
      </c>
      <c r="AC838" t="s">
        <v>91</v>
      </c>
      <c r="AD838" t="s">
        <v>287</v>
      </c>
      <c r="AE838" s="5" t="s">
        <v>287</v>
      </c>
      <c r="AF838" t="s">
        <v>137</v>
      </c>
      <c r="AG838" t="s">
        <v>113</v>
      </c>
      <c r="AH838">
        <f>AI838</f>
        <v>6.4516130000000005E-2</v>
      </c>
      <c r="AI838">
        <f>AJ838</f>
        <v>6.4516130000000005E-2</v>
      </c>
      <c r="AJ838">
        <f t="shared" si="377"/>
        <v>6.4516130000000005E-2</v>
      </c>
      <c r="AK838">
        <v>6.4516130000000005E-2</v>
      </c>
      <c r="AL838">
        <v>8.1103220000000004E-2</v>
      </c>
      <c r="AM838">
        <v>0.12090611499999999</v>
      </c>
      <c r="AN838">
        <v>0.13131868999999999</v>
      </c>
      <c r="AO838">
        <v>93.548387000000005</v>
      </c>
      <c r="AP838">
        <v>91.889678000000004</v>
      </c>
      <c r="AQ838">
        <v>87.909388500000006</v>
      </c>
      <c r="AR838">
        <v>86.868131000000005</v>
      </c>
      <c r="AS838" t="b">
        <v>1</v>
      </c>
      <c r="AT838" t="b">
        <v>0</v>
      </c>
      <c r="AU838" t="s">
        <v>77</v>
      </c>
      <c r="AV838" t="s">
        <v>77</v>
      </c>
      <c r="AW838" t="s">
        <v>783</v>
      </c>
      <c r="AX838" t="s">
        <v>1277</v>
      </c>
      <c r="AY838" t="s">
        <v>1285</v>
      </c>
      <c r="AZ838" t="s">
        <v>109</v>
      </c>
      <c r="BA838">
        <v>2</v>
      </c>
      <c r="BB838">
        <v>2.5</v>
      </c>
      <c r="BC838">
        <v>9.0659339999999995E-3</v>
      </c>
      <c r="BD838">
        <v>2.76583658862385E-3</v>
      </c>
      <c r="BE838">
        <v>1.1831770588623799E-2</v>
      </c>
      <c r="BF838">
        <f>IF(AK838&lt;BE838,1,0)</f>
        <v>0</v>
      </c>
      <c r="BG838">
        <f>IF(AK838&lt;BC838,1,0)</f>
        <v>0</v>
      </c>
      <c r="BH838">
        <f>VLOOKUP($B838,[1]Data_Peer_with_peerVars!$B$2:$Z$1050,20,FALSE)</f>
        <v>0</v>
      </c>
      <c r="BI838">
        <f>VLOOKUP($B838,[1]Data_Peer_with_peerVars!$B$2:$Z$1050,21,FALSE)</f>
        <v>0</v>
      </c>
      <c r="BJ838">
        <v>0</v>
      </c>
      <c r="BK838">
        <f>VLOOKUP($B838,[1]Data_Peer_with_peerVars!$B$2:$Z$1050,23,FALSE)</f>
        <v>1</v>
      </c>
      <c r="BL838">
        <f>VLOOKUP($B838,[1]Data_Peer_with_peerVars!$B$2:$Z$1050,24,FALSE)</f>
        <v>1</v>
      </c>
      <c r="BM838">
        <f>VLOOKUP($B838,[1]Data_Peer_with_peerVars!$B$2:$Z$1050,25,FALSE)</f>
        <v>1</v>
      </c>
    </row>
    <row r="839" spans="1:65" x14ac:dyDescent="0.2">
      <c r="A839">
        <v>1</v>
      </c>
      <c r="B839" t="s">
        <v>1286</v>
      </c>
      <c r="C839">
        <v>494</v>
      </c>
      <c r="D839" t="s">
        <v>68</v>
      </c>
      <c r="E839">
        <v>1</v>
      </c>
      <c r="F839">
        <v>593</v>
      </c>
      <c r="G839" t="s">
        <v>69</v>
      </c>
      <c r="H839" s="1">
        <v>5</v>
      </c>
      <c r="I839" t="s">
        <v>70</v>
      </c>
      <c r="J839" t="s">
        <v>301</v>
      </c>
      <c r="K839" t="s">
        <v>109</v>
      </c>
      <c r="L839">
        <v>1</v>
      </c>
      <c r="M839">
        <v>0</v>
      </c>
      <c r="N839">
        <v>1</v>
      </c>
      <c r="O839">
        <v>0</v>
      </c>
      <c r="P839">
        <v>0</v>
      </c>
      <c r="Q839">
        <v>6</v>
      </c>
      <c r="R839">
        <v>0</v>
      </c>
      <c r="S839">
        <v>0</v>
      </c>
      <c r="T839">
        <v>0</v>
      </c>
      <c r="U839">
        <v>0</v>
      </c>
      <c r="V839">
        <f t="shared" si="374"/>
        <v>0</v>
      </c>
      <c r="W839">
        <f t="shared" si="375"/>
        <v>0</v>
      </c>
      <c r="X839">
        <f t="shared" si="378"/>
        <v>0</v>
      </c>
      <c r="Y839">
        <f t="shared" si="376"/>
        <v>0</v>
      </c>
      <c r="Z839" t="s">
        <v>170</v>
      </c>
      <c r="AA839" s="5" t="s">
        <v>170</v>
      </c>
      <c r="AB839" s="5" t="s">
        <v>1287</v>
      </c>
      <c r="AC839" t="s">
        <v>76</v>
      </c>
      <c r="AD839" t="s">
        <v>74</v>
      </c>
      <c r="AE839" s="5" t="s">
        <v>142</v>
      </c>
      <c r="AF839" t="s">
        <v>120</v>
      </c>
      <c r="AG839" t="s">
        <v>75</v>
      </c>
      <c r="AH839">
        <f t="shared" ref="AH839:AH842" si="379">AI839</f>
        <v>7.8918619999999995E-2</v>
      </c>
      <c r="AI839">
        <f t="shared" ref="AI839:AI840" si="380">AJ839</f>
        <v>7.8918619999999995E-2</v>
      </c>
      <c r="AJ839">
        <f t="shared" si="377"/>
        <v>7.8918619999999995E-2</v>
      </c>
      <c r="AK839">
        <v>7.8918619999999995E-2</v>
      </c>
      <c r="AL839">
        <v>8.2739726E-2</v>
      </c>
      <c r="AM839">
        <v>0.11660295</v>
      </c>
      <c r="AN839">
        <v>0.11761488</v>
      </c>
      <c r="AO839">
        <v>92.108137999999997</v>
      </c>
      <c r="AP839">
        <v>91.726027400000007</v>
      </c>
      <c r="AQ839">
        <v>88.339704999999995</v>
      </c>
      <c r="AR839">
        <v>88.238512</v>
      </c>
      <c r="AS839" t="b">
        <v>0</v>
      </c>
      <c r="AT839" t="b">
        <v>0</v>
      </c>
      <c r="AU839" t="s">
        <v>92</v>
      </c>
      <c r="AV839" t="s">
        <v>92</v>
      </c>
      <c r="AW839" t="s">
        <v>783</v>
      </c>
      <c r="AX839" t="s">
        <v>1277</v>
      </c>
      <c r="AY839" t="s">
        <v>1288</v>
      </c>
      <c r="AZ839" t="s">
        <v>109</v>
      </c>
      <c r="BA839">
        <v>4</v>
      </c>
      <c r="BB839">
        <v>1</v>
      </c>
      <c r="BC839">
        <v>7.7070764999999999E-2</v>
      </c>
      <c r="BD839">
        <v>1.90190515067399E-3</v>
      </c>
      <c r="BE839">
        <v>7.8972670150673996E-2</v>
      </c>
      <c r="BF839">
        <f>IF(AK839&lt;BE839,1,0)</f>
        <v>1</v>
      </c>
      <c r="BG839">
        <f>IF(AK839&lt;BC839,1,0)</f>
        <v>0</v>
      </c>
      <c r="BH839">
        <f>VLOOKUP($B839,[1]Data_Peer_with_peerVars!$B$2:$Z$1050,20,FALSE)</f>
        <v>2</v>
      </c>
      <c r="BI839">
        <f>VLOOKUP($B839,[1]Data_Peer_with_peerVars!$B$2:$Z$1050,21,FALSE)</f>
        <v>1</v>
      </c>
      <c r="BJ839">
        <f>VLOOKUP($B839,[1]Data_Peer_with_peerVars!$B$2:$Z$1050,22,FALSE)</f>
        <v>0.5</v>
      </c>
      <c r="BK839">
        <f>VLOOKUP($B839,[1]Data_Peer_with_peerVars!$B$2:$Z$1050,23,FALSE)</f>
        <v>4</v>
      </c>
      <c r="BL839">
        <f>VLOOKUP($B839,[1]Data_Peer_with_peerVars!$B$2:$Z$1050,24,FALSE)</f>
        <v>2</v>
      </c>
      <c r="BM839">
        <f>VLOOKUP($B839,[1]Data_Peer_with_peerVars!$B$2:$Z$1050,25,FALSE)</f>
        <v>0.5</v>
      </c>
    </row>
    <row r="840" spans="1:65" x14ac:dyDescent="0.2">
      <c r="A840">
        <v>1</v>
      </c>
      <c r="B840" t="s">
        <v>1289</v>
      </c>
      <c r="C840">
        <v>495</v>
      </c>
      <c r="D840" t="s">
        <v>68</v>
      </c>
      <c r="E840">
        <v>1</v>
      </c>
      <c r="F840">
        <v>594</v>
      </c>
      <c r="G840" t="s">
        <v>86</v>
      </c>
      <c r="H840" s="1">
        <v>7</v>
      </c>
      <c r="J840" t="s">
        <v>82</v>
      </c>
      <c r="L840">
        <v>1</v>
      </c>
      <c r="M840">
        <v>0</v>
      </c>
      <c r="N840">
        <v>0</v>
      </c>
      <c r="O840">
        <v>1</v>
      </c>
      <c r="P840">
        <v>1</v>
      </c>
      <c r="Q840">
        <v>6</v>
      </c>
      <c r="R840">
        <v>0</v>
      </c>
      <c r="S840">
        <v>0</v>
      </c>
      <c r="T840">
        <v>0</v>
      </c>
      <c r="U840">
        <v>0</v>
      </c>
      <c r="V840">
        <f t="shared" si="374"/>
        <v>0</v>
      </c>
      <c r="W840">
        <f t="shared" si="375"/>
        <v>0</v>
      </c>
      <c r="X840">
        <f t="shared" si="378"/>
        <v>0</v>
      </c>
      <c r="Y840">
        <f t="shared" si="376"/>
        <v>0</v>
      </c>
      <c r="Z840" t="s">
        <v>89</v>
      </c>
      <c r="AA840" s="5" t="s">
        <v>82</v>
      </c>
      <c r="AB840" s="5" t="s">
        <v>82</v>
      </c>
      <c r="AC840" t="s">
        <v>74</v>
      </c>
      <c r="AD840" t="s">
        <v>94</v>
      </c>
      <c r="AE840" s="5" t="s">
        <v>94</v>
      </c>
      <c r="AF840" t="s">
        <v>76</v>
      </c>
      <c r="AG840" t="s">
        <v>120</v>
      </c>
      <c r="AH840">
        <f t="shared" si="379"/>
        <v>0.11376095999999999</v>
      </c>
      <c r="AI840">
        <f t="shared" si="380"/>
        <v>0.11376095999999999</v>
      </c>
      <c r="AJ840">
        <f t="shared" si="377"/>
        <v>0.11376095999999999</v>
      </c>
      <c r="AK840">
        <v>0.11376095999999999</v>
      </c>
      <c r="AL840">
        <v>0.11960677</v>
      </c>
      <c r="AM840">
        <v>0.122677594</v>
      </c>
      <c r="AN840">
        <v>0.13114753000000001</v>
      </c>
      <c r="AO840">
        <v>88.623903999999996</v>
      </c>
      <c r="AP840">
        <v>88.039322999999996</v>
      </c>
      <c r="AQ840">
        <v>87.732240599999997</v>
      </c>
      <c r="AR840">
        <v>86.885247000000007</v>
      </c>
      <c r="AS840" t="s">
        <v>82</v>
      </c>
      <c r="AT840" t="s">
        <v>82</v>
      </c>
      <c r="AU840" t="s">
        <v>78</v>
      </c>
      <c r="AV840" t="s">
        <v>78</v>
      </c>
      <c r="AW840" t="s">
        <v>783</v>
      </c>
      <c r="AX840" t="s">
        <v>1277</v>
      </c>
      <c r="AY840" t="s">
        <v>1290</v>
      </c>
      <c r="AZ840" t="s">
        <v>82</v>
      </c>
      <c r="BA840" t="s">
        <v>82</v>
      </c>
      <c r="BB840" t="s">
        <v>82</v>
      </c>
      <c r="BC840">
        <v>2.4738868000000001E-3</v>
      </c>
      <c r="BD840">
        <v>1.4256942275279999E-4</v>
      </c>
      <c r="BE840">
        <v>2.6164562227527998E-3</v>
      </c>
      <c r="BF840">
        <f>IF(AK840&lt;BE840,1,0)</f>
        <v>0</v>
      </c>
      <c r="BG840">
        <f>IF(AK840&lt;BC840,1,0)</f>
        <v>0</v>
      </c>
    </row>
    <row r="841" spans="1:65" x14ac:dyDescent="0.2">
      <c r="A841">
        <v>1</v>
      </c>
      <c r="B841" t="s">
        <v>1291</v>
      </c>
      <c r="C841">
        <v>496</v>
      </c>
      <c r="D841" t="s">
        <v>68</v>
      </c>
      <c r="E841">
        <v>1</v>
      </c>
      <c r="F841">
        <v>611</v>
      </c>
      <c r="G841" t="s">
        <v>69</v>
      </c>
      <c r="H841" s="1">
        <v>6</v>
      </c>
      <c r="I841" t="s">
        <v>70</v>
      </c>
      <c r="J841" t="s">
        <v>301</v>
      </c>
      <c r="K841" t="s">
        <v>109</v>
      </c>
      <c r="L841">
        <v>1</v>
      </c>
      <c r="M841">
        <v>0</v>
      </c>
      <c r="N841">
        <v>1</v>
      </c>
      <c r="O841">
        <v>0</v>
      </c>
      <c r="P841">
        <v>0</v>
      </c>
      <c r="Q841">
        <v>6</v>
      </c>
      <c r="R841">
        <v>0</v>
      </c>
      <c r="S841">
        <v>0</v>
      </c>
      <c r="T841">
        <v>0</v>
      </c>
      <c r="U841">
        <v>0</v>
      </c>
      <c r="V841">
        <f t="shared" si="374"/>
        <v>1</v>
      </c>
      <c r="W841">
        <v>1</v>
      </c>
      <c r="X841">
        <v>1</v>
      </c>
      <c r="Y841">
        <v>1</v>
      </c>
      <c r="Z841" t="s">
        <v>91</v>
      </c>
      <c r="AA841" s="5" t="s">
        <v>91</v>
      </c>
      <c r="AB841" s="5" t="s">
        <v>915</v>
      </c>
      <c r="AC841" t="s">
        <v>91</v>
      </c>
      <c r="AD841" t="s">
        <v>287</v>
      </c>
      <c r="AE841" s="5" t="s">
        <v>287</v>
      </c>
      <c r="AF841" t="s">
        <v>137</v>
      </c>
      <c r="AG841" t="s">
        <v>84</v>
      </c>
      <c r="AH841">
        <f t="shared" si="379"/>
        <v>3.280481E-3</v>
      </c>
      <c r="AI841">
        <f>AJ841</f>
        <v>3.280481E-3</v>
      </c>
      <c r="AJ841">
        <f t="shared" si="377"/>
        <v>3.280481E-3</v>
      </c>
      <c r="AK841">
        <v>3.280481E-3</v>
      </c>
      <c r="AL841">
        <v>0.12021858000000001</v>
      </c>
      <c r="AM841">
        <v>0.12834516000000001</v>
      </c>
      <c r="AN841">
        <v>0.13379120999999999</v>
      </c>
      <c r="AO841">
        <v>99.671951899999996</v>
      </c>
      <c r="AP841">
        <v>87.978142000000005</v>
      </c>
      <c r="AQ841">
        <v>87.165484000000006</v>
      </c>
      <c r="AR841">
        <v>86.620879000000002</v>
      </c>
      <c r="AS841" t="b">
        <v>1</v>
      </c>
      <c r="AT841" t="b">
        <v>0</v>
      </c>
      <c r="AU841" t="s">
        <v>77</v>
      </c>
      <c r="AV841" t="s">
        <v>78</v>
      </c>
      <c r="AW841" t="s">
        <v>783</v>
      </c>
      <c r="AX841" t="s">
        <v>1277</v>
      </c>
      <c r="AY841" t="s">
        <v>1290</v>
      </c>
      <c r="AZ841" t="s">
        <v>109</v>
      </c>
      <c r="BA841">
        <v>7</v>
      </c>
      <c r="BB841">
        <v>1</v>
      </c>
      <c r="BC841">
        <v>9.0659339999999995E-3</v>
      </c>
      <c r="BD841">
        <v>2.76583658862385E-3</v>
      </c>
      <c r="BE841">
        <v>1.1831770588623799E-2</v>
      </c>
      <c r="BF841">
        <f>IF(AK841&lt;BE841,1,0)</f>
        <v>1</v>
      </c>
      <c r="BG841">
        <f>IF(AK841&lt;BC841,1,0)</f>
        <v>1</v>
      </c>
      <c r="BH841">
        <f>VLOOKUP($B841,[1]Data_Peer_with_peerVars!$B$2:$Z$1050,20,FALSE)</f>
        <v>2</v>
      </c>
      <c r="BI841">
        <f>VLOOKUP($B841,[1]Data_Peer_with_peerVars!$B$2:$Z$1050,21,FALSE)</f>
        <v>0</v>
      </c>
      <c r="BJ841">
        <f>VLOOKUP($B841,[1]Data_Peer_with_peerVars!$B$2:$Z$1050,22,FALSE)</f>
        <v>0</v>
      </c>
      <c r="BK841">
        <f>VLOOKUP($B841,[1]Data_Peer_with_peerVars!$B$2:$Z$1050,23,FALSE)</f>
        <v>4</v>
      </c>
      <c r="BL841">
        <f>VLOOKUP($B841,[1]Data_Peer_with_peerVars!$B$2:$Z$1050,24,FALSE)</f>
        <v>1</v>
      </c>
      <c r="BM841">
        <f>VLOOKUP($B841,[1]Data_Peer_with_peerVars!$B$2:$Z$1050,25,FALSE)</f>
        <v>0.25</v>
      </c>
    </row>
    <row r="842" spans="1:65" x14ac:dyDescent="0.2">
      <c r="A842">
        <v>1</v>
      </c>
      <c r="B842" t="s">
        <v>1292</v>
      </c>
      <c r="C842">
        <v>499</v>
      </c>
      <c r="D842" t="s">
        <v>68</v>
      </c>
      <c r="E842">
        <v>1</v>
      </c>
      <c r="F842">
        <v>610</v>
      </c>
      <c r="G842" t="s">
        <v>69</v>
      </c>
      <c r="H842" s="1">
        <v>6</v>
      </c>
      <c r="I842" t="s">
        <v>70</v>
      </c>
      <c r="J842" t="s">
        <v>301</v>
      </c>
      <c r="K842" t="s">
        <v>109</v>
      </c>
      <c r="L842">
        <v>1</v>
      </c>
      <c r="M842">
        <v>0</v>
      </c>
      <c r="N842">
        <v>1</v>
      </c>
      <c r="O842">
        <v>0</v>
      </c>
      <c r="P842">
        <v>0</v>
      </c>
      <c r="Q842">
        <v>6</v>
      </c>
      <c r="R842">
        <v>0</v>
      </c>
      <c r="S842">
        <v>0</v>
      </c>
      <c r="T842">
        <v>0</v>
      </c>
      <c r="U842">
        <v>0</v>
      </c>
      <c r="V842">
        <f t="shared" si="374"/>
        <v>0</v>
      </c>
      <c r="W842">
        <f t="shared" si="375"/>
        <v>1</v>
      </c>
      <c r="X842">
        <v>1</v>
      </c>
      <c r="Y842">
        <v>1</v>
      </c>
      <c r="Z842" t="s">
        <v>76</v>
      </c>
      <c r="AA842" s="5" t="s">
        <v>76</v>
      </c>
      <c r="AB842" s="5" t="s">
        <v>76</v>
      </c>
      <c r="AC842" t="s">
        <v>91</v>
      </c>
      <c r="AD842" t="s">
        <v>76</v>
      </c>
      <c r="AE842" s="5" t="s">
        <v>76</v>
      </c>
      <c r="AF842" t="s">
        <v>287</v>
      </c>
      <c r="AG842" t="s">
        <v>75</v>
      </c>
      <c r="AH842">
        <f t="shared" si="379"/>
        <v>0.12315674</v>
      </c>
      <c r="AI842">
        <f t="shared" ref="AI842:AI845" si="381">AJ842</f>
        <v>0.12315674</v>
      </c>
      <c r="AJ842">
        <f>AL842</f>
        <v>0.12315674</v>
      </c>
      <c r="AK842">
        <v>7.0803720000000001E-2</v>
      </c>
      <c r="AL842">
        <v>0.12315674</v>
      </c>
      <c r="AM842">
        <v>0.13618995</v>
      </c>
      <c r="AN842">
        <v>0.13977023999999999</v>
      </c>
      <c r="AO842">
        <v>92.919628000000003</v>
      </c>
      <c r="AP842">
        <v>87.684325999999999</v>
      </c>
      <c r="AQ842">
        <v>86.381005000000002</v>
      </c>
      <c r="AR842">
        <v>86.022976</v>
      </c>
      <c r="AS842" t="b">
        <v>0</v>
      </c>
      <c r="AT842" t="b">
        <v>1</v>
      </c>
      <c r="AU842" t="s">
        <v>77</v>
      </c>
      <c r="AV842" t="s">
        <v>78</v>
      </c>
      <c r="AW842" t="s">
        <v>783</v>
      </c>
      <c r="AX842" t="s">
        <v>1277</v>
      </c>
      <c r="AY842" t="s">
        <v>1290</v>
      </c>
      <c r="AZ842" t="s">
        <v>109</v>
      </c>
      <c r="BA842">
        <v>2</v>
      </c>
      <c r="BB842">
        <v>1</v>
      </c>
      <c r="BC842">
        <v>9.0659339999999995E-3</v>
      </c>
      <c r="BD842">
        <v>2.76583658862385E-3</v>
      </c>
      <c r="BE842">
        <v>1.1831770588623799E-2</v>
      </c>
      <c r="BF842">
        <f>IF(AK842&lt;BE842,1,0)</f>
        <v>0</v>
      </c>
      <c r="BG842">
        <f>IF(AK842&lt;BC842,1,0)</f>
        <v>0</v>
      </c>
      <c r="BH842">
        <f>VLOOKUP($B842,[1]Data_Peer_with_peerVars!$B$2:$Z$1050,20,FALSE)</f>
        <v>0</v>
      </c>
      <c r="BI842">
        <f>VLOOKUP($B842,[1]Data_Peer_with_peerVars!$B$2:$Z$1050,21,FALSE)</f>
        <v>0</v>
      </c>
      <c r="BJ842">
        <v>0</v>
      </c>
      <c r="BK842">
        <f>VLOOKUP($B842,[1]Data_Peer_with_peerVars!$B$2:$Z$1050,23,FALSE)</f>
        <v>5</v>
      </c>
      <c r="BL842">
        <f>VLOOKUP($B842,[1]Data_Peer_with_peerVars!$B$2:$Z$1050,24,FALSE)</f>
        <v>2</v>
      </c>
      <c r="BM842">
        <f>VLOOKUP($B842,[1]Data_Peer_with_peerVars!$B$2:$Z$1050,25,FALSE)</f>
        <v>0.4</v>
      </c>
    </row>
    <row r="843" spans="1:65" x14ac:dyDescent="0.2">
      <c r="A843">
        <v>1</v>
      </c>
      <c r="B843" t="s">
        <v>1293</v>
      </c>
      <c r="C843">
        <v>500</v>
      </c>
      <c r="D843" t="s">
        <v>68</v>
      </c>
      <c r="E843">
        <v>0</v>
      </c>
      <c r="F843">
        <v>595</v>
      </c>
      <c r="G843" t="s">
        <v>97</v>
      </c>
      <c r="H843" s="1">
        <v>6</v>
      </c>
      <c r="I843" t="s">
        <v>87</v>
      </c>
      <c r="J843" t="s">
        <v>111</v>
      </c>
      <c r="K843" t="s">
        <v>109</v>
      </c>
      <c r="L843">
        <v>1</v>
      </c>
      <c r="M843">
        <v>0</v>
      </c>
      <c r="N843">
        <v>1</v>
      </c>
      <c r="O843">
        <v>0</v>
      </c>
      <c r="P843">
        <v>0</v>
      </c>
      <c r="Q843">
        <v>6</v>
      </c>
      <c r="R843">
        <v>0</v>
      </c>
      <c r="S843">
        <v>0</v>
      </c>
      <c r="T843">
        <v>1</v>
      </c>
      <c r="U843">
        <v>1</v>
      </c>
      <c r="V843">
        <f t="shared" si="374"/>
        <v>0</v>
      </c>
      <c r="W843">
        <f t="shared" si="375"/>
        <v>0</v>
      </c>
      <c r="X843">
        <f t="shared" si="378"/>
        <v>0</v>
      </c>
      <c r="Y843">
        <f t="shared" si="376"/>
        <v>0</v>
      </c>
      <c r="Z843" t="s">
        <v>75</v>
      </c>
      <c r="AA843" s="5" t="s">
        <v>75</v>
      </c>
      <c r="AB843" s="5" t="s">
        <v>75</v>
      </c>
      <c r="AC843" t="s">
        <v>73</v>
      </c>
      <c r="AD843" t="s">
        <v>94</v>
      </c>
      <c r="AE843" s="5" t="s">
        <v>106</v>
      </c>
      <c r="AF843" t="s">
        <v>107</v>
      </c>
      <c r="AG843" t="s">
        <v>95</v>
      </c>
      <c r="AH843">
        <f t="shared" ref="AH843:AH845" si="382">AI843</f>
        <v>3.8167940000000001E-3</v>
      </c>
      <c r="AI843">
        <f t="shared" si="381"/>
        <v>3.8167940000000001E-3</v>
      </c>
      <c r="AJ843">
        <f t="shared" si="377"/>
        <v>3.8167940000000001E-3</v>
      </c>
      <c r="AK843">
        <v>3.8167940000000001E-3</v>
      </c>
      <c r="AL843">
        <v>0.13169399000000001</v>
      </c>
      <c r="AM843">
        <v>0.13623904000000001</v>
      </c>
      <c r="AN843">
        <v>0.13867615</v>
      </c>
      <c r="AO843">
        <v>99.618320600000004</v>
      </c>
      <c r="AP843">
        <v>86.830601000000001</v>
      </c>
      <c r="AQ843">
        <v>86.376096000000004</v>
      </c>
      <c r="AR843">
        <v>86.132384999999999</v>
      </c>
      <c r="AS843" t="b">
        <v>0</v>
      </c>
      <c r="AT843" t="b">
        <v>0</v>
      </c>
      <c r="AU843" t="s">
        <v>77</v>
      </c>
      <c r="AV843" t="s">
        <v>108</v>
      </c>
      <c r="AW843" t="s">
        <v>783</v>
      </c>
      <c r="AX843" t="s">
        <v>1277</v>
      </c>
      <c r="AY843" t="s">
        <v>1290</v>
      </c>
      <c r="AZ843" t="s">
        <v>109</v>
      </c>
      <c r="BA843">
        <v>3</v>
      </c>
      <c r="BB843">
        <v>1.05</v>
      </c>
      <c r="BC843">
        <v>4.1163553999999996E-3</v>
      </c>
      <c r="BD843">
        <v>1.4279989108178799E-4</v>
      </c>
      <c r="BE843">
        <v>4.2591552910817903E-3</v>
      </c>
      <c r="BF843">
        <f>IF(AK843&lt;BE843,1,0)</f>
        <v>1</v>
      </c>
      <c r="BG843">
        <f>IF(AK843&lt;BC843,1,0)</f>
        <v>1</v>
      </c>
      <c r="BH843">
        <f>VLOOKUP($B843,[1]Data_Peer_with_peerVars!$B$2:$Z$1050,20,FALSE)</f>
        <v>5</v>
      </c>
      <c r="BI843">
        <f>VLOOKUP($B843,[1]Data_Peer_with_peerVars!$B$2:$Z$1050,21,FALSE)</f>
        <v>1</v>
      </c>
      <c r="BJ843">
        <f>VLOOKUP($B843,[1]Data_Peer_with_peerVars!$B$2:$Z$1050,22,FALSE)</f>
        <v>0.2</v>
      </c>
      <c r="BK843">
        <f>VLOOKUP($B843,[1]Data_Peer_with_peerVars!$B$2:$Z$1050,23,FALSE)</f>
        <v>5</v>
      </c>
      <c r="BL843">
        <f>VLOOKUP($B843,[1]Data_Peer_with_peerVars!$B$2:$Z$1050,24,FALSE)</f>
        <v>1</v>
      </c>
      <c r="BM843">
        <f>VLOOKUP($B843,[1]Data_Peer_with_peerVars!$B$2:$Z$1050,25,FALSE)</f>
        <v>0.2</v>
      </c>
    </row>
    <row r="844" spans="1:65" x14ac:dyDescent="0.2">
      <c r="A844">
        <v>1</v>
      </c>
      <c r="B844" t="s">
        <v>1294</v>
      </c>
      <c r="C844">
        <v>501</v>
      </c>
      <c r="D844" t="s">
        <v>68</v>
      </c>
      <c r="E844">
        <v>0</v>
      </c>
      <c r="F844">
        <v>596</v>
      </c>
      <c r="G844" t="s">
        <v>97</v>
      </c>
      <c r="H844" s="1">
        <v>6</v>
      </c>
      <c r="I844" t="s">
        <v>70</v>
      </c>
      <c r="J844" t="s">
        <v>301</v>
      </c>
      <c r="K844" t="s">
        <v>109</v>
      </c>
      <c r="L844">
        <v>1</v>
      </c>
      <c r="M844">
        <v>0</v>
      </c>
      <c r="N844">
        <v>1</v>
      </c>
      <c r="O844">
        <v>0</v>
      </c>
      <c r="P844">
        <v>0</v>
      </c>
      <c r="Q844">
        <v>10</v>
      </c>
      <c r="R844">
        <v>0</v>
      </c>
      <c r="S844">
        <v>0</v>
      </c>
      <c r="T844">
        <v>0</v>
      </c>
      <c r="U844">
        <v>0</v>
      </c>
      <c r="V844">
        <f t="shared" si="374"/>
        <v>0</v>
      </c>
      <c r="W844">
        <f t="shared" si="375"/>
        <v>0</v>
      </c>
      <c r="X844">
        <f t="shared" si="378"/>
        <v>0</v>
      </c>
      <c r="Y844">
        <f t="shared" si="376"/>
        <v>0</v>
      </c>
      <c r="Z844" t="s">
        <v>170</v>
      </c>
      <c r="AA844" s="5" t="s">
        <v>170</v>
      </c>
      <c r="AB844" s="5" t="s">
        <v>1287</v>
      </c>
      <c r="AC844" t="s">
        <v>74</v>
      </c>
      <c r="AD844" t="s">
        <v>94</v>
      </c>
      <c r="AE844" s="5" t="s">
        <v>94</v>
      </c>
      <c r="AF844" t="s">
        <v>76</v>
      </c>
      <c r="AG844" t="s">
        <v>120</v>
      </c>
      <c r="AH844">
        <f t="shared" si="382"/>
        <v>0.112390354</v>
      </c>
      <c r="AI844">
        <f t="shared" si="381"/>
        <v>0.112390354</v>
      </c>
      <c r="AJ844">
        <f t="shared" si="377"/>
        <v>0.112390354</v>
      </c>
      <c r="AK844">
        <v>0.112390354</v>
      </c>
      <c r="AL844">
        <v>0.11687602</v>
      </c>
      <c r="AM844">
        <v>0.12377049</v>
      </c>
      <c r="AN844">
        <v>0.12868853</v>
      </c>
      <c r="AO844">
        <v>88.760964599999994</v>
      </c>
      <c r="AP844">
        <v>88.312398000000002</v>
      </c>
      <c r="AQ844">
        <v>87.622951</v>
      </c>
      <c r="AR844">
        <v>87.131146999999999</v>
      </c>
      <c r="AS844" t="b">
        <v>0</v>
      </c>
      <c r="AT844" t="b">
        <v>0</v>
      </c>
      <c r="AU844" t="s">
        <v>92</v>
      </c>
      <c r="AV844" t="s">
        <v>92</v>
      </c>
      <c r="AW844" t="s">
        <v>783</v>
      </c>
      <c r="AX844" t="s">
        <v>1277</v>
      </c>
      <c r="AY844" t="s">
        <v>1290</v>
      </c>
      <c r="AZ844" t="s">
        <v>109</v>
      </c>
      <c r="BA844">
        <v>2</v>
      </c>
      <c r="BB844">
        <v>0.7</v>
      </c>
      <c r="BC844">
        <v>2.4738868000000001E-3</v>
      </c>
      <c r="BD844">
        <v>1.4256942275279999E-4</v>
      </c>
      <c r="BE844">
        <v>2.6164562227527998E-3</v>
      </c>
      <c r="BF844">
        <f>IF(AK844&lt;BE844,1,0)</f>
        <v>0</v>
      </c>
      <c r="BG844">
        <f>IF(AK844&lt;BC844,1,0)</f>
        <v>0</v>
      </c>
      <c r="BH844">
        <f>VLOOKUP($B844,[1]Data_Peer_with_peerVars!$B$2:$Z$1050,20,FALSE)</f>
        <v>2</v>
      </c>
      <c r="BI844">
        <f>VLOOKUP($B844,[1]Data_Peer_with_peerVars!$B$2:$Z$1050,21,FALSE)</f>
        <v>1</v>
      </c>
      <c r="BJ844">
        <f>VLOOKUP($B844,[1]Data_Peer_with_peerVars!$B$2:$Z$1050,22,FALSE)</f>
        <v>0.5</v>
      </c>
      <c r="BK844">
        <f>VLOOKUP($B844,[1]Data_Peer_with_peerVars!$B$2:$Z$1050,23,FALSE)</f>
        <v>4</v>
      </c>
      <c r="BL844">
        <f>VLOOKUP($B844,[1]Data_Peer_with_peerVars!$B$2:$Z$1050,24,FALSE)</f>
        <v>2</v>
      </c>
      <c r="BM844">
        <f>VLOOKUP($B844,[1]Data_Peer_with_peerVars!$B$2:$Z$1050,25,FALSE)</f>
        <v>0.5</v>
      </c>
    </row>
    <row r="845" spans="1:65" x14ac:dyDescent="0.2">
      <c r="A845">
        <v>1</v>
      </c>
      <c r="B845" t="s">
        <v>1295</v>
      </c>
      <c r="C845">
        <v>503</v>
      </c>
      <c r="D845" t="s">
        <v>68</v>
      </c>
      <c r="E845">
        <v>0</v>
      </c>
      <c r="F845">
        <v>607</v>
      </c>
      <c r="G845" t="s">
        <v>97</v>
      </c>
      <c r="H845" s="1">
        <v>7</v>
      </c>
      <c r="I845" t="s">
        <v>70</v>
      </c>
      <c r="J845" t="s">
        <v>301</v>
      </c>
      <c r="K845" t="s">
        <v>109</v>
      </c>
      <c r="L845">
        <v>1</v>
      </c>
      <c r="M845">
        <v>1</v>
      </c>
      <c r="N845">
        <v>1</v>
      </c>
      <c r="O845">
        <v>0</v>
      </c>
      <c r="P845">
        <v>0</v>
      </c>
      <c r="Q845">
        <v>9</v>
      </c>
      <c r="R845">
        <v>0</v>
      </c>
      <c r="S845">
        <v>0</v>
      </c>
      <c r="T845">
        <v>0</v>
      </c>
      <c r="U845">
        <v>0</v>
      </c>
      <c r="V845">
        <f t="shared" si="374"/>
        <v>0</v>
      </c>
      <c r="W845">
        <f t="shared" si="375"/>
        <v>0</v>
      </c>
      <c r="X845">
        <f t="shared" si="378"/>
        <v>0</v>
      </c>
      <c r="Y845">
        <f t="shared" si="376"/>
        <v>0</v>
      </c>
      <c r="Z845" t="s">
        <v>73</v>
      </c>
      <c r="AA845" s="5" t="s">
        <v>73</v>
      </c>
      <c r="AB845" s="5" t="s">
        <v>73</v>
      </c>
      <c r="AC845" t="s">
        <v>76</v>
      </c>
      <c r="AD845" t="s">
        <v>74</v>
      </c>
      <c r="AE845" s="5" t="s">
        <v>74</v>
      </c>
      <c r="AF845" t="s">
        <v>120</v>
      </c>
      <c r="AG845" t="s">
        <v>75</v>
      </c>
      <c r="AH845">
        <f t="shared" si="382"/>
        <v>7.7007099999999995E-2</v>
      </c>
      <c r="AI845">
        <f t="shared" si="381"/>
        <v>7.7007099999999995E-2</v>
      </c>
      <c r="AJ845">
        <f t="shared" si="377"/>
        <v>7.7007099999999995E-2</v>
      </c>
      <c r="AK845">
        <v>7.7007099999999995E-2</v>
      </c>
      <c r="AL845">
        <v>8.8493150000000007E-2</v>
      </c>
      <c r="AM845">
        <v>0.11714910000000001</v>
      </c>
      <c r="AN845">
        <v>0.11898249399999999</v>
      </c>
      <c r="AO845">
        <v>92.299289999999999</v>
      </c>
      <c r="AP845">
        <v>91.150684999999996</v>
      </c>
      <c r="AQ845">
        <v>88.285089999999997</v>
      </c>
      <c r="AR845">
        <v>88.101750600000003</v>
      </c>
      <c r="AS845" t="b">
        <v>0</v>
      </c>
      <c r="AT845" t="b">
        <v>0</v>
      </c>
      <c r="AU845" t="s">
        <v>77</v>
      </c>
      <c r="AV845" t="s">
        <v>77</v>
      </c>
      <c r="AW845" t="s">
        <v>783</v>
      </c>
      <c r="AX845" t="s">
        <v>1277</v>
      </c>
      <c r="AY845" t="s">
        <v>1290</v>
      </c>
      <c r="AZ845" t="s">
        <v>109</v>
      </c>
      <c r="BA845">
        <v>4</v>
      </c>
      <c r="BB845">
        <v>1.5</v>
      </c>
      <c r="BC845">
        <v>7.7070764999999999E-2</v>
      </c>
      <c r="BD845">
        <v>1.90190515067399E-3</v>
      </c>
      <c r="BE845">
        <v>7.8972670150673996E-2</v>
      </c>
      <c r="BF845">
        <f>IF(AK845&lt;BE845,1,0)</f>
        <v>1</v>
      </c>
      <c r="BG845">
        <f>IF(AK845&lt;BC845,1,0)</f>
        <v>1</v>
      </c>
      <c r="BH845">
        <f>VLOOKUP($B845,[1]Data_Peer_with_peerVars!$B$2:$Z$1050,20,FALSE)</f>
        <v>0</v>
      </c>
      <c r="BI845">
        <f>VLOOKUP($B845,[1]Data_Peer_with_peerVars!$B$2:$Z$1050,21,FALSE)</f>
        <v>0</v>
      </c>
      <c r="BJ845">
        <v>0</v>
      </c>
      <c r="BK845">
        <f>VLOOKUP($B845,[1]Data_Peer_with_peerVars!$B$2:$Z$1050,23,FALSE)</f>
        <v>6</v>
      </c>
      <c r="BL845">
        <f>VLOOKUP($B845,[1]Data_Peer_with_peerVars!$B$2:$Z$1050,24,FALSE)</f>
        <v>2</v>
      </c>
      <c r="BM845">
        <f>VLOOKUP($B845,[1]Data_Peer_with_peerVars!$B$2:$Z$1050,25,FALSE)</f>
        <v>0.33333333300000001</v>
      </c>
    </row>
    <row r="846" spans="1:65" x14ac:dyDescent="0.2">
      <c r="A846">
        <v>1</v>
      </c>
      <c r="B846" t="s">
        <v>1296</v>
      </c>
      <c r="C846">
        <v>504</v>
      </c>
      <c r="D846" t="s">
        <v>68</v>
      </c>
      <c r="E846">
        <v>1</v>
      </c>
      <c r="F846">
        <v>696</v>
      </c>
      <c r="G846" t="s">
        <v>69</v>
      </c>
      <c r="H846" s="1">
        <v>6</v>
      </c>
      <c r="I846" t="s">
        <v>87</v>
      </c>
      <c r="J846" t="s">
        <v>111</v>
      </c>
      <c r="K846" t="s">
        <v>109</v>
      </c>
      <c r="L846">
        <v>1</v>
      </c>
      <c r="M846">
        <v>0</v>
      </c>
      <c r="N846">
        <v>0</v>
      </c>
      <c r="O846">
        <v>0</v>
      </c>
      <c r="P846">
        <v>0</v>
      </c>
      <c r="Q846">
        <v>11</v>
      </c>
      <c r="R846">
        <v>0</v>
      </c>
      <c r="S846">
        <v>0</v>
      </c>
      <c r="T846">
        <v>0</v>
      </c>
      <c r="U846">
        <v>0</v>
      </c>
      <c r="V846">
        <f t="shared" si="374"/>
        <v>0</v>
      </c>
      <c r="W846">
        <f t="shared" si="375"/>
        <v>0</v>
      </c>
      <c r="X846">
        <f t="shared" si="378"/>
        <v>1</v>
      </c>
      <c r="Y846">
        <v>1</v>
      </c>
      <c r="Z846" t="s">
        <v>75</v>
      </c>
      <c r="AA846" s="5" t="s">
        <v>75</v>
      </c>
      <c r="AB846" s="5" t="s">
        <v>1297</v>
      </c>
      <c r="AC846" t="s">
        <v>73</v>
      </c>
      <c r="AD846" t="s">
        <v>94</v>
      </c>
      <c r="AE846" s="5" t="s">
        <v>94</v>
      </c>
      <c r="AF846" t="s">
        <v>75</v>
      </c>
      <c r="AG846" t="s">
        <v>95</v>
      </c>
      <c r="AH846">
        <f>AI846</f>
        <v>0.12862617000000001</v>
      </c>
      <c r="AI846">
        <f>AM846</f>
        <v>0.12862617000000001</v>
      </c>
      <c r="AJ846">
        <f t="shared" si="377"/>
        <v>6.8974919999999995E-2</v>
      </c>
      <c r="AK846">
        <v>6.8974919999999995E-2</v>
      </c>
      <c r="AL846">
        <v>0.11790393</v>
      </c>
      <c r="AM846">
        <v>0.12862617000000001</v>
      </c>
      <c r="AN846">
        <v>0.14160743000000001</v>
      </c>
      <c r="AO846">
        <v>93.102508</v>
      </c>
      <c r="AP846">
        <v>88.209607000000005</v>
      </c>
      <c r="AQ846">
        <v>87.137383</v>
      </c>
      <c r="AR846">
        <v>85.839257000000003</v>
      </c>
      <c r="AS846" t="b">
        <v>0</v>
      </c>
      <c r="AT846" t="b">
        <v>0</v>
      </c>
      <c r="AU846" t="s">
        <v>77</v>
      </c>
      <c r="AV846" t="s">
        <v>78</v>
      </c>
      <c r="AW846" t="s">
        <v>783</v>
      </c>
      <c r="AX846" t="s">
        <v>1298</v>
      </c>
      <c r="AY846" t="s">
        <v>1299</v>
      </c>
      <c r="AZ846" t="s">
        <v>109</v>
      </c>
      <c r="BA846">
        <v>2</v>
      </c>
      <c r="BB846">
        <v>1</v>
      </c>
      <c r="BC846">
        <v>4.1163553999999996E-3</v>
      </c>
      <c r="BD846">
        <v>1.4279989108178799E-4</v>
      </c>
      <c r="BE846">
        <v>4.2591552910817903E-3</v>
      </c>
      <c r="BF846">
        <f>IF(AK846&lt;BE846,1,0)</f>
        <v>0</v>
      </c>
      <c r="BG846">
        <f>IF(AK846&lt;BC846,1,0)</f>
        <v>0</v>
      </c>
      <c r="BH846">
        <f>VLOOKUP($B846,[1]Data_Peer_with_peerVars!$B$2:$Z$1050,20,FALSE)</f>
        <v>5</v>
      </c>
      <c r="BI846">
        <f>VLOOKUP($B846,[1]Data_Peer_with_peerVars!$B$2:$Z$1050,21,FALSE)</f>
        <v>1</v>
      </c>
      <c r="BJ846">
        <f>VLOOKUP($B846,[1]Data_Peer_with_peerVars!$B$2:$Z$1050,22,FALSE)</f>
        <v>0.2</v>
      </c>
      <c r="BK846">
        <f>VLOOKUP($B846,[1]Data_Peer_with_peerVars!$B$2:$Z$1050,23,FALSE)</f>
        <v>5</v>
      </c>
      <c r="BL846">
        <f>VLOOKUP($B846,[1]Data_Peer_with_peerVars!$B$2:$Z$1050,24,FALSE)</f>
        <v>1</v>
      </c>
      <c r="BM846">
        <f>VLOOKUP($B846,[1]Data_Peer_with_peerVars!$B$2:$Z$1050,25,FALSE)</f>
        <v>0.2</v>
      </c>
    </row>
    <row r="847" spans="1:65" x14ac:dyDescent="0.2">
      <c r="A847">
        <v>1</v>
      </c>
      <c r="B847" t="s">
        <v>1300</v>
      </c>
      <c r="C847">
        <v>505</v>
      </c>
      <c r="D847" t="s">
        <v>68</v>
      </c>
      <c r="E847">
        <v>0</v>
      </c>
      <c r="F847">
        <v>745</v>
      </c>
      <c r="G847" t="s">
        <v>97</v>
      </c>
      <c r="H847" s="1">
        <v>5</v>
      </c>
      <c r="I847" t="s">
        <v>70</v>
      </c>
      <c r="J847" t="s">
        <v>301</v>
      </c>
      <c r="K847" t="s">
        <v>109</v>
      </c>
      <c r="L847">
        <v>1</v>
      </c>
      <c r="M847">
        <v>0</v>
      </c>
      <c r="N847">
        <v>1</v>
      </c>
      <c r="O847">
        <v>0</v>
      </c>
      <c r="P847">
        <v>0</v>
      </c>
      <c r="Q847">
        <v>6</v>
      </c>
      <c r="R847">
        <v>0</v>
      </c>
      <c r="S847">
        <v>0</v>
      </c>
      <c r="T847">
        <v>0</v>
      </c>
      <c r="U847">
        <v>0</v>
      </c>
      <c r="V847">
        <f t="shared" si="374"/>
        <v>0</v>
      </c>
      <c r="W847">
        <f t="shared" si="375"/>
        <v>0</v>
      </c>
      <c r="X847">
        <f t="shared" si="378"/>
        <v>0</v>
      </c>
      <c r="Y847">
        <f t="shared" si="376"/>
        <v>0</v>
      </c>
      <c r="Z847" t="s">
        <v>76</v>
      </c>
      <c r="AA847" s="5" t="s">
        <v>76</v>
      </c>
      <c r="AB847" s="5" t="s">
        <v>76</v>
      </c>
      <c r="AC847" t="s">
        <v>91</v>
      </c>
      <c r="AD847" t="s">
        <v>287</v>
      </c>
      <c r="AE847" s="5" t="s">
        <v>287</v>
      </c>
      <c r="AF847" t="s">
        <v>137</v>
      </c>
      <c r="AG847" t="s">
        <v>84</v>
      </c>
      <c r="AH847">
        <f>AI847</f>
        <v>3.5557987E-3</v>
      </c>
      <c r="AI847">
        <f>AJ847</f>
        <v>3.5557987E-3</v>
      </c>
      <c r="AJ847">
        <f t="shared" si="377"/>
        <v>3.5557987E-3</v>
      </c>
      <c r="AK847">
        <v>3.5557987E-3</v>
      </c>
      <c r="AL847">
        <v>0.12165117</v>
      </c>
      <c r="AM847">
        <v>0.12950819999999999</v>
      </c>
      <c r="AN847">
        <v>0.13331501000000001</v>
      </c>
      <c r="AO847">
        <v>99.64442013</v>
      </c>
      <c r="AP847">
        <v>87.834883000000005</v>
      </c>
      <c r="AQ847">
        <v>87.049180000000007</v>
      </c>
      <c r="AR847">
        <v>86.668498999999997</v>
      </c>
      <c r="AS847" t="b">
        <v>0</v>
      </c>
      <c r="AT847" t="b">
        <v>0</v>
      </c>
      <c r="AU847" t="s">
        <v>77</v>
      </c>
      <c r="AV847" t="s">
        <v>78</v>
      </c>
      <c r="AW847" t="s">
        <v>783</v>
      </c>
      <c r="AX847" t="s">
        <v>1298</v>
      </c>
      <c r="AY847" t="s">
        <v>1299</v>
      </c>
      <c r="AZ847" t="s">
        <v>109</v>
      </c>
      <c r="BA847">
        <v>2</v>
      </c>
      <c r="BB847">
        <v>1</v>
      </c>
      <c r="BC847">
        <v>9.0659339999999995E-3</v>
      </c>
      <c r="BD847">
        <v>2.76583658862385E-3</v>
      </c>
      <c r="BE847">
        <v>1.1831770588623799E-2</v>
      </c>
      <c r="BF847">
        <f>IF(AK847&lt;BE847,1,0)</f>
        <v>1</v>
      </c>
      <c r="BG847">
        <f>IF(AK847&lt;BC847,1,0)</f>
        <v>1</v>
      </c>
      <c r="BH847">
        <f>VLOOKUP($B847,[1]Data_Peer_with_peerVars!$B$2:$Z$1050,20,FALSE)</f>
        <v>0</v>
      </c>
      <c r="BI847">
        <f>VLOOKUP($B847,[1]Data_Peer_with_peerVars!$B$2:$Z$1050,21,FALSE)</f>
        <v>0</v>
      </c>
      <c r="BJ847">
        <v>0</v>
      </c>
      <c r="BK847">
        <f>VLOOKUP($B847,[1]Data_Peer_with_peerVars!$B$2:$Z$1050,23,FALSE)</f>
        <v>2</v>
      </c>
      <c r="BL847">
        <f>VLOOKUP($B847,[1]Data_Peer_with_peerVars!$B$2:$Z$1050,24,FALSE)</f>
        <v>1</v>
      </c>
      <c r="BM847">
        <f>VLOOKUP($B847,[1]Data_Peer_with_peerVars!$B$2:$Z$1050,25,FALSE)</f>
        <v>0.5</v>
      </c>
    </row>
    <row r="848" spans="1:65" x14ac:dyDescent="0.2">
      <c r="A848">
        <v>1</v>
      </c>
      <c r="B848" t="s">
        <v>1301</v>
      </c>
      <c r="C848">
        <v>505</v>
      </c>
      <c r="D848" t="s">
        <v>68</v>
      </c>
      <c r="E848">
        <v>0</v>
      </c>
      <c r="F848">
        <v>745</v>
      </c>
      <c r="G848" t="s">
        <v>97</v>
      </c>
      <c r="H848" s="1">
        <v>5</v>
      </c>
      <c r="I848" t="s">
        <v>70</v>
      </c>
      <c r="J848" t="s">
        <v>301</v>
      </c>
      <c r="K848" t="s">
        <v>109</v>
      </c>
      <c r="L848">
        <v>1</v>
      </c>
      <c r="M848">
        <v>0</v>
      </c>
      <c r="N848">
        <v>1</v>
      </c>
      <c r="O848">
        <v>0</v>
      </c>
      <c r="P848">
        <v>0</v>
      </c>
      <c r="Q848">
        <v>6</v>
      </c>
      <c r="R848">
        <v>0</v>
      </c>
      <c r="S848">
        <v>0</v>
      </c>
      <c r="T848">
        <v>0</v>
      </c>
      <c r="U848">
        <v>0</v>
      </c>
      <c r="V848">
        <f t="shared" si="374"/>
        <v>1</v>
      </c>
      <c r="W848">
        <v>1</v>
      </c>
      <c r="X848">
        <v>1</v>
      </c>
      <c r="Y848">
        <v>1</v>
      </c>
      <c r="Z848" t="s">
        <v>91</v>
      </c>
      <c r="AA848" s="5" t="s">
        <v>91</v>
      </c>
      <c r="AB848" s="5" t="s">
        <v>915</v>
      </c>
      <c r="AC848" t="s">
        <v>91</v>
      </c>
      <c r="AD848" t="s">
        <v>74</v>
      </c>
      <c r="AE848" s="5" t="s">
        <v>74</v>
      </c>
      <c r="AF848" t="s">
        <v>76</v>
      </c>
      <c r="AG848" t="s">
        <v>84</v>
      </c>
      <c r="AH848">
        <f t="shared" ref="AH848:AH850" si="383">AI848</f>
        <v>7.4630946000000004E-2</v>
      </c>
      <c r="AI848">
        <f>AJ848</f>
        <v>7.4630946000000004E-2</v>
      </c>
      <c r="AJ848">
        <f t="shared" si="377"/>
        <v>7.4630946000000004E-2</v>
      </c>
      <c r="AK848">
        <v>7.4630946000000004E-2</v>
      </c>
      <c r="AL848">
        <v>9.808219E-2</v>
      </c>
      <c r="AM848">
        <v>0.11387220000000001</v>
      </c>
      <c r="AN848">
        <v>0.11964874</v>
      </c>
      <c r="AO848">
        <v>92.536905399999995</v>
      </c>
      <c r="AP848">
        <v>90.191781000000006</v>
      </c>
      <c r="AQ848">
        <v>88.612780000000001</v>
      </c>
      <c r="AR848">
        <v>88.035126000000005</v>
      </c>
      <c r="AS848" t="b">
        <v>1</v>
      </c>
      <c r="AT848" t="b">
        <v>0</v>
      </c>
      <c r="AU848" t="s">
        <v>77</v>
      </c>
      <c r="AV848" t="s">
        <v>77</v>
      </c>
      <c r="AW848" t="s">
        <v>783</v>
      </c>
      <c r="AX848" t="s">
        <v>1298</v>
      </c>
      <c r="AY848" t="s">
        <v>1299</v>
      </c>
      <c r="AZ848" t="s">
        <v>109</v>
      </c>
      <c r="BA848">
        <v>2</v>
      </c>
      <c r="BB848">
        <v>1</v>
      </c>
      <c r="BC848">
        <v>9.0659339999999995E-3</v>
      </c>
      <c r="BD848">
        <v>2.76583658862385E-3</v>
      </c>
      <c r="BE848">
        <v>1.1831770588623799E-2</v>
      </c>
      <c r="BF848">
        <f>IF(AK848&lt;BE848,1,0)</f>
        <v>0</v>
      </c>
      <c r="BG848">
        <f>IF(AK848&lt;BC848,1,0)</f>
        <v>0</v>
      </c>
      <c r="BH848">
        <f>VLOOKUP($B848,[1]Data_Peer_with_peerVars!$B$2:$Z$1050,20,FALSE)</f>
        <v>0</v>
      </c>
      <c r="BI848">
        <f>VLOOKUP($B848,[1]Data_Peer_with_peerVars!$B$2:$Z$1050,21,FALSE)</f>
        <v>0</v>
      </c>
      <c r="BJ848">
        <v>0</v>
      </c>
      <c r="BK848">
        <f>VLOOKUP($B848,[1]Data_Peer_with_peerVars!$B$2:$Z$1050,23,FALSE)</f>
        <v>2</v>
      </c>
      <c r="BL848">
        <f>VLOOKUP($B848,[1]Data_Peer_with_peerVars!$B$2:$Z$1050,24,FALSE)</f>
        <v>1</v>
      </c>
      <c r="BM848">
        <f>VLOOKUP($B848,[1]Data_Peer_with_peerVars!$B$2:$Z$1050,25,FALSE)</f>
        <v>0.5</v>
      </c>
    </row>
    <row r="849" spans="1:65" x14ac:dyDescent="0.2">
      <c r="A849">
        <v>1</v>
      </c>
      <c r="B849" t="s">
        <v>1302</v>
      </c>
      <c r="C849">
        <v>509</v>
      </c>
      <c r="D849" t="s">
        <v>68</v>
      </c>
      <c r="E849">
        <v>1</v>
      </c>
      <c r="F849">
        <v>752</v>
      </c>
      <c r="G849" t="s">
        <v>86</v>
      </c>
      <c r="H849" s="1">
        <v>5</v>
      </c>
      <c r="I849" t="s">
        <v>87</v>
      </c>
      <c r="J849" t="s">
        <v>111</v>
      </c>
      <c r="K849" t="s">
        <v>109</v>
      </c>
      <c r="L849">
        <v>2</v>
      </c>
      <c r="M849">
        <v>0</v>
      </c>
      <c r="N849">
        <v>1</v>
      </c>
      <c r="O849">
        <v>0</v>
      </c>
      <c r="P849">
        <v>0</v>
      </c>
      <c r="Q849">
        <v>8</v>
      </c>
      <c r="R849">
        <v>0</v>
      </c>
      <c r="S849">
        <v>0</v>
      </c>
      <c r="T849">
        <v>0</v>
      </c>
      <c r="U849">
        <v>0</v>
      </c>
      <c r="V849">
        <f t="shared" si="374"/>
        <v>0</v>
      </c>
      <c r="W849">
        <f t="shared" si="375"/>
        <v>1</v>
      </c>
      <c r="X849">
        <v>1</v>
      </c>
      <c r="Y849">
        <v>1</v>
      </c>
      <c r="Z849" t="s">
        <v>76</v>
      </c>
      <c r="AA849" s="5" t="s">
        <v>76</v>
      </c>
      <c r="AB849" s="5" t="s">
        <v>76</v>
      </c>
      <c r="AC849" t="s">
        <v>74</v>
      </c>
      <c r="AD849" t="s">
        <v>76</v>
      </c>
      <c r="AE849" s="5" t="s">
        <v>76</v>
      </c>
      <c r="AF849" t="s">
        <v>75</v>
      </c>
      <c r="AG849" t="s">
        <v>84</v>
      </c>
      <c r="AH849">
        <f t="shared" si="383"/>
        <v>6.9786529999999999E-2</v>
      </c>
      <c r="AI849">
        <f>AJ849</f>
        <v>6.9786529999999999E-2</v>
      </c>
      <c r="AJ849">
        <f>AL849</f>
        <v>6.9786529999999999E-2</v>
      </c>
      <c r="AK849">
        <v>5.3787050000000003E-2</v>
      </c>
      <c r="AL849">
        <v>6.9786529999999999E-2</v>
      </c>
      <c r="AM849">
        <v>0.103287674</v>
      </c>
      <c r="AN849">
        <v>0.10637713</v>
      </c>
      <c r="AO849">
        <v>94.621295000000003</v>
      </c>
      <c r="AP849">
        <v>93.021347000000006</v>
      </c>
      <c r="AQ849">
        <v>89.671232599999996</v>
      </c>
      <c r="AR849">
        <v>89.362286999999995</v>
      </c>
      <c r="AS849" t="b">
        <v>0</v>
      </c>
      <c r="AT849" t="b">
        <v>1</v>
      </c>
      <c r="AU849" t="s">
        <v>77</v>
      </c>
      <c r="AV849" t="s">
        <v>77</v>
      </c>
      <c r="AW849" t="s">
        <v>783</v>
      </c>
      <c r="AX849" t="s">
        <v>1298</v>
      </c>
      <c r="AY849" t="s">
        <v>1299</v>
      </c>
      <c r="AZ849" t="s">
        <v>109</v>
      </c>
      <c r="BA849">
        <v>5</v>
      </c>
      <c r="BB849">
        <v>0.7</v>
      </c>
      <c r="BC849">
        <v>2.4738868000000001E-3</v>
      </c>
      <c r="BD849">
        <v>1.4256942275279999E-4</v>
      </c>
      <c r="BE849">
        <v>2.6164562227527998E-3</v>
      </c>
      <c r="BF849">
        <f>IF(AK849&lt;BE849,1,0)</f>
        <v>0</v>
      </c>
      <c r="BG849">
        <f>IF(AK849&lt;BC849,1,0)</f>
        <v>0</v>
      </c>
      <c r="BH849">
        <f>VLOOKUP($B849,[1]Data_Peer_with_peerVars!$B$2:$Z$1050,20,FALSE)</f>
        <v>0</v>
      </c>
      <c r="BI849">
        <f>VLOOKUP($B849,[1]Data_Peer_with_peerVars!$B$2:$Z$1050,21,FALSE)</f>
        <v>0</v>
      </c>
      <c r="BJ849">
        <v>0</v>
      </c>
      <c r="BK849">
        <f>VLOOKUP($B849,[1]Data_Peer_with_peerVars!$B$2:$Z$1050,23,FALSE)</f>
        <v>10</v>
      </c>
      <c r="BL849">
        <f>VLOOKUP($B849,[1]Data_Peer_with_peerVars!$B$2:$Z$1050,24,FALSE)</f>
        <v>6</v>
      </c>
      <c r="BM849">
        <f>VLOOKUP($B849,[1]Data_Peer_with_peerVars!$B$2:$Z$1050,25,FALSE)</f>
        <v>0.6</v>
      </c>
    </row>
    <row r="850" spans="1:65" x14ac:dyDescent="0.2">
      <c r="A850">
        <v>1</v>
      </c>
      <c r="B850" t="s">
        <v>1303</v>
      </c>
      <c r="C850">
        <v>510</v>
      </c>
      <c r="D850" t="s">
        <v>68</v>
      </c>
      <c r="E850">
        <v>0</v>
      </c>
      <c r="F850">
        <v>543</v>
      </c>
      <c r="G850" t="s">
        <v>119</v>
      </c>
      <c r="H850" s="1">
        <v>6</v>
      </c>
      <c r="I850" t="s">
        <v>70</v>
      </c>
      <c r="J850" t="s">
        <v>301</v>
      </c>
      <c r="K850" t="s">
        <v>109</v>
      </c>
      <c r="L850">
        <v>1</v>
      </c>
      <c r="M850">
        <v>0</v>
      </c>
      <c r="N850">
        <v>1</v>
      </c>
      <c r="O850">
        <v>0</v>
      </c>
      <c r="P850">
        <v>0</v>
      </c>
      <c r="Q850">
        <v>6</v>
      </c>
      <c r="R850">
        <v>0</v>
      </c>
      <c r="S850">
        <v>0</v>
      </c>
      <c r="T850">
        <v>0</v>
      </c>
      <c r="U850">
        <v>0</v>
      </c>
      <c r="V850">
        <f t="shared" si="374"/>
        <v>1</v>
      </c>
      <c r="W850">
        <v>1</v>
      </c>
      <c r="X850">
        <v>1</v>
      </c>
      <c r="Y850">
        <v>1</v>
      </c>
      <c r="Z850" t="s">
        <v>76</v>
      </c>
      <c r="AA850" s="5" t="s">
        <v>76</v>
      </c>
      <c r="AB850" s="5" t="s">
        <v>76</v>
      </c>
      <c r="AC850" t="s">
        <v>76</v>
      </c>
      <c r="AD850" t="s">
        <v>74</v>
      </c>
      <c r="AE850" s="5" t="s">
        <v>74</v>
      </c>
      <c r="AF850" t="s">
        <v>84</v>
      </c>
      <c r="AG850" t="s">
        <v>120</v>
      </c>
      <c r="AH850">
        <f t="shared" si="383"/>
        <v>0.12069907000000001</v>
      </c>
      <c r="AI850">
        <f>AJ850</f>
        <v>0.12069907000000001</v>
      </c>
      <c r="AJ850">
        <f t="shared" si="377"/>
        <v>0.12069907000000001</v>
      </c>
      <c r="AK850">
        <v>0.12069907000000001</v>
      </c>
      <c r="AL850">
        <v>0.12547944</v>
      </c>
      <c r="AM850">
        <v>0.12678376</v>
      </c>
      <c r="AN850">
        <v>0.14445658</v>
      </c>
      <c r="AO850">
        <v>87.930092999999999</v>
      </c>
      <c r="AP850">
        <v>87.452055999999999</v>
      </c>
      <c r="AQ850">
        <v>87.321624</v>
      </c>
      <c r="AR850">
        <v>85.554342000000005</v>
      </c>
      <c r="AS850" t="b">
        <v>1</v>
      </c>
      <c r="AT850" t="b">
        <v>0</v>
      </c>
      <c r="AU850" t="s">
        <v>78</v>
      </c>
      <c r="AV850" t="s">
        <v>78</v>
      </c>
      <c r="AW850" t="s">
        <v>783</v>
      </c>
      <c r="AX850" t="s">
        <v>1277</v>
      </c>
      <c r="AY850" t="s">
        <v>1304</v>
      </c>
      <c r="AZ850" t="s">
        <v>109</v>
      </c>
      <c r="BA850">
        <v>1</v>
      </c>
      <c r="BB850">
        <v>1.5</v>
      </c>
      <c r="BC850">
        <v>7.7070764999999999E-2</v>
      </c>
      <c r="BD850">
        <v>1.90190515067399E-3</v>
      </c>
      <c r="BE850">
        <v>7.8972670150673996E-2</v>
      </c>
      <c r="BF850">
        <f>IF(AK850&lt;BE850,1,0)</f>
        <v>0</v>
      </c>
      <c r="BG850">
        <f>IF(AK850&lt;BC850,1,0)</f>
        <v>0</v>
      </c>
      <c r="BH850">
        <f>VLOOKUP($B850,[1]Data_Peer_with_peerVars!$B$2:$Z$1050,20,FALSE)</f>
        <v>0</v>
      </c>
      <c r="BI850">
        <f>VLOOKUP($B850,[1]Data_Peer_with_peerVars!$B$2:$Z$1050,21,FALSE)</f>
        <v>0</v>
      </c>
      <c r="BJ850">
        <v>0</v>
      </c>
      <c r="BK850">
        <f>VLOOKUP($B850,[1]Data_Peer_with_peerVars!$B$2:$Z$1050,23,FALSE)</f>
        <v>7</v>
      </c>
      <c r="BL850">
        <f>VLOOKUP($B850,[1]Data_Peer_with_peerVars!$B$2:$Z$1050,24,FALSE)</f>
        <v>1</v>
      </c>
      <c r="BM850">
        <f>VLOOKUP($B850,[1]Data_Peer_with_peerVars!$B$2:$Z$1050,25,FALSE)</f>
        <v>0.14285714299999999</v>
      </c>
    </row>
    <row r="851" spans="1:65" x14ac:dyDescent="0.2">
      <c r="A851">
        <v>1</v>
      </c>
      <c r="B851" t="s">
        <v>1305</v>
      </c>
      <c r="C851">
        <v>511</v>
      </c>
      <c r="D851" t="s">
        <v>68</v>
      </c>
      <c r="E851">
        <v>0</v>
      </c>
      <c r="F851">
        <v>544</v>
      </c>
      <c r="G851" t="s">
        <v>119</v>
      </c>
      <c r="H851" s="1">
        <v>7</v>
      </c>
      <c r="I851" t="s">
        <v>87</v>
      </c>
      <c r="J851" t="s">
        <v>111</v>
      </c>
      <c r="K851" t="s">
        <v>109</v>
      </c>
      <c r="L851">
        <v>1</v>
      </c>
      <c r="M851">
        <v>0</v>
      </c>
      <c r="N851">
        <v>0</v>
      </c>
      <c r="O851">
        <v>0</v>
      </c>
      <c r="P851">
        <v>0</v>
      </c>
      <c r="Q851">
        <v>6</v>
      </c>
      <c r="R851">
        <v>0</v>
      </c>
      <c r="S851">
        <v>0</v>
      </c>
      <c r="T851">
        <v>1</v>
      </c>
      <c r="U851">
        <v>1</v>
      </c>
      <c r="V851">
        <f t="shared" si="374"/>
        <v>0</v>
      </c>
      <c r="W851">
        <f t="shared" si="375"/>
        <v>0</v>
      </c>
      <c r="X851">
        <f t="shared" si="378"/>
        <v>0</v>
      </c>
      <c r="Y851">
        <f t="shared" si="376"/>
        <v>0</v>
      </c>
      <c r="Z851" t="s">
        <v>75</v>
      </c>
      <c r="AA851" s="5" t="s">
        <v>75</v>
      </c>
      <c r="AB851" s="5" t="s">
        <v>75</v>
      </c>
      <c r="AC851" t="s">
        <v>73</v>
      </c>
      <c r="AD851" t="s">
        <v>94</v>
      </c>
      <c r="AE851" s="5" t="s">
        <v>106</v>
      </c>
      <c r="AF851" t="s">
        <v>107</v>
      </c>
      <c r="AG851" t="s">
        <v>95</v>
      </c>
      <c r="AH851">
        <f>AI851</f>
        <v>3.8167940000000001E-3</v>
      </c>
      <c r="AI851">
        <f>AJ851</f>
        <v>3.8167940000000001E-3</v>
      </c>
      <c r="AJ851">
        <f t="shared" si="377"/>
        <v>3.8167940000000001E-3</v>
      </c>
      <c r="AK851">
        <v>3.8167940000000001E-3</v>
      </c>
      <c r="AL851">
        <v>0.13169399000000001</v>
      </c>
      <c r="AM851">
        <v>0.13623904000000001</v>
      </c>
      <c r="AN851">
        <v>0.13867615</v>
      </c>
      <c r="AO851">
        <v>99.618320600000004</v>
      </c>
      <c r="AP851">
        <v>86.830601000000001</v>
      </c>
      <c r="AQ851">
        <v>86.376096000000004</v>
      </c>
      <c r="AR851">
        <v>86.132384999999999</v>
      </c>
      <c r="AS851" t="b">
        <v>0</v>
      </c>
      <c r="AT851" t="b">
        <v>0</v>
      </c>
      <c r="AU851" t="s">
        <v>77</v>
      </c>
      <c r="AV851" t="s">
        <v>108</v>
      </c>
      <c r="AW851" t="s">
        <v>783</v>
      </c>
      <c r="AX851" t="s">
        <v>804</v>
      </c>
      <c r="AY851" t="s">
        <v>1304</v>
      </c>
      <c r="AZ851" t="s">
        <v>109</v>
      </c>
      <c r="BA851">
        <v>3</v>
      </c>
      <c r="BB851">
        <v>0.7</v>
      </c>
      <c r="BC851">
        <v>4.1163553999999996E-3</v>
      </c>
      <c r="BD851">
        <v>1.4279989108178799E-4</v>
      </c>
      <c r="BE851">
        <v>4.2591552910817903E-3</v>
      </c>
      <c r="BF851">
        <f>IF(AK851&lt;BE851,1,0)</f>
        <v>1</v>
      </c>
      <c r="BG851">
        <f>IF(AK851&lt;BC851,1,0)</f>
        <v>1</v>
      </c>
      <c r="BH851">
        <f>VLOOKUP($B851,[1]Data_Peer_with_peerVars!$B$2:$Z$1050,20,FALSE)</f>
        <v>0</v>
      </c>
      <c r="BI851">
        <f>VLOOKUP($B851,[1]Data_Peer_with_peerVars!$B$2:$Z$1050,21,FALSE)</f>
        <v>0</v>
      </c>
      <c r="BJ851">
        <v>0</v>
      </c>
      <c r="BK851">
        <f>VLOOKUP($B851,[1]Data_Peer_with_peerVars!$B$2:$Z$1050,23,FALSE)</f>
        <v>7</v>
      </c>
      <c r="BL851">
        <f>VLOOKUP($B851,[1]Data_Peer_with_peerVars!$B$2:$Z$1050,24,FALSE)</f>
        <v>2</v>
      </c>
      <c r="BM851">
        <f>VLOOKUP($B851,[1]Data_Peer_with_peerVars!$B$2:$Z$1050,25,FALSE)</f>
        <v>0.28571428599999998</v>
      </c>
    </row>
    <row r="852" spans="1:65" x14ac:dyDescent="0.2">
      <c r="A852">
        <v>1</v>
      </c>
      <c r="B852" t="s">
        <v>1306</v>
      </c>
      <c r="C852">
        <v>514</v>
      </c>
      <c r="D852" t="s">
        <v>68</v>
      </c>
      <c r="E852">
        <v>0</v>
      </c>
      <c r="F852">
        <v>713</v>
      </c>
      <c r="G852" t="s">
        <v>119</v>
      </c>
      <c r="H852" s="1">
        <v>7</v>
      </c>
      <c r="I852" t="s">
        <v>70</v>
      </c>
      <c r="J852" t="s">
        <v>301</v>
      </c>
      <c r="K852" t="s">
        <v>109</v>
      </c>
      <c r="L852">
        <v>2</v>
      </c>
      <c r="M852">
        <v>0</v>
      </c>
      <c r="N852">
        <v>0</v>
      </c>
      <c r="O852">
        <v>1</v>
      </c>
      <c r="P852">
        <v>1</v>
      </c>
      <c r="Q852">
        <v>5</v>
      </c>
      <c r="R852">
        <v>0</v>
      </c>
      <c r="S852">
        <v>0</v>
      </c>
      <c r="T852">
        <v>0</v>
      </c>
      <c r="U852">
        <v>0</v>
      </c>
      <c r="V852">
        <f t="shared" si="374"/>
        <v>1</v>
      </c>
      <c r="W852">
        <v>1</v>
      </c>
      <c r="X852">
        <v>1</v>
      </c>
      <c r="Y852">
        <v>1</v>
      </c>
      <c r="Z852" t="s">
        <v>91</v>
      </c>
      <c r="AA852" s="5" t="s">
        <v>91</v>
      </c>
      <c r="AB852" s="5" t="s">
        <v>998</v>
      </c>
      <c r="AC852" t="s">
        <v>91</v>
      </c>
      <c r="AD852" t="s">
        <v>287</v>
      </c>
      <c r="AE852" s="5" t="s">
        <v>287</v>
      </c>
      <c r="AF852" t="s">
        <v>137</v>
      </c>
      <c r="AG852" t="s">
        <v>84</v>
      </c>
      <c r="AH852">
        <f t="shared" ref="AH852:AH853" si="384">AI852</f>
        <v>3.280481E-3</v>
      </c>
      <c r="AI852">
        <f t="shared" ref="AI852:AI853" si="385">AJ852</f>
        <v>3.280481E-3</v>
      </c>
      <c r="AJ852">
        <f t="shared" si="377"/>
        <v>3.280481E-3</v>
      </c>
      <c r="AK852">
        <v>3.280481E-3</v>
      </c>
      <c r="AL852">
        <v>0.1204918</v>
      </c>
      <c r="AM852">
        <v>0.12861823999999999</v>
      </c>
      <c r="AN852">
        <v>0.13461539</v>
      </c>
      <c r="AO852">
        <v>99.671951899999996</v>
      </c>
      <c r="AP852">
        <v>87.950819999999993</v>
      </c>
      <c r="AQ852">
        <v>87.138176000000001</v>
      </c>
      <c r="AR852">
        <v>86.538460999999998</v>
      </c>
      <c r="AS852" t="b">
        <v>1</v>
      </c>
      <c r="AT852" t="b">
        <v>0</v>
      </c>
      <c r="AU852" t="s">
        <v>77</v>
      </c>
      <c r="AV852" t="s">
        <v>78</v>
      </c>
      <c r="AW852" t="s">
        <v>783</v>
      </c>
      <c r="AX852" t="s">
        <v>1277</v>
      </c>
      <c r="AY852" t="s">
        <v>1307</v>
      </c>
      <c r="AZ852" t="s">
        <v>109</v>
      </c>
      <c r="BA852">
        <v>10</v>
      </c>
      <c r="BB852">
        <v>3</v>
      </c>
      <c r="BC852">
        <v>9.0659339999999995E-3</v>
      </c>
      <c r="BD852">
        <v>2.76583658862385E-3</v>
      </c>
      <c r="BE852">
        <v>1.1831770588623799E-2</v>
      </c>
      <c r="BF852">
        <f>IF(AK852&lt;BE852,1,0)</f>
        <v>1</v>
      </c>
      <c r="BG852">
        <f>IF(AK852&lt;BC852,1,0)</f>
        <v>1</v>
      </c>
      <c r="BH852">
        <f>VLOOKUP($B852,[1]Data_Peer_with_peerVars!$B$2:$Z$1050,20,FALSE)</f>
        <v>2</v>
      </c>
      <c r="BI852">
        <f>VLOOKUP($B852,[1]Data_Peer_with_peerVars!$B$2:$Z$1050,21,FALSE)</f>
        <v>1</v>
      </c>
      <c r="BJ852">
        <f>VLOOKUP($B852,[1]Data_Peer_with_peerVars!$B$2:$Z$1050,22,FALSE)</f>
        <v>0.5</v>
      </c>
      <c r="BK852">
        <f>VLOOKUP($B852,[1]Data_Peer_with_peerVars!$B$2:$Z$1050,23,FALSE)</f>
        <v>15</v>
      </c>
      <c r="BL852">
        <f>VLOOKUP($B852,[1]Data_Peer_with_peerVars!$B$2:$Z$1050,24,FALSE)</f>
        <v>5</v>
      </c>
      <c r="BM852">
        <f>VLOOKUP($B852,[1]Data_Peer_with_peerVars!$B$2:$Z$1050,25,FALSE)</f>
        <v>0.33333333300000001</v>
      </c>
    </row>
    <row r="853" spans="1:65" x14ac:dyDescent="0.2">
      <c r="A853">
        <v>1</v>
      </c>
      <c r="B853" t="s">
        <v>1308</v>
      </c>
      <c r="C853">
        <v>514</v>
      </c>
      <c r="D853" t="s">
        <v>68</v>
      </c>
      <c r="E853">
        <v>0</v>
      </c>
      <c r="F853">
        <v>713</v>
      </c>
      <c r="G853" t="s">
        <v>119</v>
      </c>
      <c r="H853" s="1">
        <v>7</v>
      </c>
      <c r="I853" t="s">
        <v>70</v>
      </c>
      <c r="J853" t="s">
        <v>301</v>
      </c>
      <c r="K853" t="s">
        <v>109</v>
      </c>
      <c r="L853">
        <v>2</v>
      </c>
      <c r="M853">
        <v>0</v>
      </c>
      <c r="N853">
        <v>0</v>
      </c>
      <c r="O853">
        <v>1</v>
      </c>
      <c r="P853">
        <v>1</v>
      </c>
      <c r="Q853">
        <v>5</v>
      </c>
      <c r="R853">
        <v>0</v>
      </c>
      <c r="S853">
        <v>0</v>
      </c>
      <c r="T853">
        <v>0</v>
      </c>
      <c r="U853">
        <v>0</v>
      </c>
      <c r="V853">
        <f t="shared" si="374"/>
        <v>1</v>
      </c>
      <c r="W853">
        <v>1</v>
      </c>
      <c r="X853">
        <v>1</v>
      </c>
      <c r="Y853">
        <v>1</v>
      </c>
      <c r="Z853" t="s">
        <v>76</v>
      </c>
      <c r="AA853" s="5" t="s">
        <v>76</v>
      </c>
      <c r="AB853" s="5" t="s">
        <v>76</v>
      </c>
      <c r="AC853" t="s">
        <v>76</v>
      </c>
      <c r="AD853" t="s">
        <v>74</v>
      </c>
      <c r="AE853" s="5" t="s">
        <v>74</v>
      </c>
      <c r="AF853" t="s">
        <v>75</v>
      </c>
      <c r="AG853" t="s">
        <v>120</v>
      </c>
      <c r="AH853">
        <f t="shared" si="384"/>
        <v>7.5136610000000006E-2</v>
      </c>
      <c r="AI853">
        <f t="shared" si="385"/>
        <v>7.5136610000000006E-2</v>
      </c>
      <c r="AJ853">
        <f t="shared" si="377"/>
        <v>7.5136610000000006E-2</v>
      </c>
      <c r="AK853">
        <v>7.5136610000000006E-2</v>
      </c>
      <c r="AL853">
        <v>9.8135959999999994E-2</v>
      </c>
      <c r="AM853">
        <v>0.11959496</v>
      </c>
      <c r="AN853">
        <v>0.122677594</v>
      </c>
      <c r="AO853">
        <v>92.486339000000001</v>
      </c>
      <c r="AP853">
        <v>90.186403999999996</v>
      </c>
      <c r="AQ853">
        <v>88.040503999999999</v>
      </c>
      <c r="AR853">
        <v>87.732240599999997</v>
      </c>
      <c r="AS853" t="b">
        <v>1</v>
      </c>
      <c r="AT853" t="b">
        <v>0</v>
      </c>
      <c r="AU853" t="s">
        <v>77</v>
      </c>
      <c r="AV853" t="s">
        <v>77</v>
      </c>
      <c r="AW853" t="s">
        <v>783</v>
      </c>
      <c r="AX853" t="s">
        <v>1277</v>
      </c>
      <c r="AY853" t="s">
        <v>1307</v>
      </c>
      <c r="AZ853" t="s">
        <v>109</v>
      </c>
      <c r="BA853" t="s">
        <v>82</v>
      </c>
      <c r="BB853">
        <v>3.5</v>
      </c>
      <c r="BC853">
        <v>7.7070764999999999E-2</v>
      </c>
      <c r="BD853">
        <v>1.90190515067399E-3</v>
      </c>
      <c r="BE853">
        <v>7.8972670150673996E-2</v>
      </c>
      <c r="BF853">
        <f>IF(AK853&lt;BE853,1,0)</f>
        <v>1</v>
      </c>
      <c r="BG853">
        <f>IF(AK853&lt;BC853,1,0)</f>
        <v>1</v>
      </c>
      <c r="BH853">
        <f>VLOOKUP($B853,[1]Data_Peer_with_peerVars!$B$2:$Z$1050,20,FALSE)</f>
        <v>2</v>
      </c>
      <c r="BI853">
        <f>VLOOKUP($B853,[1]Data_Peer_with_peerVars!$B$2:$Z$1050,21,FALSE)</f>
        <v>1</v>
      </c>
      <c r="BJ853">
        <f>VLOOKUP($B853,[1]Data_Peer_with_peerVars!$B$2:$Z$1050,22,FALSE)</f>
        <v>0.5</v>
      </c>
      <c r="BK853">
        <f>VLOOKUP($B853,[1]Data_Peer_with_peerVars!$B$2:$Z$1050,23,FALSE)</f>
        <v>15</v>
      </c>
      <c r="BL853">
        <f>VLOOKUP($B853,[1]Data_Peer_with_peerVars!$B$2:$Z$1050,24,FALSE)</f>
        <v>5</v>
      </c>
      <c r="BM853">
        <f>VLOOKUP($B853,[1]Data_Peer_with_peerVars!$B$2:$Z$1050,25,FALSE)</f>
        <v>0.33333333300000001</v>
      </c>
    </row>
    <row r="854" spans="1:65" x14ac:dyDescent="0.2">
      <c r="A854">
        <v>1</v>
      </c>
      <c r="B854" t="s">
        <v>1309</v>
      </c>
      <c r="C854">
        <v>514</v>
      </c>
      <c r="D854" t="s">
        <v>68</v>
      </c>
      <c r="E854">
        <v>0</v>
      </c>
      <c r="F854">
        <v>713</v>
      </c>
      <c r="G854" t="s">
        <v>119</v>
      </c>
      <c r="H854" s="1">
        <v>7</v>
      </c>
      <c r="I854" t="s">
        <v>70</v>
      </c>
      <c r="J854" t="s">
        <v>301</v>
      </c>
      <c r="K854" t="s">
        <v>109</v>
      </c>
      <c r="L854">
        <v>2</v>
      </c>
      <c r="M854">
        <v>0</v>
      </c>
      <c r="N854">
        <v>0</v>
      </c>
      <c r="O854">
        <v>1</v>
      </c>
      <c r="P854">
        <v>1</v>
      </c>
      <c r="Q854">
        <v>5</v>
      </c>
      <c r="R854">
        <v>0</v>
      </c>
      <c r="S854">
        <v>0</v>
      </c>
      <c r="T854">
        <v>0</v>
      </c>
      <c r="U854">
        <v>0</v>
      </c>
      <c r="V854">
        <f t="shared" si="374"/>
        <v>0</v>
      </c>
      <c r="W854">
        <f t="shared" si="375"/>
        <v>0</v>
      </c>
      <c r="X854">
        <f t="shared" si="378"/>
        <v>0</v>
      </c>
      <c r="Y854">
        <f t="shared" si="376"/>
        <v>0</v>
      </c>
      <c r="Z854" t="s">
        <v>98</v>
      </c>
      <c r="AA854" s="5" t="s">
        <v>829</v>
      </c>
      <c r="AB854" s="5" t="s">
        <v>829</v>
      </c>
      <c r="AC854" t="s">
        <v>101</v>
      </c>
      <c r="AD854" t="s">
        <v>99</v>
      </c>
      <c r="AE854" s="5" t="s">
        <v>99</v>
      </c>
      <c r="AF854" t="s">
        <v>103</v>
      </c>
      <c r="AG854" t="s">
        <v>102</v>
      </c>
      <c r="AH854">
        <f>AI854</f>
        <v>1.5367728000000001E-2</v>
      </c>
      <c r="AI854">
        <f t="shared" ref="AI854:AI855" si="386">AJ854</f>
        <v>1.5367728000000001E-2</v>
      </c>
      <c r="AJ854">
        <f t="shared" si="377"/>
        <v>1.5367728000000001E-2</v>
      </c>
      <c r="AK854">
        <v>1.5367728000000001E-2</v>
      </c>
      <c r="AL854">
        <v>7.9005524999999993E-2</v>
      </c>
      <c r="AM854">
        <v>8.3379350000000005E-2</v>
      </c>
      <c r="AN854">
        <v>0.119868636</v>
      </c>
      <c r="AO854">
        <v>98.463227200000006</v>
      </c>
      <c r="AP854">
        <v>92.099447499999997</v>
      </c>
      <c r="AQ854">
        <v>91.662064999999998</v>
      </c>
      <c r="AR854">
        <v>88.013136399999993</v>
      </c>
      <c r="AS854" t="b">
        <v>0</v>
      </c>
      <c r="AT854" t="b">
        <v>0</v>
      </c>
      <c r="AU854" t="s">
        <v>77</v>
      </c>
      <c r="AV854" t="s">
        <v>77</v>
      </c>
      <c r="AW854" t="s">
        <v>783</v>
      </c>
      <c r="AX854" t="s">
        <v>1277</v>
      </c>
      <c r="AY854" t="s">
        <v>1307</v>
      </c>
      <c r="AZ854" t="s">
        <v>109</v>
      </c>
      <c r="BA854">
        <v>3</v>
      </c>
      <c r="BB854">
        <v>1</v>
      </c>
      <c r="BC854">
        <v>1.4096186E-2</v>
      </c>
      <c r="BD854">
        <v>1.55088650053763E-3</v>
      </c>
      <c r="BE854">
        <v>1.5647072500537599E-2</v>
      </c>
      <c r="BF854">
        <f>IF(AK854&lt;BE854,1,0)</f>
        <v>1</v>
      </c>
      <c r="BG854">
        <f>IF(AK854&lt;BC854,1,0)</f>
        <v>0</v>
      </c>
      <c r="BH854">
        <f>VLOOKUP($B854,[1]Data_Peer_with_peerVars!$B$2:$Z$1050,20,FALSE)</f>
        <v>2</v>
      </c>
      <c r="BI854">
        <f>VLOOKUP($B854,[1]Data_Peer_with_peerVars!$B$2:$Z$1050,21,FALSE)</f>
        <v>1</v>
      </c>
      <c r="BJ854">
        <f>VLOOKUP($B854,[1]Data_Peer_with_peerVars!$B$2:$Z$1050,22,FALSE)</f>
        <v>0.5</v>
      </c>
      <c r="BK854">
        <f>VLOOKUP($B854,[1]Data_Peer_with_peerVars!$B$2:$Z$1050,23,FALSE)</f>
        <v>15</v>
      </c>
      <c r="BL854">
        <f>VLOOKUP($B854,[1]Data_Peer_with_peerVars!$B$2:$Z$1050,24,FALSE)</f>
        <v>5</v>
      </c>
      <c r="BM854">
        <f>VLOOKUP($B854,[1]Data_Peer_with_peerVars!$B$2:$Z$1050,25,FALSE)</f>
        <v>0.33333333300000001</v>
      </c>
    </row>
    <row r="855" spans="1:65" x14ac:dyDescent="0.2">
      <c r="A855">
        <v>1</v>
      </c>
      <c r="B855" t="s">
        <v>1310</v>
      </c>
      <c r="C855">
        <v>515</v>
      </c>
      <c r="D855" t="s">
        <v>68</v>
      </c>
      <c r="E855">
        <v>0</v>
      </c>
      <c r="F855">
        <v>714</v>
      </c>
      <c r="G855" t="s">
        <v>119</v>
      </c>
      <c r="H855" s="1">
        <v>6</v>
      </c>
      <c r="J855" t="s">
        <v>82</v>
      </c>
      <c r="L855">
        <v>1</v>
      </c>
      <c r="M855">
        <v>0</v>
      </c>
      <c r="N855">
        <v>0</v>
      </c>
      <c r="O855">
        <v>0</v>
      </c>
      <c r="P855">
        <v>1</v>
      </c>
      <c r="Q855">
        <v>6</v>
      </c>
      <c r="R855">
        <v>0</v>
      </c>
      <c r="S855">
        <v>0</v>
      </c>
      <c r="T855">
        <v>0</v>
      </c>
      <c r="U855">
        <v>0</v>
      </c>
      <c r="V855">
        <f t="shared" si="374"/>
        <v>0</v>
      </c>
      <c r="W855">
        <f t="shared" si="375"/>
        <v>0</v>
      </c>
      <c r="X855">
        <f t="shared" si="378"/>
        <v>0</v>
      </c>
      <c r="Y855">
        <f t="shared" si="376"/>
        <v>1</v>
      </c>
      <c r="Z855" t="s">
        <v>91</v>
      </c>
      <c r="AA855" s="5" t="s">
        <v>91</v>
      </c>
      <c r="AB855" s="5" t="s">
        <v>1311</v>
      </c>
      <c r="AC855" t="s">
        <v>102</v>
      </c>
      <c r="AD855" t="s">
        <v>167</v>
      </c>
      <c r="AE855" s="5" t="s">
        <v>167</v>
      </c>
      <c r="AF855" t="s">
        <v>99</v>
      </c>
      <c r="AG855" t="s">
        <v>91</v>
      </c>
      <c r="AH855">
        <f>AN855</f>
        <v>0.13698630000000001</v>
      </c>
      <c r="AI855">
        <f t="shared" si="386"/>
        <v>0.11530054000000001</v>
      </c>
      <c r="AJ855">
        <f t="shared" si="377"/>
        <v>0.11530054000000001</v>
      </c>
      <c r="AK855">
        <v>0.11530054000000001</v>
      </c>
      <c r="AL855">
        <v>0.1215697</v>
      </c>
      <c r="AM855">
        <v>0.13631346999999999</v>
      </c>
      <c r="AN855">
        <v>0.13698630000000001</v>
      </c>
      <c r="AO855">
        <v>88.469945999999993</v>
      </c>
      <c r="AP855">
        <v>87.843029999999999</v>
      </c>
      <c r="AQ855">
        <v>86.368652999999995</v>
      </c>
      <c r="AR855">
        <v>86.301370000000006</v>
      </c>
      <c r="AS855" t="b">
        <v>0</v>
      </c>
      <c r="AT855" t="b">
        <v>0</v>
      </c>
      <c r="AU855" t="s">
        <v>78</v>
      </c>
      <c r="AV855" t="s">
        <v>78</v>
      </c>
      <c r="AW855" t="s">
        <v>783</v>
      </c>
      <c r="AX855" t="s">
        <v>1277</v>
      </c>
      <c r="AY855" t="s">
        <v>1307</v>
      </c>
      <c r="AZ855" t="s">
        <v>82</v>
      </c>
      <c r="BA855" t="s">
        <v>82</v>
      </c>
      <c r="BB855">
        <v>0.105</v>
      </c>
      <c r="BC855">
        <v>3.0153507999999998E-3</v>
      </c>
      <c r="BD855">
        <v>1.41556405228766E-4</v>
      </c>
      <c r="BE855">
        <v>3.1569072052287702E-3</v>
      </c>
      <c r="BF855">
        <f>IF(AK855&lt;BE855,1,0)</f>
        <v>0</v>
      </c>
      <c r="BG855">
        <f>IF(AK855&lt;BC855,1,0)</f>
        <v>0</v>
      </c>
      <c r="BH855">
        <f>VLOOKUP($B855,[1]Data_Peer_with_peerVars!$B$2:$Z$1050,20,FALSE)</f>
        <v>3</v>
      </c>
      <c r="BI855">
        <f>VLOOKUP($B855,[1]Data_Peer_with_peerVars!$B$2:$Z$1050,21,FALSE)</f>
        <v>2</v>
      </c>
      <c r="BJ855">
        <f>VLOOKUP($B855,[1]Data_Peer_with_peerVars!$B$2:$Z$1050,22,FALSE)</f>
        <v>0.66666666699999999</v>
      </c>
      <c r="BK855">
        <f>VLOOKUP($B855,[1]Data_Peer_with_peerVars!$B$2:$Z$1050,23,FALSE)</f>
        <v>14</v>
      </c>
      <c r="BL855">
        <f>VLOOKUP($B855,[1]Data_Peer_with_peerVars!$B$2:$Z$1050,24,FALSE)</f>
        <v>6</v>
      </c>
      <c r="BM855">
        <f>VLOOKUP($B855,[1]Data_Peer_with_peerVars!$B$2:$Z$1050,25,FALSE)</f>
        <v>0.428571429</v>
      </c>
    </row>
    <row r="856" spans="1:65" x14ac:dyDescent="0.2">
      <c r="A856">
        <v>1</v>
      </c>
      <c r="B856" t="s">
        <v>1312</v>
      </c>
      <c r="C856">
        <v>515</v>
      </c>
      <c r="D856" t="s">
        <v>68</v>
      </c>
      <c r="E856">
        <v>0</v>
      </c>
      <c r="F856">
        <v>714</v>
      </c>
      <c r="G856" t="s">
        <v>119</v>
      </c>
      <c r="H856" s="1">
        <v>6</v>
      </c>
      <c r="J856" t="s">
        <v>82</v>
      </c>
      <c r="L856">
        <v>1</v>
      </c>
      <c r="M856">
        <v>0</v>
      </c>
      <c r="N856">
        <v>0</v>
      </c>
      <c r="O856">
        <v>0</v>
      </c>
      <c r="P856">
        <v>1</v>
      </c>
      <c r="Q856">
        <v>6</v>
      </c>
      <c r="R856">
        <v>0</v>
      </c>
      <c r="S856">
        <v>0</v>
      </c>
      <c r="T856">
        <v>0</v>
      </c>
      <c r="U856">
        <v>0</v>
      </c>
      <c r="V856">
        <f t="shared" si="374"/>
        <v>1</v>
      </c>
      <c r="W856">
        <v>1</v>
      </c>
      <c r="X856">
        <v>1</v>
      </c>
      <c r="Y856">
        <v>1</v>
      </c>
      <c r="Z856" t="s">
        <v>91</v>
      </c>
      <c r="AA856" s="5" t="s">
        <v>91</v>
      </c>
      <c r="AB856" s="5" t="s">
        <v>105</v>
      </c>
      <c r="AC856" t="s">
        <v>91</v>
      </c>
      <c r="AD856" t="s">
        <v>287</v>
      </c>
      <c r="AE856" s="5" t="s">
        <v>287</v>
      </c>
      <c r="AF856" t="s">
        <v>137</v>
      </c>
      <c r="AG856" t="s">
        <v>84</v>
      </c>
      <c r="AH856">
        <f>AI856</f>
        <v>7.3810825000000004E-3</v>
      </c>
      <c r="AI856">
        <f>AJ856</f>
        <v>7.3810825000000004E-3</v>
      </c>
      <c r="AJ856">
        <f t="shared" si="377"/>
        <v>7.3810825000000004E-3</v>
      </c>
      <c r="AK856">
        <v>7.3810825000000004E-3</v>
      </c>
      <c r="AL856">
        <v>0.11693989</v>
      </c>
      <c r="AM856">
        <v>0.12861823999999999</v>
      </c>
      <c r="AN856">
        <v>0.1315934</v>
      </c>
      <c r="AO856">
        <v>99.261891750000004</v>
      </c>
      <c r="AP856">
        <v>88.306010999999998</v>
      </c>
      <c r="AQ856">
        <v>87.138176000000001</v>
      </c>
      <c r="AR856">
        <v>86.84066</v>
      </c>
      <c r="AS856" t="b">
        <v>1</v>
      </c>
      <c r="AT856" t="b">
        <v>0</v>
      </c>
      <c r="AU856" t="s">
        <v>77</v>
      </c>
      <c r="AV856" t="s">
        <v>78</v>
      </c>
      <c r="AW856" t="s">
        <v>783</v>
      </c>
      <c r="AX856" t="s">
        <v>1277</v>
      </c>
      <c r="AY856" t="s">
        <v>1307</v>
      </c>
      <c r="AZ856" t="s">
        <v>109</v>
      </c>
      <c r="BA856">
        <v>2</v>
      </c>
      <c r="BB856">
        <v>0.105</v>
      </c>
      <c r="BC856">
        <v>9.0659339999999995E-3</v>
      </c>
      <c r="BD856">
        <v>2.76583658862385E-3</v>
      </c>
      <c r="BE856">
        <v>1.1831770588623799E-2</v>
      </c>
      <c r="BF856">
        <f>IF(AK856&lt;BE856,1,0)</f>
        <v>1</v>
      </c>
      <c r="BG856">
        <f>IF(AK856&lt;BC856,1,0)</f>
        <v>1</v>
      </c>
      <c r="BH856">
        <f>VLOOKUP($B856,[1]Data_Peer_with_peerVars!$B$2:$Z$1050,20,FALSE)</f>
        <v>3</v>
      </c>
      <c r="BI856">
        <f>VLOOKUP($B856,[1]Data_Peer_with_peerVars!$B$2:$Z$1050,21,FALSE)</f>
        <v>2</v>
      </c>
      <c r="BJ856">
        <f>VLOOKUP($B856,[1]Data_Peer_with_peerVars!$B$2:$Z$1050,22,FALSE)</f>
        <v>0.66666666699999999</v>
      </c>
      <c r="BK856">
        <f>VLOOKUP($B856,[1]Data_Peer_with_peerVars!$B$2:$Z$1050,23,FALSE)</f>
        <v>14</v>
      </c>
      <c r="BL856">
        <f>VLOOKUP($B856,[1]Data_Peer_with_peerVars!$B$2:$Z$1050,24,FALSE)</f>
        <v>6</v>
      </c>
      <c r="BM856">
        <f>VLOOKUP($B856,[1]Data_Peer_with_peerVars!$B$2:$Z$1050,25,FALSE)</f>
        <v>0.428571429</v>
      </c>
    </row>
    <row r="857" spans="1:65" x14ac:dyDescent="0.2">
      <c r="A857">
        <v>1</v>
      </c>
      <c r="B857" t="s">
        <v>1313</v>
      </c>
      <c r="C857">
        <v>516</v>
      </c>
      <c r="D857" t="s">
        <v>68</v>
      </c>
      <c r="E857">
        <v>0</v>
      </c>
      <c r="F857">
        <v>724</v>
      </c>
      <c r="G857" t="s">
        <v>119</v>
      </c>
      <c r="H857" s="1">
        <v>6</v>
      </c>
      <c r="I857" t="s">
        <v>87</v>
      </c>
      <c r="J857" t="s">
        <v>150</v>
      </c>
      <c r="K857" t="s">
        <v>109</v>
      </c>
      <c r="L857">
        <v>1</v>
      </c>
      <c r="M857">
        <v>0</v>
      </c>
      <c r="N857">
        <v>1</v>
      </c>
      <c r="O857">
        <v>0</v>
      </c>
      <c r="P857">
        <v>0</v>
      </c>
      <c r="Q857">
        <v>6</v>
      </c>
      <c r="R857">
        <v>0</v>
      </c>
      <c r="S857">
        <v>0</v>
      </c>
      <c r="T857">
        <v>0</v>
      </c>
      <c r="U857">
        <v>0</v>
      </c>
      <c r="V857">
        <f t="shared" si="374"/>
        <v>0</v>
      </c>
      <c r="W857">
        <f t="shared" si="375"/>
        <v>0</v>
      </c>
      <c r="X857">
        <f t="shared" si="378"/>
        <v>0</v>
      </c>
      <c r="Y857">
        <f t="shared" si="376"/>
        <v>0</v>
      </c>
      <c r="Z857" t="s">
        <v>73</v>
      </c>
      <c r="AA857" s="5" t="s">
        <v>73</v>
      </c>
      <c r="AB857" s="5" t="s">
        <v>73</v>
      </c>
      <c r="AC857" t="s">
        <v>91</v>
      </c>
      <c r="AD857" t="s">
        <v>137</v>
      </c>
      <c r="AE857" s="5" t="s">
        <v>137</v>
      </c>
      <c r="AF857" t="s">
        <v>287</v>
      </c>
      <c r="AG857" t="s">
        <v>113</v>
      </c>
      <c r="AH857">
        <f t="shared" ref="AH857:AH860" si="387">AI857</f>
        <v>0.10448578</v>
      </c>
      <c r="AI857">
        <f t="shared" ref="AI857:AI858" si="388">AJ857</f>
        <v>0.10448578</v>
      </c>
      <c r="AJ857">
        <f t="shared" si="377"/>
        <v>0.10448578</v>
      </c>
      <c r="AK857">
        <v>0.10448578</v>
      </c>
      <c r="AL857">
        <v>0.10595303</v>
      </c>
      <c r="AM857">
        <v>0.13107592000000001</v>
      </c>
      <c r="AN857">
        <v>0.13269230000000001</v>
      </c>
      <c r="AO857">
        <v>89.551422000000002</v>
      </c>
      <c r="AP857">
        <v>89.404696999999999</v>
      </c>
      <c r="AQ857">
        <v>86.892408000000003</v>
      </c>
      <c r="AR857">
        <v>86.730770000000007</v>
      </c>
      <c r="AS857" t="b">
        <v>0</v>
      </c>
      <c r="AT857" t="b">
        <v>0</v>
      </c>
      <c r="AU857" t="s">
        <v>78</v>
      </c>
      <c r="AV857" t="s">
        <v>78</v>
      </c>
      <c r="AW857" t="s">
        <v>783</v>
      </c>
      <c r="AX857" t="s">
        <v>1277</v>
      </c>
      <c r="AY857" t="s">
        <v>1307</v>
      </c>
      <c r="AZ857" t="s">
        <v>109</v>
      </c>
      <c r="BA857">
        <v>2</v>
      </c>
      <c r="BB857">
        <v>0.35</v>
      </c>
      <c r="BC857">
        <v>9.0659339999999995E-3</v>
      </c>
      <c r="BD857">
        <v>2.76583658862385E-3</v>
      </c>
      <c r="BE857">
        <v>1.1831770588623799E-2</v>
      </c>
      <c r="BF857">
        <f>IF(AK857&lt;BE857,1,0)</f>
        <v>0</v>
      </c>
      <c r="BG857">
        <f>IF(AK857&lt;BC857,1,0)</f>
        <v>0</v>
      </c>
      <c r="BH857">
        <f>VLOOKUP($B857,[1]Data_Peer_with_peerVars!$B$2:$Z$1050,20,FALSE)</f>
        <v>0</v>
      </c>
      <c r="BI857">
        <f>VLOOKUP($B857,[1]Data_Peer_with_peerVars!$B$2:$Z$1050,21,FALSE)</f>
        <v>0</v>
      </c>
      <c r="BJ857">
        <v>0</v>
      </c>
      <c r="BK857">
        <f>VLOOKUP($B857,[1]Data_Peer_with_peerVars!$B$2:$Z$1050,23,FALSE)</f>
        <v>17</v>
      </c>
      <c r="BL857">
        <f>VLOOKUP($B857,[1]Data_Peer_with_peerVars!$B$2:$Z$1050,24,FALSE)</f>
        <v>8</v>
      </c>
      <c r="BM857">
        <f>VLOOKUP($B857,[1]Data_Peer_with_peerVars!$B$2:$Z$1050,25,FALSE)</f>
        <v>0.47058823500000002</v>
      </c>
    </row>
    <row r="858" spans="1:65" x14ac:dyDescent="0.2">
      <c r="A858">
        <v>1</v>
      </c>
      <c r="B858" t="s">
        <v>1314</v>
      </c>
      <c r="C858">
        <v>518</v>
      </c>
      <c r="D858" t="s">
        <v>68</v>
      </c>
      <c r="E858">
        <v>1</v>
      </c>
      <c r="F858">
        <v>635</v>
      </c>
      <c r="G858" t="s">
        <v>69</v>
      </c>
      <c r="H858" s="1">
        <v>0</v>
      </c>
      <c r="I858" t="s">
        <v>87</v>
      </c>
      <c r="J858" t="s">
        <v>124</v>
      </c>
      <c r="K858" t="s">
        <v>72</v>
      </c>
      <c r="L858">
        <v>1</v>
      </c>
      <c r="M858">
        <v>0</v>
      </c>
      <c r="N858">
        <v>0</v>
      </c>
      <c r="O858">
        <v>0</v>
      </c>
      <c r="P858">
        <v>0</v>
      </c>
      <c r="Q858">
        <v>6</v>
      </c>
      <c r="R858">
        <v>0</v>
      </c>
      <c r="S858">
        <v>0</v>
      </c>
      <c r="T858">
        <v>0</v>
      </c>
      <c r="U858">
        <v>0</v>
      </c>
      <c r="V858">
        <f t="shared" si="374"/>
        <v>0</v>
      </c>
      <c r="W858">
        <f t="shared" si="375"/>
        <v>0</v>
      </c>
      <c r="X858">
        <f t="shared" si="378"/>
        <v>0</v>
      </c>
      <c r="Y858">
        <f t="shared" si="376"/>
        <v>0</v>
      </c>
      <c r="Z858" t="s">
        <v>75</v>
      </c>
      <c r="AA858" s="5" t="s">
        <v>75</v>
      </c>
      <c r="AB858" s="5" t="s">
        <v>75</v>
      </c>
      <c r="AC858" t="s">
        <v>101</v>
      </c>
      <c r="AD858" t="s">
        <v>99</v>
      </c>
      <c r="AE858" s="5" t="s">
        <v>1085</v>
      </c>
      <c r="AF858" t="s">
        <v>103</v>
      </c>
      <c r="AG858" t="s">
        <v>95</v>
      </c>
      <c r="AH858">
        <f t="shared" si="387"/>
        <v>0.11257551</v>
      </c>
      <c r="AI858">
        <f t="shared" si="388"/>
        <v>0.11257551</v>
      </c>
      <c r="AJ858">
        <f t="shared" si="377"/>
        <v>0.11257551</v>
      </c>
      <c r="AK858">
        <v>0.11257551</v>
      </c>
      <c r="AL858">
        <v>0.11549063</v>
      </c>
      <c r="AM858">
        <v>0.12968062</v>
      </c>
      <c r="AN858">
        <v>0.13696009000000001</v>
      </c>
      <c r="AO858">
        <v>88.742448999999993</v>
      </c>
      <c r="AP858">
        <v>88.450936999999996</v>
      </c>
      <c r="AQ858">
        <v>87.031937999999997</v>
      </c>
      <c r="AR858">
        <v>86.303990999999996</v>
      </c>
      <c r="AS858" t="b">
        <v>0</v>
      </c>
      <c r="AT858" t="b">
        <v>0</v>
      </c>
      <c r="AU858" t="s">
        <v>108</v>
      </c>
      <c r="AV858" t="s">
        <v>108</v>
      </c>
      <c r="AW858" t="s">
        <v>783</v>
      </c>
      <c r="AX858" t="s">
        <v>1277</v>
      </c>
      <c r="AY858" t="s">
        <v>1315</v>
      </c>
      <c r="AZ858" t="s">
        <v>72</v>
      </c>
      <c r="BA858" t="s">
        <v>82</v>
      </c>
      <c r="BB858">
        <v>0.7</v>
      </c>
      <c r="BC858">
        <v>1.4096186E-2</v>
      </c>
      <c r="BD858">
        <v>1.55088650053763E-3</v>
      </c>
      <c r="BE858">
        <v>1.5647072500537599E-2</v>
      </c>
      <c r="BF858">
        <f>IF(AK858&lt;BE858,1,0)</f>
        <v>0</v>
      </c>
      <c r="BG858">
        <f>IF(AK858&lt;BC858,1,0)</f>
        <v>0</v>
      </c>
      <c r="BH858">
        <f>VLOOKUP($B858,[1]Data_Peer_with_peerVars!$B$2:$Z$1050,20,FALSE)</f>
        <v>1</v>
      </c>
      <c r="BI858">
        <f>VLOOKUP($B858,[1]Data_Peer_with_peerVars!$B$2:$Z$1050,21,FALSE)</f>
        <v>0</v>
      </c>
      <c r="BJ858">
        <f>VLOOKUP($B858,[1]Data_Peer_with_peerVars!$B$2:$Z$1050,22,FALSE)</f>
        <v>0</v>
      </c>
      <c r="BK858">
        <f>VLOOKUP($B858,[1]Data_Peer_with_peerVars!$B$2:$Z$1050,23,FALSE)</f>
        <v>11</v>
      </c>
      <c r="BL858">
        <f>VLOOKUP($B858,[1]Data_Peer_with_peerVars!$B$2:$Z$1050,24,FALSE)</f>
        <v>2</v>
      </c>
      <c r="BM858">
        <f>VLOOKUP($B858,[1]Data_Peer_with_peerVars!$B$2:$Z$1050,25,FALSE)</f>
        <v>0.18181818199999999</v>
      </c>
    </row>
    <row r="859" spans="1:65" x14ac:dyDescent="0.2">
      <c r="A859">
        <v>1</v>
      </c>
      <c r="B859" t="s">
        <v>1316</v>
      </c>
      <c r="C859">
        <v>519</v>
      </c>
      <c r="D859" t="s">
        <v>68</v>
      </c>
      <c r="E859">
        <v>0</v>
      </c>
      <c r="F859">
        <v>541</v>
      </c>
      <c r="G859" t="s">
        <v>97</v>
      </c>
      <c r="H859" s="1">
        <v>7</v>
      </c>
      <c r="I859" t="s">
        <v>87</v>
      </c>
      <c r="J859" t="s">
        <v>111</v>
      </c>
      <c r="K859" t="s">
        <v>109</v>
      </c>
      <c r="L859">
        <v>1</v>
      </c>
      <c r="M859">
        <v>0</v>
      </c>
      <c r="N859">
        <v>1</v>
      </c>
      <c r="O859">
        <v>0</v>
      </c>
      <c r="P859">
        <v>0</v>
      </c>
      <c r="Q859">
        <v>6</v>
      </c>
      <c r="R859">
        <v>0</v>
      </c>
      <c r="S859">
        <v>0</v>
      </c>
      <c r="T859">
        <v>0</v>
      </c>
      <c r="U859">
        <v>0</v>
      </c>
      <c r="V859">
        <f t="shared" si="374"/>
        <v>0</v>
      </c>
      <c r="W859">
        <f t="shared" si="375"/>
        <v>0</v>
      </c>
      <c r="X859">
        <f t="shared" si="378"/>
        <v>1</v>
      </c>
      <c r="Y859">
        <v>1</v>
      </c>
      <c r="Z859" t="s">
        <v>75</v>
      </c>
      <c r="AA859" s="5" t="s">
        <v>75</v>
      </c>
      <c r="AB859" s="5" t="s">
        <v>75</v>
      </c>
      <c r="AC859" t="s">
        <v>74</v>
      </c>
      <c r="AD859" t="s">
        <v>76</v>
      </c>
      <c r="AE859" s="5" t="s">
        <v>76</v>
      </c>
      <c r="AF859" t="s">
        <v>75</v>
      </c>
      <c r="AG859" t="s">
        <v>84</v>
      </c>
      <c r="AH859">
        <f t="shared" si="387"/>
        <v>0.10257817</v>
      </c>
      <c r="AI859">
        <f t="shared" ref="AI859:AI860" si="389">AM859</f>
        <v>0.10257817</v>
      </c>
      <c r="AJ859">
        <f t="shared" si="377"/>
        <v>5.3021980000000003E-2</v>
      </c>
      <c r="AK859">
        <v>5.3021980000000003E-2</v>
      </c>
      <c r="AL859">
        <v>6.9315070000000006E-2</v>
      </c>
      <c r="AM859">
        <v>0.10257817</v>
      </c>
      <c r="AN859">
        <v>0.106219046</v>
      </c>
      <c r="AO859">
        <v>94.697801999999996</v>
      </c>
      <c r="AP859">
        <v>93.068493000000004</v>
      </c>
      <c r="AQ859">
        <v>89.742182999999997</v>
      </c>
      <c r="AR859">
        <v>89.378095400000007</v>
      </c>
      <c r="AS859" t="b">
        <v>0</v>
      </c>
      <c r="AT859" t="b">
        <v>0</v>
      </c>
      <c r="AU859" t="s">
        <v>77</v>
      </c>
      <c r="AV859" t="s">
        <v>77</v>
      </c>
      <c r="AW859" t="s">
        <v>783</v>
      </c>
      <c r="AX859" t="s">
        <v>1277</v>
      </c>
      <c r="AY859" t="s">
        <v>1317</v>
      </c>
      <c r="AZ859" t="s">
        <v>109</v>
      </c>
      <c r="BA859">
        <v>2</v>
      </c>
      <c r="BB859">
        <v>1.4</v>
      </c>
      <c r="BC859">
        <v>2.4738868000000001E-3</v>
      </c>
      <c r="BD859">
        <v>1.4256942275279999E-4</v>
      </c>
      <c r="BE859">
        <v>2.6164562227527998E-3</v>
      </c>
      <c r="BF859">
        <f>IF(AK859&lt;BE859,1,0)</f>
        <v>0</v>
      </c>
      <c r="BG859">
        <f>IF(AK859&lt;BC859,1,0)</f>
        <v>0</v>
      </c>
      <c r="BH859">
        <f>VLOOKUP($B859,[1]Data_Peer_with_peerVars!$B$2:$Z$1050,20,FALSE)</f>
        <v>1</v>
      </c>
      <c r="BI859">
        <f>VLOOKUP($B859,[1]Data_Peer_with_peerVars!$B$2:$Z$1050,21,FALSE)</f>
        <v>0</v>
      </c>
      <c r="BJ859">
        <f>VLOOKUP($B859,[1]Data_Peer_with_peerVars!$B$2:$Z$1050,22,FALSE)</f>
        <v>0</v>
      </c>
      <c r="BK859">
        <f>VLOOKUP($B859,[1]Data_Peer_with_peerVars!$B$2:$Z$1050,23,FALSE)</f>
        <v>19</v>
      </c>
      <c r="BL859">
        <f>VLOOKUP($B859,[1]Data_Peer_with_peerVars!$B$2:$Z$1050,24,FALSE)</f>
        <v>7</v>
      </c>
      <c r="BM859">
        <f>VLOOKUP($B859,[1]Data_Peer_with_peerVars!$B$2:$Z$1050,25,FALSE)</f>
        <v>0.368421053</v>
      </c>
    </row>
    <row r="860" spans="1:65" x14ac:dyDescent="0.2">
      <c r="A860">
        <v>1</v>
      </c>
      <c r="B860" t="s">
        <v>1318</v>
      </c>
      <c r="C860">
        <v>520</v>
      </c>
      <c r="D860" t="s">
        <v>68</v>
      </c>
      <c r="E860">
        <v>1</v>
      </c>
      <c r="F860">
        <v>624</v>
      </c>
      <c r="G860" t="s">
        <v>86</v>
      </c>
      <c r="H860" s="1">
        <v>6</v>
      </c>
      <c r="I860" t="s">
        <v>87</v>
      </c>
      <c r="J860" t="s">
        <v>150</v>
      </c>
      <c r="K860" t="s">
        <v>109</v>
      </c>
      <c r="L860">
        <v>1</v>
      </c>
      <c r="M860">
        <v>0</v>
      </c>
      <c r="N860">
        <v>1</v>
      </c>
      <c r="O860">
        <v>0</v>
      </c>
      <c r="P860">
        <v>0</v>
      </c>
      <c r="Q860">
        <v>6</v>
      </c>
      <c r="R860">
        <v>0</v>
      </c>
      <c r="S860">
        <v>0</v>
      </c>
      <c r="T860">
        <v>0</v>
      </c>
      <c r="U860">
        <v>0</v>
      </c>
      <c r="V860">
        <f t="shared" si="374"/>
        <v>0</v>
      </c>
      <c r="W860">
        <f t="shared" si="375"/>
        <v>0</v>
      </c>
      <c r="X860">
        <f t="shared" si="378"/>
        <v>1</v>
      </c>
      <c r="Y860">
        <v>1</v>
      </c>
      <c r="Z860" t="s">
        <v>75</v>
      </c>
      <c r="AA860" s="5" t="s">
        <v>75</v>
      </c>
      <c r="AB860" s="5" t="s">
        <v>75</v>
      </c>
      <c r="AC860" t="s">
        <v>76</v>
      </c>
      <c r="AD860" t="s">
        <v>74</v>
      </c>
      <c r="AE860" s="5" t="s">
        <v>74</v>
      </c>
      <c r="AF860" t="s">
        <v>75</v>
      </c>
      <c r="AG860" t="s">
        <v>120</v>
      </c>
      <c r="AH860">
        <f t="shared" si="387"/>
        <v>0.11993428</v>
      </c>
      <c r="AI860">
        <f t="shared" si="389"/>
        <v>0.11993428</v>
      </c>
      <c r="AJ860">
        <f t="shared" si="377"/>
        <v>8.5019133999999996E-2</v>
      </c>
      <c r="AK860">
        <v>8.5019133999999996E-2</v>
      </c>
      <c r="AL860">
        <v>9.2978604000000006E-2</v>
      </c>
      <c r="AM860">
        <v>0.11993428</v>
      </c>
      <c r="AN860">
        <v>0.12055768</v>
      </c>
      <c r="AO860">
        <v>91.498086599999993</v>
      </c>
      <c r="AP860">
        <v>90.702139599999995</v>
      </c>
      <c r="AQ860">
        <v>88.006572000000006</v>
      </c>
      <c r="AR860">
        <v>87.944232</v>
      </c>
      <c r="AS860" t="b">
        <v>0</v>
      </c>
      <c r="AT860" t="b">
        <v>0</v>
      </c>
      <c r="AU860" t="s">
        <v>77</v>
      </c>
      <c r="AV860" t="s">
        <v>77</v>
      </c>
      <c r="AW860" t="s">
        <v>783</v>
      </c>
      <c r="AX860" t="s">
        <v>1277</v>
      </c>
      <c r="AY860" t="s">
        <v>1319</v>
      </c>
      <c r="AZ860" t="s">
        <v>109</v>
      </c>
      <c r="BA860">
        <v>1</v>
      </c>
      <c r="BB860">
        <v>0.7</v>
      </c>
      <c r="BC860">
        <v>7.7070764999999999E-2</v>
      </c>
      <c r="BD860">
        <v>1.90190515067399E-3</v>
      </c>
      <c r="BE860">
        <v>7.8972670150673996E-2</v>
      </c>
      <c r="BF860">
        <f>IF(AK860&lt;BE860,1,0)</f>
        <v>0</v>
      </c>
      <c r="BG860">
        <f>IF(AK860&lt;BC860,1,0)</f>
        <v>0</v>
      </c>
      <c r="BH860">
        <f>VLOOKUP($B860,[1]Data_Peer_with_peerVars!$B$2:$Z$1050,20,FALSE)</f>
        <v>2</v>
      </c>
      <c r="BI860">
        <f>VLOOKUP($B860,[1]Data_Peer_with_peerVars!$B$2:$Z$1050,21,FALSE)</f>
        <v>0</v>
      </c>
      <c r="BJ860">
        <f>VLOOKUP($B860,[1]Data_Peer_with_peerVars!$B$2:$Z$1050,22,FALSE)</f>
        <v>0</v>
      </c>
      <c r="BK860">
        <f>VLOOKUP($B860,[1]Data_Peer_with_peerVars!$B$2:$Z$1050,23,FALSE)</f>
        <v>20</v>
      </c>
      <c r="BL860">
        <f>VLOOKUP($B860,[1]Data_Peer_with_peerVars!$B$2:$Z$1050,24,FALSE)</f>
        <v>7</v>
      </c>
      <c r="BM860">
        <f>VLOOKUP($B860,[1]Data_Peer_with_peerVars!$B$2:$Z$1050,25,FALSE)</f>
        <v>0.35</v>
      </c>
    </row>
    <row r="861" spans="1:65" x14ac:dyDescent="0.2">
      <c r="A861">
        <v>1</v>
      </c>
      <c r="B861" t="s">
        <v>1320</v>
      </c>
      <c r="C861">
        <v>521</v>
      </c>
      <c r="D861" t="s">
        <v>68</v>
      </c>
      <c r="E861">
        <v>0</v>
      </c>
      <c r="F861">
        <v>636</v>
      </c>
      <c r="G861" t="s">
        <v>97</v>
      </c>
      <c r="H861" s="1">
        <v>4</v>
      </c>
      <c r="I861" t="s">
        <v>87</v>
      </c>
      <c r="J861" t="s">
        <v>150</v>
      </c>
      <c r="K861" t="s">
        <v>109</v>
      </c>
      <c r="L861">
        <v>1</v>
      </c>
      <c r="M861">
        <v>0</v>
      </c>
      <c r="N861">
        <v>1</v>
      </c>
      <c r="O861">
        <v>0</v>
      </c>
      <c r="P861">
        <v>0</v>
      </c>
      <c r="Q861">
        <v>11</v>
      </c>
      <c r="R861">
        <v>0</v>
      </c>
      <c r="S861">
        <v>0</v>
      </c>
      <c r="T861">
        <v>0</v>
      </c>
      <c r="U861">
        <v>0</v>
      </c>
      <c r="V861">
        <f t="shared" si="374"/>
        <v>0</v>
      </c>
      <c r="W861">
        <f t="shared" si="375"/>
        <v>0</v>
      </c>
      <c r="X861">
        <f t="shared" si="378"/>
        <v>0</v>
      </c>
      <c r="Y861">
        <f t="shared" si="376"/>
        <v>0</v>
      </c>
      <c r="Z861" t="s">
        <v>170</v>
      </c>
      <c r="AA861" s="5" t="s">
        <v>170</v>
      </c>
      <c r="AB861" s="5" t="s">
        <v>1287</v>
      </c>
      <c r="AC861" t="s">
        <v>91</v>
      </c>
      <c r="AD861" t="s">
        <v>287</v>
      </c>
      <c r="AE861" s="5" t="s">
        <v>287</v>
      </c>
      <c r="AF861" t="s">
        <v>137</v>
      </c>
      <c r="AG861" t="s">
        <v>113</v>
      </c>
      <c r="AH861">
        <f t="shared" ref="AH861:AH867" si="390">AI861</f>
        <v>8.9393109999999998E-2</v>
      </c>
      <c r="AI861">
        <f t="shared" ref="AI861:AI867" si="391">AJ861</f>
        <v>8.9393109999999998E-2</v>
      </c>
      <c r="AJ861">
        <f t="shared" si="377"/>
        <v>8.9393109999999998E-2</v>
      </c>
      <c r="AK861">
        <v>8.9393109999999998E-2</v>
      </c>
      <c r="AL861">
        <v>0.10343885999999999</v>
      </c>
      <c r="AM861">
        <v>0.12363537400000001</v>
      </c>
      <c r="AN861">
        <v>0.13261944000000001</v>
      </c>
      <c r="AO861">
        <v>91.060688999999996</v>
      </c>
      <c r="AP861">
        <v>89.656114000000002</v>
      </c>
      <c r="AQ861">
        <v>87.636462600000002</v>
      </c>
      <c r="AR861">
        <v>86.738056</v>
      </c>
      <c r="AS861" t="b">
        <v>0</v>
      </c>
      <c r="AT861" t="b">
        <v>0</v>
      </c>
      <c r="AU861" t="s">
        <v>92</v>
      </c>
      <c r="AV861" t="s">
        <v>92</v>
      </c>
      <c r="AW861" t="s">
        <v>783</v>
      </c>
      <c r="AX861" t="s">
        <v>1277</v>
      </c>
      <c r="AY861" t="s">
        <v>1319</v>
      </c>
      <c r="AZ861" t="s">
        <v>109</v>
      </c>
      <c r="BA861">
        <v>2</v>
      </c>
      <c r="BB861">
        <v>1</v>
      </c>
      <c r="BC861">
        <v>9.0659339999999995E-3</v>
      </c>
      <c r="BD861">
        <v>2.76583658862385E-3</v>
      </c>
      <c r="BE861">
        <v>1.1831770588623799E-2</v>
      </c>
      <c r="BF861">
        <f>IF(AK861&lt;BE861,1,0)</f>
        <v>0</v>
      </c>
      <c r="BG861">
        <f>IF(AK861&lt;BC861,1,0)</f>
        <v>0</v>
      </c>
      <c r="BH861">
        <f>VLOOKUP($B861,[1]Data_Peer_with_peerVars!$B$2:$Z$1050,20,FALSE)</f>
        <v>1</v>
      </c>
      <c r="BI861">
        <f>VLOOKUP($B861,[1]Data_Peer_with_peerVars!$B$2:$Z$1050,21,FALSE)</f>
        <v>0</v>
      </c>
      <c r="BJ861">
        <f>VLOOKUP($B861,[1]Data_Peer_with_peerVars!$B$2:$Z$1050,22,FALSE)</f>
        <v>0</v>
      </c>
      <c r="BK861">
        <f>VLOOKUP($B861,[1]Data_Peer_with_peerVars!$B$2:$Z$1050,23,FALSE)</f>
        <v>14</v>
      </c>
      <c r="BL861">
        <f>VLOOKUP($B861,[1]Data_Peer_with_peerVars!$B$2:$Z$1050,24,FALSE)</f>
        <v>4</v>
      </c>
      <c r="BM861">
        <f>VLOOKUP($B861,[1]Data_Peer_with_peerVars!$B$2:$Z$1050,25,FALSE)</f>
        <v>0.28571428599999998</v>
      </c>
    </row>
    <row r="862" spans="1:65" x14ac:dyDescent="0.2">
      <c r="A862">
        <v>1</v>
      </c>
      <c r="B862" t="s">
        <v>1321</v>
      </c>
      <c r="C862">
        <v>523</v>
      </c>
      <c r="D862" t="s">
        <v>68</v>
      </c>
      <c r="E862">
        <v>1</v>
      </c>
      <c r="F862">
        <v>826</v>
      </c>
      <c r="G862" t="s">
        <v>69</v>
      </c>
      <c r="H862" s="1">
        <v>6</v>
      </c>
      <c r="I862" t="s">
        <v>87</v>
      </c>
      <c r="J862" t="s">
        <v>111</v>
      </c>
      <c r="K862" t="s">
        <v>109</v>
      </c>
      <c r="L862">
        <v>1</v>
      </c>
      <c r="M862">
        <v>0</v>
      </c>
      <c r="N862">
        <v>1</v>
      </c>
      <c r="O862">
        <v>0</v>
      </c>
      <c r="P862">
        <v>1</v>
      </c>
      <c r="Q862">
        <v>7</v>
      </c>
      <c r="R862">
        <v>0</v>
      </c>
      <c r="S862">
        <v>0</v>
      </c>
      <c r="T862">
        <v>0</v>
      </c>
      <c r="U862">
        <v>0</v>
      </c>
      <c r="V862">
        <f t="shared" si="374"/>
        <v>0</v>
      </c>
      <c r="W862">
        <f t="shared" si="375"/>
        <v>0</v>
      </c>
      <c r="X862">
        <f t="shared" si="378"/>
        <v>0</v>
      </c>
      <c r="Y862">
        <f t="shared" si="376"/>
        <v>0</v>
      </c>
      <c r="Z862" t="s">
        <v>76</v>
      </c>
      <c r="AA862" s="5" t="s">
        <v>76</v>
      </c>
      <c r="AB862" s="5" t="s">
        <v>76</v>
      </c>
      <c r="AC862" t="s">
        <v>91</v>
      </c>
      <c r="AD862" t="s">
        <v>287</v>
      </c>
      <c r="AE862" s="5" t="s">
        <v>287</v>
      </c>
      <c r="AF862" t="s">
        <v>137</v>
      </c>
      <c r="AG862" t="s">
        <v>113</v>
      </c>
      <c r="AH862">
        <f t="shared" si="390"/>
        <v>8.0371789999999999E-2</v>
      </c>
      <c r="AI862">
        <f t="shared" si="391"/>
        <v>8.0371789999999999E-2</v>
      </c>
      <c r="AJ862">
        <f t="shared" si="377"/>
        <v>8.0371789999999999E-2</v>
      </c>
      <c r="AK862">
        <v>8.0371789999999999E-2</v>
      </c>
      <c r="AL862">
        <v>0.11135370999999999</v>
      </c>
      <c r="AM862">
        <v>0.12800217999999999</v>
      </c>
      <c r="AN862">
        <v>0.1372872</v>
      </c>
      <c r="AO862">
        <v>91.962821000000005</v>
      </c>
      <c r="AP862">
        <v>88.864628999999994</v>
      </c>
      <c r="AQ862">
        <v>87.199781999999999</v>
      </c>
      <c r="AR862">
        <v>86.271280000000004</v>
      </c>
      <c r="AS862" t="b">
        <v>0</v>
      </c>
      <c r="AT862" t="b">
        <v>0</v>
      </c>
      <c r="AU862" t="s">
        <v>77</v>
      </c>
      <c r="AV862" t="s">
        <v>78</v>
      </c>
      <c r="AW862" t="s">
        <v>783</v>
      </c>
      <c r="AX862" t="s">
        <v>1277</v>
      </c>
      <c r="AY862" t="s">
        <v>523</v>
      </c>
      <c r="AZ862" t="s">
        <v>109</v>
      </c>
      <c r="BA862">
        <v>1</v>
      </c>
      <c r="BB862">
        <v>0.7</v>
      </c>
      <c r="BC862">
        <v>9.0659339999999995E-3</v>
      </c>
      <c r="BD862">
        <v>2.76583658862385E-3</v>
      </c>
      <c r="BE862">
        <v>1.1831770588623799E-2</v>
      </c>
      <c r="BF862">
        <f>IF(AK862&lt;BE862,1,0)</f>
        <v>0</v>
      </c>
      <c r="BG862">
        <f>IF(AK862&lt;BC862,1,0)</f>
        <v>0</v>
      </c>
      <c r="BH862">
        <f>VLOOKUP($B862,[1]Data_Peer_with_peerVars!$B$2:$Z$1050,20,FALSE)</f>
        <v>1</v>
      </c>
      <c r="BI862">
        <f>VLOOKUP($B862,[1]Data_Peer_with_peerVars!$B$2:$Z$1050,21,FALSE)</f>
        <v>0</v>
      </c>
      <c r="BJ862">
        <f>VLOOKUP($B862,[1]Data_Peer_with_peerVars!$B$2:$Z$1050,22,FALSE)</f>
        <v>0</v>
      </c>
      <c r="BK862">
        <f>VLOOKUP($B862,[1]Data_Peer_with_peerVars!$B$2:$Z$1050,23,FALSE)</f>
        <v>16</v>
      </c>
      <c r="BL862">
        <f>VLOOKUP($B862,[1]Data_Peer_with_peerVars!$B$2:$Z$1050,24,FALSE)</f>
        <v>4</v>
      </c>
      <c r="BM862">
        <f>VLOOKUP($B862,[1]Data_Peer_with_peerVars!$B$2:$Z$1050,25,FALSE)</f>
        <v>0.25</v>
      </c>
    </row>
    <row r="863" spans="1:65" x14ac:dyDescent="0.2">
      <c r="A863">
        <v>1</v>
      </c>
      <c r="B863" t="s">
        <v>1322</v>
      </c>
      <c r="C863">
        <v>524</v>
      </c>
      <c r="D863" t="s">
        <v>68</v>
      </c>
      <c r="E863">
        <v>1</v>
      </c>
      <c r="F863">
        <v>381</v>
      </c>
      <c r="G863" t="s">
        <v>86</v>
      </c>
      <c r="H863" s="1">
        <v>7</v>
      </c>
      <c r="I863" t="s">
        <v>87</v>
      </c>
      <c r="J863" t="s">
        <v>150</v>
      </c>
      <c r="K863" t="s">
        <v>72</v>
      </c>
      <c r="L863">
        <v>2</v>
      </c>
      <c r="M863">
        <v>0</v>
      </c>
      <c r="N863">
        <v>0</v>
      </c>
      <c r="O863">
        <v>0</v>
      </c>
      <c r="P863">
        <v>0</v>
      </c>
      <c r="Q863">
        <v>0</v>
      </c>
      <c r="R863">
        <v>0</v>
      </c>
      <c r="S863">
        <v>0</v>
      </c>
      <c r="T863">
        <v>0</v>
      </c>
      <c r="U863">
        <v>0</v>
      </c>
      <c r="V863">
        <f t="shared" si="374"/>
        <v>0</v>
      </c>
      <c r="W863">
        <f t="shared" si="375"/>
        <v>0</v>
      </c>
      <c r="X863">
        <f t="shared" si="378"/>
        <v>0</v>
      </c>
      <c r="Y863">
        <f t="shared" si="376"/>
        <v>0</v>
      </c>
      <c r="Z863" t="s">
        <v>98</v>
      </c>
      <c r="AA863" s="5" t="s">
        <v>170</v>
      </c>
      <c r="AB863" s="5" t="s">
        <v>908</v>
      </c>
      <c r="AC863" t="s">
        <v>101</v>
      </c>
      <c r="AD863" t="s">
        <v>99</v>
      </c>
      <c r="AE863" s="5" t="s">
        <v>99</v>
      </c>
      <c r="AF863" t="s">
        <v>103</v>
      </c>
      <c r="AG863" t="s">
        <v>102</v>
      </c>
      <c r="AH863">
        <f t="shared" si="390"/>
        <v>6.0989010000000003E-2</v>
      </c>
      <c r="AI863">
        <f t="shared" si="391"/>
        <v>6.0989010000000003E-2</v>
      </c>
      <c r="AJ863">
        <f t="shared" si="377"/>
        <v>6.0989010000000003E-2</v>
      </c>
      <c r="AK863">
        <v>6.0989010000000003E-2</v>
      </c>
      <c r="AL863">
        <v>8.0022073999999999E-2</v>
      </c>
      <c r="AM863">
        <v>9.9558740000000007E-2</v>
      </c>
      <c r="AN863">
        <v>0.12759562999999999</v>
      </c>
      <c r="AO863">
        <v>93.901099000000002</v>
      </c>
      <c r="AP863">
        <v>91.997792599999997</v>
      </c>
      <c r="AQ863">
        <v>90.044126000000006</v>
      </c>
      <c r="AR863">
        <v>87.240437</v>
      </c>
      <c r="AS863" t="b">
        <v>0</v>
      </c>
      <c r="AT863" t="b">
        <v>0</v>
      </c>
      <c r="AU863" t="s">
        <v>92</v>
      </c>
      <c r="AV863" t="s">
        <v>92</v>
      </c>
      <c r="AW863" t="s">
        <v>783</v>
      </c>
      <c r="AX863" t="s">
        <v>1277</v>
      </c>
      <c r="AY863" t="s">
        <v>1323</v>
      </c>
      <c r="AZ863" t="s">
        <v>72</v>
      </c>
      <c r="BA863" t="s">
        <v>82</v>
      </c>
      <c r="BB863">
        <v>0.7</v>
      </c>
      <c r="BC863">
        <v>1.4096186E-2</v>
      </c>
      <c r="BD863">
        <v>1.55088650053763E-3</v>
      </c>
      <c r="BE863">
        <v>1.5647072500537599E-2</v>
      </c>
      <c r="BF863">
        <f>IF(AK863&lt;BE863,1,0)</f>
        <v>0</v>
      </c>
      <c r="BG863">
        <f>IF(AK863&lt;BC863,1,0)</f>
        <v>0</v>
      </c>
      <c r="BH863">
        <f>VLOOKUP($B863,[1]Data_Peer_with_peerVars!$B$2:$Z$1050,20,FALSE)</f>
        <v>4</v>
      </c>
      <c r="BI863">
        <f>VLOOKUP($B863,[1]Data_Peer_with_peerVars!$B$2:$Z$1050,21,FALSE)</f>
        <v>1</v>
      </c>
      <c r="BJ863">
        <f>VLOOKUP($B863,[1]Data_Peer_with_peerVars!$B$2:$Z$1050,22,FALSE)</f>
        <v>0.25</v>
      </c>
      <c r="BK863">
        <f>VLOOKUP($B863,[1]Data_Peer_with_peerVars!$B$2:$Z$1050,23,FALSE)</f>
        <v>48</v>
      </c>
      <c r="BL863">
        <f>VLOOKUP($B863,[1]Data_Peer_with_peerVars!$B$2:$Z$1050,24,FALSE)</f>
        <v>18</v>
      </c>
      <c r="BM863">
        <f>VLOOKUP($B863,[1]Data_Peer_with_peerVars!$B$2:$Z$1050,25,FALSE)</f>
        <v>0.375</v>
      </c>
    </row>
    <row r="864" spans="1:65" x14ac:dyDescent="0.2">
      <c r="A864">
        <v>1</v>
      </c>
      <c r="B864" t="s">
        <v>1324</v>
      </c>
      <c r="C864">
        <v>525</v>
      </c>
      <c r="D864" t="s">
        <v>68</v>
      </c>
      <c r="E864">
        <v>1</v>
      </c>
      <c r="F864">
        <v>383</v>
      </c>
      <c r="G864" t="s">
        <v>69</v>
      </c>
      <c r="H864" s="1">
        <v>7</v>
      </c>
      <c r="I864" t="s">
        <v>87</v>
      </c>
      <c r="J864" t="s">
        <v>111</v>
      </c>
      <c r="K864" t="s">
        <v>109</v>
      </c>
      <c r="L864">
        <v>1</v>
      </c>
      <c r="M864">
        <v>0</v>
      </c>
      <c r="N864">
        <v>1</v>
      </c>
      <c r="O864">
        <v>0</v>
      </c>
      <c r="P864">
        <v>1</v>
      </c>
      <c r="Q864">
        <v>6</v>
      </c>
      <c r="R864">
        <v>0</v>
      </c>
      <c r="S864">
        <v>0</v>
      </c>
      <c r="T864">
        <v>0</v>
      </c>
      <c r="U864">
        <v>0</v>
      </c>
      <c r="V864">
        <f t="shared" si="374"/>
        <v>0</v>
      </c>
      <c r="W864">
        <f t="shared" si="375"/>
        <v>0</v>
      </c>
      <c r="X864">
        <f t="shared" si="378"/>
        <v>0</v>
      </c>
      <c r="Y864">
        <f t="shared" si="376"/>
        <v>0</v>
      </c>
      <c r="Z864" t="s">
        <v>98</v>
      </c>
      <c r="AA864" s="5" t="s">
        <v>273</v>
      </c>
      <c r="AB864" s="5" t="s">
        <v>1325</v>
      </c>
      <c r="AC864" t="s">
        <v>101</v>
      </c>
      <c r="AD864" t="s">
        <v>99</v>
      </c>
      <c r="AE864" s="5" t="s">
        <v>99</v>
      </c>
      <c r="AF864" t="s">
        <v>103</v>
      </c>
      <c r="AG864" t="s">
        <v>102</v>
      </c>
      <c r="AH864">
        <f t="shared" si="390"/>
        <v>6.2087912000000002E-2</v>
      </c>
      <c r="AI864">
        <f t="shared" si="391"/>
        <v>6.2087912000000002E-2</v>
      </c>
      <c r="AJ864">
        <f t="shared" si="377"/>
        <v>6.2087912000000002E-2</v>
      </c>
      <c r="AK864">
        <v>6.2087912000000002E-2</v>
      </c>
      <c r="AL864">
        <v>8.1125825999999998E-2</v>
      </c>
      <c r="AM864">
        <v>9.9337750000000002E-2</v>
      </c>
      <c r="AN864">
        <v>0.12622950999999999</v>
      </c>
      <c r="AO864">
        <v>93.791208800000007</v>
      </c>
      <c r="AP864">
        <v>91.887417400000004</v>
      </c>
      <c r="AQ864">
        <v>90.066225000000003</v>
      </c>
      <c r="AR864">
        <v>87.377049</v>
      </c>
      <c r="AS864" t="b">
        <v>0</v>
      </c>
      <c r="AT864" t="b">
        <v>0</v>
      </c>
      <c r="AU864" t="s">
        <v>92</v>
      </c>
      <c r="AV864" t="s">
        <v>92</v>
      </c>
      <c r="AW864" t="s">
        <v>783</v>
      </c>
      <c r="AX864" t="s">
        <v>1277</v>
      </c>
      <c r="AY864" t="s">
        <v>1326</v>
      </c>
      <c r="AZ864" t="s">
        <v>109</v>
      </c>
      <c r="BA864">
        <v>3</v>
      </c>
      <c r="BB864">
        <v>0.5</v>
      </c>
      <c r="BC864">
        <v>1.4096186E-2</v>
      </c>
      <c r="BD864">
        <v>1.55088650053763E-3</v>
      </c>
      <c r="BE864">
        <v>1.5647072500537599E-2</v>
      </c>
      <c r="BF864">
        <f>IF(AK864&lt;BE864,1,0)</f>
        <v>0</v>
      </c>
      <c r="BG864">
        <f>IF(AK864&lt;BC864,1,0)</f>
        <v>0</v>
      </c>
      <c r="BH864">
        <f>VLOOKUP($B864,[1]Data_Peer_with_peerVars!$B$2:$Z$1050,20,FALSE)</f>
        <v>2</v>
      </c>
      <c r="BI864">
        <f>VLOOKUP($B864,[1]Data_Peer_with_peerVars!$B$2:$Z$1050,21,FALSE)</f>
        <v>1</v>
      </c>
      <c r="BJ864">
        <f>VLOOKUP($B864,[1]Data_Peer_with_peerVars!$B$2:$Z$1050,22,FALSE)</f>
        <v>0.5</v>
      </c>
      <c r="BK864">
        <f>VLOOKUP($B864,[1]Data_Peer_with_peerVars!$B$2:$Z$1050,23,FALSE)</f>
        <v>47</v>
      </c>
      <c r="BL864">
        <f>VLOOKUP($B864,[1]Data_Peer_with_peerVars!$B$2:$Z$1050,24,FALSE)</f>
        <v>18</v>
      </c>
      <c r="BM864">
        <f>VLOOKUP($B864,[1]Data_Peer_with_peerVars!$B$2:$Z$1050,25,FALSE)</f>
        <v>0.38297872300000002</v>
      </c>
    </row>
    <row r="865" spans="1:65" x14ac:dyDescent="0.2">
      <c r="A865">
        <v>1</v>
      </c>
      <c r="B865" t="s">
        <v>1327</v>
      </c>
      <c r="C865">
        <v>525</v>
      </c>
      <c r="D865" t="s">
        <v>68</v>
      </c>
      <c r="E865">
        <v>1</v>
      </c>
      <c r="F865">
        <v>383</v>
      </c>
      <c r="G865" t="s">
        <v>69</v>
      </c>
      <c r="H865" s="1">
        <v>7</v>
      </c>
      <c r="I865" t="s">
        <v>87</v>
      </c>
      <c r="J865" t="s">
        <v>111</v>
      </c>
      <c r="K865" t="s">
        <v>109</v>
      </c>
      <c r="L865">
        <v>1</v>
      </c>
      <c r="M865">
        <v>0</v>
      </c>
      <c r="N865">
        <v>1</v>
      </c>
      <c r="O865">
        <v>0</v>
      </c>
      <c r="P865">
        <v>1</v>
      </c>
      <c r="Q865">
        <v>6</v>
      </c>
      <c r="R865">
        <v>0</v>
      </c>
      <c r="S865">
        <v>0</v>
      </c>
      <c r="T865">
        <v>0</v>
      </c>
      <c r="U865">
        <v>0</v>
      </c>
      <c r="V865">
        <f t="shared" si="374"/>
        <v>0</v>
      </c>
      <c r="W865">
        <f t="shared" si="375"/>
        <v>0</v>
      </c>
      <c r="X865">
        <f t="shared" si="378"/>
        <v>0</v>
      </c>
      <c r="Y865">
        <f t="shared" si="376"/>
        <v>0</v>
      </c>
      <c r="Z865" t="s">
        <v>91</v>
      </c>
      <c r="AA865" s="5" t="s">
        <v>91</v>
      </c>
      <c r="AB865" s="5" t="s">
        <v>998</v>
      </c>
      <c r="AC865" t="s">
        <v>103</v>
      </c>
      <c r="AD865" t="s">
        <v>137</v>
      </c>
      <c r="AE865" s="5" t="s">
        <v>497</v>
      </c>
      <c r="AF865" t="s">
        <v>113</v>
      </c>
      <c r="AG865" t="s">
        <v>287</v>
      </c>
      <c r="AH865">
        <f t="shared" si="390"/>
        <v>0.113711454</v>
      </c>
      <c r="AI865">
        <f t="shared" si="391"/>
        <v>0.113711454</v>
      </c>
      <c r="AJ865">
        <f t="shared" si="377"/>
        <v>0.113711454</v>
      </c>
      <c r="AK865">
        <v>0.113711454</v>
      </c>
      <c r="AL865">
        <v>0.11660295</v>
      </c>
      <c r="AM865">
        <v>0.12225274999999999</v>
      </c>
      <c r="AN865">
        <v>0.12506825999999999</v>
      </c>
      <c r="AO865">
        <v>88.628854599999997</v>
      </c>
      <c r="AP865">
        <v>88.339704999999995</v>
      </c>
      <c r="AQ865">
        <v>87.774725000000004</v>
      </c>
      <c r="AR865">
        <v>87.493173999999996</v>
      </c>
      <c r="AS865" t="b">
        <v>0</v>
      </c>
      <c r="AT865" t="b">
        <v>0</v>
      </c>
      <c r="AU865" t="s">
        <v>78</v>
      </c>
      <c r="AV865" t="s">
        <v>108</v>
      </c>
      <c r="AW865" t="s">
        <v>783</v>
      </c>
      <c r="AX865" t="s">
        <v>1277</v>
      </c>
      <c r="AY865" t="s">
        <v>1326</v>
      </c>
      <c r="AZ865" t="s">
        <v>109</v>
      </c>
      <c r="BA865">
        <v>5</v>
      </c>
      <c r="BB865">
        <v>2.5</v>
      </c>
      <c r="BC865">
        <v>1.8406593999999998E-2</v>
      </c>
      <c r="BD865">
        <v>3.30705390234067E-4</v>
      </c>
      <c r="BE865">
        <v>1.8737299390234101E-2</v>
      </c>
      <c r="BF865">
        <f>IF(AK865&lt;BE865,1,0)</f>
        <v>0</v>
      </c>
      <c r="BG865">
        <f>IF(AK865&lt;BC865,1,0)</f>
        <v>0</v>
      </c>
      <c r="BH865">
        <f>VLOOKUP($B865,[1]Data_Peer_with_peerVars!$B$2:$Z$1050,20,FALSE)</f>
        <v>2</v>
      </c>
      <c r="BI865">
        <f>VLOOKUP($B865,[1]Data_Peer_with_peerVars!$B$2:$Z$1050,21,FALSE)</f>
        <v>1</v>
      </c>
      <c r="BJ865">
        <f>VLOOKUP($B865,[1]Data_Peer_with_peerVars!$B$2:$Z$1050,22,FALSE)</f>
        <v>0.5</v>
      </c>
      <c r="BK865">
        <f>VLOOKUP($B865,[1]Data_Peer_with_peerVars!$B$2:$Z$1050,23,FALSE)</f>
        <v>47</v>
      </c>
      <c r="BL865">
        <f>VLOOKUP($B865,[1]Data_Peer_with_peerVars!$B$2:$Z$1050,24,FALSE)</f>
        <v>18</v>
      </c>
      <c r="BM865">
        <f>VLOOKUP($B865,[1]Data_Peer_with_peerVars!$B$2:$Z$1050,25,FALSE)</f>
        <v>0.38297872300000002</v>
      </c>
    </row>
    <row r="866" spans="1:65" x14ac:dyDescent="0.2">
      <c r="A866">
        <v>1</v>
      </c>
      <c r="B866" t="s">
        <v>1328</v>
      </c>
      <c r="C866">
        <v>526</v>
      </c>
      <c r="D866" t="s">
        <v>68</v>
      </c>
      <c r="E866">
        <v>1</v>
      </c>
      <c r="F866">
        <v>384</v>
      </c>
      <c r="G866" t="s">
        <v>69</v>
      </c>
      <c r="H866" s="1">
        <v>7</v>
      </c>
      <c r="M866">
        <v>1</v>
      </c>
      <c r="N866">
        <v>1</v>
      </c>
      <c r="R866">
        <v>1</v>
      </c>
      <c r="S866">
        <v>1</v>
      </c>
      <c r="T866">
        <v>1</v>
      </c>
      <c r="U866">
        <v>1</v>
      </c>
      <c r="V866">
        <f t="shared" si="374"/>
        <v>0</v>
      </c>
      <c r="W866">
        <f t="shared" si="375"/>
        <v>0</v>
      </c>
      <c r="X866">
        <f t="shared" si="378"/>
        <v>0</v>
      </c>
      <c r="Y866">
        <f t="shared" si="376"/>
        <v>0</v>
      </c>
      <c r="Z866" t="s">
        <v>89</v>
      </c>
      <c r="AA866" s="5" t="s">
        <v>82</v>
      </c>
      <c r="AB866" s="5" t="s">
        <v>82</v>
      </c>
      <c r="AC866" t="s">
        <v>196</v>
      </c>
      <c r="AD866" t="s">
        <v>198</v>
      </c>
      <c r="AE866" s="5" t="s">
        <v>506</v>
      </c>
      <c r="AF866" t="s">
        <v>173</v>
      </c>
      <c r="AG866" t="s">
        <v>174</v>
      </c>
      <c r="AH866">
        <f t="shared" si="390"/>
        <v>2.2203945999999999E-2</v>
      </c>
      <c r="AI866">
        <f t="shared" si="391"/>
        <v>2.2203945999999999E-2</v>
      </c>
      <c r="AJ866">
        <f t="shared" si="377"/>
        <v>2.2203945999999999E-2</v>
      </c>
      <c r="AK866">
        <v>2.2203945999999999E-2</v>
      </c>
      <c r="AL866">
        <v>3.5203520000000002E-2</v>
      </c>
      <c r="AM866">
        <v>4.187192E-2</v>
      </c>
      <c r="AN866">
        <v>4.7971489999999999E-2</v>
      </c>
      <c r="AO866">
        <v>97.779605399999994</v>
      </c>
      <c r="AP866">
        <v>96.479647999999997</v>
      </c>
      <c r="AQ866">
        <v>95.812808000000004</v>
      </c>
      <c r="AR866">
        <v>95.202850999999995</v>
      </c>
      <c r="AS866" t="s">
        <v>82</v>
      </c>
      <c r="AT866" t="s">
        <v>82</v>
      </c>
      <c r="AU866" t="s">
        <v>77</v>
      </c>
      <c r="AV866" t="s">
        <v>108</v>
      </c>
      <c r="AW866" t="s">
        <v>783</v>
      </c>
      <c r="AX866" t="s">
        <v>784</v>
      </c>
      <c r="AY866" t="s">
        <v>1323</v>
      </c>
      <c r="AZ866" t="s">
        <v>82</v>
      </c>
      <c r="BA866" t="s">
        <v>82</v>
      </c>
      <c r="BB866" t="s">
        <v>82</v>
      </c>
      <c r="BC866">
        <v>2.6736494E-2</v>
      </c>
      <c r="BD866">
        <v>2.13125818054995E-3</v>
      </c>
      <c r="BE866">
        <v>2.8867752180549901E-2</v>
      </c>
      <c r="BF866">
        <f>IF(AK866&lt;BE866,1,0)</f>
        <v>1</v>
      </c>
      <c r="BG866">
        <f>IF(AK866&lt;BC866,1,0)</f>
        <v>1</v>
      </c>
    </row>
    <row r="867" spans="1:65" x14ac:dyDescent="0.2">
      <c r="A867">
        <v>1</v>
      </c>
      <c r="B867" t="s">
        <v>1329</v>
      </c>
      <c r="C867">
        <v>527</v>
      </c>
      <c r="D867" t="s">
        <v>68</v>
      </c>
      <c r="E867">
        <v>1</v>
      </c>
      <c r="F867">
        <v>386</v>
      </c>
      <c r="G867" t="s">
        <v>86</v>
      </c>
      <c r="H867" s="1">
        <v>7</v>
      </c>
      <c r="I867" t="s">
        <v>87</v>
      </c>
      <c r="J867" t="s">
        <v>150</v>
      </c>
      <c r="K867" t="s">
        <v>109</v>
      </c>
      <c r="L867">
        <v>1</v>
      </c>
      <c r="M867">
        <v>0</v>
      </c>
      <c r="N867">
        <v>0</v>
      </c>
      <c r="O867">
        <v>0</v>
      </c>
      <c r="P867">
        <v>0</v>
      </c>
      <c r="Q867">
        <v>6</v>
      </c>
      <c r="R867">
        <v>0</v>
      </c>
      <c r="S867">
        <v>0</v>
      </c>
      <c r="T867">
        <v>0</v>
      </c>
      <c r="U867">
        <v>0</v>
      </c>
      <c r="V867">
        <f t="shared" si="374"/>
        <v>0</v>
      </c>
      <c r="W867">
        <f t="shared" si="375"/>
        <v>0</v>
      </c>
      <c r="X867">
        <f t="shared" si="378"/>
        <v>0</v>
      </c>
      <c r="Y867">
        <f t="shared" si="376"/>
        <v>0</v>
      </c>
      <c r="Z867" t="s">
        <v>98</v>
      </c>
      <c r="AA867" s="5" t="s">
        <v>170</v>
      </c>
      <c r="AB867" s="5" t="s">
        <v>908</v>
      </c>
      <c r="AC867" t="s">
        <v>287</v>
      </c>
      <c r="AD867" t="s">
        <v>137</v>
      </c>
      <c r="AE867" s="5" t="s">
        <v>305</v>
      </c>
      <c r="AF867" t="s">
        <v>91</v>
      </c>
      <c r="AG867" t="s">
        <v>113</v>
      </c>
      <c r="AH867">
        <f t="shared" si="390"/>
        <v>0.11381004</v>
      </c>
      <c r="AI867">
        <f t="shared" si="391"/>
        <v>0.11381004</v>
      </c>
      <c r="AJ867">
        <f t="shared" si="377"/>
        <v>0.11381004</v>
      </c>
      <c r="AK867">
        <v>0.11381004</v>
      </c>
      <c r="AL867">
        <v>0.11926856</v>
      </c>
      <c r="AM867">
        <v>0.12301804</v>
      </c>
      <c r="AN867">
        <v>0.13563976</v>
      </c>
      <c r="AO867">
        <v>88.618995999999996</v>
      </c>
      <c r="AP867">
        <v>88.073143999999999</v>
      </c>
      <c r="AQ867">
        <v>87.698195999999996</v>
      </c>
      <c r="AR867">
        <v>86.436024000000003</v>
      </c>
      <c r="AS867" t="b">
        <v>0</v>
      </c>
      <c r="AT867" t="b">
        <v>0</v>
      </c>
      <c r="AU867" t="s">
        <v>92</v>
      </c>
      <c r="AV867" t="s">
        <v>92</v>
      </c>
      <c r="AW867" t="s">
        <v>783</v>
      </c>
      <c r="AX867" t="s">
        <v>1277</v>
      </c>
      <c r="AY867" t="s">
        <v>1323</v>
      </c>
      <c r="AZ867" t="s">
        <v>109</v>
      </c>
      <c r="BA867">
        <v>2</v>
      </c>
      <c r="BB867">
        <v>2</v>
      </c>
      <c r="BC867">
        <v>5.5106750000000003E-2</v>
      </c>
      <c r="BD867">
        <v>2.4361461616194298E-3</v>
      </c>
      <c r="BE867">
        <v>5.7542896161619402E-2</v>
      </c>
      <c r="BF867">
        <f>IF(AK867&lt;BE867,1,0)</f>
        <v>0</v>
      </c>
      <c r="BG867">
        <f>IF(AK867&lt;BC867,1,0)</f>
        <v>0</v>
      </c>
      <c r="BH867">
        <f>VLOOKUP($B867,[1]Data_Peer_with_peerVars!$B$2:$Z$1050,20,FALSE)</f>
        <v>2</v>
      </c>
      <c r="BI867">
        <f>VLOOKUP($B867,[1]Data_Peer_with_peerVars!$B$2:$Z$1050,21,FALSE)</f>
        <v>1</v>
      </c>
      <c r="BJ867">
        <f>VLOOKUP($B867,[1]Data_Peer_with_peerVars!$B$2:$Z$1050,22,FALSE)</f>
        <v>0.5</v>
      </c>
      <c r="BK867">
        <f>VLOOKUP($B867,[1]Data_Peer_with_peerVars!$B$2:$Z$1050,23,FALSE)</f>
        <v>33</v>
      </c>
      <c r="BL867">
        <f>VLOOKUP($B867,[1]Data_Peer_with_peerVars!$B$2:$Z$1050,24,FALSE)</f>
        <v>11</v>
      </c>
      <c r="BM867">
        <f>VLOOKUP($B867,[1]Data_Peer_with_peerVars!$B$2:$Z$1050,25,FALSE)</f>
        <v>0.33333333300000001</v>
      </c>
    </row>
    <row r="868" spans="1:65" x14ac:dyDescent="0.2">
      <c r="A868">
        <v>1</v>
      </c>
      <c r="B868" t="s">
        <v>1330</v>
      </c>
      <c r="C868">
        <v>533</v>
      </c>
      <c r="D868" t="s">
        <v>68</v>
      </c>
      <c r="E868">
        <v>0</v>
      </c>
      <c r="F868">
        <v>602</v>
      </c>
      <c r="G868" t="s">
        <v>119</v>
      </c>
      <c r="H868" s="1">
        <v>5.5</v>
      </c>
      <c r="I868" t="s">
        <v>70</v>
      </c>
      <c r="J868" t="s">
        <v>301</v>
      </c>
      <c r="K868" t="s">
        <v>109</v>
      </c>
      <c r="L868">
        <v>2</v>
      </c>
      <c r="M868">
        <v>0</v>
      </c>
      <c r="N868">
        <v>0</v>
      </c>
      <c r="O868">
        <v>0</v>
      </c>
      <c r="P868">
        <v>0</v>
      </c>
      <c r="Q868">
        <v>0</v>
      </c>
      <c r="R868">
        <v>0</v>
      </c>
      <c r="S868">
        <v>0</v>
      </c>
      <c r="T868">
        <v>0</v>
      </c>
      <c r="U868">
        <v>0</v>
      </c>
      <c r="V868">
        <f t="shared" si="374"/>
        <v>1</v>
      </c>
      <c r="W868">
        <v>1</v>
      </c>
      <c r="X868">
        <v>1</v>
      </c>
      <c r="Y868">
        <v>1</v>
      </c>
      <c r="Z868" t="s">
        <v>73</v>
      </c>
      <c r="AA868" s="5" t="s">
        <v>73</v>
      </c>
      <c r="AB868" s="5" t="s">
        <v>73</v>
      </c>
      <c r="AC868" t="s">
        <v>73</v>
      </c>
      <c r="AD868" t="s">
        <v>94</v>
      </c>
      <c r="AE868" s="5" t="s">
        <v>106</v>
      </c>
      <c r="AF868" t="s">
        <v>95</v>
      </c>
      <c r="AG868" t="s">
        <v>75</v>
      </c>
      <c r="AH868">
        <f>AI868</f>
        <v>2.8625953999999999E-2</v>
      </c>
      <c r="AI868">
        <f>AJ868</f>
        <v>2.8625953999999999E-2</v>
      </c>
      <c r="AJ868">
        <f t="shared" si="377"/>
        <v>2.8625953999999999E-2</v>
      </c>
      <c r="AK868">
        <v>2.8625953999999999E-2</v>
      </c>
      <c r="AL868">
        <v>0.12486338600000001</v>
      </c>
      <c r="AM868">
        <v>0.1381291</v>
      </c>
      <c r="AN868">
        <v>0.13828039</v>
      </c>
      <c r="AO868">
        <v>97.137404599999996</v>
      </c>
      <c r="AP868">
        <v>87.513661400000004</v>
      </c>
      <c r="AQ868">
        <v>86.187089999999998</v>
      </c>
      <c r="AR868">
        <v>86.171960999999996</v>
      </c>
      <c r="AS868" t="b">
        <v>1</v>
      </c>
      <c r="AT868" t="b">
        <v>0</v>
      </c>
      <c r="AU868" t="s">
        <v>77</v>
      </c>
      <c r="AV868" t="s">
        <v>108</v>
      </c>
      <c r="AW868" t="s">
        <v>783</v>
      </c>
      <c r="AX868" t="s">
        <v>1277</v>
      </c>
      <c r="AY868" t="s">
        <v>1323</v>
      </c>
      <c r="AZ868" t="s">
        <v>109</v>
      </c>
      <c r="BA868">
        <v>2</v>
      </c>
      <c r="BB868">
        <v>1.5</v>
      </c>
      <c r="BC868">
        <v>4.1163553999999996E-3</v>
      </c>
      <c r="BD868">
        <v>1.4279989108178799E-4</v>
      </c>
      <c r="BE868">
        <v>4.2591552910817903E-3</v>
      </c>
      <c r="BF868">
        <f>IF(AK868&lt;BE868,1,0)</f>
        <v>0</v>
      </c>
      <c r="BG868">
        <f>IF(AK868&lt;BC868,1,0)</f>
        <v>0</v>
      </c>
      <c r="BH868">
        <f>VLOOKUP($B868,[1]Data_Peer_with_peerVars!$B$2:$Z$1050,20,FALSE)</f>
        <v>4</v>
      </c>
      <c r="BI868">
        <f>VLOOKUP($B868,[1]Data_Peer_with_peerVars!$B$2:$Z$1050,21,FALSE)</f>
        <v>0</v>
      </c>
      <c r="BJ868">
        <f>VLOOKUP($B868,[1]Data_Peer_with_peerVars!$B$2:$Z$1050,22,FALSE)</f>
        <v>0</v>
      </c>
      <c r="BK868">
        <f>VLOOKUP($B868,[1]Data_Peer_with_peerVars!$B$2:$Z$1050,23,FALSE)</f>
        <v>44</v>
      </c>
      <c r="BL868">
        <f>VLOOKUP($B868,[1]Data_Peer_with_peerVars!$B$2:$Z$1050,24,FALSE)</f>
        <v>16</v>
      </c>
      <c r="BM868">
        <f>VLOOKUP($B868,[1]Data_Peer_with_peerVars!$B$2:$Z$1050,25,FALSE)</f>
        <v>0.36363636399999999</v>
      </c>
    </row>
    <row r="869" spans="1:65" x14ac:dyDescent="0.2">
      <c r="A869">
        <v>1</v>
      </c>
      <c r="B869" t="s">
        <v>1331</v>
      </c>
      <c r="C869">
        <v>535</v>
      </c>
      <c r="D869" t="s">
        <v>68</v>
      </c>
      <c r="E869">
        <v>1</v>
      </c>
      <c r="F869">
        <v>449</v>
      </c>
      <c r="G869" t="s">
        <v>86</v>
      </c>
      <c r="H869" s="1">
        <v>7</v>
      </c>
      <c r="I869" t="s">
        <v>70</v>
      </c>
      <c r="J869" t="s">
        <v>301</v>
      </c>
      <c r="K869" t="s">
        <v>109</v>
      </c>
      <c r="L869">
        <v>1</v>
      </c>
      <c r="M869">
        <v>0</v>
      </c>
      <c r="N869">
        <v>1</v>
      </c>
      <c r="O869">
        <v>0</v>
      </c>
      <c r="P869">
        <v>1</v>
      </c>
      <c r="Q869">
        <v>9</v>
      </c>
      <c r="R869">
        <v>0</v>
      </c>
      <c r="S869">
        <v>0</v>
      </c>
      <c r="T869">
        <v>1</v>
      </c>
      <c r="U869">
        <v>1</v>
      </c>
      <c r="V869">
        <f t="shared" si="374"/>
        <v>0</v>
      </c>
      <c r="W869">
        <f t="shared" si="375"/>
        <v>0</v>
      </c>
      <c r="X869">
        <f t="shared" si="378"/>
        <v>0</v>
      </c>
      <c r="Y869">
        <f t="shared" si="376"/>
        <v>0</v>
      </c>
      <c r="Z869" t="s">
        <v>170</v>
      </c>
      <c r="AA869" s="5" t="s">
        <v>170</v>
      </c>
      <c r="AB869" s="5" t="s">
        <v>1287</v>
      </c>
      <c r="AC869" t="s">
        <v>73</v>
      </c>
      <c r="AD869" t="s">
        <v>94</v>
      </c>
      <c r="AE869" s="5" t="s">
        <v>106</v>
      </c>
      <c r="AF869" t="s">
        <v>107</v>
      </c>
      <c r="AG869" t="s">
        <v>95</v>
      </c>
      <c r="AH869">
        <f t="shared" ref="AH869:AH871" si="392">AI869</f>
        <v>3.8167940000000001E-3</v>
      </c>
      <c r="AI869">
        <f t="shared" ref="AI869:AI871" si="393">AJ869</f>
        <v>3.8167940000000001E-3</v>
      </c>
      <c r="AJ869">
        <f t="shared" si="377"/>
        <v>3.8167940000000001E-3</v>
      </c>
      <c r="AK869">
        <v>3.8167940000000001E-3</v>
      </c>
      <c r="AL869">
        <v>0.13169399000000001</v>
      </c>
      <c r="AM869">
        <v>0.13623904000000001</v>
      </c>
      <c r="AN869">
        <v>0.13867615</v>
      </c>
      <c r="AO869">
        <v>99.618320600000004</v>
      </c>
      <c r="AP869">
        <v>86.830601000000001</v>
      </c>
      <c r="AQ869">
        <v>86.376096000000004</v>
      </c>
      <c r="AR869">
        <v>86.132384999999999</v>
      </c>
      <c r="AS869" t="b">
        <v>0</v>
      </c>
      <c r="AT869" t="b">
        <v>0</v>
      </c>
      <c r="AU869" t="s">
        <v>92</v>
      </c>
      <c r="AV869" t="s">
        <v>92</v>
      </c>
      <c r="AW869" t="s">
        <v>783</v>
      </c>
      <c r="AX869" t="s">
        <v>1277</v>
      </c>
      <c r="AY869" t="s">
        <v>1332</v>
      </c>
      <c r="AZ869" t="s">
        <v>109</v>
      </c>
      <c r="BA869">
        <v>2</v>
      </c>
      <c r="BB869">
        <v>1</v>
      </c>
      <c r="BC869">
        <v>4.1163553999999996E-3</v>
      </c>
      <c r="BD869">
        <v>1.4279989108178799E-4</v>
      </c>
      <c r="BE869">
        <v>4.2591552910817903E-3</v>
      </c>
      <c r="BF869">
        <f>IF(AK869&lt;BE869,1,0)</f>
        <v>1</v>
      </c>
      <c r="BG869">
        <f>IF(AK869&lt;BC869,1,0)</f>
        <v>1</v>
      </c>
      <c r="BH869">
        <f>VLOOKUP($B869,[1]Data_Peer_with_peerVars!$B$2:$Z$1050,20,FALSE)</f>
        <v>0</v>
      </c>
      <c r="BI869">
        <f>VLOOKUP($B869,[1]Data_Peer_with_peerVars!$B$2:$Z$1050,21,FALSE)</f>
        <v>0</v>
      </c>
      <c r="BJ869">
        <v>0</v>
      </c>
      <c r="BK869">
        <f>VLOOKUP($B869,[1]Data_Peer_with_peerVars!$B$2:$Z$1050,23,FALSE)</f>
        <v>43</v>
      </c>
      <c r="BL869">
        <f>VLOOKUP($B869,[1]Data_Peer_with_peerVars!$B$2:$Z$1050,24,FALSE)</f>
        <v>15</v>
      </c>
      <c r="BM869">
        <f>VLOOKUP($B869,[1]Data_Peer_with_peerVars!$B$2:$Z$1050,25,FALSE)</f>
        <v>0.34883720899999998</v>
      </c>
    </row>
    <row r="870" spans="1:65" x14ac:dyDescent="0.2">
      <c r="A870">
        <v>1</v>
      </c>
      <c r="B870" t="s">
        <v>1333</v>
      </c>
      <c r="C870">
        <v>536</v>
      </c>
      <c r="D870" t="s">
        <v>68</v>
      </c>
      <c r="E870">
        <v>1</v>
      </c>
      <c r="F870">
        <v>492</v>
      </c>
      <c r="G870" t="s">
        <v>86</v>
      </c>
      <c r="H870" s="1">
        <v>5</v>
      </c>
      <c r="I870" t="s">
        <v>70</v>
      </c>
      <c r="J870" t="s">
        <v>301</v>
      </c>
      <c r="K870" t="s">
        <v>109</v>
      </c>
      <c r="L870">
        <v>1</v>
      </c>
      <c r="M870">
        <v>0</v>
      </c>
      <c r="N870">
        <v>1</v>
      </c>
      <c r="O870">
        <v>0</v>
      </c>
      <c r="P870">
        <v>0</v>
      </c>
      <c r="Q870">
        <v>16</v>
      </c>
      <c r="R870">
        <v>0</v>
      </c>
      <c r="S870">
        <v>0</v>
      </c>
      <c r="T870">
        <v>0</v>
      </c>
      <c r="U870">
        <v>0</v>
      </c>
      <c r="V870">
        <f t="shared" si="374"/>
        <v>0</v>
      </c>
      <c r="W870">
        <f t="shared" si="375"/>
        <v>0</v>
      </c>
      <c r="X870">
        <f t="shared" si="378"/>
        <v>0</v>
      </c>
      <c r="Y870">
        <f t="shared" si="376"/>
        <v>0</v>
      </c>
      <c r="Z870" t="s">
        <v>73</v>
      </c>
      <c r="AA870" s="5" t="s">
        <v>73</v>
      </c>
      <c r="AB870" s="5" t="s">
        <v>73</v>
      </c>
      <c r="AC870" t="s">
        <v>74</v>
      </c>
      <c r="AD870" t="s">
        <v>76</v>
      </c>
      <c r="AE870" s="5" t="s">
        <v>76</v>
      </c>
      <c r="AF870" t="s">
        <v>120</v>
      </c>
      <c r="AG870" t="s">
        <v>75</v>
      </c>
      <c r="AH870">
        <f t="shared" si="392"/>
        <v>8.5753425999999994E-2</v>
      </c>
      <c r="AI870">
        <f t="shared" si="393"/>
        <v>8.5753425999999994E-2</v>
      </c>
      <c r="AJ870">
        <f t="shared" si="377"/>
        <v>8.5753425999999994E-2</v>
      </c>
      <c r="AK870">
        <v>8.5753425999999994E-2</v>
      </c>
      <c r="AL870">
        <v>9.2349730000000005E-2</v>
      </c>
      <c r="AM870">
        <v>0.11441835</v>
      </c>
      <c r="AN870">
        <v>0.11870897</v>
      </c>
      <c r="AO870">
        <v>91.424657400000001</v>
      </c>
      <c r="AP870">
        <v>90.765027000000003</v>
      </c>
      <c r="AQ870">
        <v>88.558165000000002</v>
      </c>
      <c r="AR870">
        <v>88.129103000000001</v>
      </c>
      <c r="AS870" t="b">
        <v>0</v>
      </c>
      <c r="AT870" t="b">
        <v>0</v>
      </c>
      <c r="AU870" t="s">
        <v>77</v>
      </c>
      <c r="AV870" t="s">
        <v>77</v>
      </c>
      <c r="AW870" t="s">
        <v>783</v>
      </c>
      <c r="AX870" t="s">
        <v>1277</v>
      </c>
      <c r="AY870" t="s">
        <v>1334</v>
      </c>
      <c r="AZ870" t="s">
        <v>109</v>
      </c>
      <c r="BA870">
        <v>4</v>
      </c>
      <c r="BB870">
        <v>1</v>
      </c>
      <c r="BC870">
        <v>2.4738868000000001E-3</v>
      </c>
      <c r="BD870">
        <v>1.4256942275279999E-4</v>
      </c>
      <c r="BE870">
        <v>2.6164562227527998E-3</v>
      </c>
      <c r="BF870">
        <f>IF(AK870&lt;BE870,1,0)</f>
        <v>0</v>
      </c>
      <c r="BG870">
        <f>IF(AK870&lt;BC870,1,0)</f>
        <v>0</v>
      </c>
      <c r="BH870">
        <f>VLOOKUP($B870,[1]Data_Peer_with_peerVars!$B$2:$Z$1050,20,FALSE)</f>
        <v>0</v>
      </c>
      <c r="BI870">
        <f>VLOOKUP($B870,[1]Data_Peer_with_peerVars!$B$2:$Z$1050,21,FALSE)</f>
        <v>0</v>
      </c>
      <c r="BJ870">
        <v>0</v>
      </c>
      <c r="BK870">
        <f>VLOOKUP($B870,[1]Data_Peer_with_peerVars!$B$2:$Z$1050,23,FALSE)</f>
        <v>14</v>
      </c>
      <c r="BL870">
        <f>VLOOKUP($B870,[1]Data_Peer_with_peerVars!$B$2:$Z$1050,24,FALSE)</f>
        <v>3</v>
      </c>
      <c r="BM870">
        <f>VLOOKUP($B870,[1]Data_Peer_with_peerVars!$B$2:$Z$1050,25,FALSE)</f>
        <v>0.21428571399999999</v>
      </c>
    </row>
    <row r="871" spans="1:65" x14ac:dyDescent="0.2">
      <c r="A871">
        <v>1</v>
      </c>
      <c r="B871" t="s">
        <v>1335</v>
      </c>
      <c r="C871">
        <v>536</v>
      </c>
      <c r="D871" t="s">
        <v>68</v>
      </c>
      <c r="E871">
        <v>1</v>
      </c>
      <c r="F871">
        <v>492</v>
      </c>
      <c r="G871" t="s">
        <v>86</v>
      </c>
      <c r="H871" s="1">
        <v>5</v>
      </c>
      <c r="I871" t="s">
        <v>70</v>
      </c>
      <c r="J871" t="s">
        <v>301</v>
      </c>
      <c r="K871" t="s">
        <v>109</v>
      </c>
      <c r="L871">
        <v>1</v>
      </c>
      <c r="M871">
        <v>0</v>
      </c>
      <c r="N871">
        <v>1</v>
      </c>
      <c r="O871">
        <v>0</v>
      </c>
      <c r="P871">
        <v>0</v>
      </c>
      <c r="Q871">
        <v>16</v>
      </c>
      <c r="R871">
        <v>0</v>
      </c>
      <c r="S871">
        <v>0</v>
      </c>
      <c r="T871">
        <v>0</v>
      </c>
      <c r="U871">
        <v>0</v>
      </c>
      <c r="V871">
        <f t="shared" si="374"/>
        <v>0</v>
      </c>
      <c r="W871">
        <f t="shared" si="375"/>
        <v>0</v>
      </c>
      <c r="X871">
        <f t="shared" si="378"/>
        <v>0</v>
      </c>
      <c r="Y871">
        <f t="shared" si="376"/>
        <v>0</v>
      </c>
      <c r="Z871" t="s">
        <v>89</v>
      </c>
      <c r="AA871" s="5" t="s">
        <v>82</v>
      </c>
      <c r="AB871" s="5" t="s">
        <v>82</v>
      </c>
      <c r="AC871" t="s">
        <v>76</v>
      </c>
      <c r="AD871" t="s">
        <v>101</v>
      </c>
      <c r="AE871" s="5" t="s">
        <v>101</v>
      </c>
      <c r="AF871" t="s">
        <v>74</v>
      </c>
      <c r="AG871" t="s">
        <v>167</v>
      </c>
      <c r="AH871">
        <f t="shared" si="392"/>
        <v>0.12903224999999999</v>
      </c>
      <c r="AI871">
        <f t="shared" si="393"/>
        <v>0.12903224999999999</v>
      </c>
      <c r="AJ871">
        <f t="shared" si="377"/>
        <v>0.12903224999999999</v>
      </c>
      <c r="AK871">
        <v>0.12903224999999999</v>
      </c>
      <c r="AL871">
        <v>0.13598900999999999</v>
      </c>
      <c r="AM871">
        <v>0.13741086</v>
      </c>
      <c r="AN871">
        <v>0.13850794999999999</v>
      </c>
      <c r="AO871">
        <v>87.096774999999994</v>
      </c>
      <c r="AP871">
        <v>86.401099000000002</v>
      </c>
      <c r="AQ871">
        <v>86.258914000000004</v>
      </c>
      <c r="AR871">
        <v>86.149204999999995</v>
      </c>
      <c r="AS871" t="s">
        <v>82</v>
      </c>
      <c r="AT871" t="s">
        <v>82</v>
      </c>
      <c r="AU871" t="s">
        <v>78</v>
      </c>
      <c r="AV871" t="s">
        <v>78</v>
      </c>
      <c r="AW871" t="s">
        <v>783</v>
      </c>
      <c r="AX871" t="s">
        <v>1277</v>
      </c>
      <c r="AY871" t="s">
        <v>1334</v>
      </c>
      <c r="AZ871" t="s">
        <v>82</v>
      </c>
      <c r="BA871" t="s">
        <v>82</v>
      </c>
      <c r="BB871" t="s">
        <v>82</v>
      </c>
      <c r="BC871">
        <v>7.7070764999999999E-2</v>
      </c>
      <c r="BD871">
        <v>1.90190515067399E-3</v>
      </c>
      <c r="BE871">
        <v>7.8972670150673996E-2</v>
      </c>
      <c r="BF871">
        <f>IF(AK871&lt;BE871,1,0)</f>
        <v>0</v>
      </c>
      <c r="BG871">
        <f>IF(AK871&lt;BC871,1,0)</f>
        <v>0</v>
      </c>
    </row>
    <row r="872" spans="1:65" x14ac:dyDescent="0.2">
      <c r="A872">
        <v>1</v>
      </c>
      <c r="B872" t="s">
        <v>1336</v>
      </c>
      <c r="C872">
        <v>537</v>
      </c>
      <c r="D872" t="s">
        <v>68</v>
      </c>
      <c r="E872">
        <v>1</v>
      </c>
      <c r="F872">
        <v>518</v>
      </c>
      <c r="G872" t="s">
        <v>69</v>
      </c>
      <c r="H872" s="1">
        <v>2</v>
      </c>
      <c r="I872" t="s">
        <v>87</v>
      </c>
      <c r="J872" t="s">
        <v>150</v>
      </c>
      <c r="K872" t="s">
        <v>109</v>
      </c>
      <c r="L872">
        <v>1</v>
      </c>
      <c r="M872">
        <v>0</v>
      </c>
      <c r="N872">
        <v>1</v>
      </c>
      <c r="O872">
        <v>0</v>
      </c>
      <c r="P872">
        <v>0</v>
      </c>
      <c r="Q872">
        <v>17</v>
      </c>
      <c r="R872">
        <v>0</v>
      </c>
      <c r="S872">
        <v>0</v>
      </c>
      <c r="T872">
        <v>0</v>
      </c>
      <c r="U872">
        <v>0</v>
      </c>
      <c r="V872">
        <f t="shared" si="374"/>
        <v>1</v>
      </c>
      <c r="W872">
        <v>1</v>
      </c>
      <c r="X872">
        <v>1</v>
      </c>
      <c r="Y872">
        <v>1</v>
      </c>
      <c r="Z872" t="s">
        <v>73</v>
      </c>
      <c r="AA872" s="5" t="s">
        <v>73</v>
      </c>
      <c r="AB872" s="5" t="s">
        <v>158</v>
      </c>
      <c r="AC872" t="s">
        <v>73</v>
      </c>
      <c r="AD872" t="s">
        <v>91</v>
      </c>
      <c r="AE872" s="5" t="s">
        <v>91</v>
      </c>
      <c r="AF872" t="s">
        <v>94</v>
      </c>
      <c r="AG872" t="s">
        <v>137</v>
      </c>
      <c r="AH872">
        <f>AI872</f>
        <v>8.1014729999999993E-2</v>
      </c>
      <c r="AI872">
        <f>AJ872</f>
        <v>8.1014729999999993E-2</v>
      </c>
      <c r="AJ872">
        <f t="shared" si="377"/>
        <v>8.1014729999999993E-2</v>
      </c>
      <c r="AK872">
        <v>8.1014729999999993E-2</v>
      </c>
      <c r="AL872">
        <v>8.2603940000000001E-2</v>
      </c>
      <c r="AM872">
        <v>0.13599126</v>
      </c>
      <c r="AN872">
        <v>0.14145276000000001</v>
      </c>
      <c r="AO872">
        <v>91.898527000000001</v>
      </c>
      <c r="AP872">
        <v>91.739605999999995</v>
      </c>
      <c r="AQ872">
        <v>86.400874000000002</v>
      </c>
      <c r="AR872">
        <v>85.854724000000004</v>
      </c>
      <c r="AS872" t="b">
        <v>1</v>
      </c>
      <c r="AT872" t="b">
        <v>0</v>
      </c>
      <c r="AU872" t="s">
        <v>77</v>
      </c>
      <c r="AV872" t="s">
        <v>77</v>
      </c>
      <c r="AW872" t="s">
        <v>783</v>
      </c>
      <c r="AX872" t="s">
        <v>1039</v>
      </c>
      <c r="AY872" t="s">
        <v>1337</v>
      </c>
      <c r="AZ872" t="s">
        <v>109</v>
      </c>
      <c r="BA872">
        <v>2</v>
      </c>
      <c r="BB872">
        <v>2.5</v>
      </c>
      <c r="BC872">
        <v>4.1163553999999996E-3</v>
      </c>
      <c r="BD872">
        <v>1.4279989108178799E-4</v>
      </c>
      <c r="BE872">
        <v>4.2591552910817903E-3</v>
      </c>
      <c r="BF872">
        <f>IF(AK872&lt;BE872,1,0)</f>
        <v>0</v>
      </c>
      <c r="BG872">
        <f>IF(AK872&lt;BC872,1,0)</f>
        <v>0</v>
      </c>
      <c r="BH872">
        <f>VLOOKUP($B872,[1]Data_Peer_with_peerVars!$B$2:$Z$1050,20,FALSE)</f>
        <v>1</v>
      </c>
      <c r="BI872">
        <f>VLOOKUP($B872,[1]Data_Peer_with_peerVars!$B$2:$Z$1050,21,FALSE)</f>
        <v>0</v>
      </c>
      <c r="BJ872">
        <f>VLOOKUP($B872,[1]Data_Peer_with_peerVars!$B$2:$Z$1050,22,FALSE)</f>
        <v>0</v>
      </c>
      <c r="BK872">
        <f>VLOOKUP($B872,[1]Data_Peer_with_peerVars!$B$2:$Z$1050,23,FALSE)</f>
        <v>39</v>
      </c>
      <c r="BL872">
        <f>VLOOKUP($B872,[1]Data_Peer_with_peerVars!$B$2:$Z$1050,24,FALSE)</f>
        <v>12</v>
      </c>
      <c r="BM872">
        <f>VLOOKUP($B872,[1]Data_Peer_with_peerVars!$B$2:$Z$1050,25,FALSE)</f>
        <v>0.30769230800000003</v>
      </c>
    </row>
    <row r="873" spans="1:65" x14ac:dyDescent="0.2">
      <c r="A873">
        <v>1</v>
      </c>
      <c r="B873" t="s">
        <v>1338</v>
      </c>
      <c r="C873">
        <v>538</v>
      </c>
      <c r="D873" t="s">
        <v>68</v>
      </c>
      <c r="E873">
        <v>1</v>
      </c>
      <c r="F873">
        <v>590</v>
      </c>
      <c r="G873" t="s">
        <v>69</v>
      </c>
      <c r="H873" s="1">
        <v>3</v>
      </c>
      <c r="I873" t="s">
        <v>70</v>
      </c>
      <c r="J873" t="s">
        <v>301</v>
      </c>
      <c r="K873" t="s">
        <v>109</v>
      </c>
      <c r="L873">
        <v>1</v>
      </c>
      <c r="M873">
        <v>0</v>
      </c>
      <c r="N873">
        <v>1</v>
      </c>
      <c r="O873">
        <v>0</v>
      </c>
      <c r="P873">
        <v>0</v>
      </c>
      <c r="Q873">
        <v>12</v>
      </c>
      <c r="R873">
        <v>1</v>
      </c>
      <c r="S873">
        <v>1</v>
      </c>
      <c r="T873">
        <v>1</v>
      </c>
      <c r="U873">
        <v>1</v>
      </c>
      <c r="V873">
        <f t="shared" si="374"/>
        <v>0</v>
      </c>
      <c r="W873">
        <f t="shared" si="375"/>
        <v>0</v>
      </c>
      <c r="X873">
        <f t="shared" si="378"/>
        <v>0</v>
      </c>
      <c r="Y873">
        <f t="shared" si="376"/>
        <v>0</v>
      </c>
      <c r="Z873" t="s">
        <v>73</v>
      </c>
      <c r="AA873" s="5" t="s">
        <v>73</v>
      </c>
      <c r="AB873" s="5" t="s">
        <v>158</v>
      </c>
      <c r="AC873" t="s">
        <v>107</v>
      </c>
      <c r="AD873" t="s">
        <v>95</v>
      </c>
      <c r="AE873" s="5" t="s">
        <v>95</v>
      </c>
      <c r="AF873" t="s">
        <v>173</v>
      </c>
      <c r="AG873" t="s">
        <v>174</v>
      </c>
      <c r="AH873">
        <f t="shared" ref="AH873:AH875" si="394">AI873</f>
        <v>1.8619934000000001E-2</v>
      </c>
      <c r="AI873">
        <f t="shared" ref="AI873:AI880" si="395">AJ873</f>
        <v>1.8619934000000001E-2</v>
      </c>
      <c r="AJ873">
        <f t="shared" si="377"/>
        <v>1.8619934000000001E-2</v>
      </c>
      <c r="AK873">
        <v>1.8619934000000001E-2</v>
      </c>
      <c r="AL873">
        <v>7.4671774999999996E-2</v>
      </c>
      <c r="AM873">
        <v>9.2299290000000006E-2</v>
      </c>
      <c r="AN873">
        <v>9.4912469999999999E-2</v>
      </c>
      <c r="AO873">
        <v>98.138006599999997</v>
      </c>
      <c r="AP873">
        <v>92.532822499999995</v>
      </c>
      <c r="AQ873">
        <v>90.770071000000002</v>
      </c>
      <c r="AR873">
        <v>90.508752999999999</v>
      </c>
      <c r="AS873" t="b">
        <v>0</v>
      </c>
      <c r="AT873" t="b">
        <v>0</v>
      </c>
      <c r="AU873" t="s">
        <v>77</v>
      </c>
      <c r="AV873" t="s">
        <v>77</v>
      </c>
      <c r="AW873" t="s">
        <v>783</v>
      </c>
      <c r="AX873" t="s">
        <v>1277</v>
      </c>
      <c r="AY873" t="s">
        <v>1339</v>
      </c>
      <c r="AZ873" t="s">
        <v>109</v>
      </c>
      <c r="BA873">
        <v>2</v>
      </c>
      <c r="BB873">
        <v>1</v>
      </c>
      <c r="BC873">
        <v>2.6475456000000001E-2</v>
      </c>
      <c r="BD873">
        <v>8.8330364056477401E-3</v>
      </c>
      <c r="BE873">
        <v>3.53084924056477E-2</v>
      </c>
      <c r="BF873">
        <f>IF(AK873&lt;BE873,1,0)</f>
        <v>1</v>
      </c>
      <c r="BG873">
        <f>IF(AK873&lt;BC873,1,0)</f>
        <v>1</v>
      </c>
      <c r="BH873">
        <f>VLOOKUP($B873,[1]Data_Peer_with_peerVars!$B$2:$Z$1050,20,FALSE)</f>
        <v>2</v>
      </c>
      <c r="BI873">
        <f>VLOOKUP($B873,[1]Data_Peer_with_peerVars!$B$2:$Z$1050,21,FALSE)</f>
        <v>1</v>
      </c>
      <c r="BJ873">
        <f>VLOOKUP($B873,[1]Data_Peer_with_peerVars!$B$2:$Z$1050,22,FALSE)</f>
        <v>0.5</v>
      </c>
      <c r="BK873">
        <f>VLOOKUP($B873,[1]Data_Peer_with_peerVars!$B$2:$Z$1050,23,FALSE)</f>
        <v>53</v>
      </c>
      <c r="BL873">
        <f>VLOOKUP($B873,[1]Data_Peer_with_peerVars!$B$2:$Z$1050,24,FALSE)</f>
        <v>24</v>
      </c>
      <c r="BM873">
        <f>VLOOKUP($B873,[1]Data_Peer_with_peerVars!$B$2:$Z$1050,25,FALSE)</f>
        <v>0.45283018899999999</v>
      </c>
    </row>
    <row r="874" spans="1:65" x14ac:dyDescent="0.2">
      <c r="A874">
        <v>1</v>
      </c>
      <c r="B874" t="s">
        <v>1340</v>
      </c>
      <c r="C874">
        <v>538</v>
      </c>
      <c r="D874" t="s">
        <v>68</v>
      </c>
      <c r="E874">
        <v>1</v>
      </c>
      <c r="F874">
        <v>590</v>
      </c>
      <c r="G874" t="s">
        <v>69</v>
      </c>
      <c r="H874" s="1">
        <v>3</v>
      </c>
      <c r="I874" t="s">
        <v>70</v>
      </c>
      <c r="J874" t="s">
        <v>301</v>
      </c>
      <c r="K874" t="s">
        <v>109</v>
      </c>
      <c r="L874">
        <v>1</v>
      </c>
      <c r="M874">
        <v>0</v>
      </c>
      <c r="N874">
        <v>1</v>
      </c>
      <c r="O874">
        <v>0</v>
      </c>
      <c r="P874">
        <v>0</v>
      </c>
      <c r="Q874">
        <v>12</v>
      </c>
      <c r="R874">
        <v>0</v>
      </c>
      <c r="S874">
        <v>0</v>
      </c>
      <c r="T874">
        <v>1</v>
      </c>
      <c r="U874">
        <v>1</v>
      </c>
      <c r="V874">
        <f t="shared" si="374"/>
        <v>0</v>
      </c>
      <c r="W874">
        <f t="shared" si="375"/>
        <v>0</v>
      </c>
      <c r="X874">
        <f t="shared" si="378"/>
        <v>0</v>
      </c>
      <c r="Y874">
        <f t="shared" si="376"/>
        <v>0</v>
      </c>
      <c r="Z874" t="s">
        <v>177</v>
      </c>
      <c r="AA874" s="5" t="s">
        <v>107</v>
      </c>
      <c r="AB874" s="5" t="s">
        <v>107</v>
      </c>
      <c r="AC874" t="s">
        <v>73</v>
      </c>
      <c r="AD874" t="s">
        <v>94</v>
      </c>
      <c r="AE874" s="5" t="s">
        <v>106</v>
      </c>
      <c r="AF874" t="s">
        <v>107</v>
      </c>
      <c r="AG874" t="s">
        <v>95</v>
      </c>
      <c r="AH874">
        <f t="shared" si="394"/>
        <v>4.0938863999999998E-3</v>
      </c>
      <c r="AI874">
        <f t="shared" si="395"/>
        <v>4.0938863999999998E-3</v>
      </c>
      <c r="AJ874">
        <f t="shared" si="377"/>
        <v>4.0938863999999998E-3</v>
      </c>
      <c r="AK874">
        <v>4.0938863999999998E-3</v>
      </c>
      <c r="AL874">
        <v>0.1321116</v>
      </c>
      <c r="AM874">
        <v>0.13556530999999999</v>
      </c>
      <c r="AN874">
        <v>0.13855422000000001</v>
      </c>
      <c r="AO874">
        <v>99.590611359999997</v>
      </c>
      <c r="AP874">
        <v>86.788839999999993</v>
      </c>
      <c r="AQ874">
        <v>86.443468999999993</v>
      </c>
      <c r="AR874">
        <v>86.144577999999996</v>
      </c>
      <c r="AS874" t="b">
        <v>0</v>
      </c>
      <c r="AT874" t="b">
        <v>0</v>
      </c>
      <c r="AU874" t="s">
        <v>77</v>
      </c>
      <c r="AV874" t="s">
        <v>108</v>
      </c>
      <c r="AW874" t="s">
        <v>783</v>
      </c>
      <c r="AX874" t="s">
        <v>1277</v>
      </c>
      <c r="AY874" t="s">
        <v>1339</v>
      </c>
      <c r="AZ874" t="s">
        <v>72</v>
      </c>
      <c r="BA874" t="s">
        <v>82</v>
      </c>
      <c r="BB874">
        <v>0.5</v>
      </c>
      <c r="BC874">
        <v>4.1163553999999996E-3</v>
      </c>
      <c r="BD874">
        <v>1.4279989108178799E-4</v>
      </c>
      <c r="BE874">
        <v>4.2591552910817903E-3</v>
      </c>
      <c r="BF874">
        <f>IF(AK874&lt;BE874,1,0)</f>
        <v>1</v>
      </c>
      <c r="BG874">
        <f>IF(AK874&lt;BC874,1,0)</f>
        <v>1</v>
      </c>
      <c r="BH874">
        <f>VLOOKUP($B874,[1]Data_Peer_with_peerVars!$B$2:$Z$1050,20,FALSE)</f>
        <v>2</v>
      </c>
      <c r="BI874">
        <f>VLOOKUP($B874,[1]Data_Peer_with_peerVars!$B$2:$Z$1050,21,FALSE)</f>
        <v>1</v>
      </c>
      <c r="BJ874">
        <f>VLOOKUP($B874,[1]Data_Peer_with_peerVars!$B$2:$Z$1050,22,FALSE)</f>
        <v>0.5</v>
      </c>
      <c r="BK874">
        <f>VLOOKUP($B874,[1]Data_Peer_with_peerVars!$B$2:$Z$1050,23,FALSE)</f>
        <v>53</v>
      </c>
      <c r="BL874">
        <f>VLOOKUP($B874,[1]Data_Peer_with_peerVars!$B$2:$Z$1050,24,FALSE)</f>
        <v>24</v>
      </c>
      <c r="BM874">
        <f>VLOOKUP($B874,[1]Data_Peer_with_peerVars!$B$2:$Z$1050,25,FALSE)</f>
        <v>0.45283018899999999</v>
      </c>
    </row>
    <row r="875" spans="1:65" x14ac:dyDescent="0.2">
      <c r="A875">
        <v>1</v>
      </c>
      <c r="B875" t="s">
        <v>1341</v>
      </c>
      <c r="C875">
        <v>540</v>
      </c>
      <c r="D875" t="s">
        <v>68</v>
      </c>
      <c r="E875">
        <v>1</v>
      </c>
      <c r="F875">
        <v>668</v>
      </c>
      <c r="G875" t="s">
        <v>86</v>
      </c>
      <c r="H875" s="1">
        <v>5</v>
      </c>
      <c r="I875" t="s">
        <v>70</v>
      </c>
      <c r="J875" t="s">
        <v>301</v>
      </c>
      <c r="K875" t="s">
        <v>109</v>
      </c>
      <c r="L875">
        <v>1</v>
      </c>
      <c r="M875">
        <v>0</v>
      </c>
      <c r="N875">
        <v>1</v>
      </c>
      <c r="O875">
        <v>0</v>
      </c>
      <c r="P875">
        <v>0</v>
      </c>
      <c r="Q875">
        <v>12</v>
      </c>
      <c r="R875">
        <v>0</v>
      </c>
      <c r="S875">
        <v>0</v>
      </c>
      <c r="T875">
        <v>0</v>
      </c>
      <c r="U875">
        <v>0</v>
      </c>
      <c r="V875">
        <f t="shared" si="374"/>
        <v>0</v>
      </c>
      <c r="W875">
        <f t="shared" si="375"/>
        <v>0</v>
      </c>
      <c r="X875">
        <f t="shared" si="378"/>
        <v>0</v>
      </c>
      <c r="Y875">
        <f t="shared" si="376"/>
        <v>0</v>
      </c>
      <c r="Z875" t="s">
        <v>73</v>
      </c>
      <c r="AA875" s="5" t="s">
        <v>73</v>
      </c>
      <c r="AB875" s="5" t="s">
        <v>73</v>
      </c>
      <c r="AC875" t="s">
        <v>75</v>
      </c>
      <c r="AD875" t="s">
        <v>74</v>
      </c>
      <c r="AE875" s="5" t="s">
        <v>817</v>
      </c>
      <c r="AF875" t="s">
        <v>120</v>
      </c>
      <c r="AG875" t="s">
        <v>167</v>
      </c>
      <c r="AH875">
        <f t="shared" si="394"/>
        <v>1.1761488E-2</v>
      </c>
      <c r="AI875">
        <f t="shared" si="395"/>
        <v>1.1761488E-2</v>
      </c>
      <c r="AJ875">
        <f t="shared" si="377"/>
        <v>1.1761488E-2</v>
      </c>
      <c r="AK875">
        <v>1.1761488E-2</v>
      </c>
      <c r="AL875">
        <v>8.2510959999999994E-2</v>
      </c>
      <c r="AM875">
        <v>8.5245899999999999E-2</v>
      </c>
      <c r="AN875">
        <v>9.6765353999999998E-2</v>
      </c>
      <c r="AO875">
        <v>98.823851199999993</v>
      </c>
      <c r="AP875">
        <v>91.748903999999996</v>
      </c>
      <c r="AQ875">
        <v>91.475409999999997</v>
      </c>
      <c r="AR875">
        <v>90.323464599999994</v>
      </c>
      <c r="AS875" t="b">
        <v>0</v>
      </c>
      <c r="AT875" t="b">
        <v>0</v>
      </c>
      <c r="AU875" t="s">
        <v>77</v>
      </c>
      <c r="AV875" t="s">
        <v>108</v>
      </c>
      <c r="AW875" t="s">
        <v>783</v>
      </c>
      <c r="AX875" t="s">
        <v>1277</v>
      </c>
      <c r="AY875" t="s">
        <v>1342</v>
      </c>
      <c r="AZ875" t="s">
        <v>109</v>
      </c>
      <c r="BA875">
        <v>2</v>
      </c>
      <c r="BB875">
        <v>1</v>
      </c>
      <c r="BC875">
        <v>2.3038946000000001E-2</v>
      </c>
      <c r="BD875">
        <v>2.6184719377746E-3</v>
      </c>
      <c r="BE875">
        <v>2.5657417937774599E-2</v>
      </c>
      <c r="BF875">
        <f>IF(AK875&lt;BE875,1,0)</f>
        <v>1</v>
      </c>
      <c r="BG875">
        <f>IF(AK875&lt;BC875,1,0)</f>
        <v>1</v>
      </c>
      <c r="BH875">
        <f>VLOOKUP($B875,[1]Data_Peer_with_peerVars!$B$2:$Z$1050,20,FALSE)</f>
        <v>4</v>
      </c>
      <c r="BI875">
        <f>VLOOKUP($B875,[1]Data_Peer_with_peerVars!$B$2:$Z$1050,21,FALSE)</f>
        <v>2</v>
      </c>
      <c r="BJ875">
        <f>VLOOKUP($B875,[1]Data_Peer_with_peerVars!$B$2:$Z$1050,22,FALSE)</f>
        <v>0.5</v>
      </c>
      <c r="BK875">
        <f>VLOOKUP($B875,[1]Data_Peer_with_peerVars!$B$2:$Z$1050,23,FALSE)</f>
        <v>32</v>
      </c>
      <c r="BL875">
        <f>VLOOKUP($B875,[1]Data_Peer_with_peerVars!$B$2:$Z$1050,24,FALSE)</f>
        <v>12</v>
      </c>
      <c r="BM875">
        <f>VLOOKUP($B875,[1]Data_Peer_with_peerVars!$B$2:$Z$1050,25,FALSE)</f>
        <v>0.375</v>
      </c>
    </row>
    <row r="876" spans="1:65" x14ac:dyDescent="0.2">
      <c r="A876">
        <v>1</v>
      </c>
      <c r="B876" t="s">
        <v>1343</v>
      </c>
      <c r="C876">
        <v>542</v>
      </c>
      <c r="D876" t="s">
        <v>68</v>
      </c>
      <c r="E876">
        <v>1</v>
      </c>
      <c r="F876">
        <v>722</v>
      </c>
      <c r="G876" t="s">
        <v>69</v>
      </c>
      <c r="H876" s="1">
        <v>7</v>
      </c>
      <c r="I876" t="s">
        <v>87</v>
      </c>
      <c r="J876" t="s">
        <v>88</v>
      </c>
      <c r="K876" t="s">
        <v>109</v>
      </c>
      <c r="L876">
        <v>1</v>
      </c>
      <c r="M876">
        <v>0</v>
      </c>
      <c r="N876">
        <v>1</v>
      </c>
      <c r="O876">
        <v>0</v>
      </c>
      <c r="P876">
        <v>0</v>
      </c>
      <c r="Q876">
        <v>0</v>
      </c>
      <c r="R876">
        <v>0</v>
      </c>
      <c r="S876">
        <v>0</v>
      </c>
      <c r="T876">
        <v>0</v>
      </c>
      <c r="U876">
        <v>0</v>
      </c>
      <c r="V876">
        <f t="shared" si="374"/>
        <v>0</v>
      </c>
      <c r="W876">
        <f t="shared" si="375"/>
        <v>0</v>
      </c>
      <c r="X876">
        <f t="shared" si="378"/>
        <v>0</v>
      </c>
      <c r="Y876">
        <f t="shared" si="376"/>
        <v>1</v>
      </c>
      <c r="Z876" t="s">
        <v>76</v>
      </c>
      <c r="AA876" s="5" t="s">
        <v>76</v>
      </c>
      <c r="AB876" s="5" t="s">
        <v>76</v>
      </c>
      <c r="AC876" t="s">
        <v>74</v>
      </c>
      <c r="AD876" t="s">
        <v>75</v>
      </c>
      <c r="AE876" s="5" t="s">
        <v>75</v>
      </c>
      <c r="AF876" t="s">
        <v>120</v>
      </c>
      <c r="AG876" t="s">
        <v>76</v>
      </c>
      <c r="AH876">
        <f>AN876</f>
        <v>9.1730560000000003E-2</v>
      </c>
      <c r="AI876">
        <f t="shared" si="395"/>
        <v>1.0136986000000001E-2</v>
      </c>
      <c r="AJ876">
        <f t="shared" si="377"/>
        <v>1.0136986000000001E-2</v>
      </c>
      <c r="AK876">
        <v>1.0136986000000001E-2</v>
      </c>
      <c r="AL876">
        <v>8.6254104999999998E-2</v>
      </c>
      <c r="AM876">
        <v>8.9393109999999998E-2</v>
      </c>
      <c r="AN876">
        <v>9.1730560000000003E-2</v>
      </c>
      <c r="AO876">
        <v>98.986301400000002</v>
      </c>
      <c r="AP876">
        <v>91.374589499999999</v>
      </c>
      <c r="AQ876">
        <v>91.060688999999996</v>
      </c>
      <c r="AR876">
        <v>90.826943999999997</v>
      </c>
      <c r="AS876" t="b">
        <v>0</v>
      </c>
      <c r="AT876" t="b">
        <v>0</v>
      </c>
      <c r="AU876" t="s">
        <v>77</v>
      </c>
      <c r="AV876" t="s">
        <v>77</v>
      </c>
      <c r="AW876" t="s">
        <v>783</v>
      </c>
      <c r="AX876" t="s">
        <v>1277</v>
      </c>
      <c r="AY876" t="s">
        <v>1344</v>
      </c>
      <c r="AZ876" t="s">
        <v>109</v>
      </c>
      <c r="BA876">
        <v>10</v>
      </c>
      <c r="BB876">
        <v>1.4</v>
      </c>
      <c r="BC876">
        <v>2.4738868000000001E-3</v>
      </c>
      <c r="BD876">
        <v>1.4256942275279999E-4</v>
      </c>
      <c r="BE876">
        <v>2.6164562227527998E-3</v>
      </c>
      <c r="BF876">
        <f>IF(AK876&lt;BE876,1,0)</f>
        <v>0</v>
      </c>
      <c r="BG876">
        <f>IF(AK876&lt;BC876,1,0)</f>
        <v>0</v>
      </c>
      <c r="BH876">
        <f>VLOOKUP($B876,[1]Data_Peer_with_peerVars!$B$2:$Z$1050,20,FALSE)</f>
        <v>1</v>
      </c>
      <c r="BI876">
        <f>VLOOKUP($B876,[1]Data_Peer_with_peerVars!$B$2:$Z$1050,21,FALSE)</f>
        <v>0</v>
      </c>
      <c r="BJ876">
        <f>VLOOKUP($B876,[1]Data_Peer_with_peerVars!$B$2:$Z$1050,22,FALSE)</f>
        <v>0</v>
      </c>
      <c r="BK876">
        <f>VLOOKUP($B876,[1]Data_Peer_with_peerVars!$B$2:$Z$1050,23,FALSE)</f>
        <v>22</v>
      </c>
      <c r="BL876">
        <f>VLOOKUP($B876,[1]Data_Peer_with_peerVars!$B$2:$Z$1050,24,FALSE)</f>
        <v>4</v>
      </c>
      <c r="BM876">
        <f>VLOOKUP($B876,[1]Data_Peer_with_peerVars!$B$2:$Z$1050,25,FALSE)</f>
        <v>0.18181818199999999</v>
      </c>
    </row>
    <row r="877" spans="1:65" x14ac:dyDescent="0.2">
      <c r="A877">
        <v>1</v>
      </c>
      <c r="B877" t="s">
        <v>1345</v>
      </c>
      <c r="C877">
        <v>543</v>
      </c>
      <c r="D877" t="s">
        <v>68</v>
      </c>
      <c r="E877">
        <v>1</v>
      </c>
      <c r="F877">
        <v>737</v>
      </c>
      <c r="G877" t="s">
        <v>69</v>
      </c>
      <c r="H877" s="1">
        <v>6</v>
      </c>
      <c r="I877" t="s">
        <v>87</v>
      </c>
      <c r="J877" t="s">
        <v>111</v>
      </c>
      <c r="K877" t="s">
        <v>72</v>
      </c>
      <c r="L877">
        <v>1</v>
      </c>
      <c r="M877">
        <v>0</v>
      </c>
      <c r="N877">
        <v>1</v>
      </c>
      <c r="O877">
        <v>0</v>
      </c>
      <c r="P877">
        <v>0</v>
      </c>
      <c r="Q877">
        <v>6</v>
      </c>
      <c r="R877">
        <v>0</v>
      </c>
      <c r="S877">
        <v>0</v>
      </c>
      <c r="T877">
        <v>0</v>
      </c>
      <c r="U877">
        <v>0</v>
      </c>
      <c r="V877">
        <f t="shared" si="374"/>
        <v>0</v>
      </c>
      <c r="W877">
        <f t="shared" si="375"/>
        <v>0</v>
      </c>
      <c r="X877">
        <f t="shared" si="378"/>
        <v>0</v>
      </c>
      <c r="Y877">
        <f t="shared" si="376"/>
        <v>0</v>
      </c>
      <c r="Z877" t="s">
        <v>89</v>
      </c>
      <c r="AA877" s="5" t="s">
        <v>89</v>
      </c>
      <c r="AB877" s="5" t="s">
        <v>1346</v>
      </c>
      <c r="AC877" t="s">
        <v>73</v>
      </c>
      <c r="AD877" t="s">
        <v>94</v>
      </c>
      <c r="AE877" s="5" t="s">
        <v>94</v>
      </c>
      <c r="AF877" t="s">
        <v>75</v>
      </c>
      <c r="AG877" t="s">
        <v>95</v>
      </c>
      <c r="AH877">
        <f t="shared" ref="AH877:AH880" si="396">AI877</f>
        <v>3.0806980000000001E-2</v>
      </c>
      <c r="AI877">
        <f t="shared" si="395"/>
        <v>3.0806980000000001E-2</v>
      </c>
      <c r="AJ877">
        <f t="shared" si="377"/>
        <v>3.0806980000000001E-2</v>
      </c>
      <c r="AK877">
        <v>3.0806980000000001E-2</v>
      </c>
      <c r="AL877">
        <v>0.12841530000000001</v>
      </c>
      <c r="AM877">
        <v>0.13855422000000001</v>
      </c>
      <c r="AN877">
        <v>0.14195843</v>
      </c>
      <c r="AO877">
        <v>96.919302000000002</v>
      </c>
      <c r="AP877">
        <v>87.158469999999994</v>
      </c>
      <c r="AQ877">
        <v>86.144577999999996</v>
      </c>
      <c r="AR877">
        <v>85.804157000000004</v>
      </c>
      <c r="AS877" t="b">
        <v>0</v>
      </c>
      <c r="AT877" t="b">
        <v>0</v>
      </c>
      <c r="AU877" t="s">
        <v>92</v>
      </c>
      <c r="AV877" t="s">
        <v>92</v>
      </c>
      <c r="AW877" t="s">
        <v>783</v>
      </c>
      <c r="AX877" t="s">
        <v>1277</v>
      </c>
      <c r="AY877" t="s">
        <v>1344</v>
      </c>
      <c r="AZ877" t="s">
        <v>72</v>
      </c>
      <c r="BA877" t="s">
        <v>82</v>
      </c>
      <c r="BB877">
        <v>0.3</v>
      </c>
      <c r="BC877">
        <v>4.1163553999999996E-3</v>
      </c>
      <c r="BD877">
        <v>1.4279989108178799E-4</v>
      </c>
      <c r="BE877">
        <v>4.2591552910817903E-3</v>
      </c>
      <c r="BF877">
        <f>IF(AK877&lt;BE877,1,0)</f>
        <v>0</v>
      </c>
      <c r="BG877">
        <f>IF(AK877&lt;BC877,1,0)</f>
        <v>0</v>
      </c>
      <c r="BH877">
        <f>VLOOKUP($B877,[1]Data_Peer_with_peerVars!$B$2:$Z$1050,20,FALSE)</f>
        <v>0</v>
      </c>
      <c r="BI877">
        <f>VLOOKUP($B877,[1]Data_Peer_with_peerVars!$B$2:$Z$1050,21,FALSE)</f>
        <v>0</v>
      </c>
      <c r="BJ877">
        <v>0</v>
      </c>
      <c r="BK877">
        <f>VLOOKUP($B877,[1]Data_Peer_with_peerVars!$B$2:$Z$1050,23,FALSE)</f>
        <v>13</v>
      </c>
      <c r="BL877">
        <f>VLOOKUP($B877,[1]Data_Peer_with_peerVars!$B$2:$Z$1050,24,FALSE)</f>
        <v>1</v>
      </c>
      <c r="BM877">
        <f>VLOOKUP($B877,[1]Data_Peer_with_peerVars!$B$2:$Z$1050,25,FALSE)</f>
        <v>7.6923077000000006E-2</v>
      </c>
    </row>
    <row r="878" spans="1:65" x14ac:dyDescent="0.2">
      <c r="A878">
        <v>1</v>
      </c>
      <c r="B878" t="s">
        <v>1347</v>
      </c>
      <c r="C878">
        <v>543</v>
      </c>
      <c r="D878" t="s">
        <v>68</v>
      </c>
      <c r="E878">
        <v>1</v>
      </c>
      <c r="F878">
        <v>737</v>
      </c>
      <c r="G878" t="s">
        <v>69</v>
      </c>
      <c r="H878" s="1">
        <v>6</v>
      </c>
      <c r="I878" t="s">
        <v>87</v>
      </c>
      <c r="J878" t="s">
        <v>111</v>
      </c>
      <c r="K878" t="s">
        <v>72</v>
      </c>
      <c r="L878">
        <v>1</v>
      </c>
      <c r="M878">
        <v>0</v>
      </c>
      <c r="N878">
        <v>1</v>
      </c>
      <c r="O878">
        <v>0</v>
      </c>
      <c r="P878">
        <v>0</v>
      </c>
      <c r="Q878">
        <v>6</v>
      </c>
      <c r="R878">
        <v>1</v>
      </c>
      <c r="S878">
        <v>1</v>
      </c>
      <c r="T878">
        <v>1</v>
      </c>
      <c r="U878">
        <v>1</v>
      </c>
      <c r="V878">
        <f t="shared" si="374"/>
        <v>0</v>
      </c>
      <c r="W878">
        <f t="shared" si="375"/>
        <v>0</v>
      </c>
      <c r="X878">
        <f t="shared" si="378"/>
        <v>0</v>
      </c>
      <c r="Y878">
        <f t="shared" si="376"/>
        <v>0</v>
      </c>
      <c r="Z878" t="s">
        <v>73</v>
      </c>
      <c r="AA878" s="5" t="s">
        <v>73</v>
      </c>
      <c r="AB878" s="5" t="s">
        <v>73</v>
      </c>
      <c r="AC878" t="s">
        <v>107</v>
      </c>
      <c r="AD878" t="s">
        <v>95</v>
      </c>
      <c r="AE878" s="5" t="s">
        <v>95</v>
      </c>
      <c r="AF878" t="s">
        <v>173</v>
      </c>
      <c r="AG878" t="s">
        <v>174</v>
      </c>
      <c r="AH878">
        <f t="shared" si="396"/>
        <v>9.3099670000000006E-3</v>
      </c>
      <c r="AI878">
        <f t="shared" si="395"/>
        <v>9.3099670000000006E-3</v>
      </c>
      <c r="AJ878">
        <f t="shared" si="377"/>
        <v>9.3099670000000006E-3</v>
      </c>
      <c r="AK878">
        <v>9.3099670000000006E-3</v>
      </c>
      <c r="AL878">
        <v>7.7217969999999997E-2</v>
      </c>
      <c r="AM878">
        <v>9.3493715000000005E-2</v>
      </c>
      <c r="AN878">
        <v>9.6933186000000005E-2</v>
      </c>
      <c r="AO878">
        <v>99.069003300000006</v>
      </c>
      <c r="AP878">
        <v>92.278203000000005</v>
      </c>
      <c r="AQ878">
        <v>90.650628499999996</v>
      </c>
      <c r="AR878">
        <v>90.306681400000002</v>
      </c>
      <c r="AS878" t="b">
        <v>0</v>
      </c>
      <c r="AT878" t="b">
        <v>0</v>
      </c>
      <c r="AU878" t="s">
        <v>77</v>
      </c>
      <c r="AV878" t="s">
        <v>77</v>
      </c>
      <c r="AW878" t="s">
        <v>783</v>
      </c>
      <c r="AX878" t="s">
        <v>1277</v>
      </c>
      <c r="AY878" t="s">
        <v>1344</v>
      </c>
      <c r="AZ878" t="s">
        <v>109</v>
      </c>
      <c r="BA878">
        <v>3</v>
      </c>
      <c r="BB878">
        <v>2</v>
      </c>
      <c r="BC878">
        <v>2.6475456000000001E-2</v>
      </c>
      <c r="BD878">
        <v>8.8330364056477401E-3</v>
      </c>
      <c r="BE878">
        <v>3.53084924056477E-2</v>
      </c>
      <c r="BF878">
        <f>IF(AK878&lt;BE878,1,0)</f>
        <v>1</v>
      </c>
      <c r="BG878">
        <f>IF(AK878&lt;BC878,1,0)</f>
        <v>1</v>
      </c>
      <c r="BH878">
        <f>VLOOKUP($B878,[1]Data_Peer_with_peerVars!$B$2:$Z$1050,20,FALSE)</f>
        <v>0</v>
      </c>
      <c r="BI878">
        <f>VLOOKUP($B878,[1]Data_Peer_with_peerVars!$B$2:$Z$1050,21,FALSE)</f>
        <v>0</v>
      </c>
      <c r="BJ878">
        <v>0</v>
      </c>
      <c r="BK878">
        <f>VLOOKUP($B878,[1]Data_Peer_with_peerVars!$B$2:$Z$1050,23,FALSE)</f>
        <v>13</v>
      </c>
      <c r="BL878">
        <f>VLOOKUP($B878,[1]Data_Peer_with_peerVars!$B$2:$Z$1050,24,FALSE)</f>
        <v>1</v>
      </c>
      <c r="BM878">
        <f>VLOOKUP($B878,[1]Data_Peer_with_peerVars!$B$2:$Z$1050,25,FALSE)</f>
        <v>7.6923077000000006E-2</v>
      </c>
    </row>
    <row r="879" spans="1:65" x14ac:dyDescent="0.2">
      <c r="A879">
        <v>1</v>
      </c>
      <c r="B879" t="s">
        <v>1348</v>
      </c>
      <c r="C879">
        <v>544</v>
      </c>
      <c r="D879" t="s">
        <v>155</v>
      </c>
      <c r="E879">
        <v>0</v>
      </c>
      <c r="F879" s="14" t="s">
        <v>82</v>
      </c>
      <c r="G879" s="14" t="s">
        <v>82</v>
      </c>
      <c r="H879" s="1">
        <v>6</v>
      </c>
      <c r="I879" t="s">
        <v>87</v>
      </c>
      <c r="J879" t="s">
        <v>88</v>
      </c>
      <c r="K879" t="s">
        <v>109</v>
      </c>
      <c r="L879">
        <v>1</v>
      </c>
      <c r="M879">
        <v>0</v>
      </c>
      <c r="N879">
        <v>0</v>
      </c>
      <c r="O879">
        <v>0</v>
      </c>
      <c r="P879">
        <v>0</v>
      </c>
      <c r="Q879">
        <v>11</v>
      </c>
      <c r="R879">
        <v>0</v>
      </c>
      <c r="S879">
        <v>0</v>
      </c>
      <c r="T879">
        <v>0</v>
      </c>
      <c r="U879">
        <v>0</v>
      </c>
      <c r="V879">
        <f t="shared" si="374"/>
        <v>0</v>
      </c>
      <c r="W879">
        <f t="shared" si="375"/>
        <v>0</v>
      </c>
      <c r="X879">
        <f t="shared" si="378"/>
        <v>0</v>
      </c>
      <c r="Y879">
        <f t="shared" si="376"/>
        <v>0</v>
      </c>
      <c r="Z879" t="s">
        <v>91</v>
      </c>
      <c r="AA879" s="5" t="s">
        <v>91</v>
      </c>
      <c r="AB879" s="5" t="s">
        <v>91</v>
      </c>
      <c r="AC879" t="s">
        <v>76</v>
      </c>
      <c r="AD879" t="s">
        <v>74</v>
      </c>
      <c r="AE879" s="5" t="s">
        <v>74</v>
      </c>
      <c r="AF879" t="s">
        <v>75</v>
      </c>
      <c r="AG879" t="s">
        <v>120</v>
      </c>
      <c r="AH879">
        <f t="shared" si="396"/>
        <v>7.2364830000000005E-2</v>
      </c>
      <c r="AI879">
        <f t="shared" si="395"/>
        <v>7.2364830000000005E-2</v>
      </c>
      <c r="AJ879">
        <f t="shared" si="377"/>
        <v>7.2364830000000005E-2</v>
      </c>
      <c r="AK879">
        <v>7.2364830000000005E-2</v>
      </c>
      <c r="AL879">
        <v>9.808219E-2</v>
      </c>
      <c r="AM879">
        <v>0.1214442</v>
      </c>
      <c r="AN879">
        <v>0.12397597</v>
      </c>
      <c r="AO879">
        <v>92.763516999999993</v>
      </c>
      <c r="AP879">
        <v>90.191781000000006</v>
      </c>
      <c r="AQ879">
        <v>87.855580000000003</v>
      </c>
      <c r="AR879">
        <v>87.602402999999995</v>
      </c>
      <c r="AS879" t="b">
        <v>0</v>
      </c>
      <c r="AT879" t="b">
        <v>0</v>
      </c>
      <c r="AU879" t="s">
        <v>77</v>
      </c>
      <c r="AV879" t="s">
        <v>77</v>
      </c>
      <c r="AW879" t="s">
        <v>783</v>
      </c>
      <c r="AX879" t="s">
        <v>1277</v>
      </c>
      <c r="AY879" t="s">
        <v>1349</v>
      </c>
      <c r="AZ879" t="s">
        <v>109</v>
      </c>
      <c r="BA879">
        <v>2</v>
      </c>
      <c r="BB879">
        <v>0.7</v>
      </c>
      <c r="BC879">
        <v>7.7070764999999999E-2</v>
      </c>
      <c r="BD879">
        <v>1.90190515067399E-3</v>
      </c>
      <c r="BE879">
        <v>7.8972670150673996E-2</v>
      </c>
      <c r="BF879">
        <f>IF(AK879&lt;BE879,1,0)</f>
        <v>1</v>
      </c>
      <c r="BG879">
        <f>IF(AK879&lt;BC879,1,0)</f>
        <v>1</v>
      </c>
      <c r="BH879">
        <f>VLOOKUP($B879,[1]Data_Peer_with_peerVars!$B$2:$Z$1050,20,FALSE)</f>
        <v>2</v>
      </c>
      <c r="BI879">
        <f>VLOOKUP($B879,[1]Data_Peer_with_peerVars!$B$2:$Z$1050,21,FALSE)</f>
        <v>1</v>
      </c>
      <c r="BJ879">
        <f>VLOOKUP($B879,[1]Data_Peer_with_peerVars!$B$2:$Z$1050,22,FALSE)</f>
        <v>0.5</v>
      </c>
      <c r="BK879">
        <f>VLOOKUP($B879,[1]Data_Peer_with_peerVars!$B$2:$Z$1050,23,FALSE)</f>
        <v>13</v>
      </c>
      <c r="BL879">
        <f>VLOOKUP($B879,[1]Data_Peer_with_peerVars!$B$2:$Z$1050,24,FALSE)</f>
        <v>6</v>
      </c>
      <c r="BM879">
        <f>VLOOKUP($B879,[1]Data_Peer_with_peerVars!$B$2:$Z$1050,25,FALSE)</f>
        <v>0.46153846199999998</v>
      </c>
    </row>
    <row r="880" spans="1:65" x14ac:dyDescent="0.2">
      <c r="A880">
        <v>1</v>
      </c>
      <c r="B880" t="s">
        <v>1350</v>
      </c>
      <c r="C880">
        <v>544</v>
      </c>
      <c r="D880" t="s">
        <v>155</v>
      </c>
      <c r="E880">
        <v>0</v>
      </c>
      <c r="F880" s="14" t="s">
        <v>82</v>
      </c>
      <c r="G880" s="14" t="s">
        <v>82</v>
      </c>
      <c r="H880" s="1">
        <v>6</v>
      </c>
      <c r="I880" t="s">
        <v>87</v>
      </c>
      <c r="J880" t="s">
        <v>88</v>
      </c>
      <c r="K880" t="s">
        <v>109</v>
      </c>
      <c r="L880">
        <v>1</v>
      </c>
      <c r="M880">
        <v>0</v>
      </c>
      <c r="N880">
        <v>0</v>
      </c>
      <c r="O880">
        <v>0</v>
      </c>
      <c r="P880">
        <v>0</v>
      </c>
      <c r="Q880">
        <v>11</v>
      </c>
      <c r="R880">
        <v>0</v>
      </c>
      <c r="S880">
        <v>0</v>
      </c>
      <c r="T880">
        <v>0</v>
      </c>
      <c r="U880">
        <v>0</v>
      </c>
      <c r="V880">
        <f t="shared" si="374"/>
        <v>0</v>
      </c>
      <c r="W880">
        <f t="shared" si="375"/>
        <v>0</v>
      </c>
      <c r="X880">
        <f t="shared" si="378"/>
        <v>0</v>
      </c>
      <c r="Y880">
        <f t="shared" si="376"/>
        <v>0</v>
      </c>
      <c r="Z880" t="s">
        <v>76</v>
      </c>
      <c r="AA880" s="5" t="s">
        <v>76</v>
      </c>
      <c r="AB880" s="5" t="s">
        <v>76</v>
      </c>
      <c r="AC880" t="s">
        <v>75</v>
      </c>
      <c r="AD880" t="s">
        <v>73</v>
      </c>
      <c r="AE880" s="5" t="s">
        <v>73</v>
      </c>
      <c r="AF880" t="s">
        <v>120</v>
      </c>
      <c r="AG880" t="s">
        <v>74</v>
      </c>
      <c r="AH880">
        <f t="shared" si="396"/>
        <v>7.2249590000000002E-2</v>
      </c>
      <c r="AI880">
        <f t="shared" si="395"/>
        <v>7.2249590000000002E-2</v>
      </c>
      <c r="AJ880">
        <f t="shared" si="377"/>
        <v>7.2249590000000002E-2</v>
      </c>
      <c r="AK880">
        <v>7.2249590000000002E-2</v>
      </c>
      <c r="AL880">
        <v>9.8745230000000003E-2</v>
      </c>
      <c r="AM880">
        <v>0.12322404000000001</v>
      </c>
      <c r="AN880">
        <v>0.12335525999999999</v>
      </c>
      <c r="AO880">
        <v>92.775041000000002</v>
      </c>
      <c r="AP880">
        <v>90.125477000000004</v>
      </c>
      <c r="AQ880">
        <v>87.677595999999994</v>
      </c>
      <c r="AR880">
        <v>87.664473999999998</v>
      </c>
      <c r="AS880" t="b">
        <v>0</v>
      </c>
      <c r="AT880" t="b">
        <v>0</v>
      </c>
      <c r="AU880" t="s">
        <v>77</v>
      </c>
      <c r="AV880" t="s">
        <v>77</v>
      </c>
      <c r="AW880" t="s">
        <v>783</v>
      </c>
      <c r="AX880" t="s">
        <v>1277</v>
      </c>
      <c r="AY880" t="s">
        <v>1349</v>
      </c>
      <c r="AZ880" t="s">
        <v>109</v>
      </c>
      <c r="BA880">
        <v>2</v>
      </c>
      <c r="BB880">
        <v>0.35</v>
      </c>
      <c r="BC880">
        <v>2.3038946000000001E-2</v>
      </c>
      <c r="BD880">
        <v>2.6184719377746E-3</v>
      </c>
      <c r="BE880">
        <v>2.5657417937774599E-2</v>
      </c>
      <c r="BF880">
        <f>IF(AK880&lt;BE880,1,0)</f>
        <v>0</v>
      </c>
      <c r="BG880">
        <f>IF(AK880&lt;BC880,1,0)</f>
        <v>0</v>
      </c>
      <c r="BH880">
        <f>VLOOKUP($B880,[1]Data_Peer_with_peerVars!$B$2:$Z$1050,20,FALSE)</f>
        <v>2</v>
      </c>
      <c r="BI880">
        <f>VLOOKUP($B880,[1]Data_Peer_with_peerVars!$B$2:$Z$1050,21,FALSE)</f>
        <v>1</v>
      </c>
      <c r="BJ880">
        <f>VLOOKUP($B880,[1]Data_Peer_with_peerVars!$B$2:$Z$1050,22,FALSE)</f>
        <v>0.5</v>
      </c>
      <c r="BK880">
        <f>VLOOKUP($B880,[1]Data_Peer_with_peerVars!$B$2:$Z$1050,23,FALSE)</f>
        <v>13</v>
      </c>
      <c r="BL880">
        <f>VLOOKUP($B880,[1]Data_Peer_with_peerVars!$B$2:$Z$1050,24,FALSE)</f>
        <v>6</v>
      </c>
      <c r="BM880">
        <f>VLOOKUP($B880,[1]Data_Peer_with_peerVars!$B$2:$Z$1050,25,FALSE)</f>
        <v>0.46153846199999998</v>
      </c>
    </row>
    <row r="881" spans="1:65" x14ac:dyDescent="0.2">
      <c r="A881">
        <v>1</v>
      </c>
      <c r="B881" t="s">
        <v>1351</v>
      </c>
      <c r="C881">
        <v>545</v>
      </c>
      <c r="D881" t="s">
        <v>155</v>
      </c>
      <c r="E881">
        <v>0</v>
      </c>
      <c r="F881" s="14" t="s">
        <v>82</v>
      </c>
      <c r="G881" s="14" t="s">
        <v>82</v>
      </c>
      <c r="H881" s="1">
        <v>0</v>
      </c>
      <c r="I881" t="s">
        <v>87</v>
      </c>
      <c r="J881" t="s">
        <v>111</v>
      </c>
      <c r="K881" t="s">
        <v>109</v>
      </c>
      <c r="L881">
        <v>1</v>
      </c>
      <c r="M881">
        <v>0</v>
      </c>
      <c r="N881">
        <v>0</v>
      </c>
      <c r="O881">
        <v>0</v>
      </c>
      <c r="P881">
        <v>0</v>
      </c>
      <c r="Q881">
        <v>6</v>
      </c>
      <c r="R881">
        <v>0</v>
      </c>
      <c r="S881">
        <v>0</v>
      </c>
      <c r="T881">
        <v>0</v>
      </c>
      <c r="U881">
        <v>0</v>
      </c>
      <c r="V881">
        <f t="shared" si="374"/>
        <v>1</v>
      </c>
      <c r="W881">
        <v>1</v>
      </c>
      <c r="X881">
        <v>1</v>
      </c>
      <c r="Y881">
        <v>1</v>
      </c>
      <c r="Z881" t="s">
        <v>76</v>
      </c>
      <c r="AA881" s="5" t="s">
        <v>76</v>
      </c>
      <c r="AB881" s="5" t="s">
        <v>76</v>
      </c>
      <c r="AC881" t="s">
        <v>76</v>
      </c>
      <c r="AD881" t="s">
        <v>74</v>
      </c>
      <c r="AE881" s="5" t="s">
        <v>74</v>
      </c>
      <c r="AF881" t="s">
        <v>120</v>
      </c>
      <c r="AG881" t="s">
        <v>75</v>
      </c>
      <c r="AH881">
        <f>AI881</f>
        <v>8.4745765000000001E-2</v>
      </c>
      <c r="AI881">
        <f>AJ881</f>
        <v>8.4745765000000001E-2</v>
      </c>
      <c r="AJ881">
        <f t="shared" si="377"/>
        <v>8.4745765000000001E-2</v>
      </c>
      <c r="AK881">
        <v>8.4745765000000001E-2</v>
      </c>
      <c r="AL881">
        <v>9.138309E-2</v>
      </c>
      <c r="AM881">
        <v>0.12199125</v>
      </c>
      <c r="AN881">
        <v>0.12547944</v>
      </c>
      <c r="AO881">
        <v>91.525423500000002</v>
      </c>
      <c r="AP881">
        <v>90.861690999999993</v>
      </c>
      <c r="AQ881">
        <v>87.800875000000005</v>
      </c>
      <c r="AR881">
        <v>87.452055999999999</v>
      </c>
      <c r="AS881" t="b">
        <v>1</v>
      </c>
      <c r="AT881" t="b">
        <v>0</v>
      </c>
      <c r="AU881" t="s">
        <v>77</v>
      </c>
      <c r="AV881" t="s">
        <v>77</v>
      </c>
      <c r="AW881" t="s">
        <v>783</v>
      </c>
      <c r="AX881" t="s">
        <v>1277</v>
      </c>
      <c r="AY881" t="s">
        <v>1307</v>
      </c>
      <c r="AZ881" t="s">
        <v>109</v>
      </c>
      <c r="BA881">
        <v>3</v>
      </c>
      <c r="BB881">
        <v>0.5</v>
      </c>
      <c r="BC881">
        <v>7.7070764999999999E-2</v>
      </c>
      <c r="BD881">
        <v>1.90190515067399E-3</v>
      </c>
      <c r="BE881">
        <v>7.8972670150673996E-2</v>
      </c>
      <c r="BF881">
        <f>IF(AK881&lt;BE881,1,0)</f>
        <v>0</v>
      </c>
      <c r="BG881">
        <f>IF(AK881&lt;BC881,1,0)</f>
        <v>0</v>
      </c>
      <c r="BH881">
        <f>VLOOKUP($B881,[1]Data_Peer_with_peerVars!$B$2:$Z$1050,20,FALSE)</f>
        <v>2</v>
      </c>
      <c r="BI881">
        <f>VLOOKUP($B881,[1]Data_Peer_with_peerVars!$B$2:$Z$1050,21,FALSE)</f>
        <v>0</v>
      </c>
      <c r="BJ881">
        <f>VLOOKUP($B881,[1]Data_Peer_with_peerVars!$B$2:$Z$1050,22,FALSE)</f>
        <v>0</v>
      </c>
      <c r="BK881">
        <f>VLOOKUP($B881,[1]Data_Peer_with_peerVars!$B$2:$Z$1050,23,FALSE)</f>
        <v>13</v>
      </c>
      <c r="BL881">
        <f>VLOOKUP($B881,[1]Data_Peer_with_peerVars!$B$2:$Z$1050,24,FALSE)</f>
        <v>5</v>
      </c>
      <c r="BM881">
        <f>VLOOKUP($B881,[1]Data_Peer_with_peerVars!$B$2:$Z$1050,25,FALSE)</f>
        <v>0.38461538499999998</v>
      </c>
    </row>
    <row r="882" spans="1:65" x14ac:dyDescent="0.2">
      <c r="A882">
        <v>1</v>
      </c>
      <c r="B882" t="s">
        <v>1352</v>
      </c>
      <c r="C882">
        <v>545</v>
      </c>
      <c r="D882" t="s">
        <v>155</v>
      </c>
      <c r="E882">
        <v>0</v>
      </c>
      <c r="F882" s="14" t="s">
        <v>82</v>
      </c>
      <c r="G882" s="14" t="s">
        <v>82</v>
      </c>
      <c r="H882" s="1">
        <v>0</v>
      </c>
      <c r="I882" t="s">
        <v>87</v>
      </c>
      <c r="J882" t="s">
        <v>111</v>
      </c>
      <c r="K882" t="s">
        <v>109</v>
      </c>
      <c r="L882">
        <v>1</v>
      </c>
      <c r="M882">
        <v>0</v>
      </c>
      <c r="N882">
        <v>0</v>
      </c>
      <c r="O882">
        <v>0</v>
      </c>
      <c r="P882">
        <v>0</v>
      </c>
      <c r="Q882">
        <v>6</v>
      </c>
      <c r="R882">
        <v>0</v>
      </c>
      <c r="S882">
        <v>0</v>
      </c>
      <c r="T882">
        <v>0</v>
      </c>
      <c r="U882">
        <v>0</v>
      </c>
      <c r="V882">
        <f t="shared" si="374"/>
        <v>0</v>
      </c>
      <c r="W882">
        <f t="shared" si="375"/>
        <v>0</v>
      </c>
      <c r="X882">
        <f t="shared" si="378"/>
        <v>0</v>
      </c>
      <c r="Y882">
        <f t="shared" si="376"/>
        <v>0</v>
      </c>
      <c r="Z882" t="s">
        <v>91</v>
      </c>
      <c r="AA882" s="5" t="s">
        <v>91</v>
      </c>
      <c r="AB882" s="5" t="s">
        <v>1353</v>
      </c>
      <c r="AC882" t="s">
        <v>76</v>
      </c>
      <c r="AD882" t="s">
        <v>74</v>
      </c>
      <c r="AE882" s="5" t="s">
        <v>74</v>
      </c>
      <c r="AF882" t="s">
        <v>120</v>
      </c>
      <c r="AG882" t="s">
        <v>75</v>
      </c>
      <c r="AH882">
        <f t="shared" ref="AH882:AH885" si="397">AI882</f>
        <v>7.8458175000000005E-2</v>
      </c>
      <c r="AI882">
        <f t="shared" ref="AI882:AI884" si="398">AJ882</f>
        <v>7.8458175000000005E-2</v>
      </c>
      <c r="AJ882">
        <f t="shared" si="377"/>
        <v>7.8458175000000005E-2</v>
      </c>
      <c r="AK882">
        <v>7.8458175000000005E-2</v>
      </c>
      <c r="AL882">
        <v>8.5847504000000005E-2</v>
      </c>
      <c r="AM882">
        <v>0.11891744</v>
      </c>
      <c r="AN882">
        <v>0.12048193</v>
      </c>
      <c r="AO882">
        <v>92.154182500000005</v>
      </c>
      <c r="AP882">
        <v>91.415249599999996</v>
      </c>
      <c r="AQ882">
        <v>88.108255999999997</v>
      </c>
      <c r="AR882">
        <v>87.951807000000002</v>
      </c>
      <c r="AS882" t="b">
        <v>0</v>
      </c>
      <c r="AT882" t="b">
        <v>0</v>
      </c>
      <c r="AU882" t="s">
        <v>77</v>
      </c>
      <c r="AV882" t="s">
        <v>77</v>
      </c>
      <c r="AW882" t="s">
        <v>783</v>
      </c>
      <c r="AX882" t="s">
        <v>1277</v>
      </c>
      <c r="AY882" t="s">
        <v>1307</v>
      </c>
      <c r="AZ882" t="s">
        <v>109</v>
      </c>
      <c r="BA882">
        <v>3</v>
      </c>
      <c r="BB882">
        <v>0.5</v>
      </c>
      <c r="BC882">
        <v>7.7070764999999999E-2</v>
      </c>
      <c r="BD882">
        <v>1.90190515067399E-3</v>
      </c>
      <c r="BE882">
        <v>7.8972670150673996E-2</v>
      </c>
      <c r="BF882">
        <f>IF(AK882&lt;BE882,1,0)</f>
        <v>1</v>
      </c>
      <c r="BG882">
        <f>IF(AK882&lt;BC882,1,0)</f>
        <v>0</v>
      </c>
      <c r="BH882">
        <f>VLOOKUP($B882,[1]Data_Peer_with_peerVars!$B$2:$Z$1050,20,FALSE)</f>
        <v>2</v>
      </c>
      <c r="BI882">
        <f>VLOOKUP($B882,[1]Data_Peer_with_peerVars!$B$2:$Z$1050,21,FALSE)</f>
        <v>0</v>
      </c>
      <c r="BJ882">
        <f>VLOOKUP($B882,[1]Data_Peer_with_peerVars!$B$2:$Z$1050,22,FALSE)</f>
        <v>0</v>
      </c>
      <c r="BK882">
        <f>VLOOKUP($B882,[1]Data_Peer_with_peerVars!$B$2:$Z$1050,23,FALSE)</f>
        <v>13</v>
      </c>
      <c r="BL882">
        <f>VLOOKUP($B882,[1]Data_Peer_with_peerVars!$B$2:$Z$1050,24,FALSE)</f>
        <v>5</v>
      </c>
      <c r="BM882">
        <f>VLOOKUP($B882,[1]Data_Peer_with_peerVars!$B$2:$Z$1050,25,FALSE)</f>
        <v>0.38461538499999998</v>
      </c>
    </row>
    <row r="883" spans="1:65" x14ac:dyDescent="0.2">
      <c r="A883">
        <v>1</v>
      </c>
      <c r="B883" t="s">
        <v>1354</v>
      </c>
      <c r="C883">
        <v>546</v>
      </c>
      <c r="D883" t="s">
        <v>155</v>
      </c>
      <c r="E883">
        <v>0</v>
      </c>
      <c r="F883" s="14" t="s">
        <v>82</v>
      </c>
      <c r="G883" s="14" t="s">
        <v>82</v>
      </c>
      <c r="H883" s="1">
        <v>0</v>
      </c>
      <c r="I883" t="s">
        <v>87</v>
      </c>
      <c r="J883" t="s">
        <v>150</v>
      </c>
      <c r="K883" t="s">
        <v>109</v>
      </c>
      <c r="L883">
        <v>1</v>
      </c>
      <c r="M883">
        <v>0</v>
      </c>
      <c r="N883">
        <v>0</v>
      </c>
      <c r="O883">
        <v>0</v>
      </c>
      <c r="P883">
        <v>0</v>
      </c>
      <c r="Q883">
        <v>8</v>
      </c>
      <c r="R883">
        <v>0</v>
      </c>
      <c r="S883">
        <v>0</v>
      </c>
      <c r="T883">
        <v>0</v>
      </c>
      <c r="U883">
        <v>0</v>
      </c>
      <c r="V883">
        <f t="shared" si="374"/>
        <v>0</v>
      </c>
      <c r="W883">
        <f t="shared" si="375"/>
        <v>0</v>
      </c>
      <c r="X883">
        <f t="shared" si="378"/>
        <v>0</v>
      </c>
      <c r="Y883">
        <f t="shared" si="376"/>
        <v>0</v>
      </c>
      <c r="Z883" t="s">
        <v>98</v>
      </c>
      <c r="AA883" s="5" t="s">
        <v>1355</v>
      </c>
      <c r="AB883" s="5" t="s">
        <v>1356</v>
      </c>
      <c r="AC883" t="s">
        <v>91</v>
      </c>
      <c r="AD883" t="s">
        <v>287</v>
      </c>
      <c r="AE883" s="5" t="s">
        <v>287</v>
      </c>
      <c r="AF883" t="s">
        <v>137</v>
      </c>
      <c r="AG883" t="s">
        <v>84</v>
      </c>
      <c r="AH883">
        <f t="shared" si="397"/>
        <v>3.280481E-3</v>
      </c>
      <c r="AI883">
        <f t="shared" si="398"/>
        <v>3.280481E-3</v>
      </c>
      <c r="AJ883">
        <f t="shared" si="377"/>
        <v>3.280481E-3</v>
      </c>
      <c r="AK883">
        <v>3.280481E-3</v>
      </c>
      <c r="AL883">
        <v>0.12076503</v>
      </c>
      <c r="AM883">
        <v>0.12916440000000001</v>
      </c>
      <c r="AN883">
        <v>0.13351648999999999</v>
      </c>
      <c r="AO883">
        <v>99.671951899999996</v>
      </c>
      <c r="AP883">
        <v>87.923496999999998</v>
      </c>
      <c r="AQ883">
        <v>87.083560000000006</v>
      </c>
      <c r="AR883">
        <v>86.648351000000005</v>
      </c>
      <c r="AS883" t="b">
        <v>0</v>
      </c>
      <c r="AT883" t="b">
        <v>0</v>
      </c>
      <c r="AU883" t="s">
        <v>92</v>
      </c>
      <c r="AV883" t="s">
        <v>92</v>
      </c>
      <c r="AW883" t="s">
        <v>783</v>
      </c>
      <c r="AX883" t="s">
        <v>1277</v>
      </c>
      <c r="AY883" t="s">
        <v>1357</v>
      </c>
      <c r="AZ883" t="s">
        <v>109</v>
      </c>
      <c r="BA883">
        <v>2</v>
      </c>
      <c r="BB883">
        <v>1</v>
      </c>
      <c r="BC883">
        <v>9.0659339999999995E-3</v>
      </c>
      <c r="BD883">
        <v>2.76583658862385E-3</v>
      </c>
      <c r="BE883">
        <v>1.1831770588623799E-2</v>
      </c>
      <c r="BF883">
        <f>IF(AK883&lt;BE883,1,0)</f>
        <v>1</v>
      </c>
      <c r="BG883">
        <f>IF(AK883&lt;BC883,1,0)</f>
        <v>1</v>
      </c>
      <c r="BH883">
        <f>VLOOKUP($B883,[1]Data_Peer_with_peerVars!$B$2:$Z$1050,20,FALSE)</f>
        <v>1</v>
      </c>
      <c r="BI883">
        <f>VLOOKUP($B883,[1]Data_Peer_with_peerVars!$B$2:$Z$1050,21,FALSE)</f>
        <v>1</v>
      </c>
      <c r="BJ883">
        <f>VLOOKUP($B883,[1]Data_Peer_with_peerVars!$B$2:$Z$1050,22,FALSE)</f>
        <v>1</v>
      </c>
      <c r="BK883">
        <f>VLOOKUP($B883,[1]Data_Peer_with_peerVars!$B$2:$Z$1050,23,FALSE)</f>
        <v>39</v>
      </c>
      <c r="BL883">
        <f>VLOOKUP($B883,[1]Data_Peer_with_peerVars!$B$2:$Z$1050,24,FALSE)</f>
        <v>13</v>
      </c>
      <c r="BM883">
        <f>VLOOKUP($B883,[1]Data_Peer_with_peerVars!$B$2:$Z$1050,25,FALSE)</f>
        <v>0.33333333300000001</v>
      </c>
    </row>
    <row r="884" spans="1:65" x14ac:dyDescent="0.2">
      <c r="A884">
        <v>1</v>
      </c>
      <c r="B884" t="s">
        <v>1358</v>
      </c>
      <c r="C884">
        <v>547</v>
      </c>
      <c r="D884" t="s">
        <v>155</v>
      </c>
      <c r="E884">
        <v>0</v>
      </c>
      <c r="F884" s="14" t="s">
        <v>82</v>
      </c>
      <c r="G884" s="14" t="s">
        <v>82</v>
      </c>
      <c r="H884" s="1">
        <v>7</v>
      </c>
      <c r="I884" t="s">
        <v>87</v>
      </c>
      <c r="J884" t="s">
        <v>111</v>
      </c>
      <c r="K884" t="s">
        <v>109</v>
      </c>
      <c r="L884">
        <v>1</v>
      </c>
      <c r="M884">
        <v>1</v>
      </c>
      <c r="N884">
        <v>0</v>
      </c>
      <c r="O884">
        <v>0</v>
      </c>
      <c r="P884">
        <v>0</v>
      </c>
      <c r="Q884">
        <v>11</v>
      </c>
      <c r="R884">
        <v>0</v>
      </c>
      <c r="S884">
        <v>0</v>
      </c>
      <c r="T884">
        <v>0</v>
      </c>
      <c r="U884">
        <v>0</v>
      </c>
      <c r="V884">
        <f t="shared" si="374"/>
        <v>0</v>
      </c>
      <c r="W884">
        <f t="shared" si="375"/>
        <v>1</v>
      </c>
      <c r="X884">
        <v>1</v>
      </c>
      <c r="Y884">
        <v>1</v>
      </c>
      <c r="Z884" t="s">
        <v>76</v>
      </c>
      <c r="AA884" s="5" t="s">
        <v>76</v>
      </c>
      <c r="AB884" s="5" t="s">
        <v>76</v>
      </c>
      <c r="AC884" t="s">
        <v>74</v>
      </c>
      <c r="AD884" t="s">
        <v>76</v>
      </c>
      <c r="AE884" s="5" t="s">
        <v>76</v>
      </c>
      <c r="AF884" t="s">
        <v>120</v>
      </c>
      <c r="AG884" t="s">
        <v>75</v>
      </c>
      <c r="AH884">
        <f t="shared" si="397"/>
        <v>8.4653190000000003E-2</v>
      </c>
      <c r="AI884">
        <f t="shared" si="398"/>
        <v>8.4653190000000003E-2</v>
      </c>
      <c r="AJ884">
        <f>AL884</f>
        <v>8.4653190000000003E-2</v>
      </c>
      <c r="AK884">
        <v>8.2191780000000006E-2</v>
      </c>
      <c r="AL884">
        <v>8.4653190000000003E-2</v>
      </c>
      <c r="AM884">
        <v>0.11687602</v>
      </c>
      <c r="AN884">
        <v>0.118161924</v>
      </c>
      <c r="AO884">
        <v>91.780822000000001</v>
      </c>
      <c r="AP884">
        <v>91.534681000000006</v>
      </c>
      <c r="AQ884">
        <v>88.312398000000002</v>
      </c>
      <c r="AR884">
        <v>88.183807599999994</v>
      </c>
      <c r="AS884" t="b">
        <v>0</v>
      </c>
      <c r="AT884" t="b">
        <v>1</v>
      </c>
      <c r="AU884" t="s">
        <v>77</v>
      </c>
      <c r="AV884" t="s">
        <v>77</v>
      </c>
      <c r="AW884" t="s">
        <v>783</v>
      </c>
      <c r="AX884" t="s">
        <v>1298</v>
      </c>
      <c r="AY884" t="s">
        <v>1359</v>
      </c>
      <c r="AZ884" t="s">
        <v>109</v>
      </c>
      <c r="BA884">
        <v>5</v>
      </c>
      <c r="BB884">
        <v>2.1</v>
      </c>
      <c r="BC884">
        <v>2.4738868000000001E-3</v>
      </c>
      <c r="BD884">
        <v>1.4256942275279999E-4</v>
      </c>
      <c r="BE884">
        <v>2.6164562227527998E-3</v>
      </c>
      <c r="BF884">
        <f>IF(AK884&lt;BE884,1,0)</f>
        <v>0</v>
      </c>
      <c r="BG884">
        <f>IF(AK884&lt;BC884,1,0)</f>
        <v>0</v>
      </c>
      <c r="BH884">
        <f>VLOOKUP($B884,[1]Data_Peer_with_peerVars!$B$2:$Z$1050,20,FALSE)</f>
        <v>5</v>
      </c>
      <c r="BI884">
        <f>VLOOKUP($B884,[1]Data_Peer_with_peerVars!$B$2:$Z$1050,21,FALSE)</f>
        <v>0</v>
      </c>
      <c r="BJ884">
        <f>VLOOKUP($B884,[1]Data_Peer_with_peerVars!$B$2:$Z$1050,22,FALSE)</f>
        <v>0</v>
      </c>
      <c r="BK884">
        <f>VLOOKUP($B884,[1]Data_Peer_with_peerVars!$B$2:$Z$1050,23,FALSE)</f>
        <v>5</v>
      </c>
      <c r="BL884">
        <f>VLOOKUP($B884,[1]Data_Peer_with_peerVars!$B$2:$Z$1050,24,FALSE)</f>
        <v>0</v>
      </c>
      <c r="BM884">
        <f>VLOOKUP($B884,[1]Data_Peer_with_peerVars!$B$2:$Z$1050,25,FALSE)</f>
        <v>0</v>
      </c>
    </row>
    <row r="885" spans="1:65" x14ac:dyDescent="0.2">
      <c r="A885">
        <v>1</v>
      </c>
      <c r="B885" t="s">
        <v>1360</v>
      </c>
      <c r="C885">
        <v>548</v>
      </c>
      <c r="D885" t="s">
        <v>155</v>
      </c>
      <c r="E885">
        <v>0</v>
      </c>
      <c r="F885" s="14" t="s">
        <v>82</v>
      </c>
      <c r="G885" s="14" t="s">
        <v>82</v>
      </c>
      <c r="H885" s="1">
        <v>6</v>
      </c>
      <c r="I885" t="s">
        <v>87</v>
      </c>
      <c r="J885" t="s">
        <v>111</v>
      </c>
      <c r="K885" t="s">
        <v>109</v>
      </c>
      <c r="L885">
        <v>1</v>
      </c>
      <c r="M885">
        <v>1</v>
      </c>
      <c r="N885">
        <v>0</v>
      </c>
      <c r="O885">
        <v>0</v>
      </c>
      <c r="P885">
        <v>1</v>
      </c>
      <c r="Q885">
        <v>6</v>
      </c>
      <c r="R885">
        <v>0</v>
      </c>
      <c r="S885">
        <v>0</v>
      </c>
      <c r="T885">
        <v>0</v>
      </c>
      <c r="U885">
        <v>0</v>
      </c>
      <c r="V885">
        <f t="shared" si="374"/>
        <v>0</v>
      </c>
      <c r="W885">
        <f t="shared" si="375"/>
        <v>0</v>
      </c>
      <c r="X885">
        <f t="shared" si="378"/>
        <v>1</v>
      </c>
      <c r="Y885">
        <v>1</v>
      </c>
      <c r="Z885" t="s">
        <v>75</v>
      </c>
      <c r="AA885" s="5" t="s">
        <v>75</v>
      </c>
      <c r="AB885" s="5" t="s">
        <v>75</v>
      </c>
      <c r="AC885" t="s">
        <v>73</v>
      </c>
      <c r="AD885" t="s">
        <v>94</v>
      </c>
      <c r="AE885" s="5" t="s">
        <v>94</v>
      </c>
      <c r="AF885" t="s">
        <v>75</v>
      </c>
      <c r="AG885" t="s">
        <v>95</v>
      </c>
      <c r="AH885">
        <f t="shared" si="397"/>
        <v>0.13019694000000001</v>
      </c>
      <c r="AI885">
        <f>AM885</f>
        <v>0.13019694000000001</v>
      </c>
      <c r="AJ885">
        <f t="shared" si="377"/>
        <v>6.4067609999999997E-2</v>
      </c>
      <c r="AK885">
        <v>6.4067609999999997E-2</v>
      </c>
      <c r="AL885">
        <v>0.11954148000000001</v>
      </c>
      <c r="AM885">
        <v>0.13019694000000001</v>
      </c>
      <c r="AN885">
        <v>0.14153004999999999</v>
      </c>
      <c r="AO885">
        <v>93.593238999999997</v>
      </c>
      <c r="AP885">
        <v>88.045851999999996</v>
      </c>
      <c r="AQ885">
        <v>86.980305999999999</v>
      </c>
      <c r="AR885">
        <v>85.846995000000007</v>
      </c>
      <c r="AS885" t="b">
        <v>0</v>
      </c>
      <c r="AT885" t="b">
        <v>0</v>
      </c>
      <c r="AU885" t="s">
        <v>77</v>
      </c>
      <c r="AV885" t="s">
        <v>78</v>
      </c>
      <c r="AW885" t="s">
        <v>783</v>
      </c>
      <c r="AX885" t="s">
        <v>1298</v>
      </c>
      <c r="AY885" t="s">
        <v>1359</v>
      </c>
      <c r="AZ885" t="s">
        <v>109</v>
      </c>
      <c r="BA885">
        <v>3</v>
      </c>
      <c r="BB885">
        <v>1.05</v>
      </c>
      <c r="BC885">
        <v>4.1163553999999996E-3</v>
      </c>
      <c r="BD885">
        <v>1.4279989108178799E-4</v>
      </c>
      <c r="BE885">
        <v>4.2591552910817903E-3</v>
      </c>
      <c r="BF885">
        <f>IF(AK885&lt;BE885,1,0)</f>
        <v>0</v>
      </c>
      <c r="BG885">
        <f>IF(AK885&lt;BC885,1,0)</f>
        <v>0</v>
      </c>
      <c r="BH885">
        <f>VLOOKUP($B885,[1]Data_Peer_with_peerVars!$B$2:$Z$1050,20,FALSE)</f>
        <v>3</v>
      </c>
      <c r="BI885">
        <f>VLOOKUP($B885,[1]Data_Peer_with_peerVars!$B$2:$Z$1050,21,FALSE)</f>
        <v>2</v>
      </c>
      <c r="BJ885">
        <f>VLOOKUP($B885,[1]Data_Peer_with_peerVars!$B$2:$Z$1050,22,FALSE)</f>
        <v>0.66666666699999999</v>
      </c>
      <c r="BK885">
        <f>VLOOKUP($B885,[1]Data_Peer_with_peerVars!$B$2:$Z$1050,23,FALSE)</f>
        <v>35</v>
      </c>
      <c r="BL885">
        <f>VLOOKUP($B885,[1]Data_Peer_with_peerVars!$B$2:$Z$1050,24,FALSE)</f>
        <v>12</v>
      </c>
      <c r="BM885">
        <f>VLOOKUP($B885,[1]Data_Peer_with_peerVars!$B$2:$Z$1050,25,FALSE)</f>
        <v>0.34285714299999998</v>
      </c>
    </row>
    <row r="886" spans="1:65" x14ac:dyDescent="0.2">
      <c r="A886">
        <v>1</v>
      </c>
      <c r="B886" t="s">
        <v>1361</v>
      </c>
      <c r="C886">
        <v>549</v>
      </c>
      <c r="D886" t="s">
        <v>155</v>
      </c>
      <c r="E886">
        <v>0</v>
      </c>
      <c r="F886" s="14" t="s">
        <v>82</v>
      </c>
      <c r="G886" s="14" t="s">
        <v>82</v>
      </c>
      <c r="H886" s="1">
        <v>6</v>
      </c>
      <c r="I886" t="s">
        <v>87</v>
      </c>
      <c r="J886" t="s">
        <v>111</v>
      </c>
      <c r="K886" t="s">
        <v>109</v>
      </c>
      <c r="L886">
        <v>1</v>
      </c>
      <c r="M886">
        <v>1</v>
      </c>
      <c r="N886">
        <v>0</v>
      </c>
      <c r="O886">
        <v>0</v>
      </c>
      <c r="P886">
        <v>0</v>
      </c>
      <c r="Q886">
        <v>9</v>
      </c>
      <c r="R886">
        <v>0</v>
      </c>
      <c r="S886">
        <v>0</v>
      </c>
      <c r="T886">
        <v>0</v>
      </c>
      <c r="U886">
        <v>0</v>
      </c>
      <c r="V886">
        <f t="shared" si="374"/>
        <v>0</v>
      </c>
      <c r="W886">
        <f t="shared" si="375"/>
        <v>0</v>
      </c>
      <c r="X886">
        <f t="shared" si="378"/>
        <v>0</v>
      </c>
      <c r="Y886">
        <f t="shared" si="376"/>
        <v>0</v>
      </c>
      <c r="Z886" t="s">
        <v>75</v>
      </c>
      <c r="AA886" s="5" t="s">
        <v>75</v>
      </c>
      <c r="AB886" s="5" t="s">
        <v>75</v>
      </c>
      <c r="AC886" t="s">
        <v>91</v>
      </c>
      <c r="AD886" t="s">
        <v>287</v>
      </c>
      <c r="AE886" s="5" t="s">
        <v>287</v>
      </c>
      <c r="AF886" t="s">
        <v>137</v>
      </c>
      <c r="AG886" t="s">
        <v>84</v>
      </c>
      <c r="AH886">
        <f t="shared" ref="AH886:AH895" si="399">AI886</f>
        <v>7.1115973000000004E-3</v>
      </c>
      <c r="AI886">
        <f t="shared" ref="AI886:AI895" si="400">AJ886</f>
        <v>7.1115973000000004E-3</v>
      </c>
      <c r="AJ886">
        <f t="shared" si="377"/>
        <v>7.1115973000000004E-3</v>
      </c>
      <c r="AK886">
        <v>7.1115973000000004E-3</v>
      </c>
      <c r="AL886">
        <v>0.11645708</v>
      </c>
      <c r="AM886">
        <v>0.1273224</v>
      </c>
      <c r="AN886">
        <v>0.13249037999999999</v>
      </c>
      <c r="AO886">
        <v>99.288840269999994</v>
      </c>
      <c r="AP886">
        <v>88.354292000000001</v>
      </c>
      <c r="AQ886">
        <v>87.267759999999996</v>
      </c>
      <c r="AR886">
        <v>86.750962000000001</v>
      </c>
      <c r="AS886" t="b">
        <v>0</v>
      </c>
      <c r="AT886" t="b">
        <v>0</v>
      </c>
      <c r="AU886" t="s">
        <v>77</v>
      </c>
      <c r="AV886" t="s">
        <v>78</v>
      </c>
      <c r="AW886" t="s">
        <v>783</v>
      </c>
      <c r="AX886" t="s">
        <v>1298</v>
      </c>
      <c r="AY886" t="s">
        <v>1362</v>
      </c>
      <c r="AZ886" t="s">
        <v>109</v>
      </c>
      <c r="BA886">
        <v>3</v>
      </c>
      <c r="BB886">
        <v>0.7</v>
      </c>
      <c r="BC886">
        <v>9.0659339999999995E-3</v>
      </c>
      <c r="BD886">
        <v>2.76583658862385E-3</v>
      </c>
      <c r="BE886">
        <v>1.1831770588623799E-2</v>
      </c>
      <c r="BF886">
        <f>IF(AK886&lt;BE886,1,0)</f>
        <v>1</v>
      </c>
      <c r="BG886">
        <f>IF(AK886&lt;BC886,1,0)</f>
        <v>1</v>
      </c>
      <c r="BH886">
        <f>VLOOKUP($B886,[1]Data_Peer_with_peerVars!$B$2:$Z$1050,20,FALSE)</f>
        <v>5</v>
      </c>
      <c r="BI886">
        <f>VLOOKUP($B886,[1]Data_Peer_with_peerVars!$B$2:$Z$1050,21,FALSE)</f>
        <v>1</v>
      </c>
      <c r="BJ886">
        <f>VLOOKUP($B886,[1]Data_Peer_with_peerVars!$B$2:$Z$1050,22,FALSE)</f>
        <v>0.2</v>
      </c>
      <c r="BK886">
        <f>VLOOKUP($B886,[1]Data_Peer_with_peerVars!$B$2:$Z$1050,23,FALSE)</f>
        <v>5</v>
      </c>
      <c r="BL886">
        <f>VLOOKUP($B886,[1]Data_Peer_with_peerVars!$B$2:$Z$1050,24,FALSE)</f>
        <v>1</v>
      </c>
      <c r="BM886">
        <f>VLOOKUP($B886,[1]Data_Peer_with_peerVars!$B$2:$Z$1050,25,FALSE)</f>
        <v>0.2</v>
      </c>
    </row>
    <row r="887" spans="1:65" x14ac:dyDescent="0.2">
      <c r="A887">
        <v>1</v>
      </c>
      <c r="B887" t="s">
        <v>1363</v>
      </c>
      <c r="C887">
        <v>550</v>
      </c>
      <c r="D887" t="s">
        <v>155</v>
      </c>
      <c r="E887">
        <v>0</v>
      </c>
      <c r="F887" s="14" t="s">
        <v>82</v>
      </c>
      <c r="G887" s="14" t="s">
        <v>82</v>
      </c>
      <c r="H887" s="1">
        <v>6</v>
      </c>
      <c r="I887" t="s">
        <v>87</v>
      </c>
      <c r="J887" t="s">
        <v>111</v>
      </c>
      <c r="K887" t="s">
        <v>109</v>
      </c>
      <c r="L887">
        <v>1</v>
      </c>
      <c r="M887">
        <v>1</v>
      </c>
      <c r="N887">
        <v>0</v>
      </c>
      <c r="O887">
        <v>0</v>
      </c>
      <c r="P887">
        <v>0</v>
      </c>
      <c r="Q887">
        <v>4</v>
      </c>
      <c r="R887">
        <v>0</v>
      </c>
      <c r="S887">
        <v>0</v>
      </c>
      <c r="T887">
        <v>0</v>
      </c>
      <c r="U887">
        <v>0</v>
      </c>
      <c r="V887">
        <f t="shared" si="374"/>
        <v>0</v>
      </c>
      <c r="W887">
        <f t="shared" si="375"/>
        <v>0</v>
      </c>
      <c r="X887">
        <f t="shared" si="378"/>
        <v>0</v>
      </c>
      <c r="Y887">
        <f t="shared" si="376"/>
        <v>0</v>
      </c>
      <c r="Z887" t="s">
        <v>91</v>
      </c>
      <c r="AA887" s="5" t="s">
        <v>91</v>
      </c>
      <c r="AB887" s="5" t="s">
        <v>998</v>
      </c>
      <c r="AC887" t="s">
        <v>73</v>
      </c>
      <c r="AD887" t="s">
        <v>94</v>
      </c>
      <c r="AE887" s="5" t="s">
        <v>94</v>
      </c>
      <c r="AF887" t="s">
        <v>75</v>
      </c>
      <c r="AG887" t="s">
        <v>95</v>
      </c>
      <c r="AH887">
        <f t="shared" si="399"/>
        <v>6.7648663999999997E-2</v>
      </c>
      <c r="AI887">
        <f t="shared" si="400"/>
        <v>6.7648663999999997E-2</v>
      </c>
      <c r="AJ887">
        <f t="shared" si="377"/>
        <v>6.7648663999999997E-2</v>
      </c>
      <c r="AK887">
        <v>6.7648663999999997E-2</v>
      </c>
      <c r="AL887">
        <v>0.11660295</v>
      </c>
      <c r="AM887">
        <v>0.12972085</v>
      </c>
      <c r="AN887">
        <v>0.14078731999999999</v>
      </c>
      <c r="AO887">
        <v>93.235133599999998</v>
      </c>
      <c r="AP887">
        <v>88.339704999999995</v>
      </c>
      <c r="AQ887">
        <v>87.027914999999993</v>
      </c>
      <c r="AR887">
        <v>85.921267999999998</v>
      </c>
      <c r="AS887" t="b">
        <v>0</v>
      </c>
      <c r="AT887" t="b">
        <v>0</v>
      </c>
      <c r="AU887" t="s">
        <v>77</v>
      </c>
      <c r="AV887" t="s">
        <v>78</v>
      </c>
      <c r="AW887" t="s">
        <v>783</v>
      </c>
      <c r="AX887" t="s">
        <v>1277</v>
      </c>
      <c r="AY887" t="s">
        <v>1364</v>
      </c>
      <c r="AZ887" t="s">
        <v>109</v>
      </c>
      <c r="BA887">
        <v>4</v>
      </c>
      <c r="BB887">
        <v>2</v>
      </c>
      <c r="BC887">
        <v>4.1163553999999996E-3</v>
      </c>
      <c r="BD887">
        <v>1.4279989108178799E-4</v>
      </c>
      <c r="BE887">
        <v>4.2591552910817903E-3</v>
      </c>
      <c r="BF887">
        <f>IF(AK887&lt;BE887,1,0)</f>
        <v>0</v>
      </c>
      <c r="BG887">
        <f>IF(AK887&lt;BC887,1,0)</f>
        <v>0</v>
      </c>
      <c r="BH887">
        <f>VLOOKUP($B887,[1]Data_Peer_with_peerVars!$B$2:$Z$1050,20,FALSE)</f>
        <v>1</v>
      </c>
      <c r="BI887">
        <f>VLOOKUP($B887,[1]Data_Peer_with_peerVars!$B$2:$Z$1050,21,FALSE)</f>
        <v>1</v>
      </c>
      <c r="BJ887">
        <f>VLOOKUP($B887,[1]Data_Peer_with_peerVars!$B$2:$Z$1050,22,FALSE)</f>
        <v>1</v>
      </c>
      <c r="BK887">
        <f>VLOOKUP($B887,[1]Data_Peer_with_peerVars!$B$2:$Z$1050,23,FALSE)</f>
        <v>17</v>
      </c>
      <c r="BL887">
        <f>VLOOKUP($B887,[1]Data_Peer_with_peerVars!$B$2:$Z$1050,24,FALSE)</f>
        <v>5</v>
      </c>
      <c r="BM887">
        <f>VLOOKUP($B887,[1]Data_Peer_with_peerVars!$B$2:$Z$1050,25,FALSE)</f>
        <v>0.29411764699999998</v>
      </c>
    </row>
    <row r="888" spans="1:65" x14ac:dyDescent="0.2">
      <c r="A888">
        <v>1</v>
      </c>
      <c r="B888" t="s">
        <v>1365</v>
      </c>
      <c r="C888">
        <v>551</v>
      </c>
      <c r="D888" t="s">
        <v>155</v>
      </c>
      <c r="E888">
        <v>0</v>
      </c>
      <c r="F888" s="14" t="s">
        <v>82</v>
      </c>
      <c r="G888" s="14" t="s">
        <v>82</v>
      </c>
      <c r="H888" s="1">
        <v>7</v>
      </c>
      <c r="I888" t="s">
        <v>87</v>
      </c>
      <c r="J888" t="s">
        <v>150</v>
      </c>
      <c r="K888" t="s">
        <v>72</v>
      </c>
      <c r="L888">
        <v>1</v>
      </c>
      <c r="M888">
        <v>1</v>
      </c>
      <c r="N888">
        <v>0</v>
      </c>
      <c r="O888">
        <v>0</v>
      </c>
      <c r="P888">
        <v>0</v>
      </c>
      <c r="Q888">
        <v>0</v>
      </c>
      <c r="R888">
        <v>0</v>
      </c>
      <c r="S888">
        <v>0</v>
      </c>
      <c r="T888">
        <v>1</v>
      </c>
      <c r="U888">
        <v>1</v>
      </c>
      <c r="V888">
        <f t="shared" si="374"/>
        <v>0</v>
      </c>
      <c r="W888">
        <f t="shared" si="375"/>
        <v>0</v>
      </c>
      <c r="X888">
        <f t="shared" si="378"/>
        <v>0</v>
      </c>
      <c r="Y888">
        <f t="shared" si="376"/>
        <v>0</v>
      </c>
      <c r="Z888" t="s">
        <v>287</v>
      </c>
      <c r="AA888" s="5" t="s">
        <v>287</v>
      </c>
      <c r="AB888" s="5" t="s">
        <v>287</v>
      </c>
      <c r="AC888" t="s">
        <v>73</v>
      </c>
      <c r="AD888" t="s">
        <v>94</v>
      </c>
      <c r="AE888" s="5" t="s">
        <v>106</v>
      </c>
      <c r="AF888" t="s">
        <v>107</v>
      </c>
      <c r="AG888" t="s">
        <v>95</v>
      </c>
      <c r="AH888">
        <f t="shared" si="399"/>
        <v>3.8167940000000001E-3</v>
      </c>
      <c r="AI888">
        <f t="shared" si="400"/>
        <v>3.8167940000000001E-3</v>
      </c>
      <c r="AJ888">
        <f t="shared" si="377"/>
        <v>3.8167940000000001E-3</v>
      </c>
      <c r="AK888">
        <v>3.8167940000000001E-3</v>
      </c>
      <c r="AL888">
        <v>0.13169399000000001</v>
      </c>
      <c r="AM888">
        <v>0.13623904000000001</v>
      </c>
      <c r="AN888">
        <v>0.13867615</v>
      </c>
      <c r="AO888">
        <v>99.618320600000004</v>
      </c>
      <c r="AP888">
        <v>86.830601000000001</v>
      </c>
      <c r="AQ888">
        <v>86.376096000000004</v>
      </c>
      <c r="AR888">
        <v>86.132384999999999</v>
      </c>
      <c r="AS888" t="b">
        <v>0</v>
      </c>
      <c r="AT888" t="b">
        <v>0</v>
      </c>
      <c r="AU888" t="s">
        <v>77</v>
      </c>
      <c r="AV888" t="s">
        <v>108</v>
      </c>
      <c r="AW888" t="s">
        <v>783</v>
      </c>
      <c r="AX888" t="s">
        <v>1277</v>
      </c>
      <c r="AY888" t="s">
        <v>1359</v>
      </c>
      <c r="AZ888" t="s">
        <v>72</v>
      </c>
      <c r="BA888" t="s">
        <v>82</v>
      </c>
      <c r="BB888">
        <v>0.7</v>
      </c>
      <c r="BC888">
        <v>4.1163553999999996E-3</v>
      </c>
      <c r="BD888">
        <v>1.4279989108178799E-4</v>
      </c>
      <c r="BE888">
        <v>4.2591552910817903E-3</v>
      </c>
      <c r="BF888">
        <f>IF(AK888&lt;BE888,1,0)</f>
        <v>1</v>
      </c>
      <c r="BG888">
        <f>IF(AK888&lt;BC888,1,0)</f>
        <v>1</v>
      </c>
      <c r="BH888">
        <f>VLOOKUP($B888,[1]Data_Peer_with_peerVars!$B$2:$Z$1050,20,FALSE)</f>
        <v>3</v>
      </c>
      <c r="BI888">
        <f>VLOOKUP($B888,[1]Data_Peer_with_peerVars!$B$2:$Z$1050,21,FALSE)</f>
        <v>2</v>
      </c>
      <c r="BJ888">
        <f>VLOOKUP($B888,[1]Data_Peer_with_peerVars!$B$2:$Z$1050,22,FALSE)</f>
        <v>0.66666666699999999</v>
      </c>
      <c r="BK888">
        <f>VLOOKUP($B888,[1]Data_Peer_with_peerVars!$B$2:$Z$1050,23,FALSE)</f>
        <v>43</v>
      </c>
      <c r="BL888">
        <f>VLOOKUP($B888,[1]Data_Peer_with_peerVars!$B$2:$Z$1050,24,FALSE)</f>
        <v>15</v>
      </c>
      <c r="BM888">
        <f>VLOOKUP($B888,[1]Data_Peer_with_peerVars!$B$2:$Z$1050,25,FALSE)</f>
        <v>0.34883720899999998</v>
      </c>
    </row>
    <row r="889" spans="1:65" x14ac:dyDescent="0.2">
      <c r="A889">
        <v>1</v>
      </c>
      <c r="B889" t="s">
        <v>1366</v>
      </c>
      <c r="C889">
        <v>552</v>
      </c>
      <c r="D889" t="s">
        <v>155</v>
      </c>
      <c r="E889">
        <v>0</v>
      </c>
      <c r="F889" s="14" t="s">
        <v>82</v>
      </c>
      <c r="G889" s="14" t="s">
        <v>82</v>
      </c>
      <c r="H889" s="1"/>
      <c r="N889">
        <v>0</v>
      </c>
      <c r="R889">
        <v>0</v>
      </c>
      <c r="S889">
        <v>0</v>
      </c>
      <c r="T889">
        <v>0</v>
      </c>
      <c r="U889">
        <v>0</v>
      </c>
      <c r="V889">
        <f t="shared" si="374"/>
        <v>0</v>
      </c>
      <c r="W889">
        <f t="shared" si="375"/>
        <v>0</v>
      </c>
      <c r="X889">
        <f t="shared" si="378"/>
        <v>0</v>
      </c>
      <c r="Y889">
        <f t="shared" si="376"/>
        <v>0</v>
      </c>
      <c r="Z889" t="s">
        <v>89</v>
      </c>
      <c r="AA889" s="5" t="s">
        <v>82</v>
      </c>
      <c r="AB889" s="5" t="s">
        <v>82</v>
      </c>
      <c r="AC889" t="s">
        <v>91</v>
      </c>
      <c r="AD889" t="s">
        <v>287</v>
      </c>
      <c r="AE889" s="5" t="s">
        <v>287</v>
      </c>
      <c r="AF889" t="s">
        <v>137</v>
      </c>
      <c r="AG889" t="s">
        <v>84</v>
      </c>
      <c r="AH889">
        <f t="shared" si="399"/>
        <v>3.280481E-3</v>
      </c>
      <c r="AI889">
        <f t="shared" si="400"/>
        <v>3.280481E-3</v>
      </c>
      <c r="AJ889">
        <f t="shared" si="377"/>
        <v>3.280481E-3</v>
      </c>
      <c r="AK889">
        <v>3.280481E-3</v>
      </c>
      <c r="AL889">
        <v>0.1204918</v>
      </c>
      <c r="AM889">
        <v>0.12889132</v>
      </c>
      <c r="AN889">
        <v>0.13379120999999999</v>
      </c>
      <c r="AO889">
        <v>99.671951899999996</v>
      </c>
      <c r="AP889">
        <v>87.950819999999993</v>
      </c>
      <c r="AQ889">
        <v>87.110867999999996</v>
      </c>
      <c r="AR889">
        <v>86.620879000000002</v>
      </c>
      <c r="AS889" t="s">
        <v>82</v>
      </c>
      <c r="AT889" t="s">
        <v>82</v>
      </c>
      <c r="AU889" t="s">
        <v>77</v>
      </c>
      <c r="AV889" t="s">
        <v>78</v>
      </c>
      <c r="BC889">
        <v>9.0659339999999995E-3</v>
      </c>
      <c r="BD889">
        <v>2.76583658862385E-3</v>
      </c>
      <c r="BE889">
        <v>1.1831770588623799E-2</v>
      </c>
      <c r="BF889">
        <f>IF(AK889&lt;BE889,1,0)</f>
        <v>1</v>
      </c>
      <c r="BG889">
        <f>IF(AK889&lt;BC889,1,0)</f>
        <v>1</v>
      </c>
    </row>
    <row r="890" spans="1:65" x14ac:dyDescent="0.2">
      <c r="A890">
        <v>1</v>
      </c>
      <c r="B890" t="s">
        <v>1367</v>
      </c>
      <c r="C890">
        <v>553</v>
      </c>
      <c r="D890" t="s">
        <v>155</v>
      </c>
      <c r="E890">
        <v>0</v>
      </c>
      <c r="F890" s="14" t="s">
        <v>82</v>
      </c>
      <c r="G890" s="14" t="s">
        <v>82</v>
      </c>
      <c r="H890" s="1">
        <v>5</v>
      </c>
      <c r="I890" t="s">
        <v>87</v>
      </c>
      <c r="J890" t="s">
        <v>150</v>
      </c>
      <c r="K890" t="s">
        <v>72</v>
      </c>
      <c r="L890">
        <v>1</v>
      </c>
      <c r="M890">
        <v>1</v>
      </c>
      <c r="N890">
        <v>0</v>
      </c>
      <c r="O890">
        <v>0</v>
      </c>
      <c r="P890">
        <v>0</v>
      </c>
      <c r="Q890">
        <v>11</v>
      </c>
      <c r="R890">
        <v>0</v>
      </c>
      <c r="S890">
        <v>0</v>
      </c>
      <c r="T890">
        <v>0</v>
      </c>
      <c r="U890">
        <v>0</v>
      </c>
      <c r="V890">
        <f t="shared" si="374"/>
        <v>0</v>
      </c>
      <c r="W890">
        <f t="shared" si="375"/>
        <v>0</v>
      </c>
      <c r="X890">
        <f t="shared" si="378"/>
        <v>0</v>
      </c>
      <c r="Y890">
        <f t="shared" si="376"/>
        <v>0</v>
      </c>
      <c r="Z890" t="s">
        <v>89</v>
      </c>
      <c r="AA890" s="5" t="s">
        <v>89</v>
      </c>
      <c r="AB890" s="5" t="s">
        <v>1346</v>
      </c>
      <c r="AC890" t="s">
        <v>287</v>
      </c>
      <c r="AD890" t="s">
        <v>137</v>
      </c>
      <c r="AE890" s="5" t="s">
        <v>308</v>
      </c>
      <c r="AF890" t="s">
        <v>103</v>
      </c>
      <c r="AG890" t="s">
        <v>113</v>
      </c>
      <c r="AH890">
        <f t="shared" si="399"/>
        <v>0.106359646</v>
      </c>
      <c r="AI890">
        <f t="shared" si="400"/>
        <v>0.106359646</v>
      </c>
      <c r="AJ890">
        <f t="shared" si="377"/>
        <v>0.106359646</v>
      </c>
      <c r="AK890">
        <v>0.106359646</v>
      </c>
      <c r="AL890">
        <v>0.112390354</v>
      </c>
      <c r="AM890">
        <v>0.12154696</v>
      </c>
      <c r="AN890">
        <v>0.122038566</v>
      </c>
      <c r="AO890">
        <v>89.364035400000006</v>
      </c>
      <c r="AP890">
        <v>88.760964599999994</v>
      </c>
      <c r="AQ890">
        <v>87.845303999999999</v>
      </c>
      <c r="AR890">
        <v>87.796143400000005</v>
      </c>
      <c r="AS890" t="b">
        <v>0</v>
      </c>
      <c r="AT890" t="b">
        <v>0</v>
      </c>
      <c r="AU890" t="s">
        <v>92</v>
      </c>
      <c r="AV890" t="s">
        <v>92</v>
      </c>
      <c r="AW890" t="s">
        <v>783</v>
      </c>
      <c r="AX890" t="s">
        <v>1298</v>
      </c>
      <c r="AY890" t="s">
        <v>1364</v>
      </c>
      <c r="AZ890" t="s">
        <v>72</v>
      </c>
      <c r="BA890" t="s">
        <v>82</v>
      </c>
      <c r="BB890">
        <v>0.35</v>
      </c>
      <c r="BC890">
        <v>5.5106750000000003E-2</v>
      </c>
      <c r="BD890">
        <v>2.4361461616194298E-3</v>
      </c>
      <c r="BE890">
        <v>5.7542896161619402E-2</v>
      </c>
      <c r="BF890">
        <f>IF(AK890&lt;BE890,1,0)</f>
        <v>0</v>
      </c>
      <c r="BG890">
        <f>IF(AK890&lt;BC890,1,0)</f>
        <v>0</v>
      </c>
      <c r="BH890">
        <f>VLOOKUP($B890,[1]Data_Peer_with_peerVars!$B$2:$Z$1050,20,FALSE)</f>
        <v>15</v>
      </c>
      <c r="BI890">
        <f>VLOOKUP($B890,[1]Data_Peer_with_peerVars!$B$2:$Z$1050,21,FALSE)</f>
        <v>4</v>
      </c>
      <c r="BJ890">
        <f>VLOOKUP($B890,[1]Data_Peer_with_peerVars!$B$2:$Z$1050,22,FALSE)</f>
        <v>0.26666666700000002</v>
      </c>
      <c r="BK890">
        <f>VLOOKUP($B890,[1]Data_Peer_with_peerVars!$B$2:$Z$1050,23,FALSE)</f>
        <v>35</v>
      </c>
      <c r="BL890">
        <f>VLOOKUP($B890,[1]Data_Peer_with_peerVars!$B$2:$Z$1050,24,FALSE)</f>
        <v>12</v>
      </c>
      <c r="BM890">
        <f>VLOOKUP($B890,[1]Data_Peer_with_peerVars!$B$2:$Z$1050,25,FALSE)</f>
        <v>0.34285714299999998</v>
      </c>
    </row>
    <row r="891" spans="1:65" x14ac:dyDescent="0.2">
      <c r="A891">
        <v>1</v>
      </c>
      <c r="B891" t="s">
        <v>1368</v>
      </c>
      <c r="C891">
        <v>554</v>
      </c>
      <c r="D891" t="s">
        <v>155</v>
      </c>
      <c r="E891">
        <v>0</v>
      </c>
      <c r="F891" s="14" t="s">
        <v>82</v>
      </c>
      <c r="G891" s="14" t="s">
        <v>82</v>
      </c>
      <c r="H891" s="1">
        <v>7</v>
      </c>
      <c r="J891" t="s">
        <v>82</v>
      </c>
      <c r="L891">
        <v>1</v>
      </c>
      <c r="M891">
        <v>1</v>
      </c>
      <c r="N891">
        <v>0</v>
      </c>
      <c r="O891">
        <v>0</v>
      </c>
      <c r="P891">
        <v>1</v>
      </c>
      <c r="Q891">
        <v>11</v>
      </c>
      <c r="R891">
        <v>0</v>
      </c>
      <c r="S891">
        <v>0</v>
      </c>
      <c r="T891">
        <v>0</v>
      </c>
      <c r="U891">
        <v>0</v>
      </c>
      <c r="V891">
        <f t="shared" si="374"/>
        <v>0</v>
      </c>
      <c r="W891">
        <f t="shared" si="375"/>
        <v>0</v>
      </c>
      <c r="X891">
        <f t="shared" si="378"/>
        <v>0</v>
      </c>
      <c r="Y891">
        <f t="shared" si="376"/>
        <v>0</v>
      </c>
      <c r="Z891" t="s">
        <v>89</v>
      </c>
      <c r="AA891" s="5" t="s">
        <v>82</v>
      </c>
      <c r="AB891" s="5" t="s">
        <v>82</v>
      </c>
      <c r="AC891" t="s">
        <v>74</v>
      </c>
      <c r="AD891" t="s">
        <v>76</v>
      </c>
      <c r="AE891" s="5" t="s">
        <v>637</v>
      </c>
      <c r="AF891" t="s">
        <v>75</v>
      </c>
      <c r="AG891" t="s">
        <v>120</v>
      </c>
      <c r="AH891">
        <f t="shared" si="399"/>
        <v>5.6438357000000001E-2</v>
      </c>
      <c r="AI891">
        <f t="shared" si="400"/>
        <v>5.6438357000000001E-2</v>
      </c>
      <c r="AJ891">
        <f t="shared" si="377"/>
        <v>5.6438357000000001E-2</v>
      </c>
      <c r="AK891">
        <v>5.6438357000000001E-2</v>
      </c>
      <c r="AL891">
        <v>9.1256829999999997E-2</v>
      </c>
      <c r="AM891">
        <v>9.6553609999999998E-2</v>
      </c>
      <c r="AN891">
        <v>9.776079E-2</v>
      </c>
      <c r="AO891">
        <v>94.356164300000003</v>
      </c>
      <c r="AP891">
        <v>90.874317000000005</v>
      </c>
      <c r="AQ891">
        <v>90.344639000000001</v>
      </c>
      <c r="AR891">
        <v>90.223921000000004</v>
      </c>
      <c r="AS891" t="s">
        <v>82</v>
      </c>
      <c r="AT891" t="s">
        <v>82</v>
      </c>
      <c r="AU891" t="s">
        <v>77</v>
      </c>
      <c r="AV891" t="s">
        <v>108</v>
      </c>
      <c r="AW891" t="s">
        <v>783</v>
      </c>
      <c r="AX891" t="s">
        <v>1277</v>
      </c>
      <c r="AY891" t="s">
        <v>1369</v>
      </c>
      <c r="AZ891" t="s">
        <v>82</v>
      </c>
      <c r="BA891" t="s">
        <v>82</v>
      </c>
      <c r="BB891" t="s">
        <v>82</v>
      </c>
      <c r="BC891">
        <v>2.4738868000000001E-3</v>
      </c>
      <c r="BD891">
        <v>1.4256942275279999E-4</v>
      </c>
      <c r="BE891">
        <v>2.6164562227527998E-3</v>
      </c>
      <c r="BF891">
        <f>IF(AK891&lt;BE891,1,0)</f>
        <v>0</v>
      </c>
      <c r="BG891">
        <f>IF(AK891&lt;BC891,1,0)</f>
        <v>0</v>
      </c>
    </row>
    <row r="892" spans="1:65" x14ac:dyDescent="0.2">
      <c r="A892">
        <v>1</v>
      </c>
      <c r="B892" t="s">
        <v>1370</v>
      </c>
      <c r="C892">
        <v>555</v>
      </c>
      <c r="D892" t="s">
        <v>155</v>
      </c>
      <c r="E892">
        <v>0</v>
      </c>
      <c r="F892" s="14" t="s">
        <v>82</v>
      </c>
      <c r="G892" s="14" t="s">
        <v>82</v>
      </c>
      <c r="H892" s="1"/>
      <c r="N892">
        <v>0</v>
      </c>
      <c r="R892">
        <v>0</v>
      </c>
      <c r="S892">
        <v>0</v>
      </c>
      <c r="T892">
        <v>0</v>
      </c>
      <c r="U892">
        <v>0</v>
      </c>
      <c r="V892">
        <f t="shared" si="374"/>
        <v>0</v>
      </c>
      <c r="W892">
        <f t="shared" si="375"/>
        <v>0</v>
      </c>
      <c r="X892">
        <f t="shared" si="378"/>
        <v>0</v>
      </c>
      <c r="Y892">
        <f t="shared" si="376"/>
        <v>0</v>
      </c>
      <c r="Z892" t="s">
        <v>89</v>
      </c>
      <c r="AA892" s="5" t="s">
        <v>82</v>
      </c>
      <c r="AB892" s="5" t="s">
        <v>82</v>
      </c>
      <c r="AC892" t="s">
        <v>91</v>
      </c>
      <c r="AD892" t="s">
        <v>287</v>
      </c>
      <c r="AE892" s="5" t="s">
        <v>287</v>
      </c>
      <c r="AF892" t="s">
        <v>137</v>
      </c>
      <c r="AG892" t="s">
        <v>84</v>
      </c>
      <c r="AH892">
        <f t="shared" si="399"/>
        <v>3.280481E-3</v>
      </c>
      <c r="AI892">
        <f t="shared" si="400"/>
        <v>3.280481E-3</v>
      </c>
      <c r="AJ892">
        <f t="shared" si="377"/>
        <v>3.280481E-3</v>
      </c>
      <c r="AK892">
        <v>3.280481E-3</v>
      </c>
      <c r="AL892">
        <v>0.119945355</v>
      </c>
      <c r="AM892">
        <v>0.12807209999999999</v>
      </c>
      <c r="AN892">
        <v>0.13351648999999999</v>
      </c>
      <c r="AO892">
        <v>99.671951899999996</v>
      </c>
      <c r="AP892">
        <v>88.005464500000002</v>
      </c>
      <c r="AQ892">
        <v>87.192790000000002</v>
      </c>
      <c r="AR892">
        <v>86.648351000000005</v>
      </c>
      <c r="AS892" t="s">
        <v>82</v>
      </c>
      <c r="AT892" t="s">
        <v>82</v>
      </c>
      <c r="AU892" t="s">
        <v>77</v>
      </c>
      <c r="AV892" t="s">
        <v>78</v>
      </c>
      <c r="BC892">
        <v>9.0659339999999995E-3</v>
      </c>
      <c r="BD892">
        <v>2.76583658862385E-3</v>
      </c>
      <c r="BE892">
        <v>1.1831770588623799E-2</v>
      </c>
      <c r="BF892">
        <f>IF(AK892&lt;BE892,1,0)</f>
        <v>1</v>
      </c>
      <c r="BG892">
        <f>IF(AK892&lt;BC892,1,0)</f>
        <v>1</v>
      </c>
    </row>
    <row r="893" spans="1:65" x14ac:dyDescent="0.2">
      <c r="A893">
        <v>1</v>
      </c>
      <c r="B893" t="s">
        <v>1371</v>
      </c>
      <c r="C893">
        <v>556</v>
      </c>
      <c r="D893" t="s">
        <v>155</v>
      </c>
      <c r="E893">
        <v>0</v>
      </c>
      <c r="F893" s="14" t="s">
        <v>82</v>
      </c>
      <c r="G893" s="14" t="s">
        <v>82</v>
      </c>
      <c r="H893" s="1">
        <v>7</v>
      </c>
      <c r="I893" t="s">
        <v>87</v>
      </c>
      <c r="J893" t="s">
        <v>111</v>
      </c>
      <c r="K893" t="s">
        <v>109</v>
      </c>
      <c r="L893">
        <v>1</v>
      </c>
      <c r="M893">
        <v>1</v>
      </c>
      <c r="N893">
        <v>0</v>
      </c>
      <c r="O893">
        <v>0</v>
      </c>
      <c r="P893">
        <v>0</v>
      </c>
      <c r="Q893">
        <v>9</v>
      </c>
      <c r="R893">
        <v>0</v>
      </c>
      <c r="S893">
        <v>0</v>
      </c>
      <c r="T893">
        <v>0</v>
      </c>
      <c r="U893">
        <v>0</v>
      </c>
      <c r="V893">
        <f t="shared" si="374"/>
        <v>1</v>
      </c>
      <c r="W893">
        <v>1</v>
      </c>
      <c r="X893">
        <v>1</v>
      </c>
      <c r="Y893">
        <v>1</v>
      </c>
      <c r="Z893" t="s">
        <v>91</v>
      </c>
      <c r="AA893" s="5" t="s">
        <v>91</v>
      </c>
      <c r="AB893" s="5" t="s">
        <v>998</v>
      </c>
      <c r="AC893" t="s">
        <v>91</v>
      </c>
      <c r="AD893" t="s">
        <v>287</v>
      </c>
      <c r="AE893" s="5" t="s">
        <v>287</v>
      </c>
      <c r="AF893" t="s">
        <v>137</v>
      </c>
      <c r="AG893" t="s">
        <v>84</v>
      </c>
      <c r="AH893">
        <f t="shared" si="399"/>
        <v>9.8468270000000007E-3</v>
      </c>
      <c r="AI893">
        <f t="shared" si="400"/>
        <v>9.8468270000000007E-3</v>
      </c>
      <c r="AJ893">
        <f t="shared" si="377"/>
        <v>9.8468270000000007E-3</v>
      </c>
      <c r="AK893">
        <v>9.8468270000000007E-3</v>
      </c>
      <c r="AL893">
        <v>0.11700383</v>
      </c>
      <c r="AM893">
        <v>0.12841530000000001</v>
      </c>
      <c r="AN893">
        <v>0.13358987999999999</v>
      </c>
      <c r="AO893">
        <v>99.015317300000007</v>
      </c>
      <c r="AP893">
        <v>88.299616999999998</v>
      </c>
      <c r="AQ893">
        <v>87.158469999999994</v>
      </c>
      <c r="AR893">
        <v>86.641012000000003</v>
      </c>
      <c r="AS893" t="b">
        <v>1</v>
      </c>
      <c r="AT893" t="b">
        <v>0</v>
      </c>
      <c r="AU893" t="s">
        <v>77</v>
      </c>
      <c r="AV893" t="s">
        <v>78</v>
      </c>
      <c r="AW893" t="s">
        <v>783</v>
      </c>
      <c r="AX893" t="s">
        <v>1298</v>
      </c>
      <c r="AY893" t="s">
        <v>1344</v>
      </c>
      <c r="AZ893" t="s">
        <v>109</v>
      </c>
      <c r="BA893">
        <v>5</v>
      </c>
      <c r="BB893">
        <v>1</v>
      </c>
      <c r="BC893">
        <v>9.0659339999999995E-3</v>
      </c>
      <c r="BD893">
        <v>2.76583658862385E-3</v>
      </c>
      <c r="BE893">
        <v>1.1831770588623799E-2</v>
      </c>
      <c r="BF893">
        <f>IF(AK893&lt;BE893,1,0)</f>
        <v>1</v>
      </c>
      <c r="BG893">
        <f>IF(AK893&lt;BC893,1,0)</f>
        <v>0</v>
      </c>
      <c r="BH893">
        <f>VLOOKUP($B893,[1]Data_Peer_with_peerVars!$B$2:$Z$1050,20,FALSE)</f>
        <v>1</v>
      </c>
      <c r="BI893">
        <f>VLOOKUP($B893,[1]Data_Peer_with_peerVars!$B$2:$Z$1050,21,FALSE)</f>
        <v>0</v>
      </c>
      <c r="BJ893">
        <f>VLOOKUP($B893,[1]Data_Peer_with_peerVars!$B$2:$Z$1050,22,FALSE)</f>
        <v>0</v>
      </c>
      <c r="BK893">
        <f>VLOOKUP($B893,[1]Data_Peer_with_peerVars!$B$2:$Z$1050,23,FALSE)</f>
        <v>17</v>
      </c>
      <c r="BL893">
        <f>VLOOKUP($B893,[1]Data_Peer_with_peerVars!$B$2:$Z$1050,24,FALSE)</f>
        <v>4</v>
      </c>
      <c r="BM893">
        <f>VLOOKUP($B893,[1]Data_Peer_with_peerVars!$B$2:$Z$1050,25,FALSE)</f>
        <v>0.235294118</v>
      </c>
    </row>
    <row r="894" spans="1:65" x14ac:dyDescent="0.2">
      <c r="A894">
        <v>1</v>
      </c>
      <c r="B894" t="s">
        <v>1372</v>
      </c>
      <c r="C894">
        <v>557</v>
      </c>
      <c r="D894" t="s">
        <v>68</v>
      </c>
      <c r="E894">
        <v>0</v>
      </c>
      <c r="F894">
        <v>477</v>
      </c>
      <c r="G894" t="s">
        <v>119</v>
      </c>
      <c r="H894" s="1">
        <v>7</v>
      </c>
      <c r="I894" t="s">
        <v>87</v>
      </c>
      <c r="J894" t="s">
        <v>111</v>
      </c>
      <c r="K894" t="s">
        <v>109</v>
      </c>
      <c r="L894">
        <v>1</v>
      </c>
      <c r="M894">
        <v>1</v>
      </c>
      <c r="N894">
        <v>0</v>
      </c>
      <c r="O894">
        <v>0</v>
      </c>
      <c r="P894">
        <v>1</v>
      </c>
      <c r="Q894">
        <v>4</v>
      </c>
      <c r="R894">
        <v>0</v>
      </c>
      <c r="S894">
        <v>0</v>
      </c>
      <c r="T894">
        <v>0</v>
      </c>
      <c r="U894">
        <v>0</v>
      </c>
      <c r="V894">
        <v>1</v>
      </c>
      <c r="W894">
        <v>1</v>
      </c>
      <c r="X894">
        <v>1</v>
      </c>
      <c r="Y894">
        <v>1</v>
      </c>
      <c r="Z894" t="s">
        <v>98</v>
      </c>
      <c r="AA894" s="5" t="s">
        <v>829</v>
      </c>
      <c r="AB894" s="5" t="s">
        <v>829</v>
      </c>
      <c r="AC894" t="s">
        <v>99</v>
      </c>
      <c r="AD894" t="s">
        <v>101</v>
      </c>
      <c r="AE894" s="5" t="s">
        <v>101</v>
      </c>
      <c r="AF894" t="s">
        <v>167</v>
      </c>
      <c r="AG894" t="s">
        <v>102</v>
      </c>
      <c r="AH894">
        <f t="shared" si="399"/>
        <v>2.1235522E-2</v>
      </c>
      <c r="AI894">
        <f t="shared" si="400"/>
        <v>2.1235522E-2</v>
      </c>
      <c r="AJ894">
        <f t="shared" si="377"/>
        <v>2.1235522E-2</v>
      </c>
      <c r="AK894">
        <v>2.1235522E-2</v>
      </c>
      <c r="AL894">
        <v>7.7557760000000003E-2</v>
      </c>
      <c r="AM894">
        <v>0.10989011</v>
      </c>
      <c r="AN894">
        <v>0.111597374</v>
      </c>
      <c r="AO894">
        <v>97.876447799999994</v>
      </c>
      <c r="AP894">
        <v>92.244224000000003</v>
      </c>
      <c r="AQ894">
        <v>89.010988999999995</v>
      </c>
      <c r="AR894">
        <v>88.840262600000003</v>
      </c>
      <c r="AS894" t="b">
        <v>0</v>
      </c>
      <c r="AT894" t="b">
        <v>0</v>
      </c>
      <c r="AU894" t="s">
        <v>77</v>
      </c>
      <c r="AV894" t="s">
        <v>77</v>
      </c>
      <c r="AW894" t="s">
        <v>783</v>
      </c>
      <c r="AX894" t="s">
        <v>1277</v>
      </c>
      <c r="AY894" t="s">
        <v>1373</v>
      </c>
      <c r="AZ894" t="s">
        <v>109</v>
      </c>
      <c r="BA894">
        <v>2</v>
      </c>
      <c r="BB894">
        <v>0.28000000000000003</v>
      </c>
      <c r="BC894">
        <v>2.4711695999999998E-2</v>
      </c>
      <c r="BD894">
        <v>1.72884756304863E-3</v>
      </c>
      <c r="BE894">
        <v>2.6440543563048601E-2</v>
      </c>
      <c r="BF894">
        <f>IF(AK894&lt;BE894,1,0)</f>
        <v>1</v>
      </c>
      <c r="BG894">
        <f>IF(AK894&lt;BC894,1,0)</f>
        <v>1</v>
      </c>
      <c r="BH894">
        <f>VLOOKUP($B894,[1]Data_Peer_with_peerVars!$B$2:$Z$1050,20,FALSE)</f>
        <v>0</v>
      </c>
      <c r="BI894">
        <f>VLOOKUP($B894,[1]Data_Peer_with_peerVars!$B$2:$Z$1050,21,FALSE)</f>
        <v>0</v>
      </c>
      <c r="BJ894">
        <v>0</v>
      </c>
      <c r="BK894">
        <f>VLOOKUP($B894,[1]Data_Peer_with_peerVars!$B$2:$Z$1050,23,FALSE)</f>
        <v>38</v>
      </c>
      <c r="BL894">
        <f>VLOOKUP($B894,[1]Data_Peer_with_peerVars!$B$2:$Z$1050,24,FALSE)</f>
        <v>17</v>
      </c>
      <c r="BM894">
        <f>VLOOKUP($B894,[1]Data_Peer_with_peerVars!$B$2:$Z$1050,25,FALSE)</f>
        <v>0.44736842100000002</v>
      </c>
    </row>
    <row r="895" spans="1:65" x14ac:dyDescent="0.2">
      <c r="A895">
        <v>1</v>
      </c>
      <c r="B895" t="s">
        <v>1374</v>
      </c>
      <c r="C895">
        <v>557</v>
      </c>
      <c r="D895" t="s">
        <v>68</v>
      </c>
      <c r="E895">
        <v>0</v>
      </c>
      <c r="F895">
        <v>477</v>
      </c>
      <c r="G895" t="s">
        <v>119</v>
      </c>
      <c r="H895" s="1">
        <v>7</v>
      </c>
      <c r="I895" t="s">
        <v>87</v>
      </c>
      <c r="J895" t="s">
        <v>111</v>
      </c>
      <c r="K895" t="s">
        <v>109</v>
      </c>
      <c r="L895">
        <v>1</v>
      </c>
      <c r="M895">
        <v>1</v>
      </c>
      <c r="N895">
        <v>0</v>
      </c>
      <c r="O895">
        <v>0</v>
      </c>
      <c r="P895">
        <v>1</v>
      </c>
      <c r="Q895">
        <v>4</v>
      </c>
      <c r="R895">
        <v>0</v>
      </c>
      <c r="S895">
        <v>0</v>
      </c>
      <c r="T895">
        <v>0</v>
      </c>
      <c r="U895">
        <v>0</v>
      </c>
      <c r="V895">
        <f t="shared" si="374"/>
        <v>1</v>
      </c>
      <c r="W895">
        <v>1</v>
      </c>
      <c r="X895">
        <v>1</v>
      </c>
      <c r="Y895">
        <v>1</v>
      </c>
      <c r="Z895" t="s">
        <v>287</v>
      </c>
      <c r="AA895" s="5" t="s">
        <v>287</v>
      </c>
      <c r="AB895" s="5" t="s">
        <v>287</v>
      </c>
      <c r="AC895" t="s">
        <v>287</v>
      </c>
      <c r="AD895" t="s">
        <v>137</v>
      </c>
      <c r="AE895" s="5" t="s">
        <v>305</v>
      </c>
      <c r="AF895" t="s">
        <v>91</v>
      </c>
      <c r="AG895" t="s">
        <v>113</v>
      </c>
      <c r="AH895">
        <f t="shared" si="399"/>
        <v>4.1780449999999997E-2</v>
      </c>
      <c r="AI895">
        <f t="shared" si="400"/>
        <v>4.1780449999999997E-2</v>
      </c>
      <c r="AJ895">
        <f t="shared" si="377"/>
        <v>4.1780449999999997E-2</v>
      </c>
      <c r="AK895">
        <v>4.1780449999999997E-2</v>
      </c>
      <c r="AL895">
        <v>0.10731841</v>
      </c>
      <c r="AM895">
        <v>0.11925602</v>
      </c>
      <c r="AN895">
        <v>0.1239011</v>
      </c>
      <c r="AO895">
        <v>95.821955000000003</v>
      </c>
      <c r="AP895">
        <v>89.268158999999997</v>
      </c>
      <c r="AQ895">
        <v>88.074398000000002</v>
      </c>
      <c r="AR895">
        <v>87.609889999999993</v>
      </c>
      <c r="AS895" t="b">
        <v>1</v>
      </c>
      <c r="AT895" t="b">
        <v>0</v>
      </c>
      <c r="AU895" t="s">
        <v>77</v>
      </c>
      <c r="AV895" t="s">
        <v>108</v>
      </c>
      <c r="AW895" t="s">
        <v>783</v>
      </c>
      <c r="AX895" t="s">
        <v>1277</v>
      </c>
      <c r="AY895" t="s">
        <v>1373</v>
      </c>
      <c r="AZ895" t="s">
        <v>109</v>
      </c>
      <c r="BA895">
        <v>2</v>
      </c>
      <c r="BB895">
        <v>0.7</v>
      </c>
      <c r="BC895">
        <v>5.5106750000000003E-2</v>
      </c>
      <c r="BD895">
        <v>2.4361461616194298E-3</v>
      </c>
      <c r="BE895">
        <v>5.7542896161619402E-2</v>
      </c>
      <c r="BF895">
        <f>IF(AK895&lt;BE895,1,0)</f>
        <v>1</v>
      </c>
      <c r="BG895">
        <f>IF(AK895&lt;BC895,1,0)</f>
        <v>1</v>
      </c>
      <c r="BH895">
        <f>VLOOKUP($B895,[1]Data_Peer_with_peerVars!$B$2:$Z$1050,20,FALSE)</f>
        <v>0</v>
      </c>
      <c r="BI895">
        <f>VLOOKUP($B895,[1]Data_Peer_with_peerVars!$B$2:$Z$1050,21,FALSE)</f>
        <v>0</v>
      </c>
      <c r="BJ895">
        <v>0</v>
      </c>
      <c r="BK895">
        <f>VLOOKUP($B895,[1]Data_Peer_with_peerVars!$B$2:$Z$1050,23,FALSE)</f>
        <v>38</v>
      </c>
      <c r="BL895">
        <f>VLOOKUP($B895,[1]Data_Peer_with_peerVars!$B$2:$Z$1050,24,FALSE)</f>
        <v>17</v>
      </c>
      <c r="BM895">
        <f>VLOOKUP($B895,[1]Data_Peer_with_peerVars!$B$2:$Z$1050,25,FALSE)</f>
        <v>0.44736842100000002</v>
      </c>
    </row>
    <row r="896" spans="1:65" x14ac:dyDescent="0.2">
      <c r="A896">
        <v>1</v>
      </c>
      <c r="B896" t="s">
        <v>1375</v>
      </c>
      <c r="C896">
        <v>557</v>
      </c>
      <c r="D896" t="s">
        <v>68</v>
      </c>
      <c r="E896">
        <v>0</v>
      </c>
      <c r="F896">
        <v>477</v>
      </c>
      <c r="G896" t="s">
        <v>119</v>
      </c>
      <c r="H896" s="1">
        <v>7</v>
      </c>
      <c r="I896" t="s">
        <v>87</v>
      </c>
      <c r="J896" t="s">
        <v>111</v>
      </c>
      <c r="K896" t="s">
        <v>109</v>
      </c>
      <c r="L896">
        <v>1</v>
      </c>
      <c r="M896">
        <v>1</v>
      </c>
      <c r="N896">
        <v>0</v>
      </c>
      <c r="O896">
        <v>0</v>
      </c>
      <c r="P896">
        <v>1</v>
      </c>
      <c r="Q896">
        <v>4</v>
      </c>
      <c r="R896">
        <v>0</v>
      </c>
      <c r="S896">
        <v>0</v>
      </c>
      <c r="T896">
        <v>1</v>
      </c>
      <c r="U896">
        <v>1</v>
      </c>
      <c r="V896">
        <f t="shared" si="374"/>
        <v>0</v>
      </c>
      <c r="W896">
        <f t="shared" si="375"/>
        <v>0</v>
      </c>
      <c r="X896">
        <f t="shared" si="378"/>
        <v>0</v>
      </c>
      <c r="Y896">
        <f t="shared" si="376"/>
        <v>0</v>
      </c>
      <c r="Z896" t="s">
        <v>75</v>
      </c>
      <c r="AA896" s="5" t="s">
        <v>75</v>
      </c>
      <c r="AB896" s="5" t="s">
        <v>75</v>
      </c>
      <c r="AC896" t="s">
        <v>73</v>
      </c>
      <c r="AD896" t="s">
        <v>94</v>
      </c>
      <c r="AE896" s="5" t="s">
        <v>106</v>
      </c>
      <c r="AF896" t="s">
        <v>107</v>
      </c>
      <c r="AG896" t="s">
        <v>95</v>
      </c>
      <c r="AH896">
        <f>AI896</f>
        <v>4.0894219999999997E-3</v>
      </c>
      <c r="AI896">
        <f>AJ896</f>
        <v>4.0894219999999997E-3</v>
      </c>
      <c r="AJ896">
        <f t="shared" si="377"/>
        <v>4.0894219999999997E-3</v>
      </c>
      <c r="AK896">
        <v>4.0894219999999997E-3</v>
      </c>
      <c r="AL896">
        <v>0.13196722</v>
      </c>
      <c r="AM896">
        <v>0.13651315999999999</v>
      </c>
      <c r="AN896">
        <v>0.13840263</v>
      </c>
      <c r="AO896">
        <v>99.591057800000002</v>
      </c>
      <c r="AP896">
        <v>86.803278000000006</v>
      </c>
      <c r="AQ896">
        <v>86.348684000000006</v>
      </c>
      <c r="AR896">
        <v>86.159737000000007</v>
      </c>
      <c r="AS896" t="b">
        <v>0</v>
      </c>
      <c r="AT896" t="b">
        <v>0</v>
      </c>
      <c r="AU896" t="s">
        <v>77</v>
      </c>
      <c r="AV896" t="s">
        <v>108</v>
      </c>
      <c r="AW896" t="s">
        <v>783</v>
      </c>
      <c r="AX896" t="s">
        <v>1277</v>
      </c>
      <c r="AY896" t="s">
        <v>1373</v>
      </c>
      <c r="AZ896" t="s">
        <v>72</v>
      </c>
      <c r="BA896" t="s">
        <v>82</v>
      </c>
      <c r="BB896">
        <v>0.21</v>
      </c>
      <c r="BC896">
        <v>4.1163553999999996E-3</v>
      </c>
      <c r="BD896">
        <v>1.4279989108178799E-4</v>
      </c>
      <c r="BE896">
        <v>4.2591552910817903E-3</v>
      </c>
      <c r="BF896">
        <f>IF(AK896&lt;BE896,1,0)</f>
        <v>1</v>
      </c>
      <c r="BG896">
        <f>IF(AK896&lt;BC896,1,0)</f>
        <v>1</v>
      </c>
      <c r="BH896">
        <f>VLOOKUP($B896,[1]Data_Peer_with_peerVars!$B$2:$Z$1050,20,FALSE)</f>
        <v>0</v>
      </c>
      <c r="BI896">
        <f>VLOOKUP($B896,[1]Data_Peer_with_peerVars!$B$2:$Z$1050,21,FALSE)</f>
        <v>0</v>
      </c>
      <c r="BJ896">
        <v>0</v>
      </c>
      <c r="BK896">
        <f>VLOOKUP($B896,[1]Data_Peer_with_peerVars!$B$2:$Z$1050,23,FALSE)</f>
        <v>38</v>
      </c>
      <c r="BL896">
        <f>VLOOKUP($B896,[1]Data_Peer_with_peerVars!$B$2:$Z$1050,24,FALSE)</f>
        <v>17</v>
      </c>
      <c r="BM896">
        <f>VLOOKUP($B896,[1]Data_Peer_with_peerVars!$B$2:$Z$1050,25,FALSE)</f>
        <v>0.44736842100000002</v>
      </c>
    </row>
    <row r="897" spans="1:65" x14ac:dyDescent="0.2">
      <c r="A897">
        <v>1</v>
      </c>
      <c r="B897" t="s">
        <v>1376</v>
      </c>
      <c r="C897">
        <v>557</v>
      </c>
      <c r="D897" t="s">
        <v>68</v>
      </c>
      <c r="E897">
        <v>0</v>
      </c>
      <c r="F897">
        <v>477</v>
      </c>
      <c r="G897" t="s">
        <v>119</v>
      </c>
      <c r="H897" s="1">
        <v>7</v>
      </c>
      <c r="I897" t="s">
        <v>87</v>
      </c>
      <c r="J897" t="s">
        <v>111</v>
      </c>
      <c r="K897" t="s">
        <v>109</v>
      </c>
      <c r="L897">
        <v>1</v>
      </c>
      <c r="M897">
        <v>1</v>
      </c>
      <c r="N897">
        <v>0</v>
      </c>
      <c r="O897">
        <v>0</v>
      </c>
      <c r="P897">
        <v>1</v>
      </c>
      <c r="Q897">
        <v>4</v>
      </c>
      <c r="R897">
        <v>0</v>
      </c>
      <c r="S897">
        <v>0</v>
      </c>
      <c r="T897">
        <v>0</v>
      </c>
      <c r="U897">
        <v>0</v>
      </c>
      <c r="V897">
        <f t="shared" si="374"/>
        <v>1</v>
      </c>
      <c r="W897">
        <v>1</v>
      </c>
      <c r="X897">
        <v>1</v>
      </c>
      <c r="Y897">
        <v>1</v>
      </c>
      <c r="Z897" t="s">
        <v>120</v>
      </c>
      <c r="AA897" s="5" t="s">
        <v>120</v>
      </c>
      <c r="AB897" s="5" t="s">
        <v>934</v>
      </c>
      <c r="AC897" t="s">
        <v>120</v>
      </c>
      <c r="AD897" t="s">
        <v>75</v>
      </c>
      <c r="AE897" s="5" t="s">
        <v>75</v>
      </c>
      <c r="AF897" t="s">
        <v>74</v>
      </c>
      <c r="AG897" t="s">
        <v>167</v>
      </c>
      <c r="AH897">
        <f t="shared" ref="AH897:AH898" si="401">AI897</f>
        <v>2.6243849E-2</v>
      </c>
      <c r="AI897">
        <f t="shared" ref="AI897:AI898" si="402">AJ897</f>
        <v>2.6243849E-2</v>
      </c>
      <c r="AJ897">
        <f t="shared" si="377"/>
        <v>2.6243849E-2</v>
      </c>
      <c r="AK897">
        <v>2.6243849E-2</v>
      </c>
      <c r="AL897">
        <v>8.0230010000000004E-2</v>
      </c>
      <c r="AM897">
        <v>8.7493143999999995E-2</v>
      </c>
      <c r="AN897">
        <v>9.9561159999999996E-2</v>
      </c>
      <c r="AO897">
        <v>97.375615100000005</v>
      </c>
      <c r="AP897">
        <v>91.976999000000006</v>
      </c>
      <c r="AQ897">
        <v>91.250685599999997</v>
      </c>
      <c r="AR897">
        <v>90.043884000000006</v>
      </c>
      <c r="AS897" t="b">
        <v>1</v>
      </c>
      <c r="AT897" t="b">
        <v>0</v>
      </c>
      <c r="AU897" t="s">
        <v>77</v>
      </c>
      <c r="AV897" t="s">
        <v>77</v>
      </c>
      <c r="AW897" t="s">
        <v>783</v>
      </c>
      <c r="AX897" t="s">
        <v>1277</v>
      </c>
      <c r="AY897" t="s">
        <v>1373</v>
      </c>
      <c r="AZ897" t="s">
        <v>109</v>
      </c>
      <c r="BA897">
        <v>3</v>
      </c>
      <c r="BB897">
        <v>0.28000000000000003</v>
      </c>
      <c r="BC897">
        <v>4.6849314000000003E-2</v>
      </c>
      <c r="BD897">
        <v>4.5250577219970098E-3</v>
      </c>
      <c r="BE897">
        <v>5.1374371721996999E-2</v>
      </c>
      <c r="BF897">
        <f>IF(AK897&lt;BE897,1,0)</f>
        <v>1</v>
      </c>
      <c r="BG897">
        <f>IF(AK897&lt;BC897,1,0)</f>
        <v>1</v>
      </c>
      <c r="BH897">
        <f>VLOOKUP($B897,[1]Data_Peer_with_peerVars!$B$2:$Z$1050,20,FALSE)</f>
        <v>0</v>
      </c>
      <c r="BI897">
        <f>VLOOKUP($B897,[1]Data_Peer_with_peerVars!$B$2:$Z$1050,21,FALSE)</f>
        <v>0</v>
      </c>
      <c r="BJ897">
        <v>0</v>
      </c>
      <c r="BK897">
        <f>VLOOKUP($B897,[1]Data_Peer_with_peerVars!$B$2:$Z$1050,23,FALSE)</f>
        <v>38</v>
      </c>
      <c r="BL897">
        <f>VLOOKUP($B897,[1]Data_Peer_with_peerVars!$B$2:$Z$1050,24,FALSE)</f>
        <v>17</v>
      </c>
      <c r="BM897">
        <f>VLOOKUP($B897,[1]Data_Peer_with_peerVars!$B$2:$Z$1050,25,FALSE)</f>
        <v>0.44736842100000002</v>
      </c>
    </row>
    <row r="898" spans="1:65" x14ac:dyDescent="0.2">
      <c r="A898">
        <v>1</v>
      </c>
      <c r="B898" t="s">
        <v>1377</v>
      </c>
      <c r="C898">
        <v>558</v>
      </c>
      <c r="D898" t="s">
        <v>68</v>
      </c>
      <c r="E898">
        <v>0</v>
      </c>
      <c r="F898">
        <v>478</v>
      </c>
      <c r="G898" t="s">
        <v>119</v>
      </c>
      <c r="H898" s="1">
        <v>6</v>
      </c>
      <c r="I898" t="s">
        <v>87</v>
      </c>
      <c r="J898" t="s">
        <v>111</v>
      </c>
      <c r="K898" t="s">
        <v>109</v>
      </c>
      <c r="L898">
        <v>1</v>
      </c>
      <c r="M898">
        <v>0</v>
      </c>
      <c r="N898">
        <v>0</v>
      </c>
      <c r="O898">
        <v>0</v>
      </c>
      <c r="P898">
        <v>1</v>
      </c>
      <c r="Q898">
        <v>11</v>
      </c>
      <c r="R898">
        <v>0</v>
      </c>
      <c r="S898">
        <v>0</v>
      </c>
      <c r="T898">
        <v>1</v>
      </c>
      <c r="U898">
        <v>1</v>
      </c>
      <c r="V898">
        <f t="shared" si="374"/>
        <v>1</v>
      </c>
      <c r="W898">
        <v>1</v>
      </c>
      <c r="X898">
        <v>1</v>
      </c>
      <c r="Y898">
        <v>1</v>
      </c>
      <c r="Z898" t="s">
        <v>73</v>
      </c>
      <c r="AA898" s="5" t="s">
        <v>73</v>
      </c>
      <c r="AB898" s="5" t="s">
        <v>73</v>
      </c>
      <c r="AC898" t="s">
        <v>73</v>
      </c>
      <c r="AD898" t="s">
        <v>94</v>
      </c>
      <c r="AE898" s="5" t="s">
        <v>106</v>
      </c>
      <c r="AF898" t="s">
        <v>107</v>
      </c>
      <c r="AG898" t="s">
        <v>95</v>
      </c>
      <c r="AH898">
        <f t="shared" si="401"/>
        <v>3.8167940000000001E-3</v>
      </c>
      <c r="AI898">
        <f t="shared" si="402"/>
        <v>3.8167940000000001E-3</v>
      </c>
      <c r="AJ898">
        <f t="shared" si="377"/>
        <v>3.8167940000000001E-3</v>
      </c>
      <c r="AK898">
        <v>3.8167940000000001E-3</v>
      </c>
      <c r="AL898">
        <v>0.13169399000000001</v>
      </c>
      <c r="AM898">
        <v>0.13623904000000001</v>
      </c>
      <c r="AN898">
        <v>0.13867615</v>
      </c>
      <c r="AO898">
        <v>99.618320600000004</v>
      </c>
      <c r="AP898">
        <v>86.830601000000001</v>
      </c>
      <c r="AQ898">
        <v>86.376096000000004</v>
      </c>
      <c r="AR898">
        <v>86.132384999999999</v>
      </c>
      <c r="AS898" t="b">
        <v>1</v>
      </c>
      <c r="AT898" t="b">
        <v>0</v>
      </c>
      <c r="AU898" t="s">
        <v>77</v>
      </c>
      <c r="AV898" t="s">
        <v>108</v>
      </c>
      <c r="AW898" t="s">
        <v>783</v>
      </c>
      <c r="AX898" t="s">
        <v>1277</v>
      </c>
      <c r="AY898" t="s">
        <v>1378</v>
      </c>
      <c r="AZ898" t="s">
        <v>109</v>
      </c>
      <c r="BA898">
        <v>3</v>
      </c>
      <c r="BB898">
        <v>1</v>
      </c>
      <c r="BC898">
        <v>4.1163553999999996E-3</v>
      </c>
      <c r="BD898">
        <v>1.4279989108178799E-4</v>
      </c>
      <c r="BE898">
        <v>4.2591552910817903E-3</v>
      </c>
      <c r="BF898">
        <f>IF(AK898&lt;BE898,1,0)</f>
        <v>1</v>
      </c>
      <c r="BG898">
        <f>IF(AK898&lt;BC898,1,0)</f>
        <v>1</v>
      </c>
      <c r="BH898">
        <f>VLOOKUP($B898,[1]Data_Peer_with_peerVars!$B$2:$Z$1050,20,FALSE)</f>
        <v>2</v>
      </c>
      <c r="BI898">
        <f>VLOOKUP($B898,[1]Data_Peer_with_peerVars!$B$2:$Z$1050,21,FALSE)</f>
        <v>0</v>
      </c>
      <c r="BJ898">
        <f>VLOOKUP($B898,[1]Data_Peer_with_peerVars!$B$2:$Z$1050,22,FALSE)</f>
        <v>0</v>
      </c>
      <c r="BK898">
        <f>VLOOKUP($B898,[1]Data_Peer_with_peerVars!$B$2:$Z$1050,23,FALSE)</f>
        <v>9</v>
      </c>
      <c r="BL898">
        <f>VLOOKUP($B898,[1]Data_Peer_with_peerVars!$B$2:$Z$1050,24,FALSE)</f>
        <v>1</v>
      </c>
      <c r="BM898">
        <f>VLOOKUP($B898,[1]Data_Peer_with_peerVars!$B$2:$Z$1050,25,FALSE)</f>
        <v>0.111111111</v>
      </c>
    </row>
    <row r="899" spans="1:65" x14ac:dyDescent="0.2">
      <c r="A899">
        <v>1</v>
      </c>
      <c r="B899" t="s">
        <v>1379</v>
      </c>
      <c r="C899">
        <v>560</v>
      </c>
      <c r="D899" t="s">
        <v>68</v>
      </c>
      <c r="E899">
        <v>0</v>
      </c>
      <c r="F899">
        <v>491</v>
      </c>
      <c r="G899" t="s">
        <v>119</v>
      </c>
      <c r="H899" s="1">
        <v>7</v>
      </c>
      <c r="I899" t="s">
        <v>70</v>
      </c>
      <c r="J899" t="s">
        <v>301</v>
      </c>
      <c r="K899" t="s">
        <v>109</v>
      </c>
      <c r="L899">
        <v>2</v>
      </c>
      <c r="M899">
        <v>1</v>
      </c>
      <c r="N899">
        <v>0</v>
      </c>
      <c r="O899">
        <v>0</v>
      </c>
      <c r="P899">
        <v>1</v>
      </c>
      <c r="Q899">
        <v>6</v>
      </c>
      <c r="R899">
        <v>0</v>
      </c>
      <c r="S899">
        <v>0</v>
      </c>
      <c r="T899">
        <v>0</v>
      </c>
      <c r="U899">
        <v>0</v>
      </c>
      <c r="V899">
        <f t="shared" ref="V899:V962" si="403">IF(Z899=AC899,1,0)</f>
        <v>0</v>
      </c>
      <c r="W899">
        <f t="shared" ref="W899:W961" si="404">IF(Z899=AD899,1,0)</f>
        <v>0</v>
      </c>
      <c r="X899">
        <f t="shared" si="378"/>
        <v>0</v>
      </c>
      <c r="Y899">
        <f t="shared" ref="Y899:Y961" si="405">IF(Z899=AG899,1,0)</f>
        <v>0</v>
      </c>
      <c r="Z899" t="s">
        <v>73</v>
      </c>
      <c r="AA899" s="5" t="s">
        <v>73</v>
      </c>
      <c r="AB899" s="5" t="s">
        <v>73</v>
      </c>
      <c r="AC899" t="s">
        <v>287</v>
      </c>
      <c r="AD899" t="s">
        <v>137</v>
      </c>
      <c r="AE899" s="5" t="s">
        <v>305</v>
      </c>
      <c r="AF899" t="s">
        <v>91</v>
      </c>
      <c r="AG899" t="s">
        <v>113</v>
      </c>
      <c r="AH899">
        <f>AI899</f>
        <v>0.10507642</v>
      </c>
      <c r="AI899">
        <f>AJ899</f>
        <v>0.10507642</v>
      </c>
      <c r="AJ899">
        <f t="shared" ref="AJ899:AJ962" si="406">AK899</f>
        <v>0.10507642</v>
      </c>
      <c r="AK899">
        <v>0.10507642</v>
      </c>
      <c r="AL899">
        <v>0.11244541399999999</v>
      </c>
      <c r="AM899">
        <v>0.12438491</v>
      </c>
      <c r="AN899">
        <v>0.13042285000000001</v>
      </c>
      <c r="AO899">
        <v>89.492357999999996</v>
      </c>
      <c r="AP899">
        <v>88.755458599999997</v>
      </c>
      <c r="AQ899">
        <v>87.561509000000001</v>
      </c>
      <c r="AR899">
        <v>86.957714999999993</v>
      </c>
      <c r="AS899" t="b">
        <v>0</v>
      </c>
      <c r="AT899" t="b">
        <v>0</v>
      </c>
      <c r="AU899" t="s">
        <v>78</v>
      </c>
      <c r="AV899" t="s">
        <v>108</v>
      </c>
      <c r="AW899" t="s">
        <v>783</v>
      </c>
      <c r="AX899" t="s">
        <v>1277</v>
      </c>
      <c r="AY899" t="s">
        <v>1378</v>
      </c>
      <c r="AZ899" t="s">
        <v>109</v>
      </c>
      <c r="BA899">
        <v>2</v>
      </c>
      <c r="BB899">
        <v>1</v>
      </c>
      <c r="BC899">
        <v>5.5106750000000003E-2</v>
      </c>
      <c r="BD899">
        <v>2.4361461616194298E-3</v>
      </c>
      <c r="BE899">
        <v>5.7542896161619402E-2</v>
      </c>
      <c r="BF899">
        <f>IF(AK899&lt;BE899,1,0)</f>
        <v>0</v>
      </c>
      <c r="BG899">
        <f>IF(AK899&lt;BC899,1,0)</f>
        <v>0</v>
      </c>
      <c r="BH899">
        <f>VLOOKUP($B899,[1]Data_Peer_with_peerVars!$B$2:$Z$1050,20,FALSE)</f>
        <v>2</v>
      </c>
      <c r="BI899">
        <f>VLOOKUP($B899,[1]Data_Peer_with_peerVars!$B$2:$Z$1050,21,FALSE)</f>
        <v>1</v>
      </c>
      <c r="BJ899">
        <f>VLOOKUP($B899,[1]Data_Peer_with_peerVars!$B$2:$Z$1050,22,FALSE)</f>
        <v>0.5</v>
      </c>
      <c r="BK899">
        <f>VLOOKUP($B899,[1]Data_Peer_with_peerVars!$B$2:$Z$1050,23,FALSE)</f>
        <v>14</v>
      </c>
      <c r="BL899">
        <f>VLOOKUP($B899,[1]Data_Peer_with_peerVars!$B$2:$Z$1050,24,FALSE)</f>
        <v>6</v>
      </c>
      <c r="BM899">
        <f>VLOOKUP($B899,[1]Data_Peer_with_peerVars!$B$2:$Z$1050,25,FALSE)</f>
        <v>0.428571429</v>
      </c>
    </row>
    <row r="900" spans="1:65" x14ac:dyDescent="0.2">
      <c r="A900">
        <v>1</v>
      </c>
      <c r="B900" t="s">
        <v>1380</v>
      </c>
      <c r="C900">
        <v>560</v>
      </c>
      <c r="D900" t="s">
        <v>68</v>
      </c>
      <c r="E900">
        <v>0</v>
      </c>
      <c r="F900">
        <v>491</v>
      </c>
      <c r="G900" t="s">
        <v>119</v>
      </c>
      <c r="H900" s="1">
        <v>7</v>
      </c>
      <c r="I900" t="s">
        <v>70</v>
      </c>
      <c r="J900" t="s">
        <v>301</v>
      </c>
      <c r="K900" t="s">
        <v>109</v>
      </c>
      <c r="L900">
        <v>2</v>
      </c>
      <c r="M900">
        <v>1</v>
      </c>
      <c r="N900">
        <v>0</v>
      </c>
      <c r="O900">
        <v>0</v>
      </c>
      <c r="P900">
        <v>1</v>
      </c>
      <c r="Q900">
        <v>6</v>
      </c>
      <c r="R900">
        <v>0</v>
      </c>
      <c r="S900">
        <v>0</v>
      </c>
      <c r="T900">
        <v>0</v>
      </c>
      <c r="U900">
        <v>0</v>
      </c>
      <c r="V900">
        <f t="shared" si="403"/>
        <v>0</v>
      </c>
      <c r="W900">
        <f t="shared" si="404"/>
        <v>0</v>
      </c>
      <c r="X900">
        <f t="shared" ref="X900:X961" si="407">IF(Z900=AF900,1,0)</f>
        <v>1</v>
      </c>
      <c r="Y900">
        <v>1</v>
      </c>
      <c r="Z900" t="s">
        <v>76</v>
      </c>
      <c r="AA900" s="5" t="s">
        <v>76</v>
      </c>
      <c r="AB900" s="5" t="s">
        <v>76</v>
      </c>
      <c r="AC900" t="s">
        <v>73</v>
      </c>
      <c r="AD900" t="s">
        <v>74</v>
      </c>
      <c r="AE900" s="5" t="s">
        <v>74</v>
      </c>
      <c r="AF900" t="s">
        <v>76</v>
      </c>
      <c r="AG900" t="s">
        <v>75</v>
      </c>
      <c r="AH900">
        <f>AI900</f>
        <v>0.11632987</v>
      </c>
      <c r="AI900">
        <f>AM900</f>
        <v>0.11632987</v>
      </c>
      <c r="AJ900">
        <f t="shared" si="406"/>
        <v>8.1788440000000004E-2</v>
      </c>
      <c r="AK900">
        <v>8.1788440000000004E-2</v>
      </c>
      <c r="AL900">
        <v>0.112054795</v>
      </c>
      <c r="AM900">
        <v>0.11632987</v>
      </c>
      <c r="AN900">
        <v>0.124452956</v>
      </c>
      <c r="AO900">
        <v>91.821156000000002</v>
      </c>
      <c r="AP900">
        <v>88.794520500000004</v>
      </c>
      <c r="AQ900">
        <v>88.367013</v>
      </c>
      <c r="AR900">
        <v>87.554704400000006</v>
      </c>
      <c r="AS900" t="b">
        <v>0</v>
      </c>
      <c r="AT900" t="b">
        <v>0</v>
      </c>
      <c r="AU900" t="s">
        <v>77</v>
      </c>
      <c r="AV900" t="s">
        <v>78</v>
      </c>
      <c r="AW900" t="s">
        <v>783</v>
      </c>
      <c r="AX900" t="s">
        <v>1277</v>
      </c>
      <c r="AY900" t="s">
        <v>1378</v>
      </c>
      <c r="AZ900" t="s">
        <v>109</v>
      </c>
      <c r="BA900">
        <v>2</v>
      </c>
      <c r="BB900">
        <v>1.4</v>
      </c>
      <c r="BC900">
        <v>4.1163553999999996E-3</v>
      </c>
      <c r="BD900">
        <v>1.4279989108178799E-4</v>
      </c>
      <c r="BE900">
        <v>4.2591552910817903E-3</v>
      </c>
      <c r="BF900">
        <f>IF(AK900&lt;BE900,1,0)</f>
        <v>0</v>
      </c>
      <c r="BG900">
        <f>IF(AK900&lt;BC900,1,0)</f>
        <v>0</v>
      </c>
      <c r="BH900">
        <f>VLOOKUP($B900,[1]Data_Peer_with_peerVars!$B$2:$Z$1050,20,FALSE)</f>
        <v>2</v>
      </c>
      <c r="BI900">
        <f>VLOOKUP($B900,[1]Data_Peer_with_peerVars!$B$2:$Z$1050,21,FALSE)</f>
        <v>1</v>
      </c>
      <c r="BJ900">
        <f>VLOOKUP($B900,[1]Data_Peer_with_peerVars!$B$2:$Z$1050,22,FALSE)</f>
        <v>0.5</v>
      </c>
      <c r="BK900">
        <f>VLOOKUP($B900,[1]Data_Peer_with_peerVars!$B$2:$Z$1050,23,FALSE)</f>
        <v>14</v>
      </c>
      <c r="BL900">
        <f>VLOOKUP($B900,[1]Data_Peer_with_peerVars!$B$2:$Z$1050,24,FALSE)</f>
        <v>6</v>
      </c>
      <c r="BM900">
        <f>VLOOKUP($B900,[1]Data_Peer_with_peerVars!$B$2:$Z$1050,25,FALSE)</f>
        <v>0.428571429</v>
      </c>
    </row>
    <row r="901" spans="1:65" x14ac:dyDescent="0.2">
      <c r="A901">
        <v>1</v>
      </c>
      <c r="B901" t="s">
        <v>1381</v>
      </c>
      <c r="C901">
        <v>561</v>
      </c>
      <c r="D901" t="s">
        <v>68</v>
      </c>
      <c r="E901">
        <v>1</v>
      </c>
      <c r="F901">
        <v>563</v>
      </c>
      <c r="G901" t="s">
        <v>86</v>
      </c>
      <c r="H901" s="1">
        <v>7</v>
      </c>
      <c r="I901" t="s">
        <v>70</v>
      </c>
      <c r="J901" t="s">
        <v>301</v>
      </c>
      <c r="K901" t="s">
        <v>72</v>
      </c>
      <c r="L901">
        <v>1</v>
      </c>
      <c r="M901">
        <v>0</v>
      </c>
      <c r="N901">
        <v>0</v>
      </c>
      <c r="O901">
        <v>0</v>
      </c>
      <c r="P901">
        <v>0</v>
      </c>
      <c r="Q901">
        <v>6</v>
      </c>
      <c r="R901">
        <v>0</v>
      </c>
      <c r="S901">
        <v>0</v>
      </c>
      <c r="T901">
        <v>0</v>
      </c>
      <c r="U901">
        <v>0</v>
      </c>
      <c r="V901">
        <f t="shared" si="403"/>
        <v>0</v>
      </c>
      <c r="W901">
        <f t="shared" si="404"/>
        <v>0</v>
      </c>
      <c r="X901">
        <f t="shared" si="407"/>
        <v>0</v>
      </c>
      <c r="Y901">
        <f t="shared" si="405"/>
        <v>1</v>
      </c>
      <c r="Z901" t="s">
        <v>75</v>
      </c>
      <c r="AA901" s="5" t="s">
        <v>75</v>
      </c>
      <c r="AB901" s="5" t="s">
        <v>75</v>
      </c>
      <c r="AC901" t="s">
        <v>73</v>
      </c>
      <c r="AD901" t="s">
        <v>74</v>
      </c>
      <c r="AE901" s="5" t="s">
        <v>74</v>
      </c>
      <c r="AF901" t="s">
        <v>76</v>
      </c>
      <c r="AG901" t="s">
        <v>75</v>
      </c>
      <c r="AH901">
        <f>AN901</f>
        <v>0.12314865999999999</v>
      </c>
      <c r="AI901">
        <f t="shared" ref="AI901:AI902" si="408">AJ901</f>
        <v>7.9551670000000005E-2</v>
      </c>
      <c r="AJ901">
        <f t="shared" si="406"/>
        <v>7.9551670000000005E-2</v>
      </c>
      <c r="AK901">
        <v>7.9551670000000005E-2</v>
      </c>
      <c r="AL901">
        <v>0.11043956000000001</v>
      </c>
      <c r="AM901">
        <v>0.11561644</v>
      </c>
      <c r="AN901">
        <v>0.12314865999999999</v>
      </c>
      <c r="AO901">
        <v>92.044832999999997</v>
      </c>
      <c r="AP901">
        <v>88.956044000000006</v>
      </c>
      <c r="AQ901">
        <v>88.438355999999999</v>
      </c>
      <c r="AR901">
        <v>87.685134000000005</v>
      </c>
      <c r="AS901" t="b">
        <v>0</v>
      </c>
      <c r="AT901" t="b">
        <v>0</v>
      </c>
      <c r="AU901" t="s">
        <v>77</v>
      </c>
      <c r="AV901" t="s">
        <v>78</v>
      </c>
      <c r="AW901" t="s">
        <v>783</v>
      </c>
      <c r="AX901" t="s">
        <v>1277</v>
      </c>
      <c r="AY901" t="s">
        <v>604</v>
      </c>
      <c r="AZ901" t="s">
        <v>72</v>
      </c>
      <c r="BA901" t="s">
        <v>82</v>
      </c>
      <c r="BB901">
        <v>1</v>
      </c>
      <c r="BC901">
        <v>4.1163553999999996E-3</v>
      </c>
      <c r="BD901">
        <v>1.4279989108178799E-4</v>
      </c>
      <c r="BE901">
        <v>4.2591552910817903E-3</v>
      </c>
      <c r="BF901">
        <f>IF(AK901&lt;BE901,1,0)</f>
        <v>0</v>
      </c>
      <c r="BG901">
        <f>IF(AK901&lt;BC901,1,0)</f>
        <v>0</v>
      </c>
      <c r="BH901">
        <f>VLOOKUP($B901,[1]Data_Peer_with_peerVars!$B$2:$Z$1050,20,FALSE)</f>
        <v>0</v>
      </c>
      <c r="BI901">
        <f>VLOOKUP($B901,[1]Data_Peer_with_peerVars!$B$2:$Z$1050,21,FALSE)</f>
        <v>0</v>
      </c>
      <c r="BJ901">
        <v>0</v>
      </c>
      <c r="BK901">
        <f>VLOOKUP($B901,[1]Data_Peer_with_peerVars!$B$2:$Z$1050,23,FALSE)</f>
        <v>1</v>
      </c>
      <c r="BL901">
        <f>VLOOKUP($B901,[1]Data_Peer_with_peerVars!$B$2:$Z$1050,24,FALSE)</f>
        <v>0</v>
      </c>
      <c r="BM901">
        <f>VLOOKUP($B901,[1]Data_Peer_with_peerVars!$B$2:$Z$1050,25,FALSE)</f>
        <v>0</v>
      </c>
    </row>
    <row r="902" spans="1:65" x14ac:dyDescent="0.2">
      <c r="A902">
        <v>1</v>
      </c>
      <c r="B902" t="s">
        <v>1382</v>
      </c>
      <c r="C902">
        <v>561</v>
      </c>
      <c r="D902" t="s">
        <v>68</v>
      </c>
      <c r="E902">
        <v>1</v>
      </c>
      <c r="F902">
        <v>563</v>
      </c>
      <c r="G902" t="s">
        <v>86</v>
      </c>
      <c r="H902" s="1">
        <v>7</v>
      </c>
      <c r="I902" t="s">
        <v>70</v>
      </c>
      <c r="J902" t="s">
        <v>301</v>
      </c>
      <c r="K902" t="s">
        <v>72</v>
      </c>
      <c r="L902">
        <v>1</v>
      </c>
      <c r="M902">
        <v>0</v>
      </c>
      <c r="N902">
        <v>0</v>
      </c>
      <c r="O902">
        <v>0</v>
      </c>
      <c r="P902">
        <v>0</v>
      </c>
      <c r="Q902">
        <v>6</v>
      </c>
      <c r="R902">
        <v>1</v>
      </c>
      <c r="S902">
        <v>1</v>
      </c>
      <c r="T902">
        <v>1</v>
      </c>
      <c r="U902">
        <v>1</v>
      </c>
      <c r="V902">
        <f t="shared" si="403"/>
        <v>0</v>
      </c>
      <c r="W902">
        <f t="shared" si="404"/>
        <v>0</v>
      </c>
      <c r="X902">
        <f t="shared" si="407"/>
        <v>0</v>
      </c>
      <c r="Y902">
        <f t="shared" si="405"/>
        <v>0</v>
      </c>
      <c r="Z902" t="s">
        <v>113</v>
      </c>
      <c r="AA902" s="5" t="s">
        <v>170</v>
      </c>
      <c r="AB902" s="5" t="s">
        <v>1383</v>
      </c>
      <c r="AC902" t="s">
        <v>107</v>
      </c>
      <c r="AD902" t="s">
        <v>95</v>
      </c>
      <c r="AE902" s="5" t="s">
        <v>95</v>
      </c>
      <c r="AF902" t="s">
        <v>173</v>
      </c>
      <c r="AG902" t="s">
        <v>174</v>
      </c>
      <c r="AH902">
        <f>AI902</f>
        <v>1.9989046999999999E-2</v>
      </c>
      <c r="AI902">
        <f t="shared" si="408"/>
        <v>1.9989046999999999E-2</v>
      </c>
      <c r="AJ902">
        <f t="shared" si="406"/>
        <v>1.9989046999999999E-2</v>
      </c>
      <c r="AK902">
        <v>1.9989046999999999E-2</v>
      </c>
      <c r="AL902">
        <v>7.4398249999999999E-2</v>
      </c>
      <c r="AM902">
        <v>9.2026220000000006E-2</v>
      </c>
      <c r="AN902">
        <v>9.3271339999999994E-2</v>
      </c>
      <c r="AO902">
        <v>98.001095300000003</v>
      </c>
      <c r="AP902">
        <v>92.560175000000001</v>
      </c>
      <c r="AQ902">
        <v>90.797377999999995</v>
      </c>
      <c r="AR902">
        <v>90.672865999999999</v>
      </c>
      <c r="AS902" t="b">
        <v>0</v>
      </c>
      <c r="AT902" t="b">
        <v>0</v>
      </c>
      <c r="AU902" t="s">
        <v>92</v>
      </c>
      <c r="AV902" t="s">
        <v>92</v>
      </c>
      <c r="AW902" t="s">
        <v>783</v>
      </c>
      <c r="AX902" t="s">
        <v>1277</v>
      </c>
      <c r="AY902" t="s">
        <v>604</v>
      </c>
      <c r="AZ902" t="s">
        <v>109</v>
      </c>
      <c r="BA902">
        <v>2</v>
      </c>
      <c r="BB902">
        <v>0.35</v>
      </c>
      <c r="BC902">
        <v>2.6475456000000001E-2</v>
      </c>
      <c r="BD902">
        <v>8.8330364056477401E-3</v>
      </c>
      <c r="BE902">
        <v>3.53084924056477E-2</v>
      </c>
      <c r="BF902">
        <f>IF(AK902&lt;BE902,1,0)</f>
        <v>1</v>
      </c>
      <c r="BG902">
        <f>IF(AK902&lt;BC902,1,0)</f>
        <v>1</v>
      </c>
      <c r="BH902">
        <f>VLOOKUP($B902,[1]Data_Peer_with_peerVars!$B$2:$Z$1050,20,FALSE)</f>
        <v>0</v>
      </c>
      <c r="BI902">
        <f>VLOOKUP($B902,[1]Data_Peer_with_peerVars!$B$2:$Z$1050,21,FALSE)</f>
        <v>0</v>
      </c>
      <c r="BJ902">
        <v>0</v>
      </c>
      <c r="BK902">
        <f>VLOOKUP($B902,[1]Data_Peer_with_peerVars!$B$2:$Z$1050,23,FALSE)</f>
        <v>1</v>
      </c>
      <c r="BL902">
        <f>VLOOKUP($B902,[1]Data_Peer_with_peerVars!$B$2:$Z$1050,24,FALSE)</f>
        <v>0</v>
      </c>
      <c r="BM902">
        <f>VLOOKUP($B902,[1]Data_Peer_with_peerVars!$B$2:$Z$1050,25,FALSE)</f>
        <v>0</v>
      </c>
    </row>
    <row r="903" spans="1:65" x14ac:dyDescent="0.2">
      <c r="A903">
        <v>1</v>
      </c>
      <c r="B903" t="s">
        <v>1384</v>
      </c>
      <c r="C903">
        <v>562</v>
      </c>
      <c r="D903" t="s">
        <v>68</v>
      </c>
      <c r="E903">
        <v>1</v>
      </c>
      <c r="F903">
        <v>614</v>
      </c>
      <c r="G903" t="s">
        <v>69</v>
      </c>
      <c r="H903" s="1">
        <v>7</v>
      </c>
      <c r="I903" t="s">
        <v>87</v>
      </c>
      <c r="J903" t="s">
        <v>111</v>
      </c>
      <c r="K903" t="s">
        <v>109</v>
      </c>
      <c r="L903">
        <v>1</v>
      </c>
      <c r="M903">
        <v>0</v>
      </c>
      <c r="N903">
        <v>1</v>
      </c>
      <c r="O903">
        <v>0</v>
      </c>
      <c r="P903">
        <v>0</v>
      </c>
      <c r="Q903">
        <v>6</v>
      </c>
      <c r="R903">
        <v>0</v>
      </c>
      <c r="S903">
        <v>0</v>
      </c>
      <c r="T903">
        <v>0</v>
      </c>
      <c r="U903">
        <v>0</v>
      </c>
      <c r="V903">
        <f t="shared" si="403"/>
        <v>1</v>
      </c>
      <c r="W903">
        <v>1</v>
      </c>
      <c r="X903">
        <v>1</v>
      </c>
      <c r="Y903">
        <v>1</v>
      </c>
      <c r="Z903" t="s">
        <v>73</v>
      </c>
      <c r="AA903" s="5" t="s">
        <v>73</v>
      </c>
      <c r="AB903" s="5" t="s">
        <v>73</v>
      </c>
      <c r="AC903" t="s">
        <v>73</v>
      </c>
      <c r="AD903" t="s">
        <v>137</v>
      </c>
      <c r="AE903" s="5" t="s">
        <v>137</v>
      </c>
      <c r="AF903" t="s">
        <v>103</v>
      </c>
      <c r="AG903" t="s">
        <v>113</v>
      </c>
      <c r="AH903">
        <f>AI903</f>
        <v>7.9650849999999995E-2</v>
      </c>
      <c r="AI903">
        <f>AJ903</f>
        <v>7.9650849999999995E-2</v>
      </c>
      <c r="AJ903">
        <f t="shared" si="406"/>
        <v>7.9650849999999995E-2</v>
      </c>
      <c r="AK903">
        <v>7.9650849999999995E-2</v>
      </c>
      <c r="AL903">
        <v>0.11878755000000001</v>
      </c>
      <c r="AM903">
        <v>0.13628855000000001</v>
      </c>
      <c r="AN903">
        <v>0.13736264000000001</v>
      </c>
      <c r="AO903">
        <v>92.034914999999998</v>
      </c>
      <c r="AP903">
        <v>88.121245000000002</v>
      </c>
      <c r="AQ903">
        <v>86.371144999999999</v>
      </c>
      <c r="AR903">
        <v>86.263735999999994</v>
      </c>
      <c r="AS903" t="b">
        <v>1</v>
      </c>
      <c r="AT903" t="b">
        <v>0</v>
      </c>
      <c r="AU903" t="s">
        <v>77</v>
      </c>
      <c r="AV903" t="s">
        <v>78</v>
      </c>
      <c r="AW903" t="s">
        <v>783</v>
      </c>
      <c r="AX903" t="s">
        <v>784</v>
      </c>
      <c r="AY903" t="s">
        <v>1385</v>
      </c>
      <c r="AZ903" t="s">
        <v>109</v>
      </c>
      <c r="BA903">
        <v>2</v>
      </c>
      <c r="BB903">
        <v>2.1</v>
      </c>
      <c r="BC903">
        <v>4.1163553999999996E-3</v>
      </c>
      <c r="BD903">
        <v>1.4279989108178799E-4</v>
      </c>
      <c r="BE903">
        <v>4.2591552910817903E-3</v>
      </c>
      <c r="BF903">
        <f>IF(AK903&lt;BE903,1,0)</f>
        <v>0</v>
      </c>
      <c r="BG903">
        <f>IF(AK903&lt;BC903,1,0)</f>
        <v>0</v>
      </c>
      <c r="BH903">
        <f>VLOOKUP($B903,[1]Data_Peer_with_peerVars!$B$2:$Z$1050,20,FALSE)</f>
        <v>6</v>
      </c>
      <c r="BI903">
        <f>VLOOKUP($B903,[1]Data_Peer_with_peerVars!$B$2:$Z$1050,21,FALSE)</f>
        <v>3</v>
      </c>
      <c r="BJ903">
        <f>VLOOKUP($B903,[1]Data_Peer_with_peerVars!$B$2:$Z$1050,22,FALSE)</f>
        <v>0.5</v>
      </c>
      <c r="BK903">
        <f>VLOOKUP($B903,[1]Data_Peer_with_peerVars!$B$2:$Z$1050,23,FALSE)</f>
        <v>13</v>
      </c>
      <c r="BL903">
        <f>VLOOKUP($B903,[1]Data_Peer_with_peerVars!$B$2:$Z$1050,24,FALSE)</f>
        <v>5</v>
      </c>
      <c r="BM903">
        <f>VLOOKUP($B903,[1]Data_Peer_with_peerVars!$B$2:$Z$1050,25,FALSE)</f>
        <v>0.38461538499999998</v>
      </c>
    </row>
    <row r="904" spans="1:65" x14ac:dyDescent="0.2">
      <c r="A904">
        <v>1</v>
      </c>
      <c r="B904" t="s">
        <v>1386</v>
      </c>
      <c r="C904">
        <v>563</v>
      </c>
      <c r="D904" t="s">
        <v>68</v>
      </c>
      <c r="E904">
        <v>1</v>
      </c>
      <c r="F904">
        <v>621</v>
      </c>
      <c r="G904" t="s">
        <v>69</v>
      </c>
      <c r="H904" s="1">
        <v>7</v>
      </c>
      <c r="I904" t="s">
        <v>87</v>
      </c>
      <c r="J904" t="s">
        <v>111</v>
      </c>
      <c r="K904" t="s">
        <v>109</v>
      </c>
      <c r="L904">
        <v>1</v>
      </c>
      <c r="M904">
        <v>1</v>
      </c>
      <c r="N904">
        <v>0</v>
      </c>
      <c r="O904">
        <v>0</v>
      </c>
      <c r="P904">
        <v>1</v>
      </c>
      <c r="Q904">
        <v>6</v>
      </c>
      <c r="R904">
        <v>0</v>
      </c>
      <c r="S904">
        <v>0</v>
      </c>
      <c r="T904">
        <v>0</v>
      </c>
      <c r="U904">
        <v>0</v>
      </c>
      <c r="V904">
        <f t="shared" si="403"/>
        <v>0</v>
      </c>
      <c r="W904">
        <f t="shared" si="404"/>
        <v>0</v>
      </c>
      <c r="X904">
        <f t="shared" si="407"/>
        <v>0</v>
      </c>
      <c r="Y904">
        <f t="shared" si="405"/>
        <v>0</v>
      </c>
      <c r="Z904" t="s">
        <v>73</v>
      </c>
      <c r="AA904" s="5" t="s">
        <v>73</v>
      </c>
      <c r="AB904" s="5" t="s">
        <v>1387</v>
      </c>
      <c r="AC904" t="s">
        <v>137</v>
      </c>
      <c r="AD904" t="s">
        <v>113</v>
      </c>
      <c r="AE904" s="5" t="s">
        <v>113</v>
      </c>
      <c r="AF904" t="s">
        <v>287</v>
      </c>
      <c r="AG904" t="s">
        <v>103</v>
      </c>
      <c r="AH904">
        <f>AI904</f>
        <v>0.13837336</v>
      </c>
      <c r="AI904">
        <f>AJ904</f>
        <v>0.13837336</v>
      </c>
      <c r="AJ904">
        <f t="shared" si="406"/>
        <v>0.13837336</v>
      </c>
      <c r="AK904">
        <v>0.13837336</v>
      </c>
      <c r="AL904">
        <v>0.14772104</v>
      </c>
      <c r="AM904">
        <v>0.14874454000000001</v>
      </c>
      <c r="AN904">
        <v>0.15134838</v>
      </c>
      <c r="AO904">
        <v>86.162664000000007</v>
      </c>
      <c r="AP904">
        <v>85.227896000000001</v>
      </c>
      <c r="AQ904">
        <v>85.125546</v>
      </c>
      <c r="AR904">
        <v>84.865161999999998</v>
      </c>
      <c r="AS904" t="b">
        <v>0</v>
      </c>
      <c r="AT904" t="b">
        <v>0</v>
      </c>
      <c r="AU904" t="s">
        <v>108</v>
      </c>
      <c r="AV904" t="s">
        <v>78</v>
      </c>
      <c r="AW904" t="s">
        <v>783</v>
      </c>
      <c r="AX904" t="s">
        <v>1277</v>
      </c>
      <c r="AY904" t="s">
        <v>1388</v>
      </c>
      <c r="AZ904" t="s">
        <v>109</v>
      </c>
      <c r="BA904">
        <v>3</v>
      </c>
      <c r="BB904">
        <v>1</v>
      </c>
      <c r="BC904">
        <v>5.4824560000000001E-2</v>
      </c>
      <c r="BD904">
        <v>2.68252196314279E-2</v>
      </c>
      <c r="BE904">
        <v>8.1649779631427902E-2</v>
      </c>
      <c r="BF904">
        <f>IF(AK904&lt;BE904,1,0)</f>
        <v>0</v>
      </c>
      <c r="BG904">
        <f>IF(AK904&lt;BC904,1,0)</f>
        <v>0</v>
      </c>
      <c r="BH904">
        <f>VLOOKUP($B904,[1]Data_Peer_with_peerVars!$B$2:$Z$1050,20,FALSE)</f>
        <v>0</v>
      </c>
      <c r="BI904">
        <f>VLOOKUP($B904,[1]Data_Peer_with_peerVars!$B$2:$Z$1050,21,FALSE)</f>
        <v>0</v>
      </c>
      <c r="BJ904">
        <v>0</v>
      </c>
      <c r="BK904">
        <f>VLOOKUP($B904,[1]Data_Peer_with_peerVars!$B$2:$Z$1050,23,FALSE)</f>
        <v>12</v>
      </c>
      <c r="BL904">
        <f>VLOOKUP($B904,[1]Data_Peer_with_peerVars!$B$2:$Z$1050,24,FALSE)</f>
        <v>9</v>
      </c>
      <c r="BM904">
        <f>VLOOKUP($B904,[1]Data_Peer_with_peerVars!$B$2:$Z$1050,25,FALSE)</f>
        <v>0.75</v>
      </c>
    </row>
    <row r="905" spans="1:65" x14ac:dyDescent="0.2">
      <c r="A905">
        <v>1</v>
      </c>
      <c r="B905" t="s">
        <v>1389</v>
      </c>
      <c r="C905">
        <v>563</v>
      </c>
      <c r="D905" t="s">
        <v>68</v>
      </c>
      <c r="E905">
        <v>1</v>
      </c>
      <c r="F905">
        <v>621</v>
      </c>
      <c r="G905" t="s">
        <v>69</v>
      </c>
      <c r="H905" s="1">
        <v>7</v>
      </c>
      <c r="I905" t="s">
        <v>87</v>
      </c>
      <c r="J905" t="s">
        <v>111</v>
      </c>
      <c r="K905" t="s">
        <v>109</v>
      </c>
      <c r="L905">
        <v>1</v>
      </c>
      <c r="M905">
        <v>1</v>
      </c>
      <c r="N905">
        <v>0</v>
      </c>
      <c r="O905">
        <v>0</v>
      </c>
      <c r="P905">
        <v>1</v>
      </c>
      <c r="Q905">
        <v>6</v>
      </c>
      <c r="R905">
        <v>0</v>
      </c>
      <c r="S905">
        <v>0</v>
      </c>
      <c r="T905">
        <v>0</v>
      </c>
      <c r="U905">
        <v>0</v>
      </c>
      <c r="V905">
        <f t="shared" si="403"/>
        <v>1</v>
      </c>
      <c r="W905">
        <v>1</v>
      </c>
      <c r="X905">
        <v>1</v>
      </c>
      <c r="Y905">
        <v>1</v>
      </c>
      <c r="Z905" t="s">
        <v>75</v>
      </c>
      <c r="AA905" s="5" t="s">
        <v>75</v>
      </c>
      <c r="AB905" s="5" t="s">
        <v>75</v>
      </c>
      <c r="AC905" t="s">
        <v>75</v>
      </c>
      <c r="AD905" t="s">
        <v>74</v>
      </c>
      <c r="AE905" s="5" t="s">
        <v>817</v>
      </c>
      <c r="AF905" t="s">
        <v>120</v>
      </c>
      <c r="AG905" t="s">
        <v>167</v>
      </c>
      <c r="AH905">
        <f>AI905</f>
        <v>3.0377667000000001E-2</v>
      </c>
      <c r="AI905">
        <f>AJ905</f>
        <v>3.0377667000000001E-2</v>
      </c>
      <c r="AJ905">
        <f t="shared" si="406"/>
        <v>3.0377667000000001E-2</v>
      </c>
      <c r="AK905">
        <v>3.0377667000000001E-2</v>
      </c>
      <c r="AL905">
        <v>9.6818429999999997E-2</v>
      </c>
      <c r="AM905">
        <v>0.10196829</v>
      </c>
      <c r="AN905">
        <v>0.112452</v>
      </c>
      <c r="AO905">
        <v>96.962233299999994</v>
      </c>
      <c r="AP905">
        <v>90.318156999999999</v>
      </c>
      <c r="AQ905">
        <v>89.803171000000006</v>
      </c>
      <c r="AR905">
        <v>88.754800000000003</v>
      </c>
      <c r="AS905" t="b">
        <v>1</v>
      </c>
      <c r="AT905" t="b">
        <v>0</v>
      </c>
      <c r="AU905" t="s">
        <v>77</v>
      </c>
      <c r="AV905" t="s">
        <v>108</v>
      </c>
      <c r="AW905" t="s">
        <v>783</v>
      </c>
      <c r="AX905" t="s">
        <v>1277</v>
      </c>
      <c r="AY905" t="s">
        <v>1388</v>
      </c>
      <c r="AZ905" t="s">
        <v>109</v>
      </c>
      <c r="BA905">
        <v>3</v>
      </c>
      <c r="BB905">
        <v>1</v>
      </c>
      <c r="BC905">
        <v>2.3038946000000001E-2</v>
      </c>
      <c r="BD905">
        <v>2.6184719377746E-3</v>
      </c>
      <c r="BE905">
        <v>2.5657417937774599E-2</v>
      </c>
      <c r="BF905">
        <f>IF(AK905&lt;BE905,1,0)</f>
        <v>0</v>
      </c>
      <c r="BG905">
        <f>IF(AK905&lt;BC905,1,0)</f>
        <v>0</v>
      </c>
      <c r="BH905">
        <f>VLOOKUP($B905,[1]Data_Peer_with_peerVars!$B$2:$Z$1050,20,FALSE)</f>
        <v>0</v>
      </c>
      <c r="BI905">
        <f>VLOOKUP($B905,[1]Data_Peer_with_peerVars!$B$2:$Z$1050,21,FALSE)</f>
        <v>0</v>
      </c>
      <c r="BJ905">
        <v>0</v>
      </c>
      <c r="BK905">
        <f>VLOOKUP($B905,[1]Data_Peer_with_peerVars!$B$2:$Z$1050,23,FALSE)</f>
        <v>12</v>
      </c>
      <c r="BL905">
        <f>VLOOKUP($B905,[1]Data_Peer_with_peerVars!$B$2:$Z$1050,24,FALSE)</f>
        <v>9</v>
      </c>
      <c r="BM905">
        <f>VLOOKUP($B905,[1]Data_Peer_with_peerVars!$B$2:$Z$1050,25,FALSE)</f>
        <v>0.75</v>
      </c>
    </row>
    <row r="906" spans="1:65" x14ac:dyDescent="0.2">
      <c r="A906">
        <v>1</v>
      </c>
      <c r="B906" t="s">
        <v>1390</v>
      </c>
      <c r="C906">
        <v>563</v>
      </c>
      <c r="D906" t="s">
        <v>68</v>
      </c>
      <c r="E906">
        <v>1</v>
      </c>
      <c r="F906">
        <v>621</v>
      </c>
      <c r="G906" t="s">
        <v>69</v>
      </c>
      <c r="H906" s="1">
        <v>7</v>
      </c>
      <c r="I906" t="s">
        <v>87</v>
      </c>
      <c r="J906" t="s">
        <v>111</v>
      </c>
      <c r="K906" t="s">
        <v>109</v>
      </c>
      <c r="L906">
        <v>1</v>
      </c>
      <c r="M906">
        <v>1</v>
      </c>
      <c r="N906">
        <v>0</v>
      </c>
      <c r="O906">
        <v>0</v>
      </c>
      <c r="P906">
        <v>1</v>
      </c>
      <c r="Q906">
        <v>6</v>
      </c>
      <c r="R906">
        <v>0</v>
      </c>
      <c r="S906">
        <v>0</v>
      </c>
      <c r="T906">
        <v>0</v>
      </c>
      <c r="U906">
        <v>0</v>
      </c>
      <c r="V906">
        <f t="shared" si="403"/>
        <v>0</v>
      </c>
      <c r="W906">
        <f t="shared" si="404"/>
        <v>0</v>
      </c>
      <c r="X906">
        <f t="shared" si="407"/>
        <v>0</v>
      </c>
      <c r="Y906">
        <f t="shared" si="405"/>
        <v>0</v>
      </c>
      <c r="Z906" t="s">
        <v>89</v>
      </c>
      <c r="AA906" s="5" t="s">
        <v>89</v>
      </c>
      <c r="AB906" s="5" t="s">
        <v>577</v>
      </c>
      <c r="AC906" t="s">
        <v>120</v>
      </c>
      <c r="AD906" t="s">
        <v>74</v>
      </c>
      <c r="AE906" s="5" t="s">
        <v>1391</v>
      </c>
      <c r="AF906" t="s">
        <v>75</v>
      </c>
      <c r="AG906" t="s">
        <v>102</v>
      </c>
      <c r="AH906">
        <f t="shared" ref="AH906:AH907" si="409">AI906</f>
        <v>9.8414435999999994E-2</v>
      </c>
      <c r="AI906">
        <f t="shared" ref="AI906:AI907" si="410">AJ906</f>
        <v>9.8414435999999994E-2</v>
      </c>
      <c r="AJ906">
        <f t="shared" si="406"/>
        <v>9.8414435999999994E-2</v>
      </c>
      <c r="AK906">
        <v>9.8414435999999994E-2</v>
      </c>
      <c r="AL906">
        <v>9.9012610000000001E-2</v>
      </c>
      <c r="AM906">
        <v>0.109742746</v>
      </c>
      <c r="AN906">
        <v>0.13162206000000001</v>
      </c>
      <c r="AO906">
        <v>90.158556399999995</v>
      </c>
      <c r="AP906">
        <v>90.098738999999995</v>
      </c>
      <c r="AQ906">
        <v>89.025725399999999</v>
      </c>
      <c r="AR906">
        <v>86.837794000000002</v>
      </c>
      <c r="AS906" t="b">
        <v>0</v>
      </c>
      <c r="AT906" t="b">
        <v>0</v>
      </c>
      <c r="AU906" t="s">
        <v>92</v>
      </c>
      <c r="AV906" t="s">
        <v>92</v>
      </c>
      <c r="AW906" t="s">
        <v>783</v>
      </c>
      <c r="AX906" t="s">
        <v>1277</v>
      </c>
      <c r="AY906" t="s">
        <v>1388</v>
      </c>
      <c r="AZ906" t="s">
        <v>109</v>
      </c>
      <c r="BA906">
        <v>3</v>
      </c>
      <c r="BB906">
        <v>0.14000000000000001</v>
      </c>
      <c r="BC906">
        <v>4.6849314000000003E-2</v>
      </c>
      <c r="BD906">
        <v>4.5250577219970098E-3</v>
      </c>
      <c r="BE906">
        <v>5.1374371721996999E-2</v>
      </c>
      <c r="BF906">
        <f>IF(AK906&lt;BE906,1,0)</f>
        <v>0</v>
      </c>
      <c r="BG906">
        <f>IF(AK906&lt;BC906,1,0)</f>
        <v>0</v>
      </c>
      <c r="BH906">
        <f>VLOOKUP($B906,[1]Data_Peer_with_peerVars!$B$2:$Z$1050,20,FALSE)</f>
        <v>0</v>
      </c>
      <c r="BI906">
        <f>VLOOKUP($B906,[1]Data_Peer_with_peerVars!$B$2:$Z$1050,21,FALSE)</f>
        <v>0</v>
      </c>
      <c r="BJ906">
        <v>0</v>
      </c>
      <c r="BK906">
        <f>VLOOKUP($B906,[1]Data_Peer_with_peerVars!$B$2:$Z$1050,23,FALSE)</f>
        <v>12</v>
      </c>
      <c r="BL906">
        <f>VLOOKUP($B906,[1]Data_Peer_with_peerVars!$B$2:$Z$1050,24,FALSE)</f>
        <v>9</v>
      </c>
      <c r="BM906">
        <f>VLOOKUP($B906,[1]Data_Peer_with_peerVars!$B$2:$Z$1050,25,FALSE)</f>
        <v>0.75</v>
      </c>
    </row>
    <row r="907" spans="1:65" x14ac:dyDescent="0.2">
      <c r="A907">
        <v>1</v>
      </c>
      <c r="B907" t="s">
        <v>1392</v>
      </c>
      <c r="C907">
        <v>564</v>
      </c>
      <c r="D907" t="s">
        <v>68</v>
      </c>
      <c r="E907">
        <v>0</v>
      </c>
      <c r="F907">
        <v>620</v>
      </c>
      <c r="G907" t="s">
        <v>97</v>
      </c>
      <c r="H907" s="1">
        <v>6.5</v>
      </c>
      <c r="I907" t="s">
        <v>87</v>
      </c>
      <c r="J907" t="s">
        <v>111</v>
      </c>
      <c r="K907" t="s">
        <v>109</v>
      </c>
      <c r="L907">
        <v>1</v>
      </c>
      <c r="M907">
        <v>0</v>
      </c>
      <c r="N907">
        <v>0</v>
      </c>
      <c r="O907">
        <v>0</v>
      </c>
      <c r="P907">
        <v>0</v>
      </c>
      <c r="Q907">
        <v>6</v>
      </c>
      <c r="R907">
        <v>0</v>
      </c>
      <c r="S907">
        <v>0</v>
      </c>
      <c r="T907">
        <v>0</v>
      </c>
      <c r="U907">
        <v>0</v>
      </c>
      <c r="V907">
        <f t="shared" si="403"/>
        <v>0</v>
      </c>
      <c r="W907">
        <f t="shared" si="404"/>
        <v>0</v>
      </c>
      <c r="X907">
        <f t="shared" si="407"/>
        <v>0</v>
      </c>
      <c r="Y907">
        <f t="shared" si="405"/>
        <v>0</v>
      </c>
      <c r="Z907" t="s">
        <v>76</v>
      </c>
      <c r="AA907" s="5" t="s">
        <v>76</v>
      </c>
      <c r="AB907" s="5" t="s">
        <v>76</v>
      </c>
      <c r="AC907" t="s">
        <v>91</v>
      </c>
      <c r="AD907" t="s">
        <v>75</v>
      </c>
      <c r="AE907" s="5" t="s">
        <v>1393</v>
      </c>
      <c r="AF907" t="s">
        <v>74</v>
      </c>
      <c r="AG907" t="s">
        <v>120</v>
      </c>
      <c r="AH907">
        <f t="shared" si="409"/>
        <v>7.4398249999999999E-2</v>
      </c>
      <c r="AI907">
        <f t="shared" si="410"/>
        <v>7.4398249999999999E-2</v>
      </c>
      <c r="AJ907">
        <f t="shared" si="406"/>
        <v>7.4398249999999999E-2</v>
      </c>
      <c r="AK907">
        <v>7.4398249999999999E-2</v>
      </c>
      <c r="AL907">
        <v>7.5492345000000002E-2</v>
      </c>
      <c r="AM907">
        <v>0.11178082</v>
      </c>
      <c r="AN907">
        <v>0.11687602</v>
      </c>
      <c r="AO907">
        <v>92.560175000000001</v>
      </c>
      <c r="AP907">
        <v>92.450765500000003</v>
      </c>
      <c r="AQ907">
        <v>88.821917999999997</v>
      </c>
      <c r="AR907">
        <v>88.312398000000002</v>
      </c>
      <c r="AS907" t="b">
        <v>0</v>
      </c>
      <c r="AT907" t="b">
        <v>0</v>
      </c>
      <c r="AU907" t="s">
        <v>108</v>
      </c>
      <c r="AV907" t="s">
        <v>108</v>
      </c>
      <c r="AW907" t="s">
        <v>783</v>
      </c>
      <c r="AX907" t="s">
        <v>1277</v>
      </c>
      <c r="AY907" t="s">
        <v>1385</v>
      </c>
      <c r="AZ907" t="s">
        <v>109</v>
      </c>
      <c r="BA907">
        <v>2</v>
      </c>
      <c r="BB907">
        <v>1.05</v>
      </c>
      <c r="BC907">
        <v>9.0659339999999995E-3</v>
      </c>
      <c r="BD907">
        <v>2.76583658862385E-3</v>
      </c>
      <c r="BE907">
        <v>1.1831770588623799E-2</v>
      </c>
      <c r="BF907">
        <f>IF(AK907&lt;BE907,1,0)</f>
        <v>0</v>
      </c>
      <c r="BG907">
        <f>IF(AK907&lt;BC907,1,0)</f>
        <v>0</v>
      </c>
      <c r="BH907">
        <f>VLOOKUP($B907,[1]Data_Peer_with_peerVars!$B$2:$Z$1050,20,FALSE)</f>
        <v>6</v>
      </c>
      <c r="BI907">
        <f>VLOOKUP($B907,[1]Data_Peer_with_peerVars!$B$2:$Z$1050,21,FALSE)</f>
        <v>4</v>
      </c>
      <c r="BJ907">
        <f>VLOOKUP($B907,[1]Data_Peer_with_peerVars!$B$2:$Z$1050,22,FALSE)</f>
        <v>0.66666666699999999</v>
      </c>
      <c r="BK907">
        <f>VLOOKUP($B907,[1]Data_Peer_with_peerVars!$B$2:$Z$1050,23,FALSE)</f>
        <v>11</v>
      </c>
      <c r="BL907">
        <f>VLOOKUP($B907,[1]Data_Peer_with_peerVars!$B$2:$Z$1050,24,FALSE)</f>
        <v>6</v>
      </c>
      <c r="BM907">
        <f>VLOOKUP($B907,[1]Data_Peer_with_peerVars!$B$2:$Z$1050,25,FALSE)</f>
        <v>0.54545454500000001</v>
      </c>
    </row>
    <row r="908" spans="1:65" x14ac:dyDescent="0.2">
      <c r="A908">
        <v>1</v>
      </c>
      <c r="B908" t="s">
        <v>1394</v>
      </c>
      <c r="C908">
        <v>565</v>
      </c>
      <c r="D908" t="s">
        <v>68</v>
      </c>
      <c r="E908">
        <v>1</v>
      </c>
      <c r="F908">
        <v>504</v>
      </c>
      <c r="G908" t="s">
        <v>86</v>
      </c>
      <c r="H908" s="1">
        <v>7</v>
      </c>
      <c r="I908" t="s">
        <v>87</v>
      </c>
      <c r="J908" t="s">
        <v>111</v>
      </c>
      <c r="K908" t="s">
        <v>109</v>
      </c>
      <c r="L908">
        <v>2</v>
      </c>
      <c r="M908">
        <v>0</v>
      </c>
      <c r="N908">
        <v>1</v>
      </c>
      <c r="O908">
        <v>0</v>
      </c>
      <c r="P908">
        <v>0</v>
      </c>
      <c r="Q908">
        <v>11</v>
      </c>
      <c r="R908">
        <v>0</v>
      </c>
      <c r="S908">
        <v>0</v>
      </c>
      <c r="T908">
        <v>0</v>
      </c>
      <c r="U908">
        <v>0</v>
      </c>
      <c r="V908">
        <f t="shared" si="403"/>
        <v>0</v>
      </c>
      <c r="W908">
        <f t="shared" si="404"/>
        <v>0</v>
      </c>
      <c r="X908">
        <f t="shared" si="407"/>
        <v>1</v>
      </c>
      <c r="Y908">
        <v>1</v>
      </c>
      <c r="Z908" t="s">
        <v>91</v>
      </c>
      <c r="AA908" s="5" t="s">
        <v>91</v>
      </c>
      <c r="AB908" s="5" t="s">
        <v>1395</v>
      </c>
      <c r="AC908" t="s">
        <v>287</v>
      </c>
      <c r="AD908" t="s">
        <v>137</v>
      </c>
      <c r="AE908" s="5" t="s">
        <v>305</v>
      </c>
      <c r="AF908" t="s">
        <v>91</v>
      </c>
      <c r="AG908" t="s">
        <v>113</v>
      </c>
      <c r="AH908">
        <f>AI908</f>
        <v>0.1214442</v>
      </c>
      <c r="AI908">
        <f>AM908</f>
        <v>0.1214442</v>
      </c>
      <c r="AJ908">
        <f t="shared" si="406"/>
        <v>4.1780449999999997E-2</v>
      </c>
      <c r="AK908">
        <v>4.1780449999999997E-2</v>
      </c>
      <c r="AL908">
        <v>0.109503</v>
      </c>
      <c r="AM908">
        <v>0.1214442</v>
      </c>
      <c r="AN908">
        <v>0.12527473</v>
      </c>
      <c r="AO908">
        <v>95.821955000000003</v>
      </c>
      <c r="AP908">
        <v>89.049700000000001</v>
      </c>
      <c r="AQ908">
        <v>87.855580000000003</v>
      </c>
      <c r="AR908">
        <v>87.472526999999999</v>
      </c>
      <c r="AS908" t="b">
        <v>0</v>
      </c>
      <c r="AT908" t="b">
        <v>0</v>
      </c>
      <c r="AU908" t="s">
        <v>77</v>
      </c>
      <c r="AV908" t="s">
        <v>108</v>
      </c>
      <c r="AW908" t="s">
        <v>783</v>
      </c>
      <c r="AX908" t="s">
        <v>784</v>
      </c>
      <c r="AY908" t="s">
        <v>1396</v>
      </c>
      <c r="AZ908" t="s">
        <v>109</v>
      </c>
      <c r="BA908">
        <v>6</v>
      </c>
      <c r="BB908">
        <v>0.14000000000000001</v>
      </c>
      <c r="BC908">
        <v>5.5106750000000003E-2</v>
      </c>
      <c r="BD908">
        <v>2.4361461616194298E-3</v>
      </c>
      <c r="BE908">
        <v>5.7542896161619402E-2</v>
      </c>
      <c r="BF908">
        <f>IF(AK908&lt;BE908,1,0)</f>
        <v>1</v>
      </c>
      <c r="BG908">
        <f>IF(AK908&lt;BC908,1,0)</f>
        <v>1</v>
      </c>
      <c r="BH908">
        <f>VLOOKUP($B908,[1]Data_Peer_with_peerVars!$B$2:$Z$1050,20,FALSE)</f>
        <v>1</v>
      </c>
      <c r="BI908">
        <f>VLOOKUP($B908,[1]Data_Peer_with_peerVars!$B$2:$Z$1050,21,FALSE)</f>
        <v>0</v>
      </c>
      <c r="BJ908">
        <f>VLOOKUP($B908,[1]Data_Peer_with_peerVars!$B$2:$Z$1050,22,FALSE)</f>
        <v>0</v>
      </c>
      <c r="BK908">
        <f>VLOOKUP($B908,[1]Data_Peer_with_peerVars!$B$2:$Z$1050,23,FALSE)</f>
        <v>15</v>
      </c>
      <c r="BL908">
        <f>VLOOKUP($B908,[1]Data_Peer_with_peerVars!$B$2:$Z$1050,24,FALSE)</f>
        <v>3</v>
      </c>
      <c r="BM908">
        <f>VLOOKUP($B908,[1]Data_Peer_with_peerVars!$B$2:$Z$1050,25,FALSE)</f>
        <v>0.2</v>
      </c>
    </row>
    <row r="909" spans="1:65" x14ac:dyDescent="0.2">
      <c r="A909">
        <v>1</v>
      </c>
      <c r="B909" t="s">
        <v>1397</v>
      </c>
      <c r="C909">
        <v>565</v>
      </c>
      <c r="D909" t="s">
        <v>68</v>
      </c>
      <c r="E909">
        <v>1</v>
      </c>
      <c r="F909">
        <v>504</v>
      </c>
      <c r="G909" t="s">
        <v>86</v>
      </c>
      <c r="H909" s="1">
        <v>7</v>
      </c>
      <c r="I909" t="s">
        <v>87</v>
      </c>
      <c r="J909" t="s">
        <v>111</v>
      </c>
      <c r="K909" t="s">
        <v>109</v>
      </c>
      <c r="L909">
        <v>2</v>
      </c>
      <c r="M909">
        <v>0</v>
      </c>
      <c r="N909">
        <v>1</v>
      </c>
      <c r="O909">
        <v>0</v>
      </c>
      <c r="P909">
        <v>0</v>
      </c>
      <c r="Q909">
        <v>11</v>
      </c>
      <c r="R909">
        <v>0</v>
      </c>
      <c r="S909">
        <v>0</v>
      </c>
      <c r="T909">
        <v>0</v>
      </c>
      <c r="U909">
        <v>0</v>
      </c>
      <c r="V909">
        <f t="shared" si="403"/>
        <v>0</v>
      </c>
      <c r="W909">
        <f t="shared" si="404"/>
        <v>0</v>
      </c>
      <c r="X909">
        <f t="shared" si="407"/>
        <v>0</v>
      </c>
      <c r="Y909">
        <f t="shared" si="405"/>
        <v>0</v>
      </c>
      <c r="Z909" t="s">
        <v>76</v>
      </c>
      <c r="AA909" s="5" t="s">
        <v>76</v>
      </c>
      <c r="AB909" s="5" t="s">
        <v>76</v>
      </c>
      <c r="AC909" t="s">
        <v>74</v>
      </c>
      <c r="AD909" t="s">
        <v>75</v>
      </c>
      <c r="AE909" s="5" t="s">
        <v>213</v>
      </c>
      <c r="AF909" t="s">
        <v>120</v>
      </c>
      <c r="AG909" t="s">
        <v>167</v>
      </c>
      <c r="AH909">
        <f>AI909</f>
        <v>7.4794520000000003E-2</v>
      </c>
      <c r="AI909">
        <f>AJ909</f>
        <v>7.4794520000000003E-2</v>
      </c>
      <c r="AJ909">
        <f t="shared" si="406"/>
        <v>7.4794520000000003E-2</v>
      </c>
      <c r="AK909">
        <v>7.4794520000000003E-2</v>
      </c>
      <c r="AL909">
        <v>9.299781E-2</v>
      </c>
      <c r="AM909">
        <v>9.4483890000000001E-2</v>
      </c>
      <c r="AN909">
        <v>0.10547945</v>
      </c>
      <c r="AO909">
        <v>92.520548000000005</v>
      </c>
      <c r="AP909">
        <v>90.700219000000004</v>
      </c>
      <c r="AQ909">
        <v>90.551610999999994</v>
      </c>
      <c r="AR909">
        <v>89.452055000000001</v>
      </c>
      <c r="AS909" t="b">
        <v>0</v>
      </c>
      <c r="AT909" t="b">
        <v>0</v>
      </c>
      <c r="AU909" t="s">
        <v>77</v>
      </c>
      <c r="AV909" t="s">
        <v>108</v>
      </c>
      <c r="AW909" t="s">
        <v>783</v>
      </c>
      <c r="AX909" t="s">
        <v>784</v>
      </c>
      <c r="AY909" t="s">
        <v>1396</v>
      </c>
      <c r="AZ909" t="s">
        <v>109</v>
      </c>
      <c r="BA909">
        <v>6</v>
      </c>
      <c r="BB909">
        <v>0.14000000000000001</v>
      </c>
      <c r="BC909">
        <v>2.4738868000000001E-3</v>
      </c>
      <c r="BD909">
        <v>1.4256942275279999E-4</v>
      </c>
      <c r="BE909">
        <v>2.6164562227527998E-3</v>
      </c>
      <c r="BF909">
        <f>IF(AK909&lt;BE909,1,0)</f>
        <v>0</v>
      </c>
      <c r="BG909">
        <f>IF(AK909&lt;BC909,1,0)</f>
        <v>0</v>
      </c>
      <c r="BH909">
        <f>VLOOKUP($B909,[1]Data_Peer_with_peerVars!$B$2:$Z$1050,20,FALSE)</f>
        <v>1</v>
      </c>
      <c r="BI909">
        <f>VLOOKUP($B909,[1]Data_Peer_with_peerVars!$B$2:$Z$1050,21,FALSE)</f>
        <v>0</v>
      </c>
      <c r="BJ909">
        <f>VLOOKUP($B909,[1]Data_Peer_with_peerVars!$B$2:$Z$1050,22,FALSE)</f>
        <v>0</v>
      </c>
      <c r="BK909">
        <f>VLOOKUP($B909,[1]Data_Peer_with_peerVars!$B$2:$Z$1050,23,FALSE)</f>
        <v>15</v>
      </c>
      <c r="BL909">
        <f>VLOOKUP($B909,[1]Data_Peer_with_peerVars!$B$2:$Z$1050,24,FALSE)</f>
        <v>3</v>
      </c>
      <c r="BM909">
        <f>VLOOKUP($B909,[1]Data_Peer_with_peerVars!$B$2:$Z$1050,25,FALSE)</f>
        <v>0.2</v>
      </c>
    </row>
    <row r="910" spans="1:65" x14ac:dyDescent="0.2">
      <c r="A910">
        <v>1</v>
      </c>
      <c r="B910" t="s">
        <v>1398</v>
      </c>
      <c r="C910">
        <v>565</v>
      </c>
      <c r="D910" t="s">
        <v>68</v>
      </c>
      <c r="E910">
        <v>1</v>
      </c>
      <c r="F910">
        <v>504</v>
      </c>
      <c r="G910" t="s">
        <v>86</v>
      </c>
      <c r="H910" s="1">
        <v>7</v>
      </c>
      <c r="I910" t="s">
        <v>87</v>
      </c>
      <c r="J910" t="s">
        <v>111</v>
      </c>
      <c r="K910" t="s">
        <v>109</v>
      </c>
      <c r="L910">
        <v>2</v>
      </c>
      <c r="M910">
        <v>0</v>
      </c>
      <c r="N910">
        <v>1</v>
      </c>
      <c r="O910">
        <v>0</v>
      </c>
      <c r="P910">
        <v>0</v>
      </c>
      <c r="Q910">
        <v>11</v>
      </c>
      <c r="R910">
        <v>0</v>
      </c>
      <c r="S910">
        <v>0</v>
      </c>
      <c r="T910">
        <v>0</v>
      </c>
      <c r="U910">
        <v>0</v>
      </c>
      <c r="V910">
        <f t="shared" si="403"/>
        <v>0</v>
      </c>
      <c r="W910">
        <f t="shared" si="404"/>
        <v>0</v>
      </c>
      <c r="X910">
        <f t="shared" si="407"/>
        <v>1</v>
      </c>
      <c r="Y910">
        <v>1</v>
      </c>
      <c r="Z910" t="s">
        <v>113</v>
      </c>
      <c r="AA910" s="5" t="s">
        <v>170</v>
      </c>
      <c r="AB910" s="5" t="s">
        <v>1399</v>
      </c>
      <c r="AC910" t="s">
        <v>287</v>
      </c>
      <c r="AD910" t="s">
        <v>91</v>
      </c>
      <c r="AE910" s="5" t="s">
        <v>91</v>
      </c>
      <c r="AF910" t="s">
        <v>113</v>
      </c>
      <c r="AG910" t="s">
        <v>74</v>
      </c>
      <c r="AH910">
        <f>AI910</f>
        <v>0.15281758000000001</v>
      </c>
      <c r="AI910">
        <f>AM910</f>
        <v>0.15281758000000001</v>
      </c>
      <c r="AJ910">
        <f t="shared" si="406"/>
        <v>0.13225498999999999</v>
      </c>
      <c r="AK910">
        <v>0.13225498999999999</v>
      </c>
      <c r="AL910">
        <v>0.14966635</v>
      </c>
      <c r="AM910">
        <v>0.15281758000000001</v>
      </c>
      <c r="AN910">
        <v>0.15538608000000001</v>
      </c>
      <c r="AO910">
        <v>86.774501000000001</v>
      </c>
      <c r="AP910">
        <v>85.033365000000003</v>
      </c>
      <c r="AQ910">
        <v>84.718242000000004</v>
      </c>
      <c r="AR910">
        <v>84.461392000000004</v>
      </c>
      <c r="AS910" t="b">
        <v>0</v>
      </c>
      <c r="AT910" t="b">
        <v>0</v>
      </c>
      <c r="AU910" t="s">
        <v>92</v>
      </c>
      <c r="AV910" t="s">
        <v>92</v>
      </c>
      <c r="AW910" t="s">
        <v>783</v>
      </c>
      <c r="AX910" t="s">
        <v>784</v>
      </c>
      <c r="AY910" t="s">
        <v>1396</v>
      </c>
      <c r="AZ910" t="s">
        <v>109</v>
      </c>
      <c r="BA910">
        <v>6</v>
      </c>
      <c r="BB910">
        <v>0.21</v>
      </c>
      <c r="BC910">
        <v>5.5106750000000003E-2</v>
      </c>
      <c r="BD910">
        <v>2.4361461616194298E-3</v>
      </c>
      <c r="BE910">
        <v>5.7542896161619402E-2</v>
      </c>
      <c r="BF910">
        <f>IF(AK910&lt;BE910,1,0)</f>
        <v>0</v>
      </c>
      <c r="BG910">
        <f>IF(AK910&lt;BC910,1,0)</f>
        <v>0</v>
      </c>
      <c r="BH910">
        <f>VLOOKUP($B910,[1]Data_Peer_with_peerVars!$B$2:$Z$1050,20,FALSE)</f>
        <v>1</v>
      </c>
      <c r="BI910">
        <f>VLOOKUP($B910,[1]Data_Peer_with_peerVars!$B$2:$Z$1050,21,FALSE)</f>
        <v>0</v>
      </c>
      <c r="BJ910">
        <f>VLOOKUP($B910,[1]Data_Peer_with_peerVars!$B$2:$Z$1050,22,FALSE)</f>
        <v>0</v>
      </c>
      <c r="BK910">
        <f>VLOOKUP($B910,[1]Data_Peer_with_peerVars!$B$2:$Z$1050,23,FALSE)</f>
        <v>15</v>
      </c>
      <c r="BL910">
        <f>VLOOKUP($B910,[1]Data_Peer_with_peerVars!$B$2:$Z$1050,24,FALSE)</f>
        <v>3</v>
      </c>
      <c r="BM910">
        <f>VLOOKUP($B910,[1]Data_Peer_with_peerVars!$B$2:$Z$1050,25,FALSE)</f>
        <v>0.2</v>
      </c>
    </row>
    <row r="911" spans="1:65" x14ac:dyDescent="0.2">
      <c r="A911">
        <v>1</v>
      </c>
      <c r="B911" t="s">
        <v>1400</v>
      </c>
      <c r="C911">
        <v>566</v>
      </c>
      <c r="D911" t="s">
        <v>68</v>
      </c>
      <c r="E911">
        <v>1</v>
      </c>
      <c r="F911">
        <v>505</v>
      </c>
      <c r="G911" t="s">
        <v>86</v>
      </c>
      <c r="H911" s="1">
        <v>6</v>
      </c>
      <c r="I911" t="s">
        <v>87</v>
      </c>
      <c r="J911" t="s">
        <v>88</v>
      </c>
      <c r="K911" t="s">
        <v>109</v>
      </c>
      <c r="L911">
        <v>1</v>
      </c>
      <c r="M911">
        <v>0</v>
      </c>
      <c r="N911">
        <v>0</v>
      </c>
      <c r="O911">
        <v>0</v>
      </c>
      <c r="P911">
        <v>0</v>
      </c>
      <c r="Q911">
        <v>6</v>
      </c>
      <c r="R911">
        <v>0</v>
      </c>
      <c r="S911">
        <v>0</v>
      </c>
      <c r="T911">
        <v>0</v>
      </c>
      <c r="U911">
        <v>0</v>
      </c>
      <c r="V911">
        <f t="shared" si="403"/>
        <v>0</v>
      </c>
      <c r="W911">
        <f t="shared" si="404"/>
        <v>0</v>
      </c>
      <c r="X911">
        <f t="shared" si="407"/>
        <v>0</v>
      </c>
      <c r="Y911">
        <f t="shared" si="405"/>
        <v>1</v>
      </c>
      <c r="Z911" t="s">
        <v>91</v>
      </c>
      <c r="AA911" s="5" t="s">
        <v>91</v>
      </c>
      <c r="AB911" s="5" t="s">
        <v>1025</v>
      </c>
      <c r="AC911" t="s">
        <v>94</v>
      </c>
      <c r="AD911" t="s">
        <v>103</v>
      </c>
      <c r="AE911" s="5" t="s">
        <v>1401</v>
      </c>
      <c r="AF911" t="s">
        <v>95</v>
      </c>
      <c r="AG911" t="s">
        <v>91</v>
      </c>
      <c r="AH911">
        <f>AN911</f>
        <v>0.5</v>
      </c>
      <c r="AI911">
        <f>AJ911</f>
        <v>0</v>
      </c>
      <c r="AL911">
        <v>0.25</v>
      </c>
      <c r="AM911">
        <v>0.25</v>
      </c>
      <c r="AN911">
        <v>0.5</v>
      </c>
      <c r="AO911">
        <v>100</v>
      </c>
      <c r="AP911">
        <v>75</v>
      </c>
      <c r="AQ911">
        <v>75</v>
      </c>
      <c r="AR911">
        <v>50</v>
      </c>
      <c r="AS911" t="b">
        <v>0</v>
      </c>
      <c r="AT911" t="b">
        <v>0</v>
      </c>
      <c r="AU911" t="s">
        <v>77</v>
      </c>
      <c r="AV911" t="s">
        <v>108</v>
      </c>
      <c r="AW911" t="s">
        <v>783</v>
      </c>
      <c r="AX911" t="s">
        <v>804</v>
      </c>
      <c r="AY911" t="s">
        <v>1396</v>
      </c>
      <c r="AZ911" t="s">
        <v>109</v>
      </c>
      <c r="BA911">
        <v>4</v>
      </c>
      <c r="BB911">
        <v>1.5</v>
      </c>
      <c r="BC911">
        <v>1.6447369E-2</v>
      </c>
      <c r="BD911">
        <v>4.2236161269162102E-4</v>
      </c>
      <c r="BE911">
        <v>1.6869730612691598E-2</v>
      </c>
      <c r="BF911">
        <f>IF(AK911&lt;BE911,1,0)</f>
        <v>1</v>
      </c>
      <c r="BG911">
        <f>IF(AK911&lt;BC911,1,0)</f>
        <v>1</v>
      </c>
      <c r="BH911">
        <f>VLOOKUP($B911,[1]Data_Peer_with_peerVars!$B$2:$Z$1050,20,FALSE)</f>
        <v>3</v>
      </c>
      <c r="BI911">
        <f>VLOOKUP($B911,[1]Data_Peer_with_peerVars!$B$2:$Z$1050,21,FALSE)</f>
        <v>0</v>
      </c>
      <c r="BJ911">
        <f>VLOOKUP($B911,[1]Data_Peer_with_peerVars!$B$2:$Z$1050,22,FALSE)</f>
        <v>0</v>
      </c>
      <c r="BK911">
        <f>VLOOKUP($B911,[1]Data_Peer_with_peerVars!$B$2:$Z$1050,23,FALSE)</f>
        <v>17</v>
      </c>
      <c r="BL911">
        <f>VLOOKUP($B911,[1]Data_Peer_with_peerVars!$B$2:$Z$1050,24,FALSE)</f>
        <v>3</v>
      </c>
      <c r="BM911">
        <f>VLOOKUP($B911,[1]Data_Peer_with_peerVars!$B$2:$Z$1050,25,FALSE)</f>
        <v>0.17647058800000001</v>
      </c>
    </row>
    <row r="912" spans="1:65" x14ac:dyDescent="0.2">
      <c r="A912">
        <v>1</v>
      </c>
      <c r="B912" t="s">
        <v>1402</v>
      </c>
      <c r="C912">
        <v>567</v>
      </c>
      <c r="D912" t="s">
        <v>68</v>
      </c>
      <c r="E912">
        <v>1</v>
      </c>
      <c r="F912">
        <v>511</v>
      </c>
      <c r="G912" t="s">
        <v>69</v>
      </c>
      <c r="H912" s="1">
        <v>7</v>
      </c>
      <c r="I912" t="s">
        <v>87</v>
      </c>
      <c r="J912" t="s">
        <v>111</v>
      </c>
      <c r="K912" t="s">
        <v>109</v>
      </c>
      <c r="L912">
        <v>1</v>
      </c>
      <c r="M912">
        <v>0</v>
      </c>
      <c r="N912">
        <v>1</v>
      </c>
      <c r="O912">
        <v>0</v>
      </c>
      <c r="P912">
        <v>0</v>
      </c>
      <c r="Q912">
        <v>6</v>
      </c>
      <c r="R912">
        <v>0</v>
      </c>
      <c r="S912">
        <v>0</v>
      </c>
      <c r="T912">
        <v>0</v>
      </c>
      <c r="U912">
        <v>0</v>
      </c>
      <c r="V912">
        <f t="shared" si="403"/>
        <v>0</v>
      </c>
      <c r="W912">
        <f t="shared" si="404"/>
        <v>0</v>
      </c>
      <c r="X912">
        <f t="shared" si="407"/>
        <v>0</v>
      </c>
      <c r="Y912">
        <f t="shared" si="405"/>
        <v>0</v>
      </c>
      <c r="Z912" t="s">
        <v>177</v>
      </c>
      <c r="AA912" s="5" t="s">
        <v>170</v>
      </c>
      <c r="AB912" s="5" t="s">
        <v>1403</v>
      </c>
      <c r="AC912" t="s">
        <v>101</v>
      </c>
      <c r="AD912" t="s">
        <v>99</v>
      </c>
      <c r="AE912" s="5" t="s">
        <v>1404</v>
      </c>
      <c r="AF912" t="s">
        <v>103</v>
      </c>
      <c r="AG912" t="s">
        <v>167</v>
      </c>
      <c r="AH912">
        <f t="shared" ref="AH912:AH914" si="411">AI912</f>
        <v>7.5233385E-2</v>
      </c>
      <c r="AI912">
        <f t="shared" ref="AI912:AI914" si="412">AJ912</f>
        <v>7.5233385E-2</v>
      </c>
      <c r="AJ912">
        <f t="shared" si="406"/>
        <v>7.5233385E-2</v>
      </c>
      <c r="AK912">
        <v>7.5233385E-2</v>
      </c>
      <c r="AL912">
        <v>9.7406179999999995E-2</v>
      </c>
      <c r="AM912">
        <v>9.8952590000000007E-2</v>
      </c>
      <c r="AN912">
        <v>0.13987932</v>
      </c>
      <c r="AO912">
        <v>92.476661500000006</v>
      </c>
      <c r="AP912">
        <v>90.259382000000002</v>
      </c>
      <c r="AQ912">
        <v>90.104741000000004</v>
      </c>
      <c r="AR912">
        <v>86.012067999999999</v>
      </c>
      <c r="AS912" t="b">
        <v>0</v>
      </c>
      <c r="AT912" t="b">
        <v>0</v>
      </c>
      <c r="AU912" t="s">
        <v>92</v>
      </c>
      <c r="AV912" t="s">
        <v>92</v>
      </c>
      <c r="AW912" t="s">
        <v>783</v>
      </c>
      <c r="AX912" t="s">
        <v>784</v>
      </c>
      <c r="AY912" t="s">
        <v>1405</v>
      </c>
      <c r="AZ912" t="s">
        <v>109</v>
      </c>
      <c r="BA912">
        <v>3</v>
      </c>
      <c r="BB912" t="s">
        <v>82</v>
      </c>
      <c r="BC912">
        <v>1.4096186E-2</v>
      </c>
      <c r="BD912">
        <v>1.55088650053763E-3</v>
      </c>
      <c r="BE912">
        <v>1.5647072500537599E-2</v>
      </c>
      <c r="BF912">
        <f>IF(AK912&lt;BE912,1,0)</f>
        <v>0</v>
      </c>
      <c r="BG912">
        <f>IF(AK912&lt;BC912,1,0)</f>
        <v>0</v>
      </c>
      <c r="BH912">
        <f>VLOOKUP($B912,[1]Data_Peer_with_peerVars!$B$2:$Z$1050,20,FALSE)</f>
        <v>4</v>
      </c>
      <c r="BI912">
        <f>VLOOKUP($B912,[1]Data_Peer_with_peerVars!$B$2:$Z$1050,21,FALSE)</f>
        <v>1</v>
      </c>
      <c r="BJ912">
        <f>VLOOKUP($B912,[1]Data_Peer_with_peerVars!$B$2:$Z$1050,22,FALSE)</f>
        <v>0.25</v>
      </c>
      <c r="BK912">
        <f>VLOOKUP($B912,[1]Data_Peer_with_peerVars!$B$2:$Z$1050,23,FALSE)</f>
        <v>22</v>
      </c>
      <c r="BL912">
        <f>VLOOKUP($B912,[1]Data_Peer_with_peerVars!$B$2:$Z$1050,24,FALSE)</f>
        <v>4</v>
      </c>
      <c r="BM912">
        <f>VLOOKUP($B912,[1]Data_Peer_with_peerVars!$B$2:$Z$1050,25,FALSE)</f>
        <v>0.18181818199999999</v>
      </c>
    </row>
    <row r="913" spans="1:65" x14ac:dyDescent="0.2">
      <c r="A913">
        <v>1</v>
      </c>
      <c r="B913" t="s">
        <v>1406</v>
      </c>
      <c r="C913">
        <v>567</v>
      </c>
      <c r="D913" t="s">
        <v>68</v>
      </c>
      <c r="E913">
        <v>1</v>
      </c>
      <c r="F913">
        <v>511</v>
      </c>
      <c r="G913" t="s">
        <v>69</v>
      </c>
      <c r="H913" s="1">
        <v>7</v>
      </c>
      <c r="I913" t="s">
        <v>87</v>
      </c>
      <c r="J913" t="s">
        <v>111</v>
      </c>
      <c r="K913" t="s">
        <v>109</v>
      </c>
      <c r="L913">
        <v>1</v>
      </c>
      <c r="M913">
        <v>0</v>
      </c>
      <c r="N913">
        <v>1</v>
      </c>
      <c r="O913">
        <v>0</v>
      </c>
      <c r="P913">
        <v>0</v>
      </c>
      <c r="Q913">
        <v>6</v>
      </c>
      <c r="R913">
        <v>0</v>
      </c>
      <c r="S913">
        <v>0</v>
      </c>
      <c r="T913">
        <v>0</v>
      </c>
      <c r="U913">
        <v>1</v>
      </c>
      <c r="V913">
        <f t="shared" si="403"/>
        <v>0</v>
      </c>
      <c r="W913">
        <f t="shared" si="404"/>
        <v>0</v>
      </c>
      <c r="X913">
        <f t="shared" si="407"/>
        <v>0</v>
      </c>
      <c r="Y913">
        <f t="shared" si="405"/>
        <v>0</v>
      </c>
      <c r="Z913" t="s">
        <v>89</v>
      </c>
      <c r="AA913" s="5" t="s">
        <v>82</v>
      </c>
      <c r="AB913" s="5" t="s">
        <v>82</v>
      </c>
      <c r="AC913" t="s">
        <v>101</v>
      </c>
      <c r="AD913" t="s">
        <v>99</v>
      </c>
      <c r="AE913" s="5" t="s">
        <v>99</v>
      </c>
      <c r="AF913" t="s">
        <v>103</v>
      </c>
      <c r="AG913" t="s">
        <v>196</v>
      </c>
      <c r="AH913">
        <f t="shared" si="411"/>
        <v>0.10208562</v>
      </c>
      <c r="AI913">
        <f t="shared" si="412"/>
        <v>0.10208562</v>
      </c>
      <c r="AJ913">
        <f t="shared" si="406"/>
        <v>0.10208562</v>
      </c>
      <c r="AK913">
        <v>0.10208562</v>
      </c>
      <c r="AL913">
        <v>0.11955923</v>
      </c>
      <c r="AM913">
        <v>0.13043478</v>
      </c>
      <c r="AN913">
        <v>0.13424657000000001</v>
      </c>
      <c r="AO913">
        <v>89.791437999999999</v>
      </c>
      <c r="AP913">
        <v>88.044077000000001</v>
      </c>
      <c r="AQ913">
        <v>86.956522000000007</v>
      </c>
      <c r="AR913">
        <v>86.575343000000004</v>
      </c>
      <c r="AS913" t="s">
        <v>82</v>
      </c>
      <c r="AT913" t="s">
        <v>82</v>
      </c>
      <c r="AU913" t="s">
        <v>78</v>
      </c>
      <c r="AV913" t="s">
        <v>78</v>
      </c>
      <c r="AW913" t="s">
        <v>783</v>
      </c>
      <c r="AX913" t="s">
        <v>784</v>
      </c>
      <c r="AY913" t="s">
        <v>1405</v>
      </c>
      <c r="AZ913" t="s">
        <v>82</v>
      </c>
      <c r="BA913" t="s">
        <v>82</v>
      </c>
      <c r="BB913" t="s">
        <v>82</v>
      </c>
      <c r="BC913">
        <v>1.4096186E-2</v>
      </c>
      <c r="BD913">
        <v>1.55088650053763E-3</v>
      </c>
      <c r="BE913">
        <v>1.5647072500537599E-2</v>
      </c>
      <c r="BF913">
        <f>IF(AK913&lt;BE913,1,0)</f>
        <v>0</v>
      </c>
      <c r="BG913">
        <f>IF(AK913&lt;BC913,1,0)</f>
        <v>0</v>
      </c>
    </row>
    <row r="914" spans="1:65" x14ac:dyDescent="0.2">
      <c r="A914">
        <v>1</v>
      </c>
      <c r="B914" t="s">
        <v>1407</v>
      </c>
      <c r="C914">
        <v>567</v>
      </c>
      <c r="D914" t="s">
        <v>68</v>
      </c>
      <c r="E914">
        <v>1</v>
      </c>
      <c r="F914">
        <v>511</v>
      </c>
      <c r="G914" t="s">
        <v>69</v>
      </c>
      <c r="H914" s="1">
        <v>7</v>
      </c>
      <c r="I914" t="s">
        <v>87</v>
      </c>
      <c r="J914" t="s">
        <v>111</v>
      </c>
      <c r="K914" t="s">
        <v>109</v>
      </c>
      <c r="L914">
        <v>1</v>
      </c>
      <c r="M914">
        <v>0</v>
      </c>
      <c r="N914">
        <v>1</v>
      </c>
      <c r="O914">
        <v>0</v>
      </c>
      <c r="P914">
        <v>0</v>
      </c>
      <c r="Q914">
        <v>6</v>
      </c>
      <c r="R914">
        <v>0</v>
      </c>
      <c r="S914">
        <v>0</v>
      </c>
      <c r="T914">
        <v>0</v>
      </c>
      <c r="U914">
        <v>0</v>
      </c>
      <c r="V914">
        <f t="shared" si="403"/>
        <v>0</v>
      </c>
      <c r="W914">
        <f t="shared" si="404"/>
        <v>0</v>
      </c>
      <c r="X914">
        <f t="shared" si="407"/>
        <v>0</v>
      </c>
      <c r="Y914">
        <f t="shared" si="405"/>
        <v>0</v>
      </c>
      <c r="Z914" t="s">
        <v>89</v>
      </c>
      <c r="AA914" s="5" t="s">
        <v>82</v>
      </c>
      <c r="AB914" s="5" t="s">
        <v>82</v>
      </c>
      <c r="AC914" t="s">
        <v>101</v>
      </c>
      <c r="AD914" t="s">
        <v>103</v>
      </c>
      <c r="AE914" s="5" t="s">
        <v>103</v>
      </c>
      <c r="AF914" t="s">
        <v>99</v>
      </c>
      <c r="AG914" t="s">
        <v>167</v>
      </c>
      <c r="AH914">
        <f t="shared" si="411"/>
        <v>9.8405720000000002E-2</v>
      </c>
      <c r="AI914">
        <f t="shared" si="412"/>
        <v>9.8405720000000002E-2</v>
      </c>
      <c r="AJ914">
        <f t="shared" si="406"/>
        <v>9.8405720000000002E-2</v>
      </c>
      <c r="AK914">
        <v>9.8405720000000002E-2</v>
      </c>
      <c r="AL914">
        <v>0.11009934</v>
      </c>
      <c r="AM914">
        <v>0.112216696</v>
      </c>
      <c r="AN914">
        <v>0.14917581999999999</v>
      </c>
      <c r="AO914">
        <v>90.159428000000005</v>
      </c>
      <c r="AP914">
        <v>88.990065999999999</v>
      </c>
      <c r="AQ914">
        <v>88.778330400000002</v>
      </c>
      <c r="AR914">
        <v>85.082418000000004</v>
      </c>
      <c r="AS914" t="s">
        <v>82</v>
      </c>
      <c r="AT914" t="s">
        <v>82</v>
      </c>
      <c r="AU914" t="s">
        <v>77</v>
      </c>
      <c r="AV914" t="s">
        <v>78</v>
      </c>
      <c r="AW914" t="s">
        <v>783</v>
      </c>
      <c r="AX914" t="s">
        <v>784</v>
      </c>
      <c r="AY914" t="s">
        <v>1405</v>
      </c>
      <c r="AZ914" t="s">
        <v>82</v>
      </c>
      <c r="BA914" t="s">
        <v>82</v>
      </c>
      <c r="BB914" t="s">
        <v>82</v>
      </c>
      <c r="BC914">
        <v>1.4096186E-2</v>
      </c>
      <c r="BD914">
        <v>1.55088650053763E-3</v>
      </c>
      <c r="BE914">
        <v>1.5647072500537599E-2</v>
      </c>
      <c r="BF914">
        <f>IF(AK914&lt;BE914,1,0)</f>
        <v>0</v>
      </c>
      <c r="BG914">
        <f>IF(AK914&lt;BC914,1,0)</f>
        <v>0</v>
      </c>
    </row>
    <row r="915" spans="1:65" x14ac:dyDescent="0.2">
      <c r="A915">
        <v>1</v>
      </c>
      <c r="B915" t="s">
        <v>1408</v>
      </c>
      <c r="C915">
        <v>568</v>
      </c>
      <c r="D915" t="s">
        <v>68</v>
      </c>
      <c r="E915">
        <v>1</v>
      </c>
      <c r="F915">
        <v>512</v>
      </c>
      <c r="G915" t="s">
        <v>86</v>
      </c>
      <c r="H915" s="1">
        <v>6</v>
      </c>
      <c r="I915" t="s">
        <v>87</v>
      </c>
      <c r="J915" t="s">
        <v>150</v>
      </c>
      <c r="K915" t="s">
        <v>72</v>
      </c>
      <c r="L915">
        <v>1</v>
      </c>
      <c r="M915">
        <v>0</v>
      </c>
      <c r="N915">
        <v>1</v>
      </c>
      <c r="O915">
        <v>0</v>
      </c>
      <c r="P915">
        <v>0</v>
      </c>
      <c r="Q915">
        <v>6</v>
      </c>
      <c r="R915">
        <v>0</v>
      </c>
      <c r="S915">
        <v>0</v>
      </c>
      <c r="T915">
        <v>0</v>
      </c>
      <c r="U915">
        <v>0</v>
      </c>
      <c r="V915">
        <f t="shared" si="403"/>
        <v>0</v>
      </c>
      <c r="W915">
        <f t="shared" si="404"/>
        <v>0</v>
      </c>
      <c r="X915">
        <f t="shared" si="407"/>
        <v>1</v>
      </c>
      <c r="Y915">
        <v>1</v>
      </c>
      <c r="Z915" t="s">
        <v>91</v>
      </c>
      <c r="AA915" s="5" t="s">
        <v>91</v>
      </c>
      <c r="AB915" s="5" t="s">
        <v>1395</v>
      </c>
      <c r="AC915" t="s">
        <v>287</v>
      </c>
      <c r="AD915" t="s">
        <v>137</v>
      </c>
      <c r="AE915" s="5" t="s">
        <v>305</v>
      </c>
      <c r="AF915" t="s">
        <v>91</v>
      </c>
      <c r="AG915" t="s">
        <v>113</v>
      </c>
      <c r="AH915">
        <f>AI915</f>
        <v>0.12335886</v>
      </c>
      <c r="AI915">
        <f>AM915</f>
        <v>0.12335886</v>
      </c>
      <c r="AJ915">
        <f t="shared" si="406"/>
        <v>4.2053524000000002E-2</v>
      </c>
      <c r="AK915">
        <v>4.2053524000000002E-2</v>
      </c>
      <c r="AL915">
        <v>0.10868377999999999</v>
      </c>
      <c r="AM915">
        <v>0.12335886</v>
      </c>
      <c r="AN915">
        <v>0.12362637</v>
      </c>
      <c r="AO915">
        <v>95.794647600000005</v>
      </c>
      <c r="AP915">
        <v>89.131621999999993</v>
      </c>
      <c r="AQ915">
        <v>87.664113999999998</v>
      </c>
      <c r="AR915">
        <v>87.637362999999993</v>
      </c>
      <c r="AS915" t="b">
        <v>0</v>
      </c>
      <c r="AT915" t="b">
        <v>0</v>
      </c>
      <c r="AU915" t="s">
        <v>77</v>
      </c>
      <c r="AV915" t="s">
        <v>108</v>
      </c>
      <c r="AW915" t="s">
        <v>783</v>
      </c>
      <c r="AX915" t="s">
        <v>1277</v>
      </c>
      <c r="AY915" t="s">
        <v>1396</v>
      </c>
      <c r="AZ915" t="s">
        <v>72</v>
      </c>
      <c r="BA915" t="s">
        <v>82</v>
      </c>
      <c r="BB915">
        <v>0.49</v>
      </c>
      <c r="BC915">
        <v>5.5106750000000003E-2</v>
      </c>
      <c r="BD915">
        <v>2.4361461616194298E-3</v>
      </c>
      <c r="BE915">
        <v>5.7542896161619402E-2</v>
      </c>
      <c r="BF915">
        <f>IF(AK915&lt;BE915,1,0)</f>
        <v>1</v>
      </c>
      <c r="BG915">
        <f>IF(AK915&lt;BC915,1,0)</f>
        <v>1</v>
      </c>
      <c r="BH915">
        <f>VLOOKUP($B915,[1]Data_Peer_with_peerVars!$B$2:$Z$1050,20,FALSE)</f>
        <v>0</v>
      </c>
      <c r="BI915">
        <f>VLOOKUP($B915,[1]Data_Peer_with_peerVars!$B$2:$Z$1050,21,FALSE)</f>
        <v>0</v>
      </c>
      <c r="BJ915">
        <v>0</v>
      </c>
      <c r="BK915">
        <f>VLOOKUP($B915,[1]Data_Peer_with_peerVars!$B$2:$Z$1050,23,FALSE)</f>
        <v>17</v>
      </c>
      <c r="BL915">
        <f>VLOOKUP($B915,[1]Data_Peer_with_peerVars!$B$2:$Z$1050,24,FALSE)</f>
        <v>3</v>
      </c>
      <c r="BM915">
        <f>VLOOKUP($B915,[1]Data_Peer_with_peerVars!$B$2:$Z$1050,25,FALSE)</f>
        <v>0.17647058800000001</v>
      </c>
    </row>
    <row r="916" spans="1:65" x14ac:dyDescent="0.2">
      <c r="A916">
        <v>1</v>
      </c>
      <c r="B916" t="s">
        <v>1409</v>
      </c>
      <c r="C916">
        <v>568</v>
      </c>
      <c r="D916" t="s">
        <v>68</v>
      </c>
      <c r="E916">
        <v>1</v>
      </c>
      <c r="F916">
        <v>512</v>
      </c>
      <c r="G916" t="s">
        <v>86</v>
      </c>
      <c r="H916" s="1">
        <v>6</v>
      </c>
      <c r="I916" t="s">
        <v>87</v>
      </c>
      <c r="J916" t="s">
        <v>150</v>
      </c>
      <c r="K916" t="s">
        <v>72</v>
      </c>
      <c r="L916">
        <v>1</v>
      </c>
      <c r="M916">
        <v>0</v>
      </c>
      <c r="N916">
        <v>1</v>
      </c>
      <c r="O916">
        <v>0</v>
      </c>
      <c r="P916">
        <v>0</v>
      </c>
      <c r="Q916">
        <v>6</v>
      </c>
      <c r="R916">
        <v>0</v>
      </c>
      <c r="S916">
        <v>0</v>
      </c>
      <c r="T916">
        <v>0</v>
      </c>
      <c r="U916">
        <v>0</v>
      </c>
      <c r="V916">
        <f t="shared" si="403"/>
        <v>0</v>
      </c>
      <c r="W916">
        <f t="shared" si="404"/>
        <v>0</v>
      </c>
      <c r="X916">
        <f t="shared" si="407"/>
        <v>0</v>
      </c>
      <c r="Y916">
        <f t="shared" si="405"/>
        <v>0</v>
      </c>
      <c r="Z916" t="s">
        <v>170</v>
      </c>
      <c r="AA916" s="5" t="s">
        <v>170</v>
      </c>
      <c r="AB916" s="5" t="s">
        <v>1399</v>
      </c>
      <c r="AC916" t="s">
        <v>287</v>
      </c>
      <c r="AD916" t="s">
        <v>137</v>
      </c>
      <c r="AE916" s="5" t="s">
        <v>137</v>
      </c>
      <c r="AF916" t="s">
        <v>113</v>
      </c>
      <c r="AG916" t="s">
        <v>167</v>
      </c>
      <c r="AH916">
        <f>AI916</f>
        <v>0.12855517999999999</v>
      </c>
      <c r="AI916">
        <f>AJ916</f>
        <v>0.12855517999999999</v>
      </c>
      <c r="AJ916">
        <f t="shared" si="406"/>
        <v>0.12855517999999999</v>
      </c>
      <c r="AK916">
        <v>0.12855517999999999</v>
      </c>
      <c r="AL916">
        <v>0.15039727</v>
      </c>
      <c r="AM916">
        <v>0.16152968000000001</v>
      </c>
      <c r="AN916">
        <v>0.16609783</v>
      </c>
      <c r="AO916">
        <v>87.144481999999996</v>
      </c>
      <c r="AP916">
        <v>84.960273000000001</v>
      </c>
      <c r="AQ916">
        <v>83.847031999999999</v>
      </c>
      <c r="AR916">
        <v>83.390217000000007</v>
      </c>
      <c r="AS916" t="b">
        <v>0</v>
      </c>
      <c r="AT916" t="b">
        <v>0</v>
      </c>
      <c r="AU916" t="s">
        <v>92</v>
      </c>
      <c r="AV916" t="s">
        <v>92</v>
      </c>
      <c r="AW916" t="s">
        <v>783</v>
      </c>
      <c r="AX916" t="s">
        <v>1277</v>
      </c>
      <c r="AY916" t="s">
        <v>1396</v>
      </c>
      <c r="AZ916" t="s">
        <v>72</v>
      </c>
      <c r="BA916" t="s">
        <v>82</v>
      </c>
      <c r="BB916">
        <v>0.28000000000000003</v>
      </c>
      <c r="BC916">
        <v>5.5106750000000003E-2</v>
      </c>
      <c r="BD916">
        <v>2.4361461616194298E-3</v>
      </c>
      <c r="BE916">
        <v>5.7542896161619402E-2</v>
      </c>
      <c r="BF916">
        <f>IF(AK916&lt;BE916,1,0)</f>
        <v>0</v>
      </c>
      <c r="BG916">
        <f>IF(AK916&lt;BC916,1,0)</f>
        <v>0</v>
      </c>
      <c r="BH916">
        <f>VLOOKUP($B916,[1]Data_Peer_with_peerVars!$B$2:$Z$1050,20,FALSE)</f>
        <v>0</v>
      </c>
      <c r="BI916">
        <f>VLOOKUP($B916,[1]Data_Peer_with_peerVars!$B$2:$Z$1050,21,FALSE)</f>
        <v>0</v>
      </c>
      <c r="BJ916">
        <v>0</v>
      </c>
      <c r="BK916">
        <f>VLOOKUP($B916,[1]Data_Peer_with_peerVars!$B$2:$Z$1050,23,FALSE)</f>
        <v>17</v>
      </c>
      <c r="BL916">
        <f>VLOOKUP($B916,[1]Data_Peer_with_peerVars!$B$2:$Z$1050,24,FALSE)</f>
        <v>3</v>
      </c>
      <c r="BM916">
        <f>VLOOKUP($B916,[1]Data_Peer_with_peerVars!$B$2:$Z$1050,25,FALSE)</f>
        <v>0.17647058800000001</v>
      </c>
    </row>
    <row r="917" spans="1:65" x14ac:dyDescent="0.2">
      <c r="A917">
        <v>1</v>
      </c>
      <c r="B917" t="s">
        <v>1410</v>
      </c>
      <c r="C917">
        <v>568</v>
      </c>
      <c r="D917" t="s">
        <v>68</v>
      </c>
      <c r="E917">
        <v>1</v>
      </c>
      <c r="F917">
        <v>512</v>
      </c>
      <c r="G917" t="s">
        <v>86</v>
      </c>
      <c r="H917" s="1">
        <v>6</v>
      </c>
      <c r="I917" t="s">
        <v>87</v>
      </c>
      <c r="J917" t="s">
        <v>150</v>
      </c>
      <c r="K917" t="s">
        <v>72</v>
      </c>
      <c r="L917">
        <v>1</v>
      </c>
      <c r="M917">
        <v>0</v>
      </c>
      <c r="N917">
        <v>1</v>
      </c>
      <c r="O917">
        <v>0</v>
      </c>
      <c r="P917">
        <v>0</v>
      </c>
      <c r="Q917">
        <v>6</v>
      </c>
      <c r="R917">
        <v>0</v>
      </c>
      <c r="S917">
        <v>0</v>
      </c>
      <c r="T917">
        <v>0</v>
      </c>
      <c r="U917">
        <v>0</v>
      </c>
      <c r="V917">
        <f t="shared" si="403"/>
        <v>1</v>
      </c>
      <c r="W917">
        <v>1</v>
      </c>
      <c r="X917">
        <v>1</v>
      </c>
      <c r="Y917">
        <v>1</v>
      </c>
      <c r="Z917" t="s">
        <v>103</v>
      </c>
      <c r="AA917" s="5" t="s">
        <v>103</v>
      </c>
      <c r="AB917" s="5" t="s">
        <v>103</v>
      </c>
      <c r="AC917" t="s">
        <v>103</v>
      </c>
      <c r="AD917" t="s">
        <v>101</v>
      </c>
      <c r="AE917" s="5" t="s">
        <v>101</v>
      </c>
      <c r="AF917" t="s">
        <v>99</v>
      </c>
      <c r="AG917" t="s">
        <v>137</v>
      </c>
      <c r="AH917">
        <f>AI917</f>
        <v>2.5895316000000002E-2</v>
      </c>
      <c r="AI917">
        <f>AJ917</f>
        <v>2.5895316000000002E-2</v>
      </c>
      <c r="AJ917">
        <f t="shared" si="406"/>
        <v>2.5895316000000002E-2</v>
      </c>
      <c r="AK917">
        <v>2.5895316000000002E-2</v>
      </c>
      <c r="AL917">
        <v>7.5824180000000005E-2</v>
      </c>
      <c r="AM917">
        <v>0.10795141</v>
      </c>
      <c r="AN917">
        <v>0.12957900999999999</v>
      </c>
      <c r="AO917">
        <v>97.410468399999999</v>
      </c>
      <c r="AP917">
        <v>92.417581999999996</v>
      </c>
      <c r="AQ917">
        <v>89.204858999999999</v>
      </c>
      <c r="AR917">
        <v>87.042098999999993</v>
      </c>
      <c r="AS917" t="b">
        <v>1</v>
      </c>
      <c r="AT917" t="b">
        <v>0</v>
      </c>
      <c r="AU917" t="s">
        <v>77</v>
      </c>
      <c r="AV917" t="s">
        <v>77</v>
      </c>
      <c r="AW917" t="s">
        <v>783</v>
      </c>
      <c r="AX917" t="s">
        <v>1277</v>
      </c>
      <c r="AY917" t="s">
        <v>1396</v>
      </c>
      <c r="AZ917" t="s">
        <v>72</v>
      </c>
      <c r="BA917" t="s">
        <v>82</v>
      </c>
      <c r="BB917">
        <v>5.0000000000000001E-4</v>
      </c>
      <c r="BC917">
        <v>1.8406593999999998E-2</v>
      </c>
      <c r="BD917">
        <v>3.30705390234067E-4</v>
      </c>
      <c r="BE917">
        <v>1.8737299390234101E-2</v>
      </c>
      <c r="BF917">
        <f>IF(AK917&lt;BE917,1,0)</f>
        <v>0</v>
      </c>
      <c r="BG917">
        <f>IF(AK917&lt;BC917,1,0)</f>
        <v>0</v>
      </c>
      <c r="BH917">
        <f>VLOOKUP($B917,[1]Data_Peer_with_peerVars!$B$2:$Z$1050,20,FALSE)</f>
        <v>0</v>
      </c>
      <c r="BI917">
        <f>VLOOKUP($B917,[1]Data_Peer_with_peerVars!$B$2:$Z$1050,21,FALSE)</f>
        <v>0</v>
      </c>
      <c r="BJ917">
        <v>0</v>
      </c>
      <c r="BK917">
        <f>VLOOKUP($B917,[1]Data_Peer_with_peerVars!$B$2:$Z$1050,23,FALSE)</f>
        <v>17</v>
      </c>
      <c r="BL917">
        <f>VLOOKUP($B917,[1]Data_Peer_with_peerVars!$B$2:$Z$1050,24,FALSE)</f>
        <v>3</v>
      </c>
      <c r="BM917">
        <f>VLOOKUP($B917,[1]Data_Peer_with_peerVars!$B$2:$Z$1050,25,FALSE)</f>
        <v>0.17647058800000001</v>
      </c>
    </row>
    <row r="918" spans="1:65" x14ac:dyDescent="0.2">
      <c r="A918">
        <v>1</v>
      </c>
      <c r="B918" t="s">
        <v>1411</v>
      </c>
      <c r="C918">
        <v>568</v>
      </c>
      <c r="D918" t="s">
        <v>68</v>
      </c>
      <c r="E918">
        <v>1</v>
      </c>
      <c r="F918">
        <v>512</v>
      </c>
      <c r="G918" t="s">
        <v>86</v>
      </c>
      <c r="H918" s="1">
        <v>6</v>
      </c>
      <c r="I918" t="s">
        <v>87</v>
      </c>
      <c r="J918" t="s">
        <v>150</v>
      </c>
      <c r="K918" t="s">
        <v>72</v>
      </c>
      <c r="L918">
        <v>1</v>
      </c>
      <c r="M918">
        <v>0</v>
      </c>
      <c r="N918">
        <v>1</v>
      </c>
      <c r="O918">
        <v>0</v>
      </c>
      <c r="P918">
        <v>0</v>
      </c>
      <c r="Q918">
        <v>6</v>
      </c>
      <c r="R918">
        <v>0</v>
      </c>
      <c r="S918">
        <v>0</v>
      </c>
      <c r="T918">
        <v>0</v>
      </c>
      <c r="U918">
        <v>0</v>
      </c>
      <c r="V918">
        <f t="shared" si="403"/>
        <v>0</v>
      </c>
      <c r="W918">
        <f t="shared" si="404"/>
        <v>0</v>
      </c>
      <c r="X918">
        <f t="shared" si="407"/>
        <v>0</v>
      </c>
      <c r="Y918">
        <f t="shared" si="405"/>
        <v>0</v>
      </c>
      <c r="Z918" t="s">
        <v>89</v>
      </c>
      <c r="AA918" s="5" t="s">
        <v>89</v>
      </c>
      <c r="AB918" s="5" t="s">
        <v>577</v>
      </c>
      <c r="AC918" t="s">
        <v>91</v>
      </c>
      <c r="AD918" t="s">
        <v>287</v>
      </c>
      <c r="AE918" s="5" t="s">
        <v>287</v>
      </c>
      <c r="AF918" t="s">
        <v>137</v>
      </c>
      <c r="AG918" t="s">
        <v>113</v>
      </c>
      <c r="AH918">
        <f t="shared" ref="AH918:AH920" si="413">AI918</f>
        <v>5.7408420000000002E-2</v>
      </c>
      <c r="AI918">
        <f t="shared" ref="AI918:AI921" si="414">AJ918</f>
        <v>5.7408420000000002E-2</v>
      </c>
      <c r="AJ918">
        <f t="shared" si="406"/>
        <v>5.7408420000000002E-2</v>
      </c>
      <c r="AK918">
        <v>5.7408420000000002E-2</v>
      </c>
      <c r="AL918">
        <v>0.11435589</v>
      </c>
      <c r="AM918">
        <v>0.12636463000000001</v>
      </c>
      <c r="AN918">
        <v>0.12767709999999999</v>
      </c>
      <c r="AO918">
        <v>94.259157999999999</v>
      </c>
      <c r="AP918">
        <v>88.564411000000007</v>
      </c>
      <c r="AQ918">
        <v>87.363536999999994</v>
      </c>
      <c r="AR918">
        <v>87.232290000000006</v>
      </c>
      <c r="AS918" t="b">
        <v>0</v>
      </c>
      <c r="AT918" t="b">
        <v>0</v>
      </c>
      <c r="AU918" t="s">
        <v>92</v>
      </c>
      <c r="AV918" t="s">
        <v>92</v>
      </c>
      <c r="AW918" t="s">
        <v>783</v>
      </c>
      <c r="AX918" t="s">
        <v>1277</v>
      </c>
      <c r="AY918" t="s">
        <v>1396</v>
      </c>
      <c r="AZ918" t="s">
        <v>72</v>
      </c>
      <c r="BA918" t="s">
        <v>82</v>
      </c>
      <c r="BB918">
        <v>5.9999999999999897E-4</v>
      </c>
      <c r="BC918">
        <v>9.0659339999999995E-3</v>
      </c>
      <c r="BD918">
        <v>2.76583658862385E-3</v>
      </c>
      <c r="BE918">
        <v>1.1831770588623799E-2</v>
      </c>
      <c r="BF918">
        <f>IF(AK918&lt;BE918,1,0)</f>
        <v>0</v>
      </c>
      <c r="BG918">
        <f>IF(AK918&lt;BC918,1,0)</f>
        <v>0</v>
      </c>
      <c r="BH918">
        <f>VLOOKUP($B918,[1]Data_Peer_with_peerVars!$B$2:$Z$1050,20,FALSE)</f>
        <v>0</v>
      </c>
      <c r="BI918">
        <f>VLOOKUP($B918,[1]Data_Peer_with_peerVars!$B$2:$Z$1050,21,FALSE)</f>
        <v>0</v>
      </c>
      <c r="BJ918">
        <v>0</v>
      </c>
      <c r="BK918">
        <f>VLOOKUP($B918,[1]Data_Peer_with_peerVars!$B$2:$Z$1050,23,FALSE)</f>
        <v>17</v>
      </c>
      <c r="BL918">
        <f>VLOOKUP($B918,[1]Data_Peer_with_peerVars!$B$2:$Z$1050,24,FALSE)</f>
        <v>3</v>
      </c>
      <c r="BM918">
        <f>VLOOKUP($B918,[1]Data_Peer_with_peerVars!$B$2:$Z$1050,25,FALSE)</f>
        <v>0.17647058800000001</v>
      </c>
    </row>
    <row r="919" spans="1:65" x14ac:dyDescent="0.2">
      <c r="A919">
        <v>1</v>
      </c>
      <c r="B919" t="s">
        <v>1412</v>
      </c>
      <c r="C919">
        <v>568</v>
      </c>
      <c r="D919" t="s">
        <v>68</v>
      </c>
      <c r="E919">
        <v>1</v>
      </c>
      <c r="F919">
        <v>512</v>
      </c>
      <c r="G919" t="s">
        <v>86</v>
      </c>
      <c r="H919" s="1">
        <v>6</v>
      </c>
      <c r="I919" t="s">
        <v>87</v>
      </c>
      <c r="J919" t="s">
        <v>150</v>
      </c>
      <c r="K919" t="s">
        <v>72</v>
      </c>
      <c r="L919">
        <v>1</v>
      </c>
      <c r="M919">
        <v>0</v>
      </c>
      <c r="N919">
        <v>1</v>
      </c>
      <c r="O919">
        <v>0</v>
      </c>
      <c r="P919">
        <v>0</v>
      </c>
      <c r="Q919">
        <v>6</v>
      </c>
      <c r="R919">
        <v>1</v>
      </c>
      <c r="S919">
        <v>1</v>
      </c>
      <c r="T919">
        <v>1</v>
      </c>
      <c r="U919">
        <v>1</v>
      </c>
      <c r="V919">
        <f t="shared" si="403"/>
        <v>0</v>
      </c>
      <c r="W919">
        <f t="shared" si="404"/>
        <v>0</v>
      </c>
      <c r="X919">
        <f t="shared" si="407"/>
        <v>0</v>
      </c>
      <c r="Y919">
        <f t="shared" si="405"/>
        <v>0</v>
      </c>
      <c r="Z919" t="s">
        <v>177</v>
      </c>
      <c r="AA919" s="5" t="s">
        <v>177</v>
      </c>
      <c r="AB919" s="5" t="s">
        <v>1413</v>
      </c>
      <c r="AC919" t="s">
        <v>107</v>
      </c>
      <c r="AD919" t="s">
        <v>95</v>
      </c>
      <c r="AE919" s="5" t="s">
        <v>95</v>
      </c>
      <c r="AF919" t="s">
        <v>173</v>
      </c>
      <c r="AG919" t="s">
        <v>174</v>
      </c>
      <c r="AH919">
        <f t="shared" si="413"/>
        <v>9.0361439999999994E-3</v>
      </c>
      <c r="AI919">
        <f t="shared" si="414"/>
        <v>9.0361439999999994E-3</v>
      </c>
      <c r="AJ919">
        <f t="shared" si="406"/>
        <v>9.0361439999999994E-3</v>
      </c>
      <c r="AK919">
        <v>9.0361439999999994E-3</v>
      </c>
      <c r="AL919">
        <v>7.6122670000000003E-2</v>
      </c>
      <c r="AM919">
        <v>9.267359E-2</v>
      </c>
      <c r="AN919">
        <v>9.6111719999999998E-2</v>
      </c>
      <c r="AO919">
        <v>99.096385600000005</v>
      </c>
      <c r="AP919">
        <v>92.387732999999997</v>
      </c>
      <c r="AQ919">
        <v>90.732641000000001</v>
      </c>
      <c r="AR919">
        <v>90.388828000000004</v>
      </c>
      <c r="AS919" t="b">
        <v>0</v>
      </c>
      <c r="AT919" t="b">
        <v>0</v>
      </c>
      <c r="AU919" t="s">
        <v>92</v>
      </c>
      <c r="AV919" t="s">
        <v>92</v>
      </c>
      <c r="AW919" t="s">
        <v>783</v>
      </c>
      <c r="AX919" t="s">
        <v>1277</v>
      </c>
      <c r="AY919" t="s">
        <v>1396</v>
      </c>
      <c r="AZ919" t="s">
        <v>109</v>
      </c>
      <c r="BA919">
        <v>3</v>
      </c>
      <c r="BB919">
        <v>7.0000000000000007E-2</v>
      </c>
      <c r="BC919">
        <v>2.6475456000000001E-2</v>
      </c>
      <c r="BD919">
        <v>8.8330364056477401E-3</v>
      </c>
      <c r="BE919">
        <v>3.53084924056477E-2</v>
      </c>
      <c r="BF919">
        <f>IF(AK919&lt;BE919,1,0)</f>
        <v>1</v>
      </c>
      <c r="BG919">
        <f>IF(AK919&lt;BC919,1,0)</f>
        <v>1</v>
      </c>
      <c r="BH919">
        <f>VLOOKUP($B919,[1]Data_Peer_with_peerVars!$B$2:$Z$1050,20,FALSE)</f>
        <v>0</v>
      </c>
      <c r="BI919">
        <f>VLOOKUP($B919,[1]Data_Peer_with_peerVars!$B$2:$Z$1050,21,FALSE)</f>
        <v>0</v>
      </c>
      <c r="BJ919">
        <v>0</v>
      </c>
      <c r="BK919">
        <f>VLOOKUP($B919,[1]Data_Peer_with_peerVars!$B$2:$Z$1050,23,FALSE)</f>
        <v>17</v>
      </c>
      <c r="BL919">
        <f>VLOOKUP($B919,[1]Data_Peer_with_peerVars!$B$2:$Z$1050,24,FALSE)</f>
        <v>3</v>
      </c>
      <c r="BM919">
        <f>VLOOKUP($B919,[1]Data_Peer_with_peerVars!$B$2:$Z$1050,25,FALSE)</f>
        <v>0.17647058800000001</v>
      </c>
    </row>
    <row r="920" spans="1:65" x14ac:dyDescent="0.2">
      <c r="A920">
        <v>1</v>
      </c>
      <c r="B920" t="s">
        <v>1414</v>
      </c>
      <c r="C920">
        <v>568</v>
      </c>
      <c r="D920" t="s">
        <v>68</v>
      </c>
      <c r="E920">
        <v>1</v>
      </c>
      <c r="F920">
        <v>512</v>
      </c>
      <c r="G920" t="s">
        <v>86</v>
      </c>
      <c r="H920" s="1">
        <v>6</v>
      </c>
      <c r="I920" t="s">
        <v>87</v>
      </c>
      <c r="J920" t="s">
        <v>150</v>
      </c>
      <c r="K920" t="s">
        <v>72</v>
      </c>
      <c r="L920">
        <v>1</v>
      </c>
      <c r="M920">
        <v>0</v>
      </c>
      <c r="N920">
        <v>1</v>
      </c>
      <c r="O920">
        <v>0</v>
      </c>
      <c r="P920">
        <v>0</v>
      </c>
      <c r="Q920">
        <v>6</v>
      </c>
      <c r="R920">
        <v>0</v>
      </c>
      <c r="S920">
        <v>0</v>
      </c>
      <c r="T920">
        <v>0</v>
      </c>
      <c r="U920">
        <v>0</v>
      </c>
      <c r="V920">
        <f t="shared" si="403"/>
        <v>0</v>
      </c>
      <c r="W920">
        <f t="shared" si="404"/>
        <v>0</v>
      </c>
      <c r="X920">
        <f t="shared" si="407"/>
        <v>0</v>
      </c>
      <c r="Y920">
        <f t="shared" si="405"/>
        <v>0</v>
      </c>
      <c r="Z920" t="s">
        <v>177</v>
      </c>
      <c r="AA920" s="5" t="s">
        <v>177</v>
      </c>
      <c r="AB920" s="5" t="s">
        <v>1415</v>
      </c>
      <c r="AC920" t="s">
        <v>74</v>
      </c>
      <c r="AD920" t="s">
        <v>76</v>
      </c>
      <c r="AE920" s="5" t="s">
        <v>76</v>
      </c>
      <c r="AF920" t="s">
        <v>75</v>
      </c>
      <c r="AG920" t="s">
        <v>120</v>
      </c>
      <c r="AH920">
        <f t="shared" si="413"/>
        <v>6.0821917000000003E-2</v>
      </c>
      <c r="AI920">
        <f t="shared" si="414"/>
        <v>6.0821917000000003E-2</v>
      </c>
      <c r="AJ920">
        <f t="shared" si="406"/>
        <v>6.0821917000000003E-2</v>
      </c>
      <c r="AK920">
        <v>6.0821917000000003E-2</v>
      </c>
      <c r="AL920">
        <v>7.0453299999999996E-2</v>
      </c>
      <c r="AM920">
        <v>0.1047593</v>
      </c>
      <c r="AN920">
        <v>0.10868377999999999</v>
      </c>
      <c r="AO920">
        <v>93.917808300000004</v>
      </c>
      <c r="AP920">
        <v>92.954669999999993</v>
      </c>
      <c r="AQ920">
        <v>89.524069999999995</v>
      </c>
      <c r="AR920">
        <v>89.131621999999993</v>
      </c>
      <c r="AS920" t="b">
        <v>0</v>
      </c>
      <c r="AT920" t="b">
        <v>0</v>
      </c>
      <c r="AU920" t="s">
        <v>92</v>
      </c>
      <c r="AV920" t="s">
        <v>92</v>
      </c>
      <c r="AW920" t="s">
        <v>783</v>
      </c>
      <c r="AX920" t="s">
        <v>1277</v>
      </c>
      <c r="AY920" t="s">
        <v>1396</v>
      </c>
      <c r="AZ920" t="s">
        <v>109</v>
      </c>
      <c r="BA920">
        <v>3</v>
      </c>
      <c r="BB920">
        <v>0.28000000000000003</v>
      </c>
      <c r="BC920">
        <v>2.4738868000000001E-3</v>
      </c>
      <c r="BD920">
        <v>1.4256942275279999E-4</v>
      </c>
      <c r="BE920">
        <v>2.6164562227527998E-3</v>
      </c>
      <c r="BF920">
        <f>IF(AK920&lt;BE920,1,0)</f>
        <v>0</v>
      </c>
      <c r="BG920">
        <f>IF(AK920&lt;BC920,1,0)</f>
        <v>0</v>
      </c>
      <c r="BH920">
        <f>VLOOKUP($B920,[1]Data_Peer_with_peerVars!$B$2:$Z$1050,20,FALSE)</f>
        <v>0</v>
      </c>
      <c r="BI920">
        <f>VLOOKUP($B920,[1]Data_Peer_with_peerVars!$B$2:$Z$1050,21,FALSE)</f>
        <v>0</v>
      </c>
      <c r="BJ920">
        <v>0</v>
      </c>
      <c r="BK920">
        <f>VLOOKUP($B920,[1]Data_Peer_with_peerVars!$B$2:$Z$1050,23,FALSE)</f>
        <v>17</v>
      </c>
      <c r="BL920">
        <f>VLOOKUP($B920,[1]Data_Peer_with_peerVars!$B$2:$Z$1050,24,FALSE)</f>
        <v>3</v>
      </c>
      <c r="BM920">
        <f>VLOOKUP($B920,[1]Data_Peer_with_peerVars!$B$2:$Z$1050,25,FALSE)</f>
        <v>0.17647058800000001</v>
      </c>
    </row>
    <row r="921" spans="1:65" x14ac:dyDescent="0.2">
      <c r="A921">
        <v>1</v>
      </c>
      <c r="B921" t="s">
        <v>1416</v>
      </c>
      <c r="C921">
        <v>569</v>
      </c>
      <c r="D921" t="s">
        <v>68</v>
      </c>
      <c r="E921">
        <v>1</v>
      </c>
      <c r="F921">
        <v>513</v>
      </c>
      <c r="G921" t="s">
        <v>86</v>
      </c>
      <c r="H921" s="1">
        <v>7</v>
      </c>
      <c r="I921" t="s">
        <v>87</v>
      </c>
      <c r="J921" t="s">
        <v>111</v>
      </c>
      <c r="K921" t="s">
        <v>72</v>
      </c>
      <c r="L921">
        <v>1</v>
      </c>
      <c r="M921">
        <v>0</v>
      </c>
      <c r="N921">
        <v>1</v>
      </c>
      <c r="O921">
        <v>1</v>
      </c>
      <c r="P921">
        <v>0</v>
      </c>
      <c r="Q921">
        <v>4</v>
      </c>
      <c r="R921">
        <v>0</v>
      </c>
      <c r="S921">
        <v>0</v>
      </c>
      <c r="T921">
        <v>0</v>
      </c>
      <c r="U921">
        <v>0</v>
      </c>
      <c r="V921">
        <f t="shared" si="403"/>
        <v>0</v>
      </c>
      <c r="W921">
        <f t="shared" si="404"/>
        <v>0</v>
      </c>
      <c r="X921">
        <f t="shared" si="407"/>
        <v>0</v>
      </c>
      <c r="Y921">
        <f t="shared" si="405"/>
        <v>1</v>
      </c>
      <c r="Z921" t="s">
        <v>91</v>
      </c>
      <c r="AA921" s="5" t="s">
        <v>91</v>
      </c>
      <c r="AB921" s="5" t="s">
        <v>1395</v>
      </c>
      <c r="AC921" t="s">
        <v>287</v>
      </c>
      <c r="AD921" t="s">
        <v>137</v>
      </c>
      <c r="AE921" s="5" t="s">
        <v>137</v>
      </c>
      <c r="AF921" t="s">
        <v>113</v>
      </c>
      <c r="AG921" t="s">
        <v>91</v>
      </c>
      <c r="AH921">
        <f>AN921</f>
        <v>0.12691467000000001</v>
      </c>
      <c r="AI921">
        <f t="shared" si="414"/>
        <v>5.2157290000000002E-2</v>
      </c>
      <c r="AJ921">
        <f t="shared" si="406"/>
        <v>5.2157290000000002E-2</v>
      </c>
      <c r="AK921">
        <v>5.2157290000000002E-2</v>
      </c>
      <c r="AL921">
        <v>0.10158383</v>
      </c>
      <c r="AM921">
        <v>0.12252747</v>
      </c>
      <c r="AN921">
        <v>0.12691467000000001</v>
      </c>
      <c r="AO921">
        <v>94.784271000000004</v>
      </c>
      <c r="AP921">
        <v>89.841616999999999</v>
      </c>
      <c r="AQ921">
        <v>87.747253000000001</v>
      </c>
      <c r="AR921">
        <v>87.308532999999997</v>
      </c>
      <c r="AS921" t="b">
        <v>0</v>
      </c>
      <c r="AT921" t="b">
        <v>0</v>
      </c>
      <c r="AU921" t="s">
        <v>77</v>
      </c>
      <c r="AV921" t="s">
        <v>78</v>
      </c>
      <c r="AW921" t="s">
        <v>783</v>
      </c>
      <c r="AX921" t="s">
        <v>784</v>
      </c>
      <c r="AY921" t="s">
        <v>1396</v>
      </c>
      <c r="AZ921" t="s">
        <v>72</v>
      </c>
      <c r="BA921" t="s">
        <v>82</v>
      </c>
      <c r="BB921">
        <v>0.49</v>
      </c>
      <c r="BC921">
        <v>5.5106750000000003E-2</v>
      </c>
      <c r="BD921">
        <v>2.4361461616194298E-3</v>
      </c>
      <c r="BE921">
        <v>5.7542896161619402E-2</v>
      </c>
      <c r="BF921">
        <f>IF(AK921&lt;BE921,1,0)</f>
        <v>1</v>
      </c>
      <c r="BG921">
        <f>IF(AK921&lt;BC921,1,0)</f>
        <v>1</v>
      </c>
      <c r="BH921">
        <f>VLOOKUP($B921,[1]Data_Peer_with_peerVars!$B$2:$Z$1050,20,FALSE)</f>
        <v>5</v>
      </c>
      <c r="BI921">
        <f>VLOOKUP($B921,[1]Data_Peer_with_peerVars!$B$2:$Z$1050,21,FALSE)</f>
        <v>2</v>
      </c>
      <c r="BJ921">
        <f>VLOOKUP($B921,[1]Data_Peer_with_peerVars!$B$2:$Z$1050,22,FALSE)</f>
        <v>0.4</v>
      </c>
      <c r="BK921">
        <f>VLOOKUP($B921,[1]Data_Peer_with_peerVars!$B$2:$Z$1050,23,FALSE)</f>
        <v>21</v>
      </c>
      <c r="BL921">
        <f>VLOOKUP($B921,[1]Data_Peer_with_peerVars!$B$2:$Z$1050,24,FALSE)</f>
        <v>4</v>
      </c>
      <c r="BM921">
        <f>VLOOKUP($B921,[1]Data_Peer_with_peerVars!$B$2:$Z$1050,25,FALSE)</f>
        <v>0.19047618999999999</v>
      </c>
    </row>
    <row r="922" spans="1:65" x14ac:dyDescent="0.2">
      <c r="A922">
        <v>1</v>
      </c>
      <c r="B922" t="s">
        <v>1417</v>
      </c>
      <c r="C922">
        <v>570</v>
      </c>
      <c r="D922" t="s">
        <v>68</v>
      </c>
      <c r="E922">
        <v>1</v>
      </c>
      <c r="F922">
        <v>816</v>
      </c>
      <c r="G922" t="s">
        <v>69</v>
      </c>
      <c r="H922" s="1">
        <v>7</v>
      </c>
      <c r="I922" t="s">
        <v>70</v>
      </c>
      <c r="J922" t="s">
        <v>301</v>
      </c>
      <c r="K922" t="s">
        <v>72</v>
      </c>
      <c r="L922">
        <v>1</v>
      </c>
      <c r="M922">
        <v>0</v>
      </c>
      <c r="N922">
        <v>0</v>
      </c>
      <c r="O922">
        <v>0</v>
      </c>
      <c r="P922">
        <v>0</v>
      </c>
      <c r="Q922">
        <v>6</v>
      </c>
      <c r="R922">
        <v>0</v>
      </c>
      <c r="S922">
        <v>0</v>
      </c>
      <c r="T922">
        <v>1</v>
      </c>
      <c r="U922">
        <v>1</v>
      </c>
      <c r="V922">
        <f t="shared" si="403"/>
        <v>1</v>
      </c>
      <c r="W922">
        <v>1</v>
      </c>
      <c r="X922">
        <v>1</v>
      </c>
      <c r="Y922">
        <v>1</v>
      </c>
      <c r="Z922" t="s">
        <v>73</v>
      </c>
      <c r="AA922" s="5" t="s">
        <v>73</v>
      </c>
      <c r="AB922" s="5" t="s">
        <v>73</v>
      </c>
      <c r="AC922" t="s">
        <v>73</v>
      </c>
      <c r="AD922" t="s">
        <v>94</v>
      </c>
      <c r="AE922" s="5" t="s">
        <v>106</v>
      </c>
      <c r="AF922" t="s">
        <v>107</v>
      </c>
      <c r="AG922" t="s">
        <v>95</v>
      </c>
      <c r="AH922">
        <f>AI922</f>
        <v>3.8209606000000002E-3</v>
      </c>
      <c r="AI922">
        <f>AJ922</f>
        <v>3.8209606000000002E-3</v>
      </c>
      <c r="AJ922">
        <f t="shared" si="406"/>
        <v>3.8209606000000002E-3</v>
      </c>
      <c r="AK922">
        <v>3.8209606000000002E-3</v>
      </c>
      <c r="AL922">
        <v>0.13183807</v>
      </c>
      <c r="AM922">
        <v>0.13466813</v>
      </c>
      <c r="AN922">
        <v>0.13765736000000001</v>
      </c>
      <c r="AO922">
        <v>99.617903940000005</v>
      </c>
      <c r="AP922">
        <v>86.816192999999998</v>
      </c>
      <c r="AQ922">
        <v>86.533186999999998</v>
      </c>
      <c r="AR922">
        <v>86.234263999999996</v>
      </c>
      <c r="AS922" t="b">
        <v>1</v>
      </c>
      <c r="AT922" t="b">
        <v>0</v>
      </c>
      <c r="AU922" t="s">
        <v>77</v>
      </c>
      <c r="AV922" t="s">
        <v>108</v>
      </c>
      <c r="AW922" t="s">
        <v>783</v>
      </c>
      <c r="AX922" t="s">
        <v>784</v>
      </c>
      <c r="AY922" t="s">
        <v>1405</v>
      </c>
      <c r="AZ922" t="s">
        <v>72</v>
      </c>
      <c r="BA922" t="s">
        <v>82</v>
      </c>
      <c r="BB922">
        <v>1</v>
      </c>
      <c r="BC922">
        <v>4.1163553999999996E-3</v>
      </c>
      <c r="BD922">
        <v>1.4279989108178799E-4</v>
      </c>
      <c r="BE922">
        <v>4.2591552910817903E-3</v>
      </c>
      <c r="BF922">
        <f>IF(AK922&lt;BE922,1,0)</f>
        <v>1</v>
      </c>
      <c r="BG922">
        <f>IF(AK922&lt;BC922,1,0)</f>
        <v>1</v>
      </c>
      <c r="BH922">
        <f>VLOOKUP($B922,[1]Data_Peer_with_peerVars!$B$2:$Z$1050,20,FALSE)</f>
        <v>4</v>
      </c>
      <c r="BI922">
        <f>VLOOKUP($B922,[1]Data_Peer_with_peerVars!$B$2:$Z$1050,21,FALSE)</f>
        <v>1</v>
      </c>
      <c r="BJ922">
        <f>VLOOKUP($B922,[1]Data_Peer_with_peerVars!$B$2:$Z$1050,22,FALSE)</f>
        <v>0.25</v>
      </c>
      <c r="BK922">
        <f>VLOOKUP($B922,[1]Data_Peer_with_peerVars!$B$2:$Z$1050,23,FALSE)</f>
        <v>21</v>
      </c>
      <c r="BL922">
        <f>VLOOKUP($B922,[1]Data_Peer_with_peerVars!$B$2:$Z$1050,24,FALSE)</f>
        <v>3</v>
      </c>
      <c r="BM922">
        <f>VLOOKUP($B922,[1]Data_Peer_with_peerVars!$B$2:$Z$1050,25,FALSE)</f>
        <v>0.14285714299999999</v>
      </c>
    </row>
    <row r="923" spans="1:65" x14ac:dyDescent="0.2">
      <c r="A923">
        <v>1</v>
      </c>
      <c r="B923" t="s">
        <v>1418</v>
      </c>
      <c r="C923">
        <v>571</v>
      </c>
      <c r="D923" t="s">
        <v>68</v>
      </c>
      <c r="E923">
        <v>1</v>
      </c>
      <c r="F923">
        <v>501</v>
      </c>
      <c r="G923" t="s">
        <v>69</v>
      </c>
      <c r="H923" s="1">
        <v>7</v>
      </c>
      <c r="I923" t="s">
        <v>87</v>
      </c>
      <c r="J923" t="s">
        <v>88</v>
      </c>
      <c r="K923" t="s">
        <v>72</v>
      </c>
      <c r="L923">
        <v>1</v>
      </c>
      <c r="M923">
        <v>1</v>
      </c>
      <c r="N923">
        <v>0</v>
      </c>
      <c r="O923">
        <v>0</v>
      </c>
      <c r="P923">
        <v>1</v>
      </c>
      <c r="Q923">
        <v>6</v>
      </c>
      <c r="R923">
        <v>0</v>
      </c>
      <c r="S923">
        <v>0</v>
      </c>
      <c r="T923">
        <v>0</v>
      </c>
      <c r="U923">
        <v>0</v>
      </c>
      <c r="V923">
        <f t="shared" si="403"/>
        <v>0</v>
      </c>
      <c r="W923">
        <f t="shared" si="404"/>
        <v>0</v>
      </c>
      <c r="X923">
        <f t="shared" si="407"/>
        <v>0</v>
      </c>
      <c r="Y923">
        <f t="shared" si="405"/>
        <v>0</v>
      </c>
      <c r="Z923" t="s">
        <v>89</v>
      </c>
      <c r="AA923" s="5" t="s">
        <v>89</v>
      </c>
      <c r="AB923" s="5" t="s">
        <v>577</v>
      </c>
      <c r="AC923" t="s">
        <v>73</v>
      </c>
      <c r="AD923" t="s">
        <v>75</v>
      </c>
      <c r="AE923" s="5" t="s">
        <v>75</v>
      </c>
      <c r="AF923" t="s">
        <v>74</v>
      </c>
      <c r="AG923" t="s">
        <v>120</v>
      </c>
      <c r="AH923">
        <f t="shared" ref="AH923:AH924" si="415">AI923</f>
        <v>7.5518000000000002E-2</v>
      </c>
      <c r="AI923">
        <f t="shared" ref="AI923:AI924" si="416">AJ923</f>
        <v>7.5518000000000002E-2</v>
      </c>
      <c r="AJ923">
        <f t="shared" si="406"/>
        <v>7.5518000000000002E-2</v>
      </c>
      <c r="AK923">
        <v>7.5518000000000002E-2</v>
      </c>
      <c r="AL923">
        <v>8.6706779999999997E-2</v>
      </c>
      <c r="AM923">
        <v>0.12328767</v>
      </c>
      <c r="AN923">
        <v>0.12479519</v>
      </c>
      <c r="AO923">
        <v>92.4482</v>
      </c>
      <c r="AP923">
        <v>91.329322000000005</v>
      </c>
      <c r="AQ923">
        <v>87.671233000000001</v>
      </c>
      <c r="AR923">
        <v>87.520481000000004</v>
      </c>
      <c r="AS923" t="b">
        <v>0</v>
      </c>
      <c r="AT923" t="b">
        <v>0</v>
      </c>
      <c r="AU923" t="s">
        <v>92</v>
      </c>
      <c r="AV923" t="s">
        <v>92</v>
      </c>
      <c r="AW923" t="s">
        <v>783</v>
      </c>
      <c r="AX923" t="s">
        <v>1277</v>
      </c>
      <c r="AY923" t="s">
        <v>1419</v>
      </c>
      <c r="AZ923" t="s">
        <v>72</v>
      </c>
      <c r="BA923" t="s">
        <v>82</v>
      </c>
      <c r="BB923">
        <v>1.5</v>
      </c>
      <c r="BC923">
        <v>4.1163553999999996E-3</v>
      </c>
      <c r="BD923">
        <v>1.4279989108178799E-4</v>
      </c>
      <c r="BE923">
        <v>4.2591552910817903E-3</v>
      </c>
      <c r="BF923">
        <f>IF(AK923&lt;BE923,1,0)</f>
        <v>0</v>
      </c>
      <c r="BG923">
        <f>IF(AK923&lt;BC923,1,0)</f>
        <v>0</v>
      </c>
      <c r="BH923">
        <f>VLOOKUP($B923,[1]Data_Peer_with_peerVars!$B$2:$Z$1050,20,FALSE)</f>
        <v>2</v>
      </c>
      <c r="BI923">
        <f>VLOOKUP($B923,[1]Data_Peer_with_peerVars!$B$2:$Z$1050,21,FALSE)</f>
        <v>1</v>
      </c>
      <c r="BJ923">
        <f>VLOOKUP($B923,[1]Data_Peer_with_peerVars!$B$2:$Z$1050,22,FALSE)</f>
        <v>0.5</v>
      </c>
      <c r="BK923">
        <f>VLOOKUP($B923,[1]Data_Peer_with_peerVars!$B$2:$Z$1050,23,FALSE)</f>
        <v>83</v>
      </c>
      <c r="BL923">
        <f>VLOOKUP($B923,[1]Data_Peer_with_peerVars!$B$2:$Z$1050,24,FALSE)</f>
        <v>38</v>
      </c>
      <c r="BM923">
        <f>VLOOKUP($B923,[1]Data_Peer_with_peerVars!$B$2:$Z$1050,25,FALSE)</f>
        <v>0.45783132500000001</v>
      </c>
    </row>
    <row r="924" spans="1:65" x14ac:dyDescent="0.2">
      <c r="A924">
        <v>1</v>
      </c>
      <c r="B924" t="s">
        <v>1420</v>
      </c>
      <c r="C924">
        <v>572</v>
      </c>
      <c r="D924" t="s">
        <v>68</v>
      </c>
      <c r="E924">
        <v>1</v>
      </c>
      <c r="F924">
        <v>688</v>
      </c>
      <c r="G924" t="s">
        <v>86</v>
      </c>
      <c r="H924" s="1">
        <v>7</v>
      </c>
      <c r="I924" t="s">
        <v>87</v>
      </c>
      <c r="J924" t="s">
        <v>111</v>
      </c>
      <c r="K924" t="s">
        <v>109</v>
      </c>
      <c r="L924">
        <v>1</v>
      </c>
      <c r="M924">
        <v>0</v>
      </c>
      <c r="N924">
        <v>1</v>
      </c>
      <c r="O924">
        <v>0</v>
      </c>
      <c r="P924">
        <v>0</v>
      </c>
      <c r="Q924">
        <v>3</v>
      </c>
      <c r="R924">
        <v>0</v>
      </c>
      <c r="S924">
        <v>0</v>
      </c>
      <c r="T924">
        <v>0</v>
      </c>
      <c r="U924">
        <v>0</v>
      </c>
      <c r="V924">
        <f t="shared" si="403"/>
        <v>0</v>
      </c>
      <c r="W924">
        <f t="shared" si="404"/>
        <v>0</v>
      </c>
      <c r="X924">
        <f t="shared" si="407"/>
        <v>0</v>
      </c>
      <c r="Y924">
        <f t="shared" si="405"/>
        <v>0</v>
      </c>
      <c r="Z924" t="s">
        <v>170</v>
      </c>
      <c r="AA924" s="5" t="s">
        <v>170</v>
      </c>
      <c r="AB924" s="5" t="s">
        <v>1287</v>
      </c>
      <c r="AC924" t="s">
        <v>94</v>
      </c>
      <c r="AD924" t="s">
        <v>75</v>
      </c>
      <c r="AE924" s="5" t="s">
        <v>75</v>
      </c>
      <c r="AF924" t="s">
        <v>120</v>
      </c>
      <c r="AG924" t="s">
        <v>74</v>
      </c>
      <c r="AH924">
        <f t="shared" si="415"/>
        <v>0.1038819</v>
      </c>
      <c r="AI924">
        <f t="shared" si="416"/>
        <v>0.1038819</v>
      </c>
      <c r="AJ924">
        <f t="shared" si="406"/>
        <v>0.1038819</v>
      </c>
      <c r="AK924">
        <v>0.1038819</v>
      </c>
      <c r="AL924">
        <v>0.116502196</v>
      </c>
      <c r="AM924">
        <v>0.1302682</v>
      </c>
      <c r="AN924">
        <v>0.13309550000000001</v>
      </c>
      <c r="AO924">
        <v>89.611810000000006</v>
      </c>
      <c r="AP924">
        <v>88.3497804</v>
      </c>
      <c r="AQ924">
        <v>86.973179999999999</v>
      </c>
      <c r="AR924">
        <v>86.690449999999998</v>
      </c>
      <c r="AS924" t="b">
        <v>0</v>
      </c>
      <c r="AT924" t="b">
        <v>0</v>
      </c>
      <c r="AU924" t="s">
        <v>92</v>
      </c>
      <c r="AV924" t="s">
        <v>92</v>
      </c>
      <c r="AW924" t="s">
        <v>783</v>
      </c>
      <c r="AX924" t="s">
        <v>1298</v>
      </c>
      <c r="AY924" t="s">
        <v>1421</v>
      </c>
      <c r="AZ924" t="s">
        <v>109</v>
      </c>
      <c r="BA924">
        <v>2</v>
      </c>
      <c r="BB924">
        <v>0.7</v>
      </c>
      <c r="BC924">
        <v>1.6447369E-2</v>
      </c>
      <c r="BD924">
        <v>4.2236161269162102E-4</v>
      </c>
      <c r="BE924">
        <v>1.6869730612691598E-2</v>
      </c>
      <c r="BF924">
        <f>IF(AK924&lt;BE924,1,0)</f>
        <v>0</v>
      </c>
      <c r="BG924">
        <f>IF(AK924&lt;BC924,1,0)</f>
        <v>0</v>
      </c>
      <c r="BH924">
        <f>VLOOKUP($B924,[1]Data_Peer_with_peerVars!$B$2:$Z$1050,20,FALSE)</f>
        <v>4</v>
      </c>
      <c r="BI924">
        <f>VLOOKUP($B924,[1]Data_Peer_with_peerVars!$B$2:$Z$1050,21,FALSE)</f>
        <v>0</v>
      </c>
      <c r="BJ924">
        <f>VLOOKUP($B924,[1]Data_Peer_with_peerVars!$B$2:$Z$1050,22,FALSE)</f>
        <v>0</v>
      </c>
      <c r="BK924">
        <f>VLOOKUP($B924,[1]Data_Peer_with_peerVars!$B$2:$Z$1050,23,FALSE)</f>
        <v>22</v>
      </c>
      <c r="BL924">
        <f>VLOOKUP($B924,[1]Data_Peer_with_peerVars!$B$2:$Z$1050,24,FALSE)</f>
        <v>5</v>
      </c>
      <c r="BM924">
        <f>VLOOKUP($B924,[1]Data_Peer_with_peerVars!$B$2:$Z$1050,25,FALSE)</f>
        <v>0.22727272700000001</v>
      </c>
    </row>
    <row r="925" spans="1:65" x14ac:dyDescent="0.2">
      <c r="A925">
        <v>1</v>
      </c>
      <c r="B925" t="s">
        <v>1422</v>
      </c>
      <c r="C925">
        <v>573</v>
      </c>
      <c r="D925" t="s">
        <v>68</v>
      </c>
      <c r="E925">
        <v>0</v>
      </c>
      <c r="F925">
        <v>703</v>
      </c>
      <c r="G925" t="s">
        <v>119</v>
      </c>
      <c r="H925" s="1">
        <v>6</v>
      </c>
      <c r="I925" t="s">
        <v>70</v>
      </c>
      <c r="J925" t="s">
        <v>301</v>
      </c>
      <c r="K925" t="s">
        <v>72</v>
      </c>
      <c r="L925">
        <v>1</v>
      </c>
      <c r="M925">
        <v>1</v>
      </c>
      <c r="N925">
        <v>0</v>
      </c>
      <c r="O925">
        <v>0</v>
      </c>
      <c r="P925">
        <v>1</v>
      </c>
      <c r="Q925">
        <v>5</v>
      </c>
      <c r="R925">
        <v>0</v>
      </c>
      <c r="S925">
        <v>0</v>
      </c>
      <c r="T925">
        <v>0</v>
      </c>
      <c r="U925">
        <v>0</v>
      </c>
      <c r="V925">
        <f t="shared" si="403"/>
        <v>1</v>
      </c>
      <c r="W925">
        <v>1</v>
      </c>
      <c r="X925">
        <v>1</v>
      </c>
      <c r="Y925">
        <v>1</v>
      </c>
      <c r="Z925" t="s">
        <v>91</v>
      </c>
      <c r="AA925" s="5" t="s">
        <v>91</v>
      </c>
      <c r="AB925" s="5" t="s">
        <v>915</v>
      </c>
      <c r="AC925" t="s">
        <v>91</v>
      </c>
      <c r="AD925" t="s">
        <v>287</v>
      </c>
      <c r="AE925" s="5" t="s">
        <v>287</v>
      </c>
      <c r="AF925" t="s">
        <v>137</v>
      </c>
      <c r="AG925" t="s">
        <v>84</v>
      </c>
      <c r="AH925">
        <f>AI925</f>
        <v>3.0120479999999998E-3</v>
      </c>
      <c r="AI925">
        <f>AJ925</f>
        <v>3.0120479999999998E-3</v>
      </c>
      <c r="AJ925">
        <f t="shared" si="406"/>
        <v>3.0120479999999998E-3</v>
      </c>
      <c r="AK925">
        <v>3.0120479999999998E-3</v>
      </c>
      <c r="AL925">
        <v>0.12068965</v>
      </c>
      <c r="AM925">
        <v>0.12862617000000001</v>
      </c>
      <c r="AN925">
        <v>0.1340121</v>
      </c>
      <c r="AO925">
        <v>99.698795200000006</v>
      </c>
      <c r="AP925">
        <v>87.931034999999994</v>
      </c>
      <c r="AQ925">
        <v>87.137383</v>
      </c>
      <c r="AR925">
        <v>86.598789999999994</v>
      </c>
      <c r="AS925" t="b">
        <v>1</v>
      </c>
      <c r="AT925" t="b">
        <v>0</v>
      </c>
      <c r="AU925" t="s">
        <v>77</v>
      </c>
      <c r="AV925" t="s">
        <v>78</v>
      </c>
      <c r="AW925" t="s">
        <v>783</v>
      </c>
      <c r="AX925" t="s">
        <v>1277</v>
      </c>
      <c r="AY925" t="s">
        <v>1423</v>
      </c>
      <c r="AZ925" t="s">
        <v>72</v>
      </c>
      <c r="BA925" t="s">
        <v>82</v>
      </c>
      <c r="BB925">
        <v>0.7</v>
      </c>
      <c r="BC925">
        <v>9.0659339999999995E-3</v>
      </c>
      <c r="BD925">
        <v>2.76583658862385E-3</v>
      </c>
      <c r="BE925">
        <v>1.1831770588623799E-2</v>
      </c>
      <c r="BF925">
        <f>IF(AK925&lt;BE925,1,0)</f>
        <v>1</v>
      </c>
      <c r="BG925">
        <f>IF(AK925&lt;BC925,1,0)</f>
        <v>1</v>
      </c>
      <c r="BH925">
        <f>VLOOKUP($B925,[1]Data_Peer_with_peerVars!$B$2:$Z$1050,20,FALSE)</f>
        <v>6</v>
      </c>
      <c r="BI925">
        <f>VLOOKUP($B925,[1]Data_Peer_with_peerVars!$B$2:$Z$1050,21,FALSE)</f>
        <v>6</v>
      </c>
      <c r="BJ925">
        <f>VLOOKUP($B925,[1]Data_Peer_with_peerVars!$B$2:$Z$1050,22,FALSE)</f>
        <v>1</v>
      </c>
      <c r="BK925">
        <f>VLOOKUP($B925,[1]Data_Peer_with_peerVars!$B$2:$Z$1050,23,FALSE)</f>
        <v>61</v>
      </c>
      <c r="BL925">
        <f>VLOOKUP($B925,[1]Data_Peer_with_peerVars!$B$2:$Z$1050,24,FALSE)</f>
        <v>31</v>
      </c>
      <c r="BM925">
        <f>VLOOKUP($B925,[1]Data_Peer_with_peerVars!$B$2:$Z$1050,25,FALSE)</f>
        <v>0.50819672100000002</v>
      </c>
    </row>
    <row r="926" spans="1:65" x14ac:dyDescent="0.2">
      <c r="A926">
        <v>1</v>
      </c>
      <c r="B926" t="s">
        <v>1424</v>
      </c>
      <c r="C926">
        <v>575</v>
      </c>
      <c r="D926" t="s">
        <v>68</v>
      </c>
      <c r="E926">
        <v>0</v>
      </c>
      <c r="F926">
        <v>710</v>
      </c>
      <c r="G926" t="s">
        <v>119</v>
      </c>
      <c r="H926" s="1">
        <v>7</v>
      </c>
      <c r="I926" t="s">
        <v>87</v>
      </c>
      <c r="J926" t="s">
        <v>111</v>
      </c>
      <c r="K926" t="s">
        <v>109</v>
      </c>
      <c r="L926">
        <v>1</v>
      </c>
      <c r="M926">
        <v>0</v>
      </c>
      <c r="N926">
        <v>0</v>
      </c>
      <c r="O926">
        <v>0</v>
      </c>
      <c r="P926">
        <v>0</v>
      </c>
      <c r="Q926">
        <v>16</v>
      </c>
      <c r="R926">
        <v>0</v>
      </c>
      <c r="S926">
        <v>0</v>
      </c>
      <c r="T926">
        <v>0</v>
      </c>
      <c r="U926">
        <v>0</v>
      </c>
      <c r="V926">
        <f t="shared" si="403"/>
        <v>0</v>
      </c>
      <c r="W926">
        <f t="shared" si="404"/>
        <v>0</v>
      </c>
      <c r="X926">
        <f t="shared" si="407"/>
        <v>0</v>
      </c>
      <c r="Y926">
        <f t="shared" si="405"/>
        <v>0</v>
      </c>
      <c r="Z926" t="s">
        <v>89</v>
      </c>
      <c r="AA926" s="5" t="s">
        <v>170</v>
      </c>
      <c r="AB926" s="5" t="s">
        <v>82</v>
      </c>
      <c r="AC926" t="s">
        <v>91</v>
      </c>
      <c r="AD926" t="s">
        <v>287</v>
      </c>
      <c r="AE926" s="5" t="s">
        <v>287</v>
      </c>
      <c r="AF926" t="s">
        <v>137</v>
      </c>
      <c r="AG926" t="s">
        <v>113</v>
      </c>
      <c r="AH926">
        <f t="shared" ref="AH926:AH929" si="417">AI926</f>
        <v>9.6500820000000001E-2</v>
      </c>
      <c r="AI926">
        <f t="shared" ref="AI926:AI929" si="418">AJ926</f>
        <v>9.6500820000000001E-2</v>
      </c>
      <c r="AJ926">
        <f t="shared" si="406"/>
        <v>9.6500820000000001E-2</v>
      </c>
      <c r="AK926">
        <v>9.6500820000000001E-2</v>
      </c>
      <c r="AL926">
        <v>0.1080786</v>
      </c>
      <c r="AM926">
        <v>0.12090611499999999</v>
      </c>
      <c r="AN926">
        <v>0.13399231</v>
      </c>
      <c r="AO926">
        <v>90.349918000000002</v>
      </c>
      <c r="AP926">
        <v>89.192139999999995</v>
      </c>
      <c r="AQ926">
        <v>87.909388500000006</v>
      </c>
      <c r="AR926">
        <v>86.600769</v>
      </c>
      <c r="AS926" t="b">
        <v>0</v>
      </c>
      <c r="AT926" t="b">
        <v>0</v>
      </c>
      <c r="AU926" t="s">
        <v>92</v>
      </c>
      <c r="AV926" t="s">
        <v>92</v>
      </c>
      <c r="AW926" t="s">
        <v>783</v>
      </c>
      <c r="AX926" t="s">
        <v>1298</v>
      </c>
      <c r="AY926" t="s">
        <v>1421</v>
      </c>
      <c r="AZ926" t="s">
        <v>109</v>
      </c>
      <c r="BA926">
        <v>3</v>
      </c>
      <c r="BB926">
        <v>0.49</v>
      </c>
      <c r="BC926">
        <v>9.0659339999999995E-3</v>
      </c>
      <c r="BD926">
        <v>2.76583658862385E-3</v>
      </c>
      <c r="BE926">
        <v>1.1831770588623799E-2</v>
      </c>
      <c r="BF926">
        <f>IF(AK926&lt;BE926,1,0)</f>
        <v>0</v>
      </c>
      <c r="BG926">
        <f>IF(AK926&lt;BC926,1,0)</f>
        <v>0</v>
      </c>
      <c r="BH926">
        <f>VLOOKUP($B926,[1]Data_Peer_with_peerVars!$B$2:$Z$1050,20,FALSE)</f>
        <v>4</v>
      </c>
      <c r="BI926">
        <f>VLOOKUP($B926,[1]Data_Peer_with_peerVars!$B$2:$Z$1050,21,FALSE)</f>
        <v>0</v>
      </c>
      <c r="BJ926">
        <f>VLOOKUP($B926,[1]Data_Peer_with_peerVars!$B$2:$Z$1050,22,FALSE)</f>
        <v>0</v>
      </c>
      <c r="BK926">
        <f>VLOOKUP($B926,[1]Data_Peer_with_peerVars!$B$2:$Z$1050,23,FALSE)</f>
        <v>20</v>
      </c>
      <c r="BL926">
        <f>VLOOKUP($B926,[1]Data_Peer_with_peerVars!$B$2:$Z$1050,24,FALSE)</f>
        <v>5</v>
      </c>
      <c r="BM926">
        <f>VLOOKUP($B926,[1]Data_Peer_with_peerVars!$B$2:$Z$1050,25,FALSE)</f>
        <v>0.25</v>
      </c>
    </row>
    <row r="927" spans="1:65" x14ac:dyDescent="0.2">
      <c r="A927">
        <v>1</v>
      </c>
      <c r="B927" t="s">
        <v>1425</v>
      </c>
      <c r="C927">
        <v>576</v>
      </c>
      <c r="D927" t="s">
        <v>68</v>
      </c>
      <c r="E927">
        <v>0</v>
      </c>
      <c r="F927">
        <v>728</v>
      </c>
      <c r="G927" t="s">
        <v>119</v>
      </c>
      <c r="H927" s="1">
        <v>7</v>
      </c>
      <c r="I927" t="s">
        <v>70</v>
      </c>
      <c r="J927" t="s">
        <v>301</v>
      </c>
      <c r="K927" t="s">
        <v>109</v>
      </c>
      <c r="L927">
        <v>1</v>
      </c>
      <c r="M927">
        <v>0</v>
      </c>
      <c r="N927">
        <v>0</v>
      </c>
      <c r="O927">
        <v>0</v>
      </c>
      <c r="P927">
        <v>0</v>
      </c>
      <c r="Q927">
        <v>6</v>
      </c>
      <c r="R927">
        <v>0</v>
      </c>
      <c r="S927">
        <v>0</v>
      </c>
      <c r="T927">
        <v>1</v>
      </c>
      <c r="U927">
        <v>1</v>
      </c>
      <c r="V927">
        <f t="shared" si="403"/>
        <v>0</v>
      </c>
      <c r="W927">
        <f t="shared" si="404"/>
        <v>0</v>
      </c>
      <c r="X927">
        <f t="shared" si="407"/>
        <v>0</v>
      </c>
      <c r="Y927">
        <f t="shared" si="405"/>
        <v>0</v>
      </c>
      <c r="Z927" t="s">
        <v>75</v>
      </c>
      <c r="AA927" s="5" t="s">
        <v>75</v>
      </c>
      <c r="AB927" s="5" t="s">
        <v>75</v>
      </c>
      <c r="AC927" t="s">
        <v>73</v>
      </c>
      <c r="AD927" t="s">
        <v>94</v>
      </c>
      <c r="AE927" s="5" t="s">
        <v>106</v>
      </c>
      <c r="AF927" t="s">
        <v>107</v>
      </c>
      <c r="AG927" t="s">
        <v>95</v>
      </c>
      <c r="AH927">
        <f t="shared" si="417"/>
        <v>4.3644299999999999E-3</v>
      </c>
      <c r="AI927">
        <f t="shared" si="418"/>
        <v>4.3644299999999999E-3</v>
      </c>
      <c r="AJ927">
        <f t="shared" si="406"/>
        <v>4.3644299999999999E-3</v>
      </c>
      <c r="AK927">
        <v>4.3644299999999999E-3</v>
      </c>
      <c r="AL927">
        <v>0.13231274000000001</v>
      </c>
      <c r="AM927">
        <v>0.13686230999999999</v>
      </c>
      <c r="AN927">
        <v>0.13929939999999999</v>
      </c>
      <c r="AO927">
        <v>99.563557000000003</v>
      </c>
      <c r="AP927">
        <v>86.768726000000001</v>
      </c>
      <c r="AQ927">
        <v>86.313768999999994</v>
      </c>
      <c r="AR927">
        <v>86.070059999999998</v>
      </c>
      <c r="AS927" t="b">
        <v>0</v>
      </c>
      <c r="AT927" t="b">
        <v>0</v>
      </c>
      <c r="AU927" t="s">
        <v>77</v>
      </c>
      <c r="AV927" t="s">
        <v>108</v>
      </c>
      <c r="AW927" t="s">
        <v>783</v>
      </c>
      <c r="AX927" t="s">
        <v>1277</v>
      </c>
      <c r="AY927" t="s">
        <v>1421</v>
      </c>
      <c r="AZ927" t="s">
        <v>109</v>
      </c>
      <c r="BA927">
        <v>2</v>
      </c>
      <c r="BB927">
        <v>1</v>
      </c>
      <c r="BC927">
        <v>4.1163553999999996E-3</v>
      </c>
      <c r="BD927">
        <v>1.4279989108178799E-4</v>
      </c>
      <c r="BE927">
        <v>4.2591552910817903E-3</v>
      </c>
      <c r="BF927">
        <f>IF(AK927&lt;BE927,1,0)</f>
        <v>0</v>
      </c>
      <c r="BG927">
        <f>IF(AK927&lt;BC927,1,0)</f>
        <v>0</v>
      </c>
      <c r="BH927">
        <f>VLOOKUP($B927,[1]Data_Peer_with_peerVars!$B$2:$Z$1050,20,FALSE)</f>
        <v>4</v>
      </c>
      <c r="BI927">
        <f>VLOOKUP($B927,[1]Data_Peer_with_peerVars!$B$2:$Z$1050,21,FALSE)</f>
        <v>0</v>
      </c>
      <c r="BJ927">
        <f>VLOOKUP($B927,[1]Data_Peer_with_peerVars!$B$2:$Z$1050,22,FALSE)</f>
        <v>0</v>
      </c>
      <c r="BK927">
        <f>VLOOKUP($B927,[1]Data_Peer_with_peerVars!$B$2:$Z$1050,23,FALSE)</f>
        <v>20</v>
      </c>
      <c r="BL927">
        <f>VLOOKUP($B927,[1]Data_Peer_with_peerVars!$B$2:$Z$1050,24,FALSE)</f>
        <v>5</v>
      </c>
      <c r="BM927">
        <f>VLOOKUP($B927,[1]Data_Peer_with_peerVars!$B$2:$Z$1050,25,FALSE)</f>
        <v>0.25</v>
      </c>
    </row>
    <row r="928" spans="1:65" x14ac:dyDescent="0.2">
      <c r="A928">
        <v>1</v>
      </c>
      <c r="B928" t="s">
        <v>1426</v>
      </c>
      <c r="C928">
        <v>576</v>
      </c>
      <c r="D928" t="s">
        <v>68</v>
      </c>
      <c r="E928">
        <v>0</v>
      </c>
      <c r="F928">
        <v>728</v>
      </c>
      <c r="G928" t="s">
        <v>119</v>
      </c>
      <c r="H928" s="1">
        <v>7</v>
      </c>
      <c r="I928" t="s">
        <v>70</v>
      </c>
      <c r="J928" t="s">
        <v>301</v>
      </c>
      <c r="K928" t="s">
        <v>109</v>
      </c>
      <c r="L928">
        <v>1</v>
      </c>
      <c r="M928">
        <v>0</v>
      </c>
      <c r="N928">
        <v>0</v>
      </c>
      <c r="O928">
        <v>0</v>
      </c>
      <c r="P928">
        <v>0</v>
      </c>
      <c r="Q928">
        <v>6</v>
      </c>
      <c r="R928">
        <v>0</v>
      </c>
      <c r="S928">
        <v>0</v>
      </c>
      <c r="T928">
        <v>0</v>
      </c>
      <c r="U928">
        <v>0</v>
      </c>
      <c r="V928">
        <f t="shared" si="403"/>
        <v>0</v>
      </c>
      <c r="W928">
        <f t="shared" si="404"/>
        <v>0</v>
      </c>
      <c r="X928">
        <f t="shared" si="407"/>
        <v>0</v>
      </c>
      <c r="Y928">
        <f t="shared" si="405"/>
        <v>0</v>
      </c>
      <c r="Z928" t="s">
        <v>89</v>
      </c>
      <c r="AA928" s="5" t="s">
        <v>82</v>
      </c>
      <c r="AB928" s="5" t="s">
        <v>82</v>
      </c>
      <c r="AC928" t="s">
        <v>74</v>
      </c>
      <c r="AD928" t="s">
        <v>101</v>
      </c>
      <c r="AE928" s="5" t="s">
        <v>101</v>
      </c>
      <c r="AF928" t="s">
        <v>99</v>
      </c>
      <c r="AG928" t="s">
        <v>103</v>
      </c>
      <c r="AH928">
        <f t="shared" si="417"/>
        <v>0.14383562</v>
      </c>
      <c r="AI928">
        <f t="shared" si="418"/>
        <v>0.14383562</v>
      </c>
      <c r="AJ928">
        <f t="shared" si="406"/>
        <v>0.14383562</v>
      </c>
      <c r="AK928">
        <v>0.14383562</v>
      </c>
      <c r="AL928">
        <v>0.14909391</v>
      </c>
      <c r="AM928">
        <v>0.15463065000000001</v>
      </c>
      <c r="AN928">
        <v>0.15556167000000001</v>
      </c>
      <c r="AO928">
        <v>85.616438000000002</v>
      </c>
      <c r="AP928">
        <v>85.090609000000001</v>
      </c>
      <c r="AQ928">
        <v>84.536935</v>
      </c>
      <c r="AR928">
        <v>84.443832999999998</v>
      </c>
      <c r="AS928" t="s">
        <v>82</v>
      </c>
      <c r="AT928" t="s">
        <v>82</v>
      </c>
      <c r="AU928" t="s">
        <v>78</v>
      </c>
      <c r="AV928" t="s">
        <v>78</v>
      </c>
      <c r="AW928" t="s">
        <v>783</v>
      </c>
      <c r="AX928" t="s">
        <v>1277</v>
      </c>
      <c r="AY928" t="s">
        <v>1421</v>
      </c>
      <c r="AZ928" t="s">
        <v>82</v>
      </c>
      <c r="BA928" t="s">
        <v>82</v>
      </c>
      <c r="BB928" t="s">
        <v>82</v>
      </c>
      <c r="BC928">
        <v>2.4738868000000001E-3</v>
      </c>
      <c r="BD928">
        <v>1.4256942275279999E-4</v>
      </c>
      <c r="BE928">
        <v>2.6164562227527998E-3</v>
      </c>
      <c r="BF928">
        <f>IF(AK928&lt;BE928,1,0)</f>
        <v>0</v>
      </c>
      <c r="BG928">
        <f>IF(AK928&lt;BC928,1,0)</f>
        <v>0</v>
      </c>
    </row>
    <row r="929" spans="1:65" x14ac:dyDescent="0.2">
      <c r="A929">
        <v>1</v>
      </c>
      <c r="B929" t="s">
        <v>1427</v>
      </c>
      <c r="C929">
        <v>577</v>
      </c>
      <c r="D929" t="s">
        <v>68</v>
      </c>
      <c r="E929">
        <v>0</v>
      </c>
      <c r="F929">
        <v>729</v>
      </c>
      <c r="G929" t="s">
        <v>119</v>
      </c>
      <c r="H929" s="1">
        <v>7</v>
      </c>
      <c r="I929" t="s">
        <v>87</v>
      </c>
      <c r="J929" t="s">
        <v>111</v>
      </c>
      <c r="K929" t="s">
        <v>109</v>
      </c>
      <c r="L929">
        <v>1</v>
      </c>
      <c r="M929">
        <v>0</v>
      </c>
      <c r="N929">
        <v>0</v>
      </c>
      <c r="O929">
        <v>0</v>
      </c>
      <c r="P929">
        <v>0</v>
      </c>
      <c r="Q929">
        <v>9</v>
      </c>
      <c r="R929">
        <v>0</v>
      </c>
      <c r="S929">
        <v>0</v>
      </c>
      <c r="T929">
        <v>0</v>
      </c>
      <c r="U929">
        <v>0</v>
      </c>
      <c r="V929">
        <f t="shared" si="403"/>
        <v>0</v>
      </c>
      <c r="W929">
        <f t="shared" si="404"/>
        <v>0</v>
      </c>
      <c r="X929">
        <f t="shared" si="407"/>
        <v>0</v>
      </c>
      <c r="Y929">
        <f t="shared" si="405"/>
        <v>0</v>
      </c>
      <c r="Z929" t="s">
        <v>76</v>
      </c>
      <c r="AA929" s="5" t="s">
        <v>76</v>
      </c>
      <c r="AB929" s="5" t="s">
        <v>76</v>
      </c>
      <c r="AC929" t="s">
        <v>73</v>
      </c>
      <c r="AD929" t="s">
        <v>94</v>
      </c>
      <c r="AE929" s="5" t="s">
        <v>106</v>
      </c>
      <c r="AF929" t="s">
        <v>75</v>
      </c>
      <c r="AG929" t="s">
        <v>95</v>
      </c>
      <c r="AH929">
        <f t="shared" si="417"/>
        <v>2.8625953999999999E-2</v>
      </c>
      <c r="AI929">
        <f t="shared" si="418"/>
        <v>2.8625953999999999E-2</v>
      </c>
      <c r="AJ929">
        <f t="shared" si="406"/>
        <v>2.8625953999999999E-2</v>
      </c>
      <c r="AK929">
        <v>2.8625953999999999E-2</v>
      </c>
      <c r="AL929">
        <v>0.12841530000000001</v>
      </c>
      <c r="AM929">
        <v>0.14074479000000001</v>
      </c>
      <c r="AN929">
        <v>0.14086433000000001</v>
      </c>
      <c r="AO929">
        <v>97.137404599999996</v>
      </c>
      <c r="AP929">
        <v>87.158469999999994</v>
      </c>
      <c r="AQ929">
        <v>85.925521000000003</v>
      </c>
      <c r="AR929">
        <v>85.913567</v>
      </c>
      <c r="AS929" t="b">
        <v>0</v>
      </c>
      <c r="AT929" t="b">
        <v>0</v>
      </c>
      <c r="AU929" t="s">
        <v>77</v>
      </c>
      <c r="AV929" t="s">
        <v>108</v>
      </c>
      <c r="AW929" t="s">
        <v>783</v>
      </c>
      <c r="AX929" t="s">
        <v>784</v>
      </c>
      <c r="AY929" t="s">
        <v>1421</v>
      </c>
      <c r="AZ929" t="s">
        <v>109</v>
      </c>
      <c r="BA929">
        <v>10</v>
      </c>
      <c r="BB929">
        <v>2</v>
      </c>
      <c r="BC929">
        <v>4.1163553999999996E-3</v>
      </c>
      <c r="BD929">
        <v>1.4279989108178799E-4</v>
      </c>
      <c r="BE929">
        <v>4.2591552910817903E-3</v>
      </c>
      <c r="BF929">
        <f>IF(AK929&lt;BE929,1,0)</f>
        <v>0</v>
      </c>
      <c r="BG929">
        <f>IF(AK929&lt;BC929,1,0)</f>
        <v>0</v>
      </c>
      <c r="BH929">
        <f>VLOOKUP($B929,[1]Data_Peer_with_peerVars!$B$2:$Z$1050,20,FALSE)</f>
        <v>1</v>
      </c>
      <c r="BI929">
        <f>VLOOKUP($B929,[1]Data_Peer_with_peerVars!$B$2:$Z$1050,21,FALSE)</f>
        <v>0</v>
      </c>
      <c r="BJ929">
        <f>VLOOKUP($B929,[1]Data_Peer_with_peerVars!$B$2:$Z$1050,22,FALSE)</f>
        <v>0</v>
      </c>
      <c r="BK929">
        <f>VLOOKUP($B929,[1]Data_Peer_with_peerVars!$B$2:$Z$1050,23,FALSE)</f>
        <v>31</v>
      </c>
      <c r="BL929">
        <f>VLOOKUP($B929,[1]Data_Peer_with_peerVars!$B$2:$Z$1050,24,FALSE)</f>
        <v>12</v>
      </c>
      <c r="BM929">
        <f>VLOOKUP($B929,[1]Data_Peer_with_peerVars!$B$2:$Z$1050,25,FALSE)</f>
        <v>0.38709677399999998</v>
      </c>
    </row>
    <row r="930" spans="1:65" x14ac:dyDescent="0.2">
      <c r="A930">
        <v>1</v>
      </c>
      <c r="B930" t="s">
        <v>1428</v>
      </c>
      <c r="C930">
        <v>577</v>
      </c>
      <c r="D930" t="s">
        <v>68</v>
      </c>
      <c r="E930">
        <v>0</v>
      </c>
      <c r="F930">
        <v>729</v>
      </c>
      <c r="G930" t="s">
        <v>119</v>
      </c>
      <c r="H930" s="1">
        <v>7</v>
      </c>
      <c r="I930" t="s">
        <v>87</v>
      </c>
      <c r="J930" t="s">
        <v>111</v>
      </c>
      <c r="K930" t="s">
        <v>109</v>
      </c>
      <c r="L930">
        <v>1</v>
      </c>
      <c r="M930">
        <v>0</v>
      </c>
      <c r="N930">
        <v>0</v>
      </c>
      <c r="O930">
        <v>0</v>
      </c>
      <c r="P930">
        <v>0</v>
      </c>
      <c r="Q930">
        <v>9</v>
      </c>
      <c r="R930">
        <v>0</v>
      </c>
      <c r="S930">
        <v>0</v>
      </c>
      <c r="T930">
        <v>0</v>
      </c>
      <c r="U930">
        <v>0</v>
      </c>
      <c r="V930">
        <f t="shared" si="403"/>
        <v>0</v>
      </c>
      <c r="W930">
        <f t="shared" si="404"/>
        <v>0</v>
      </c>
      <c r="X930">
        <f t="shared" si="407"/>
        <v>1</v>
      </c>
      <c r="Y930">
        <v>1</v>
      </c>
      <c r="Z930" t="s">
        <v>75</v>
      </c>
      <c r="AA930" s="5" t="s">
        <v>75</v>
      </c>
      <c r="AB930" s="5" t="s">
        <v>75</v>
      </c>
      <c r="AC930" t="s">
        <v>74</v>
      </c>
      <c r="AD930" t="s">
        <v>120</v>
      </c>
      <c r="AE930" s="5" t="s">
        <v>213</v>
      </c>
      <c r="AF930" t="s">
        <v>75</v>
      </c>
      <c r="AG930" t="s">
        <v>76</v>
      </c>
      <c r="AH930">
        <f>AI930</f>
        <v>8.3242060000000007E-2</v>
      </c>
      <c r="AI930">
        <f>AM930</f>
        <v>8.3242060000000007E-2</v>
      </c>
      <c r="AJ930">
        <f t="shared" si="406"/>
        <v>7.2682389999999999E-2</v>
      </c>
      <c r="AK930">
        <v>7.2682389999999999E-2</v>
      </c>
      <c r="AL930">
        <v>8.0098409999999995E-2</v>
      </c>
      <c r="AM930">
        <v>8.3242060000000007E-2</v>
      </c>
      <c r="AN930">
        <v>9.0536099999999994E-2</v>
      </c>
      <c r="AO930">
        <v>92.731761000000006</v>
      </c>
      <c r="AP930">
        <v>91.990159000000006</v>
      </c>
      <c r="AQ930">
        <v>91.675793999999996</v>
      </c>
      <c r="AR930">
        <v>90.946389999999994</v>
      </c>
      <c r="AS930" t="b">
        <v>0</v>
      </c>
      <c r="AT930" t="b">
        <v>0</v>
      </c>
      <c r="AU930" t="s">
        <v>77</v>
      </c>
      <c r="AV930" t="s">
        <v>108</v>
      </c>
      <c r="AW930" t="s">
        <v>783</v>
      </c>
      <c r="AX930" t="s">
        <v>784</v>
      </c>
      <c r="AY930" t="s">
        <v>1421</v>
      </c>
      <c r="AZ930" t="s">
        <v>109</v>
      </c>
      <c r="BA930">
        <v>3</v>
      </c>
      <c r="BB930">
        <v>3</v>
      </c>
      <c r="BC930">
        <v>2.4738868000000001E-3</v>
      </c>
      <c r="BD930">
        <v>1.4256942275279999E-4</v>
      </c>
      <c r="BE930">
        <v>2.6164562227527998E-3</v>
      </c>
      <c r="BF930">
        <f>IF(AK930&lt;BE930,1,0)</f>
        <v>0</v>
      </c>
      <c r="BG930">
        <f>IF(AK930&lt;BC930,1,0)</f>
        <v>0</v>
      </c>
      <c r="BH930">
        <f>VLOOKUP($B930,[1]Data_Peer_with_peerVars!$B$2:$Z$1050,20,FALSE)</f>
        <v>1</v>
      </c>
      <c r="BI930">
        <f>VLOOKUP($B930,[1]Data_Peer_with_peerVars!$B$2:$Z$1050,21,FALSE)</f>
        <v>0</v>
      </c>
      <c r="BJ930">
        <f>VLOOKUP($B930,[1]Data_Peer_with_peerVars!$B$2:$Z$1050,22,FALSE)</f>
        <v>0</v>
      </c>
      <c r="BK930">
        <f>VLOOKUP($B930,[1]Data_Peer_with_peerVars!$B$2:$Z$1050,23,FALSE)</f>
        <v>31</v>
      </c>
      <c r="BL930">
        <f>VLOOKUP($B930,[1]Data_Peer_with_peerVars!$B$2:$Z$1050,24,FALSE)</f>
        <v>12</v>
      </c>
      <c r="BM930">
        <f>VLOOKUP($B930,[1]Data_Peer_with_peerVars!$B$2:$Z$1050,25,FALSE)</f>
        <v>0.38709677399999998</v>
      </c>
    </row>
    <row r="931" spans="1:65" x14ac:dyDescent="0.2">
      <c r="A931">
        <v>1</v>
      </c>
      <c r="B931" t="s">
        <v>1429</v>
      </c>
      <c r="C931">
        <v>578</v>
      </c>
      <c r="D931" t="s">
        <v>68</v>
      </c>
      <c r="E931">
        <v>0</v>
      </c>
      <c r="F931">
        <v>497</v>
      </c>
      <c r="G931" t="s">
        <v>97</v>
      </c>
      <c r="H931" s="1">
        <v>4</v>
      </c>
      <c r="I931" t="s">
        <v>70</v>
      </c>
      <c r="J931" t="s">
        <v>436</v>
      </c>
      <c r="K931" t="s">
        <v>109</v>
      </c>
      <c r="L931">
        <v>1</v>
      </c>
      <c r="M931">
        <v>0</v>
      </c>
      <c r="N931">
        <v>0</v>
      </c>
      <c r="O931">
        <v>0</v>
      </c>
      <c r="P931">
        <v>1</v>
      </c>
      <c r="Q931">
        <v>6</v>
      </c>
      <c r="R931">
        <v>0</v>
      </c>
      <c r="S931">
        <v>0</v>
      </c>
      <c r="T931">
        <v>0</v>
      </c>
      <c r="U931">
        <v>0</v>
      </c>
      <c r="V931">
        <f t="shared" si="403"/>
        <v>0</v>
      </c>
      <c r="W931">
        <f t="shared" si="404"/>
        <v>0</v>
      </c>
      <c r="X931">
        <f t="shared" si="407"/>
        <v>0</v>
      </c>
      <c r="Y931">
        <f t="shared" si="405"/>
        <v>0</v>
      </c>
      <c r="Z931" t="s">
        <v>73</v>
      </c>
      <c r="AA931" s="5" t="s">
        <v>73</v>
      </c>
      <c r="AB931" s="5" t="s">
        <v>73</v>
      </c>
      <c r="AC931" t="s">
        <v>74</v>
      </c>
      <c r="AD931" t="s">
        <v>75</v>
      </c>
      <c r="AE931" s="5" t="s">
        <v>75</v>
      </c>
      <c r="AF931" t="s">
        <v>120</v>
      </c>
      <c r="AG931" t="s">
        <v>76</v>
      </c>
      <c r="AH931">
        <f t="shared" ref="AH931:AH933" si="419">AI931</f>
        <v>1.0136986000000001E-2</v>
      </c>
      <c r="AI931">
        <f t="shared" ref="AI931:AI933" si="420">AJ931</f>
        <v>1.0136986000000001E-2</v>
      </c>
      <c r="AJ931">
        <f t="shared" si="406"/>
        <v>1.0136986000000001E-2</v>
      </c>
      <c r="AK931">
        <v>1.0136986000000001E-2</v>
      </c>
      <c r="AL931">
        <v>8.6254104999999998E-2</v>
      </c>
      <c r="AM931">
        <v>8.9393109999999998E-2</v>
      </c>
      <c r="AN931">
        <v>9.1730560000000003E-2</v>
      </c>
      <c r="AO931">
        <v>98.986301400000002</v>
      </c>
      <c r="AP931">
        <v>91.374589499999999</v>
      </c>
      <c r="AQ931">
        <v>91.060688999999996</v>
      </c>
      <c r="AR931">
        <v>90.826943999999997</v>
      </c>
      <c r="AS931" t="b">
        <v>0</v>
      </c>
      <c r="AT931" t="b">
        <v>0</v>
      </c>
      <c r="AU931" t="s">
        <v>77</v>
      </c>
      <c r="AV931" t="s">
        <v>77</v>
      </c>
      <c r="AW931" t="s">
        <v>783</v>
      </c>
      <c r="AX931" t="s">
        <v>1277</v>
      </c>
      <c r="AY931" t="s">
        <v>1430</v>
      </c>
      <c r="AZ931" t="s">
        <v>109</v>
      </c>
      <c r="BA931">
        <v>3</v>
      </c>
      <c r="BB931">
        <v>7.0000000000000007E-2</v>
      </c>
      <c r="BC931">
        <v>2.4738868000000001E-3</v>
      </c>
      <c r="BD931">
        <v>1.4256942275279999E-4</v>
      </c>
      <c r="BE931">
        <v>2.6164562227527998E-3</v>
      </c>
      <c r="BF931">
        <f>IF(AK931&lt;BE931,1,0)</f>
        <v>0</v>
      </c>
      <c r="BG931">
        <f>IF(AK931&lt;BC931,1,0)</f>
        <v>0</v>
      </c>
      <c r="BH931">
        <f>VLOOKUP($B931,[1]Data_Peer_with_peerVars!$B$2:$Z$1050,20,FALSE)</f>
        <v>1</v>
      </c>
      <c r="BI931">
        <f>VLOOKUP($B931,[1]Data_Peer_with_peerVars!$B$2:$Z$1050,21,FALSE)</f>
        <v>0</v>
      </c>
      <c r="BJ931">
        <f>VLOOKUP($B931,[1]Data_Peer_with_peerVars!$B$2:$Z$1050,22,FALSE)</f>
        <v>0</v>
      </c>
      <c r="BK931">
        <f>VLOOKUP($B931,[1]Data_Peer_with_peerVars!$B$2:$Z$1050,23,FALSE)</f>
        <v>4</v>
      </c>
      <c r="BL931">
        <f>VLOOKUP($B931,[1]Data_Peer_with_peerVars!$B$2:$Z$1050,24,FALSE)</f>
        <v>0</v>
      </c>
      <c r="BM931">
        <f>VLOOKUP($B931,[1]Data_Peer_with_peerVars!$B$2:$Z$1050,25,FALSE)</f>
        <v>0</v>
      </c>
    </row>
    <row r="932" spans="1:65" x14ac:dyDescent="0.2">
      <c r="A932">
        <v>1</v>
      </c>
      <c r="B932" t="s">
        <v>1431</v>
      </c>
      <c r="C932">
        <v>578</v>
      </c>
      <c r="D932" t="s">
        <v>68</v>
      </c>
      <c r="E932">
        <v>0</v>
      </c>
      <c r="F932">
        <v>497</v>
      </c>
      <c r="G932" t="s">
        <v>97</v>
      </c>
      <c r="H932" s="1">
        <v>4</v>
      </c>
      <c r="I932" t="s">
        <v>70</v>
      </c>
      <c r="J932" t="s">
        <v>436</v>
      </c>
      <c r="K932" t="s">
        <v>109</v>
      </c>
      <c r="L932">
        <v>1</v>
      </c>
      <c r="M932">
        <v>0</v>
      </c>
      <c r="N932">
        <v>0</v>
      </c>
      <c r="O932">
        <v>0</v>
      </c>
      <c r="P932">
        <v>1</v>
      </c>
      <c r="Q932">
        <v>6</v>
      </c>
      <c r="R932">
        <v>0</v>
      </c>
      <c r="S932">
        <v>0</v>
      </c>
      <c r="T932">
        <v>0</v>
      </c>
      <c r="U932">
        <v>0</v>
      </c>
      <c r="V932">
        <f t="shared" si="403"/>
        <v>0</v>
      </c>
      <c r="W932">
        <f t="shared" si="404"/>
        <v>0</v>
      </c>
      <c r="X932">
        <f t="shared" si="407"/>
        <v>0</v>
      </c>
      <c r="Y932">
        <f t="shared" si="405"/>
        <v>0</v>
      </c>
      <c r="Z932" t="s">
        <v>89</v>
      </c>
      <c r="AA932" s="5" t="s">
        <v>89</v>
      </c>
      <c r="AB932" s="5" t="s">
        <v>1432</v>
      </c>
      <c r="AC932" t="s">
        <v>137</v>
      </c>
      <c r="AD932" t="s">
        <v>287</v>
      </c>
      <c r="AE932" s="5" t="s">
        <v>1433</v>
      </c>
      <c r="AF932" t="s">
        <v>113</v>
      </c>
      <c r="AG932" t="s">
        <v>103</v>
      </c>
      <c r="AH932">
        <f t="shared" si="419"/>
        <v>0.10076461</v>
      </c>
      <c r="AI932">
        <f t="shared" si="420"/>
        <v>0.10076461</v>
      </c>
      <c r="AJ932">
        <f t="shared" si="406"/>
        <v>0.10076461</v>
      </c>
      <c r="AK932">
        <v>0.10076461</v>
      </c>
      <c r="AL932">
        <v>0.11359913000000001</v>
      </c>
      <c r="AM932">
        <v>0.11834156999999999</v>
      </c>
      <c r="AN932">
        <v>0.123072684</v>
      </c>
      <c r="AO932">
        <v>89.923539000000005</v>
      </c>
      <c r="AP932">
        <v>88.640086999999994</v>
      </c>
      <c r="AQ932">
        <v>88.165842999999995</v>
      </c>
      <c r="AR932">
        <v>87.692731600000002</v>
      </c>
      <c r="AS932" t="b">
        <v>0</v>
      </c>
      <c r="AT932" t="b">
        <v>0</v>
      </c>
      <c r="AU932" t="s">
        <v>92</v>
      </c>
      <c r="AV932" t="s">
        <v>92</v>
      </c>
      <c r="AW932" t="s">
        <v>783</v>
      </c>
      <c r="AX932" t="s">
        <v>1277</v>
      </c>
      <c r="AY932" t="s">
        <v>1430</v>
      </c>
      <c r="AZ932" t="s">
        <v>109</v>
      </c>
      <c r="BA932">
        <v>2</v>
      </c>
      <c r="BB932">
        <v>7.0000000000000007E-2</v>
      </c>
      <c r="BC932">
        <v>5.4824560000000001E-2</v>
      </c>
      <c r="BD932">
        <v>2.68252196314279E-2</v>
      </c>
      <c r="BE932">
        <v>8.1649779631427902E-2</v>
      </c>
      <c r="BF932">
        <f>IF(AK932&lt;BE932,1,0)</f>
        <v>0</v>
      </c>
      <c r="BG932">
        <f>IF(AK932&lt;BC932,1,0)</f>
        <v>0</v>
      </c>
      <c r="BH932">
        <f>VLOOKUP($B932,[1]Data_Peer_with_peerVars!$B$2:$Z$1050,20,FALSE)</f>
        <v>1</v>
      </c>
      <c r="BI932">
        <f>VLOOKUP($B932,[1]Data_Peer_with_peerVars!$B$2:$Z$1050,21,FALSE)</f>
        <v>0</v>
      </c>
      <c r="BJ932">
        <f>VLOOKUP($B932,[1]Data_Peer_with_peerVars!$B$2:$Z$1050,22,FALSE)</f>
        <v>0</v>
      </c>
      <c r="BK932">
        <f>VLOOKUP($B932,[1]Data_Peer_with_peerVars!$B$2:$Z$1050,23,FALSE)</f>
        <v>4</v>
      </c>
      <c r="BL932">
        <f>VLOOKUP($B932,[1]Data_Peer_with_peerVars!$B$2:$Z$1050,24,FALSE)</f>
        <v>0</v>
      </c>
      <c r="BM932">
        <f>VLOOKUP($B932,[1]Data_Peer_with_peerVars!$B$2:$Z$1050,25,FALSE)</f>
        <v>0</v>
      </c>
    </row>
    <row r="933" spans="1:65" x14ac:dyDescent="0.2">
      <c r="A933">
        <v>1</v>
      </c>
      <c r="B933" t="s">
        <v>1434</v>
      </c>
      <c r="C933">
        <v>579</v>
      </c>
      <c r="D933" t="s">
        <v>68</v>
      </c>
      <c r="E933">
        <v>1</v>
      </c>
      <c r="F933">
        <v>508</v>
      </c>
      <c r="G933" t="s">
        <v>69</v>
      </c>
      <c r="H933" s="1">
        <v>5.5</v>
      </c>
      <c r="J933" t="s">
        <v>82</v>
      </c>
      <c r="L933">
        <v>1</v>
      </c>
      <c r="M933">
        <v>1</v>
      </c>
      <c r="N933">
        <v>1</v>
      </c>
      <c r="O933">
        <v>0</v>
      </c>
      <c r="P933">
        <v>1</v>
      </c>
      <c r="Q933">
        <v>2</v>
      </c>
      <c r="R933">
        <v>0</v>
      </c>
      <c r="S933">
        <v>0</v>
      </c>
      <c r="T933">
        <v>0</v>
      </c>
      <c r="U933">
        <v>0</v>
      </c>
      <c r="V933">
        <f t="shared" si="403"/>
        <v>0</v>
      </c>
      <c r="W933">
        <f t="shared" si="404"/>
        <v>0</v>
      </c>
      <c r="X933">
        <f t="shared" si="407"/>
        <v>0</v>
      </c>
      <c r="Y933">
        <f t="shared" si="405"/>
        <v>0</v>
      </c>
      <c r="Z933" t="s">
        <v>89</v>
      </c>
      <c r="AA933" s="5" t="s">
        <v>82</v>
      </c>
      <c r="AB933" s="5" t="s">
        <v>82</v>
      </c>
      <c r="AC933" t="s">
        <v>74</v>
      </c>
      <c r="AD933" t="s">
        <v>76</v>
      </c>
      <c r="AE933" s="5" t="s">
        <v>76</v>
      </c>
      <c r="AF933" t="s">
        <v>75</v>
      </c>
      <c r="AG933" t="s">
        <v>84</v>
      </c>
      <c r="AH933">
        <f t="shared" si="419"/>
        <v>4.9342107000000003E-2</v>
      </c>
      <c r="AI933">
        <f t="shared" si="420"/>
        <v>4.9342107000000003E-2</v>
      </c>
      <c r="AJ933">
        <f t="shared" si="406"/>
        <v>4.9342107000000003E-2</v>
      </c>
      <c r="AK933">
        <v>4.9342107000000003E-2</v>
      </c>
      <c r="AL933">
        <v>7.8142080000000003E-2</v>
      </c>
      <c r="AM933">
        <v>9.7647704000000002E-2</v>
      </c>
      <c r="AN933">
        <v>0.102908894</v>
      </c>
      <c r="AO933">
        <v>95.065789300000006</v>
      </c>
      <c r="AP933">
        <v>92.185792000000006</v>
      </c>
      <c r="AQ933">
        <v>90.235229599999997</v>
      </c>
      <c r="AR933">
        <v>89.709110600000002</v>
      </c>
      <c r="AS933" t="s">
        <v>82</v>
      </c>
      <c r="AT933" t="s">
        <v>82</v>
      </c>
      <c r="AU933" t="s">
        <v>77</v>
      </c>
      <c r="AV933" t="s">
        <v>77</v>
      </c>
      <c r="AW933" t="s">
        <v>783</v>
      </c>
      <c r="AX933" t="s">
        <v>1277</v>
      </c>
      <c r="AY933" t="s">
        <v>1430</v>
      </c>
      <c r="AZ933" t="s">
        <v>82</v>
      </c>
      <c r="BA933" t="s">
        <v>82</v>
      </c>
      <c r="BB933" t="s">
        <v>82</v>
      </c>
      <c r="BC933">
        <v>2.4738868000000001E-3</v>
      </c>
      <c r="BD933">
        <v>1.4256942275279999E-4</v>
      </c>
      <c r="BE933">
        <v>2.6164562227527998E-3</v>
      </c>
      <c r="BF933">
        <f>IF(AK933&lt;BE933,1,0)</f>
        <v>0</v>
      </c>
      <c r="BG933">
        <f>IF(AK933&lt;BC933,1,0)</f>
        <v>0</v>
      </c>
    </row>
    <row r="934" spans="1:65" x14ac:dyDescent="0.2">
      <c r="A934">
        <v>1</v>
      </c>
      <c r="B934" t="s">
        <v>1435</v>
      </c>
      <c r="C934">
        <v>579</v>
      </c>
      <c r="D934" t="s">
        <v>68</v>
      </c>
      <c r="E934">
        <v>1</v>
      </c>
      <c r="F934">
        <v>508</v>
      </c>
      <c r="G934" t="s">
        <v>69</v>
      </c>
      <c r="H934" s="1">
        <v>5.5</v>
      </c>
      <c r="J934" t="s">
        <v>82</v>
      </c>
      <c r="L934">
        <v>1</v>
      </c>
      <c r="M934">
        <v>1</v>
      </c>
      <c r="N934">
        <v>1</v>
      </c>
      <c r="O934">
        <v>0</v>
      </c>
      <c r="P934">
        <v>1</v>
      </c>
      <c r="Q934">
        <v>2</v>
      </c>
      <c r="R934">
        <v>0</v>
      </c>
      <c r="S934">
        <v>0</v>
      </c>
      <c r="T934">
        <v>0</v>
      </c>
      <c r="U934">
        <v>0</v>
      </c>
      <c r="V934">
        <f t="shared" si="403"/>
        <v>0</v>
      </c>
      <c r="W934">
        <f t="shared" si="404"/>
        <v>0</v>
      </c>
      <c r="X934">
        <f t="shared" si="407"/>
        <v>1</v>
      </c>
      <c r="Y934">
        <v>1</v>
      </c>
      <c r="Z934" t="s">
        <v>75</v>
      </c>
      <c r="AA934" s="5" t="s">
        <v>75</v>
      </c>
      <c r="AB934" s="5" t="s">
        <v>75</v>
      </c>
      <c r="AC934" t="s">
        <v>74</v>
      </c>
      <c r="AD934" t="s">
        <v>76</v>
      </c>
      <c r="AE934" s="5" t="s">
        <v>76</v>
      </c>
      <c r="AF934" t="s">
        <v>75</v>
      </c>
      <c r="AG934" t="s">
        <v>120</v>
      </c>
      <c r="AH934">
        <f>AI934</f>
        <v>0.11247948000000001</v>
      </c>
      <c r="AI934">
        <f>AM934</f>
        <v>0.11247948000000001</v>
      </c>
      <c r="AJ934">
        <f t="shared" si="406"/>
        <v>6.7397260000000001E-2</v>
      </c>
      <c r="AK934">
        <v>6.7397260000000001E-2</v>
      </c>
      <c r="AL934">
        <v>7.5956284999999998E-2</v>
      </c>
      <c r="AM934">
        <v>0.11247948000000001</v>
      </c>
      <c r="AN934">
        <v>0.114480875</v>
      </c>
      <c r="AO934">
        <v>93.260273999999995</v>
      </c>
      <c r="AP934">
        <v>92.404371499999996</v>
      </c>
      <c r="AQ934">
        <v>88.752052000000006</v>
      </c>
      <c r="AR934">
        <v>88.5519125</v>
      </c>
      <c r="AS934" t="b">
        <v>0</v>
      </c>
      <c r="AT934" t="b">
        <v>0</v>
      </c>
      <c r="AU934" t="s">
        <v>77</v>
      </c>
      <c r="AV934" t="s">
        <v>77</v>
      </c>
      <c r="AW934" t="s">
        <v>783</v>
      </c>
      <c r="AX934" t="s">
        <v>1277</v>
      </c>
      <c r="AY934" t="s">
        <v>1430</v>
      </c>
      <c r="AZ934" t="s">
        <v>109</v>
      </c>
      <c r="BA934">
        <v>3</v>
      </c>
      <c r="BB934">
        <v>0.7</v>
      </c>
      <c r="BC934">
        <v>2.4738868000000001E-3</v>
      </c>
      <c r="BD934">
        <v>1.4256942275279999E-4</v>
      </c>
      <c r="BE934">
        <v>2.6164562227527998E-3</v>
      </c>
      <c r="BF934">
        <f>IF(AK934&lt;BE934,1,0)</f>
        <v>0</v>
      </c>
      <c r="BG934">
        <f>IF(AK934&lt;BC934,1,0)</f>
        <v>0</v>
      </c>
      <c r="BH934">
        <f>VLOOKUP($B934,[1]Data_Peer_with_peerVars!$B$2:$Z$1050,20,FALSE)</f>
        <v>2</v>
      </c>
      <c r="BI934">
        <f>VLOOKUP($B934,[1]Data_Peer_with_peerVars!$B$2:$Z$1050,21,FALSE)</f>
        <v>0</v>
      </c>
      <c r="BJ934">
        <f>VLOOKUP($B934,[1]Data_Peer_with_peerVars!$B$2:$Z$1050,22,FALSE)</f>
        <v>0</v>
      </c>
      <c r="BK934">
        <f>VLOOKUP($B934,[1]Data_Peer_with_peerVars!$B$2:$Z$1050,23,FALSE)</f>
        <v>5</v>
      </c>
      <c r="BL934">
        <f>VLOOKUP($B934,[1]Data_Peer_with_peerVars!$B$2:$Z$1050,24,FALSE)</f>
        <v>0</v>
      </c>
      <c r="BM934">
        <f>VLOOKUP($B934,[1]Data_Peer_with_peerVars!$B$2:$Z$1050,25,FALSE)</f>
        <v>0</v>
      </c>
    </row>
    <row r="935" spans="1:65" x14ac:dyDescent="0.2">
      <c r="A935">
        <v>1</v>
      </c>
      <c r="B935" t="s">
        <v>1436</v>
      </c>
      <c r="C935">
        <v>580</v>
      </c>
      <c r="D935" t="s">
        <v>68</v>
      </c>
      <c r="E935">
        <v>0</v>
      </c>
      <c r="F935">
        <v>510</v>
      </c>
      <c r="G935" t="s">
        <v>97</v>
      </c>
      <c r="H935" s="1">
        <v>7</v>
      </c>
      <c r="I935" t="s">
        <v>87</v>
      </c>
      <c r="J935" t="s">
        <v>111</v>
      </c>
      <c r="K935" t="s">
        <v>109</v>
      </c>
      <c r="L935">
        <v>1</v>
      </c>
      <c r="M935">
        <v>1</v>
      </c>
      <c r="N935">
        <v>0</v>
      </c>
      <c r="O935">
        <v>0</v>
      </c>
      <c r="P935">
        <v>1</v>
      </c>
      <c r="Q935">
        <v>6</v>
      </c>
      <c r="R935">
        <v>0</v>
      </c>
      <c r="S935">
        <v>0</v>
      </c>
      <c r="T935">
        <v>0</v>
      </c>
      <c r="U935">
        <v>0</v>
      </c>
      <c r="V935">
        <f t="shared" si="403"/>
        <v>0</v>
      </c>
      <c r="W935">
        <f t="shared" si="404"/>
        <v>0</v>
      </c>
      <c r="X935">
        <f t="shared" si="407"/>
        <v>0</v>
      </c>
      <c r="Y935">
        <f t="shared" si="405"/>
        <v>0</v>
      </c>
      <c r="Z935" t="s">
        <v>75</v>
      </c>
      <c r="AA935" s="5" t="s">
        <v>75</v>
      </c>
      <c r="AB935" s="5" t="s">
        <v>75</v>
      </c>
      <c r="AC935" t="s">
        <v>73</v>
      </c>
      <c r="AD935" t="s">
        <v>91</v>
      </c>
      <c r="AE935" s="5" t="s">
        <v>91</v>
      </c>
      <c r="AF935" t="s">
        <v>137</v>
      </c>
      <c r="AG935" t="s">
        <v>287</v>
      </c>
      <c r="AH935">
        <f>AI935</f>
        <v>0.12438625</v>
      </c>
      <c r="AI935">
        <f>AJ935</f>
        <v>0.12438625</v>
      </c>
      <c r="AJ935">
        <f t="shared" si="406"/>
        <v>0.12438625</v>
      </c>
      <c r="AK935">
        <v>0.12438625</v>
      </c>
      <c r="AL935">
        <v>0.13245757999999999</v>
      </c>
      <c r="AM935">
        <v>0.14117968</v>
      </c>
      <c r="AN935">
        <v>0.15163934000000001</v>
      </c>
      <c r="AO935">
        <v>87.561374999999998</v>
      </c>
      <c r="AP935">
        <v>86.754242000000005</v>
      </c>
      <c r="AQ935">
        <v>85.882031999999995</v>
      </c>
      <c r="AR935">
        <v>84.836066000000002</v>
      </c>
      <c r="AS935" t="b">
        <v>0</v>
      </c>
      <c r="AT935" t="b">
        <v>0</v>
      </c>
      <c r="AU935" t="s">
        <v>78</v>
      </c>
      <c r="AV935" t="s">
        <v>78</v>
      </c>
      <c r="AW935" t="s">
        <v>783</v>
      </c>
      <c r="AX935" t="s">
        <v>1277</v>
      </c>
      <c r="AY935" t="s">
        <v>1437</v>
      </c>
      <c r="AZ935" t="s">
        <v>109</v>
      </c>
      <c r="BA935">
        <v>3</v>
      </c>
      <c r="BB935">
        <v>0.5</v>
      </c>
      <c r="BC935">
        <v>4.1163553999999996E-3</v>
      </c>
      <c r="BD935">
        <v>1.4279989108178799E-4</v>
      </c>
      <c r="BE935">
        <v>4.2591552910817903E-3</v>
      </c>
      <c r="BF935">
        <f>IF(AK935&lt;BE935,1,0)</f>
        <v>0</v>
      </c>
      <c r="BG935">
        <f>IF(AK935&lt;BC935,1,0)</f>
        <v>0</v>
      </c>
      <c r="BH935">
        <f>VLOOKUP($B935,[1]Data_Peer_with_peerVars!$B$2:$Z$1050,20,FALSE)</f>
        <v>3</v>
      </c>
      <c r="BI935">
        <f>VLOOKUP($B935,[1]Data_Peer_with_peerVars!$B$2:$Z$1050,21,FALSE)</f>
        <v>2</v>
      </c>
      <c r="BJ935">
        <f>VLOOKUP($B935,[1]Data_Peer_with_peerVars!$B$2:$Z$1050,22,FALSE)</f>
        <v>0.66666666699999999</v>
      </c>
      <c r="BK935">
        <f>VLOOKUP($B935,[1]Data_Peer_with_peerVars!$B$2:$Z$1050,23,FALSE)</f>
        <v>83</v>
      </c>
      <c r="BL935">
        <f>VLOOKUP($B935,[1]Data_Peer_with_peerVars!$B$2:$Z$1050,24,FALSE)</f>
        <v>38</v>
      </c>
      <c r="BM935">
        <f>VLOOKUP($B935,[1]Data_Peer_with_peerVars!$B$2:$Z$1050,25,FALSE)</f>
        <v>0.45783132500000001</v>
      </c>
    </row>
    <row r="936" spans="1:65" x14ac:dyDescent="0.2">
      <c r="A936">
        <v>1</v>
      </c>
      <c r="B936" t="s">
        <v>1438</v>
      </c>
      <c r="C936">
        <v>581</v>
      </c>
      <c r="D936" t="s">
        <v>68</v>
      </c>
      <c r="E936">
        <v>0</v>
      </c>
      <c r="F936">
        <v>612</v>
      </c>
      <c r="G936" t="s">
        <v>119</v>
      </c>
      <c r="H936" s="1">
        <v>7</v>
      </c>
      <c r="I936" t="s">
        <v>87</v>
      </c>
      <c r="J936" t="s">
        <v>111</v>
      </c>
      <c r="K936" t="s">
        <v>109</v>
      </c>
      <c r="L936">
        <v>1</v>
      </c>
      <c r="M936">
        <v>0</v>
      </c>
      <c r="N936">
        <v>0</v>
      </c>
      <c r="O936">
        <v>0</v>
      </c>
      <c r="P936">
        <v>0</v>
      </c>
      <c r="Q936">
        <v>11</v>
      </c>
      <c r="R936">
        <v>0</v>
      </c>
      <c r="S936">
        <v>0</v>
      </c>
      <c r="T936">
        <v>1</v>
      </c>
      <c r="U936">
        <v>1</v>
      </c>
      <c r="V936">
        <f t="shared" si="403"/>
        <v>1</v>
      </c>
      <c r="W936">
        <v>1</v>
      </c>
      <c r="X936">
        <v>1</v>
      </c>
      <c r="Y936">
        <v>1</v>
      </c>
      <c r="Z936" t="s">
        <v>73</v>
      </c>
      <c r="AA936" s="5" t="s">
        <v>73</v>
      </c>
      <c r="AB936" s="5" t="s">
        <v>73</v>
      </c>
      <c r="AC936" t="s">
        <v>73</v>
      </c>
      <c r="AD936" t="s">
        <v>94</v>
      </c>
      <c r="AE936" s="5" t="s">
        <v>106</v>
      </c>
      <c r="AF936" t="s">
        <v>107</v>
      </c>
      <c r="AG936" t="s">
        <v>95</v>
      </c>
      <c r="AH936">
        <f>AI936</f>
        <v>3.8167940000000001E-3</v>
      </c>
      <c r="AI936">
        <f>AJ936</f>
        <v>3.8167940000000001E-3</v>
      </c>
      <c r="AJ936">
        <f t="shared" si="406"/>
        <v>3.8167940000000001E-3</v>
      </c>
      <c r="AK936">
        <v>3.8167940000000001E-3</v>
      </c>
      <c r="AL936">
        <v>0.13196722</v>
      </c>
      <c r="AM936">
        <v>0.13486843000000001</v>
      </c>
      <c r="AN936">
        <v>0.1381291</v>
      </c>
      <c r="AO936">
        <v>99.618320600000004</v>
      </c>
      <c r="AP936">
        <v>86.803278000000006</v>
      </c>
      <c r="AQ936">
        <v>86.513157000000007</v>
      </c>
      <c r="AR936">
        <v>86.187089999999998</v>
      </c>
      <c r="AS936" t="b">
        <v>1</v>
      </c>
      <c r="AT936" t="b">
        <v>0</v>
      </c>
      <c r="AU936" t="s">
        <v>77</v>
      </c>
      <c r="AV936" t="s">
        <v>108</v>
      </c>
      <c r="AW936" t="s">
        <v>783</v>
      </c>
      <c r="AX936" t="s">
        <v>1277</v>
      </c>
      <c r="AY936" t="s">
        <v>1396</v>
      </c>
      <c r="AZ936" t="s">
        <v>109</v>
      </c>
      <c r="BA936">
        <v>2</v>
      </c>
      <c r="BB936">
        <v>0.7</v>
      </c>
      <c r="BC936">
        <v>4.1163553999999996E-3</v>
      </c>
      <c r="BD936">
        <v>1.4279989108178799E-4</v>
      </c>
      <c r="BE936">
        <v>4.2591552910817903E-3</v>
      </c>
      <c r="BF936">
        <f>IF(AK936&lt;BE936,1,0)</f>
        <v>1</v>
      </c>
      <c r="BG936">
        <f>IF(AK936&lt;BC936,1,0)</f>
        <v>1</v>
      </c>
      <c r="BH936">
        <f>VLOOKUP($B936,[1]Data_Peer_with_peerVars!$B$2:$Z$1050,20,FALSE)</f>
        <v>3</v>
      </c>
      <c r="BI936">
        <f>VLOOKUP($B936,[1]Data_Peer_with_peerVars!$B$2:$Z$1050,21,FALSE)</f>
        <v>1</v>
      </c>
      <c r="BJ936">
        <f>VLOOKUP($B936,[1]Data_Peer_with_peerVars!$B$2:$Z$1050,22,FALSE)</f>
        <v>0.33333333300000001</v>
      </c>
      <c r="BK936">
        <f>VLOOKUP($B936,[1]Data_Peer_with_peerVars!$B$2:$Z$1050,23,FALSE)</f>
        <v>19</v>
      </c>
      <c r="BL936">
        <f>VLOOKUP($B936,[1]Data_Peer_with_peerVars!$B$2:$Z$1050,24,FALSE)</f>
        <v>3</v>
      </c>
      <c r="BM936">
        <f>VLOOKUP($B936,[1]Data_Peer_with_peerVars!$B$2:$Z$1050,25,FALSE)</f>
        <v>0.15789473700000001</v>
      </c>
    </row>
    <row r="937" spans="1:65" x14ac:dyDescent="0.2">
      <c r="A937">
        <v>1</v>
      </c>
      <c r="B937" t="s">
        <v>1439</v>
      </c>
      <c r="C937">
        <v>581</v>
      </c>
      <c r="D937" t="s">
        <v>68</v>
      </c>
      <c r="E937">
        <v>0</v>
      </c>
      <c r="F937">
        <v>612</v>
      </c>
      <c r="G937" t="s">
        <v>119</v>
      </c>
      <c r="H937" s="1">
        <v>7</v>
      </c>
      <c r="I937" t="s">
        <v>87</v>
      </c>
      <c r="J937" t="s">
        <v>111</v>
      </c>
      <c r="K937" t="s">
        <v>109</v>
      </c>
      <c r="L937">
        <v>1</v>
      </c>
      <c r="M937">
        <v>0</v>
      </c>
      <c r="N937">
        <v>0</v>
      </c>
      <c r="O937">
        <v>0</v>
      </c>
      <c r="P937">
        <v>0</v>
      </c>
      <c r="Q937">
        <v>11</v>
      </c>
      <c r="R937">
        <v>0</v>
      </c>
      <c r="S937">
        <v>0</v>
      </c>
      <c r="T937">
        <v>0</v>
      </c>
      <c r="U937">
        <v>0</v>
      </c>
      <c r="V937">
        <f t="shared" si="403"/>
        <v>0</v>
      </c>
      <c r="W937">
        <f t="shared" si="404"/>
        <v>0</v>
      </c>
      <c r="X937">
        <f t="shared" si="407"/>
        <v>0</v>
      </c>
      <c r="Y937">
        <f t="shared" si="405"/>
        <v>0</v>
      </c>
      <c r="Z937" t="s">
        <v>76</v>
      </c>
      <c r="AA937" s="5" t="s">
        <v>76</v>
      </c>
      <c r="AB937" s="5" t="s">
        <v>76</v>
      </c>
      <c r="AC937" t="s">
        <v>120</v>
      </c>
      <c r="AD937" t="s">
        <v>75</v>
      </c>
      <c r="AE937" s="5" t="s">
        <v>75</v>
      </c>
      <c r="AF937" t="s">
        <v>74</v>
      </c>
      <c r="AG937" t="s">
        <v>167</v>
      </c>
      <c r="AH937">
        <f>AI937</f>
        <v>2.6502732000000001E-2</v>
      </c>
      <c r="AI937">
        <f>AJ937</f>
        <v>2.6502732000000001E-2</v>
      </c>
      <c r="AJ937">
        <f t="shared" si="406"/>
        <v>2.6502732000000001E-2</v>
      </c>
      <c r="AK937">
        <v>2.6502732000000001E-2</v>
      </c>
      <c r="AL937">
        <v>8.0186099999999996E-2</v>
      </c>
      <c r="AM937">
        <v>8.7445179999999997E-2</v>
      </c>
      <c r="AN937">
        <v>0.10005482</v>
      </c>
      <c r="AO937">
        <v>97.349726799999999</v>
      </c>
      <c r="AP937">
        <v>91.981390000000005</v>
      </c>
      <c r="AQ937">
        <v>91.255482000000001</v>
      </c>
      <c r="AR937">
        <v>89.994517999999999</v>
      </c>
      <c r="AS937" t="b">
        <v>0</v>
      </c>
      <c r="AT937" t="b">
        <v>0</v>
      </c>
      <c r="AU937" t="s">
        <v>77</v>
      </c>
      <c r="AV937" t="s">
        <v>77</v>
      </c>
      <c r="AW937" t="s">
        <v>783</v>
      </c>
      <c r="AX937" t="s">
        <v>1277</v>
      </c>
      <c r="AY937" t="s">
        <v>1396</v>
      </c>
      <c r="AZ937" t="s">
        <v>109</v>
      </c>
      <c r="BA937">
        <v>2</v>
      </c>
      <c r="BB937">
        <v>0.7</v>
      </c>
      <c r="BC937">
        <v>4.6849314000000003E-2</v>
      </c>
      <c r="BD937">
        <v>4.5250577219970098E-3</v>
      </c>
      <c r="BE937">
        <v>5.1374371721996999E-2</v>
      </c>
      <c r="BF937">
        <f>IF(AK937&lt;BE937,1,0)</f>
        <v>1</v>
      </c>
      <c r="BG937">
        <f>IF(AK937&lt;BC937,1,0)</f>
        <v>1</v>
      </c>
      <c r="BH937">
        <f>VLOOKUP($B937,[1]Data_Peer_with_peerVars!$B$2:$Z$1050,20,FALSE)</f>
        <v>3</v>
      </c>
      <c r="BI937">
        <f>VLOOKUP($B937,[1]Data_Peer_with_peerVars!$B$2:$Z$1050,21,FALSE)</f>
        <v>1</v>
      </c>
      <c r="BJ937">
        <f>VLOOKUP($B937,[1]Data_Peer_with_peerVars!$B$2:$Z$1050,22,FALSE)</f>
        <v>0.33333333300000001</v>
      </c>
      <c r="BK937">
        <f>VLOOKUP($B937,[1]Data_Peer_with_peerVars!$B$2:$Z$1050,23,FALSE)</f>
        <v>19</v>
      </c>
      <c r="BL937">
        <f>VLOOKUP($B937,[1]Data_Peer_with_peerVars!$B$2:$Z$1050,24,FALSE)</f>
        <v>3</v>
      </c>
      <c r="BM937">
        <f>VLOOKUP($B937,[1]Data_Peer_with_peerVars!$B$2:$Z$1050,25,FALSE)</f>
        <v>0.15789473700000001</v>
      </c>
    </row>
    <row r="938" spans="1:65" x14ac:dyDescent="0.2">
      <c r="A938">
        <v>1</v>
      </c>
      <c r="B938" t="s">
        <v>1440</v>
      </c>
      <c r="C938">
        <v>581</v>
      </c>
      <c r="D938" t="s">
        <v>68</v>
      </c>
      <c r="E938">
        <v>0</v>
      </c>
      <c r="F938">
        <v>612</v>
      </c>
      <c r="G938" t="s">
        <v>119</v>
      </c>
      <c r="H938" s="1">
        <v>7</v>
      </c>
      <c r="I938" t="s">
        <v>87</v>
      </c>
      <c r="J938" t="s">
        <v>111</v>
      </c>
      <c r="K938" t="s">
        <v>109</v>
      </c>
      <c r="L938">
        <v>1</v>
      </c>
      <c r="M938">
        <v>0</v>
      </c>
      <c r="N938">
        <v>0</v>
      </c>
      <c r="O938">
        <v>0</v>
      </c>
      <c r="P938">
        <v>0</v>
      </c>
      <c r="Q938">
        <v>11</v>
      </c>
      <c r="R938">
        <v>0</v>
      </c>
      <c r="S938">
        <v>0</v>
      </c>
      <c r="T938">
        <v>0</v>
      </c>
      <c r="U938">
        <v>0</v>
      </c>
      <c r="V938">
        <f t="shared" si="403"/>
        <v>0</v>
      </c>
      <c r="W938">
        <f t="shared" si="404"/>
        <v>0</v>
      </c>
      <c r="X938">
        <f t="shared" si="407"/>
        <v>1</v>
      </c>
      <c r="Y938">
        <v>1</v>
      </c>
      <c r="Z938" t="s">
        <v>91</v>
      </c>
      <c r="AA938" s="5" t="s">
        <v>91</v>
      </c>
      <c r="AB938" s="5" t="s">
        <v>1395</v>
      </c>
      <c r="AC938" t="s">
        <v>287</v>
      </c>
      <c r="AD938" t="s">
        <v>137</v>
      </c>
      <c r="AE938" s="5" t="s">
        <v>305</v>
      </c>
      <c r="AF938" t="s">
        <v>91</v>
      </c>
      <c r="AG938" t="s">
        <v>113</v>
      </c>
      <c r="AH938">
        <f>AI938</f>
        <v>0.123426385</v>
      </c>
      <c r="AI938">
        <f>AM938</f>
        <v>0.123426385</v>
      </c>
      <c r="AJ938">
        <f t="shared" si="406"/>
        <v>4.1803277999999999E-2</v>
      </c>
      <c r="AK938">
        <v>4.1803277999999999E-2</v>
      </c>
      <c r="AL938">
        <v>0.10874317</v>
      </c>
      <c r="AM938">
        <v>0.123426385</v>
      </c>
      <c r="AN938">
        <v>0.12369434</v>
      </c>
      <c r="AO938">
        <v>95.819672199999999</v>
      </c>
      <c r="AP938">
        <v>89.125682999999995</v>
      </c>
      <c r="AQ938">
        <v>87.657361499999993</v>
      </c>
      <c r="AR938">
        <v>87.630566000000002</v>
      </c>
      <c r="AS938" t="b">
        <v>0</v>
      </c>
      <c r="AT938" t="b">
        <v>0</v>
      </c>
      <c r="AU938" t="s">
        <v>77</v>
      </c>
      <c r="AV938" t="s">
        <v>108</v>
      </c>
      <c r="AW938" t="s">
        <v>783</v>
      </c>
      <c r="AX938" t="s">
        <v>1277</v>
      </c>
      <c r="AY938" t="s">
        <v>1396</v>
      </c>
      <c r="AZ938" t="s">
        <v>109</v>
      </c>
      <c r="BA938">
        <v>2</v>
      </c>
      <c r="BB938">
        <v>0.21</v>
      </c>
      <c r="BC938">
        <v>5.5106750000000003E-2</v>
      </c>
      <c r="BD938">
        <v>2.4361461616194298E-3</v>
      </c>
      <c r="BE938">
        <v>5.7542896161619402E-2</v>
      </c>
      <c r="BF938">
        <f>IF(AK938&lt;BE938,1,0)</f>
        <v>1</v>
      </c>
      <c r="BG938">
        <f>IF(AK938&lt;BC938,1,0)</f>
        <v>1</v>
      </c>
      <c r="BH938">
        <f>VLOOKUP($B938,[1]Data_Peer_with_peerVars!$B$2:$Z$1050,20,FALSE)</f>
        <v>3</v>
      </c>
      <c r="BI938">
        <f>VLOOKUP($B938,[1]Data_Peer_with_peerVars!$B$2:$Z$1050,21,FALSE)</f>
        <v>1</v>
      </c>
      <c r="BJ938">
        <f>VLOOKUP($B938,[1]Data_Peer_with_peerVars!$B$2:$Z$1050,22,FALSE)</f>
        <v>0.33333333300000001</v>
      </c>
      <c r="BK938">
        <f>VLOOKUP($B938,[1]Data_Peer_with_peerVars!$B$2:$Z$1050,23,FALSE)</f>
        <v>19</v>
      </c>
      <c r="BL938">
        <f>VLOOKUP($B938,[1]Data_Peer_with_peerVars!$B$2:$Z$1050,24,FALSE)</f>
        <v>3</v>
      </c>
      <c r="BM938">
        <f>VLOOKUP($B938,[1]Data_Peer_with_peerVars!$B$2:$Z$1050,25,FALSE)</f>
        <v>0.15789473700000001</v>
      </c>
    </row>
    <row r="939" spans="1:65" x14ac:dyDescent="0.2">
      <c r="A939">
        <v>1</v>
      </c>
      <c r="B939" t="s">
        <v>1441</v>
      </c>
      <c r="C939">
        <v>582</v>
      </c>
      <c r="D939" t="s">
        <v>68</v>
      </c>
      <c r="E939">
        <v>0</v>
      </c>
      <c r="F939">
        <v>617</v>
      </c>
      <c r="G939" t="s">
        <v>119</v>
      </c>
      <c r="H939" s="1">
        <v>6</v>
      </c>
      <c r="I939" t="s">
        <v>87</v>
      </c>
      <c r="J939" t="s">
        <v>111</v>
      </c>
      <c r="K939" t="s">
        <v>109</v>
      </c>
      <c r="L939">
        <v>1</v>
      </c>
      <c r="M939">
        <v>1</v>
      </c>
      <c r="N939">
        <v>0</v>
      </c>
      <c r="O939">
        <v>0</v>
      </c>
      <c r="P939">
        <v>0</v>
      </c>
      <c r="Q939">
        <v>3</v>
      </c>
      <c r="R939">
        <v>0</v>
      </c>
      <c r="S939">
        <v>0</v>
      </c>
      <c r="T939">
        <v>0</v>
      </c>
      <c r="U939">
        <v>0</v>
      </c>
      <c r="V939">
        <f t="shared" si="403"/>
        <v>0</v>
      </c>
      <c r="W939">
        <f t="shared" si="404"/>
        <v>0</v>
      </c>
      <c r="X939">
        <f t="shared" si="407"/>
        <v>0</v>
      </c>
      <c r="Y939">
        <f t="shared" si="405"/>
        <v>0</v>
      </c>
      <c r="Z939" t="s">
        <v>170</v>
      </c>
      <c r="AA939" s="5" t="s">
        <v>170</v>
      </c>
      <c r="AB939" s="5" t="s">
        <v>1442</v>
      </c>
      <c r="AC939" t="s">
        <v>287</v>
      </c>
      <c r="AD939" t="s">
        <v>137</v>
      </c>
      <c r="AE939" s="5" t="s">
        <v>305</v>
      </c>
      <c r="AF939" t="s">
        <v>91</v>
      </c>
      <c r="AG939" t="s">
        <v>113</v>
      </c>
      <c r="AH939">
        <f t="shared" ref="AH939:AH945" si="421">AI939</f>
        <v>9.0114689999999997E-2</v>
      </c>
      <c r="AI939">
        <f t="shared" ref="AI939:AI945" si="422">AJ939</f>
        <v>9.0114689999999997E-2</v>
      </c>
      <c r="AJ939">
        <f t="shared" si="406"/>
        <v>9.0114689999999997E-2</v>
      </c>
      <c r="AK939">
        <v>9.0114689999999997E-2</v>
      </c>
      <c r="AL939">
        <v>0.10649918</v>
      </c>
      <c r="AM939">
        <v>0.11959496</v>
      </c>
      <c r="AN939">
        <v>0.12582418000000001</v>
      </c>
      <c r="AO939">
        <v>90.988530999999995</v>
      </c>
      <c r="AP939">
        <v>89.350082</v>
      </c>
      <c r="AQ939">
        <v>88.040503999999999</v>
      </c>
      <c r="AR939">
        <v>87.417581999999996</v>
      </c>
      <c r="AS939" t="b">
        <v>0</v>
      </c>
      <c r="AT939" t="b">
        <v>0</v>
      </c>
      <c r="AU939" t="s">
        <v>92</v>
      </c>
      <c r="AV939" t="s">
        <v>92</v>
      </c>
      <c r="AW939" t="s">
        <v>783</v>
      </c>
      <c r="AX939" t="s">
        <v>1277</v>
      </c>
      <c r="AY939" t="s">
        <v>1443</v>
      </c>
      <c r="AZ939" t="s">
        <v>109</v>
      </c>
      <c r="BA939">
        <v>3</v>
      </c>
      <c r="BB939">
        <v>0.35</v>
      </c>
      <c r="BC939">
        <v>5.5106750000000003E-2</v>
      </c>
      <c r="BD939">
        <v>2.4361461616194298E-3</v>
      </c>
      <c r="BE939">
        <v>5.7542896161619402E-2</v>
      </c>
      <c r="BF939">
        <f>IF(AK939&lt;BE939,1,0)</f>
        <v>0</v>
      </c>
      <c r="BG939">
        <f>IF(AK939&lt;BC939,1,0)</f>
        <v>0</v>
      </c>
      <c r="BH939">
        <f>VLOOKUP($B939,[1]Data_Peer_with_peerVars!$B$2:$Z$1050,20,FALSE)</f>
        <v>6</v>
      </c>
      <c r="BI939">
        <f>VLOOKUP($B939,[1]Data_Peer_with_peerVars!$B$2:$Z$1050,21,FALSE)</f>
        <v>3</v>
      </c>
      <c r="BJ939">
        <f>VLOOKUP($B939,[1]Data_Peer_with_peerVars!$B$2:$Z$1050,22,FALSE)</f>
        <v>0.5</v>
      </c>
      <c r="BK939">
        <f>VLOOKUP($B939,[1]Data_Peer_with_peerVars!$B$2:$Z$1050,23,FALSE)</f>
        <v>66</v>
      </c>
      <c r="BL939">
        <f>VLOOKUP($B939,[1]Data_Peer_with_peerVars!$B$2:$Z$1050,24,FALSE)</f>
        <v>32</v>
      </c>
      <c r="BM939">
        <f>VLOOKUP($B939,[1]Data_Peer_with_peerVars!$B$2:$Z$1050,25,FALSE)</f>
        <v>0.484848485</v>
      </c>
    </row>
    <row r="940" spans="1:65" x14ac:dyDescent="0.2">
      <c r="A940">
        <v>1</v>
      </c>
      <c r="B940" t="s">
        <v>1444</v>
      </c>
      <c r="C940">
        <v>582</v>
      </c>
      <c r="D940" t="s">
        <v>68</v>
      </c>
      <c r="E940">
        <v>0</v>
      </c>
      <c r="F940">
        <v>617</v>
      </c>
      <c r="G940" t="s">
        <v>119</v>
      </c>
      <c r="H940" s="1">
        <v>6</v>
      </c>
      <c r="I940" t="s">
        <v>87</v>
      </c>
      <c r="J940" t="s">
        <v>111</v>
      </c>
      <c r="K940" t="s">
        <v>109</v>
      </c>
      <c r="L940">
        <v>1</v>
      </c>
      <c r="M940">
        <v>1</v>
      </c>
      <c r="N940">
        <v>0</v>
      </c>
      <c r="O940">
        <v>0</v>
      </c>
      <c r="P940">
        <v>0</v>
      </c>
      <c r="Q940">
        <v>3</v>
      </c>
      <c r="R940">
        <v>0</v>
      </c>
      <c r="S940">
        <v>0</v>
      </c>
      <c r="T940">
        <v>0</v>
      </c>
      <c r="U940">
        <v>0</v>
      </c>
      <c r="V940">
        <f t="shared" si="403"/>
        <v>0</v>
      </c>
      <c r="W940">
        <f t="shared" si="404"/>
        <v>0</v>
      </c>
      <c r="X940">
        <f t="shared" si="407"/>
        <v>0</v>
      </c>
      <c r="Y940">
        <f t="shared" si="405"/>
        <v>0</v>
      </c>
      <c r="Z940" t="s">
        <v>170</v>
      </c>
      <c r="AA940" s="5" t="s">
        <v>170</v>
      </c>
      <c r="AB940" s="5" t="s">
        <v>1063</v>
      </c>
      <c r="AC940" t="s">
        <v>74</v>
      </c>
      <c r="AD940" t="s">
        <v>75</v>
      </c>
      <c r="AE940" s="5" t="s">
        <v>75</v>
      </c>
      <c r="AF940" t="s">
        <v>120</v>
      </c>
      <c r="AG940" t="s">
        <v>167</v>
      </c>
      <c r="AH940">
        <f t="shared" si="421"/>
        <v>4.2763160000000001E-2</v>
      </c>
      <c r="AI940">
        <f t="shared" si="422"/>
        <v>4.2763160000000001E-2</v>
      </c>
      <c r="AJ940">
        <f t="shared" si="406"/>
        <v>4.2763160000000001E-2</v>
      </c>
      <c r="AK940">
        <v>4.2763160000000001E-2</v>
      </c>
      <c r="AL940">
        <v>8.2375480000000001E-2</v>
      </c>
      <c r="AM940">
        <v>8.5792350000000003E-2</v>
      </c>
      <c r="AN940">
        <v>9.5942979999999997E-2</v>
      </c>
      <c r="AO940">
        <v>95.723684000000006</v>
      </c>
      <c r="AP940">
        <v>91.762451999999996</v>
      </c>
      <c r="AQ940">
        <v>91.420765000000003</v>
      </c>
      <c r="AR940">
        <v>90.405702000000005</v>
      </c>
      <c r="AS940" t="b">
        <v>0</v>
      </c>
      <c r="AT940" t="b">
        <v>0</v>
      </c>
      <c r="AU940" t="s">
        <v>92</v>
      </c>
      <c r="AV940" t="s">
        <v>92</v>
      </c>
      <c r="AW940" t="s">
        <v>783</v>
      </c>
      <c r="AX940" t="s">
        <v>1277</v>
      </c>
      <c r="AY940" t="s">
        <v>1445</v>
      </c>
      <c r="AZ940" t="s">
        <v>82</v>
      </c>
      <c r="BA940" t="s">
        <v>82</v>
      </c>
      <c r="BB940">
        <v>0.21</v>
      </c>
      <c r="BC940">
        <v>2.4738868000000001E-3</v>
      </c>
      <c r="BD940">
        <v>1.4256942275279999E-4</v>
      </c>
      <c r="BE940">
        <v>2.6164562227527998E-3</v>
      </c>
      <c r="BF940">
        <f>IF(AK940&lt;BE940,1,0)</f>
        <v>0</v>
      </c>
      <c r="BG940">
        <f>IF(AK940&lt;BC940,1,0)</f>
        <v>0</v>
      </c>
      <c r="BH940">
        <f>VLOOKUP($B940,[1]Data_Peer_with_peerVars!$B$2:$Z$1050,20,FALSE)</f>
        <v>6</v>
      </c>
      <c r="BI940">
        <f>VLOOKUP($B940,[1]Data_Peer_with_peerVars!$B$2:$Z$1050,21,FALSE)</f>
        <v>3</v>
      </c>
      <c r="BJ940">
        <f>VLOOKUP($B940,[1]Data_Peer_with_peerVars!$B$2:$Z$1050,22,FALSE)</f>
        <v>0.5</v>
      </c>
      <c r="BK940">
        <f>VLOOKUP($B940,[1]Data_Peer_with_peerVars!$B$2:$Z$1050,23,FALSE)</f>
        <v>66</v>
      </c>
      <c r="BL940">
        <f>VLOOKUP($B940,[1]Data_Peer_with_peerVars!$B$2:$Z$1050,24,FALSE)</f>
        <v>32</v>
      </c>
      <c r="BM940">
        <f>VLOOKUP($B940,[1]Data_Peer_with_peerVars!$B$2:$Z$1050,25,FALSE)</f>
        <v>0.484848485</v>
      </c>
    </row>
    <row r="941" spans="1:65" x14ac:dyDescent="0.2">
      <c r="A941">
        <v>1</v>
      </c>
      <c r="B941" t="s">
        <v>1446</v>
      </c>
      <c r="C941">
        <v>583</v>
      </c>
      <c r="D941" t="s">
        <v>68</v>
      </c>
      <c r="E941">
        <v>0</v>
      </c>
      <c r="F941">
        <v>619</v>
      </c>
      <c r="G941" t="s">
        <v>119</v>
      </c>
      <c r="H941" s="1">
        <v>7</v>
      </c>
      <c r="I941" t="s">
        <v>87</v>
      </c>
      <c r="J941" t="s">
        <v>111</v>
      </c>
      <c r="K941" t="s">
        <v>109</v>
      </c>
      <c r="L941">
        <v>1</v>
      </c>
      <c r="M941">
        <v>1</v>
      </c>
      <c r="N941">
        <v>1</v>
      </c>
      <c r="O941">
        <v>1</v>
      </c>
      <c r="P941">
        <v>0</v>
      </c>
      <c r="Q941">
        <v>0</v>
      </c>
      <c r="R941">
        <v>0</v>
      </c>
      <c r="S941">
        <v>0</v>
      </c>
      <c r="T941">
        <v>0</v>
      </c>
      <c r="U941">
        <v>0</v>
      </c>
      <c r="V941">
        <f t="shared" si="403"/>
        <v>1</v>
      </c>
      <c r="W941">
        <v>1</v>
      </c>
      <c r="X941">
        <v>1</v>
      </c>
      <c r="Y941">
        <v>1</v>
      </c>
      <c r="Z941" t="s">
        <v>73</v>
      </c>
      <c r="AA941" s="5" t="s">
        <v>73</v>
      </c>
      <c r="AB941" s="5" t="s">
        <v>73</v>
      </c>
      <c r="AC941" t="s">
        <v>73</v>
      </c>
      <c r="AD941" t="s">
        <v>94</v>
      </c>
      <c r="AE941" s="5" t="s">
        <v>94</v>
      </c>
      <c r="AF941" t="s">
        <v>75</v>
      </c>
      <c r="AG941" t="s">
        <v>113</v>
      </c>
      <c r="AH941">
        <f t="shared" si="421"/>
        <v>4.4711012000000001E-2</v>
      </c>
      <c r="AI941">
        <f t="shared" si="422"/>
        <v>4.4711012000000001E-2</v>
      </c>
      <c r="AJ941">
        <f t="shared" si="406"/>
        <v>4.4711012000000001E-2</v>
      </c>
      <c r="AK941">
        <v>4.4711012000000001E-2</v>
      </c>
      <c r="AL941">
        <v>0.12254366999999999</v>
      </c>
      <c r="AM941">
        <v>0.1321116</v>
      </c>
      <c r="AN941">
        <v>0.14415157000000001</v>
      </c>
      <c r="AO941">
        <v>95.528898799999993</v>
      </c>
      <c r="AP941">
        <v>87.745632999999998</v>
      </c>
      <c r="AQ941">
        <v>86.788839999999993</v>
      </c>
      <c r="AR941">
        <v>85.584843000000006</v>
      </c>
      <c r="AS941" t="b">
        <v>1</v>
      </c>
      <c r="AT941" t="b">
        <v>0</v>
      </c>
      <c r="AU941" t="s">
        <v>77</v>
      </c>
      <c r="AV941" t="s">
        <v>78</v>
      </c>
      <c r="AW941" t="s">
        <v>783</v>
      </c>
      <c r="AX941" t="s">
        <v>1277</v>
      </c>
      <c r="AY941" t="s">
        <v>1430</v>
      </c>
      <c r="AZ941" t="s">
        <v>109</v>
      </c>
      <c r="BA941">
        <v>2</v>
      </c>
      <c r="BB941">
        <v>2.5</v>
      </c>
      <c r="BC941">
        <v>4.1163553999999996E-3</v>
      </c>
      <c r="BD941">
        <v>1.4279989108178799E-4</v>
      </c>
      <c r="BE941">
        <v>4.2591552910817903E-3</v>
      </c>
      <c r="BF941">
        <f>IF(AK941&lt;BE941,1,0)</f>
        <v>0</v>
      </c>
      <c r="BG941">
        <f>IF(AK941&lt;BC941,1,0)</f>
        <v>0</v>
      </c>
      <c r="BH941">
        <f>VLOOKUP($B941,[1]Data_Peer_with_peerVars!$B$2:$Z$1050,20,FALSE)</f>
        <v>2</v>
      </c>
      <c r="BI941">
        <f>VLOOKUP($B941,[1]Data_Peer_with_peerVars!$B$2:$Z$1050,21,FALSE)</f>
        <v>2</v>
      </c>
      <c r="BJ941">
        <f>VLOOKUP($B941,[1]Data_Peer_with_peerVars!$B$2:$Z$1050,22,FALSE)</f>
        <v>1</v>
      </c>
      <c r="BK941">
        <f>VLOOKUP($B941,[1]Data_Peer_with_peerVars!$B$2:$Z$1050,23,FALSE)</f>
        <v>7</v>
      </c>
      <c r="BL941">
        <f>VLOOKUP($B941,[1]Data_Peer_with_peerVars!$B$2:$Z$1050,24,FALSE)</f>
        <v>7</v>
      </c>
      <c r="BM941">
        <f>VLOOKUP($B941,[1]Data_Peer_with_peerVars!$B$2:$Z$1050,25,FALSE)</f>
        <v>1</v>
      </c>
    </row>
    <row r="942" spans="1:65" x14ac:dyDescent="0.2">
      <c r="A942">
        <v>1</v>
      </c>
      <c r="B942" t="s">
        <v>1447</v>
      </c>
      <c r="C942">
        <v>584</v>
      </c>
      <c r="D942" t="s">
        <v>68</v>
      </c>
      <c r="E942">
        <v>1</v>
      </c>
      <c r="F942">
        <v>615</v>
      </c>
      <c r="G942" t="s">
        <v>86</v>
      </c>
      <c r="H942" s="1">
        <v>7</v>
      </c>
      <c r="I942" t="s">
        <v>87</v>
      </c>
      <c r="J942" t="s">
        <v>111</v>
      </c>
      <c r="K942" t="s">
        <v>109</v>
      </c>
      <c r="L942">
        <v>2</v>
      </c>
      <c r="M942">
        <v>1</v>
      </c>
      <c r="N942">
        <v>0</v>
      </c>
      <c r="O942">
        <v>0</v>
      </c>
      <c r="P942">
        <v>0</v>
      </c>
      <c r="Q942">
        <v>6</v>
      </c>
      <c r="R942">
        <v>0</v>
      </c>
      <c r="S942">
        <v>0</v>
      </c>
      <c r="T942">
        <v>0</v>
      </c>
      <c r="U942">
        <v>0</v>
      </c>
      <c r="V942">
        <f t="shared" si="403"/>
        <v>1</v>
      </c>
      <c r="W942">
        <v>1</v>
      </c>
      <c r="X942">
        <v>1</v>
      </c>
      <c r="Y942">
        <v>1</v>
      </c>
      <c r="Z942" t="s">
        <v>73</v>
      </c>
      <c r="AA942" s="5" t="s">
        <v>73</v>
      </c>
      <c r="AB942" s="5" t="s">
        <v>73</v>
      </c>
      <c r="AC942" t="s">
        <v>73</v>
      </c>
      <c r="AD942" t="s">
        <v>75</v>
      </c>
      <c r="AE942" s="5" t="s">
        <v>75</v>
      </c>
      <c r="AF942" t="s">
        <v>137</v>
      </c>
      <c r="AG942" t="s">
        <v>167</v>
      </c>
      <c r="AH942">
        <f t="shared" si="421"/>
        <v>0.10850600000000001</v>
      </c>
      <c r="AI942">
        <f t="shared" si="422"/>
        <v>0.10850600000000001</v>
      </c>
      <c r="AJ942">
        <f t="shared" si="406"/>
        <v>0.10850600000000001</v>
      </c>
      <c r="AK942">
        <v>0.10850600000000001</v>
      </c>
      <c r="AL942">
        <v>0.117888406</v>
      </c>
      <c r="AM942">
        <v>0.13264192999999999</v>
      </c>
      <c r="AN942">
        <v>0.14465754</v>
      </c>
      <c r="AO942">
        <v>89.1494</v>
      </c>
      <c r="AP942">
        <v>88.2111594</v>
      </c>
      <c r="AQ942">
        <v>86.735806999999994</v>
      </c>
      <c r="AR942">
        <v>85.534245999999996</v>
      </c>
      <c r="AS942" t="b">
        <v>1</v>
      </c>
      <c r="AT942" t="b">
        <v>0</v>
      </c>
      <c r="AU942" t="s">
        <v>78</v>
      </c>
      <c r="AV942" t="s">
        <v>78</v>
      </c>
      <c r="AW942" t="s">
        <v>783</v>
      </c>
      <c r="AX942" t="s">
        <v>1277</v>
      </c>
      <c r="AY942" t="s">
        <v>604</v>
      </c>
      <c r="AZ942" t="s">
        <v>109</v>
      </c>
      <c r="BA942">
        <v>3</v>
      </c>
      <c r="BB942">
        <v>2.1</v>
      </c>
      <c r="BC942">
        <v>4.1163553999999996E-3</v>
      </c>
      <c r="BD942">
        <v>1.4279989108178799E-4</v>
      </c>
      <c r="BE942">
        <v>4.2591552910817903E-3</v>
      </c>
      <c r="BF942">
        <f>IF(AK942&lt;BE942,1,0)</f>
        <v>0</v>
      </c>
      <c r="BG942">
        <f>IF(AK942&lt;BC942,1,0)</f>
        <v>0</v>
      </c>
      <c r="BH942">
        <f>VLOOKUP($B942,[1]Data_Peer_with_peerVars!$B$2:$Z$1050,20,FALSE)</f>
        <v>6</v>
      </c>
      <c r="BI942">
        <f>VLOOKUP($B942,[1]Data_Peer_with_peerVars!$B$2:$Z$1050,21,FALSE)</f>
        <v>3</v>
      </c>
      <c r="BJ942">
        <f>VLOOKUP($B942,[1]Data_Peer_with_peerVars!$B$2:$Z$1050,22,FALSE)</f>
        <v>0.5</v>
      </c>
      <c r="BK942">
        <f>VLOOKUP($B942,[1]Data_Peer_with_peerVars!$B$2:$Z$1050,23,FALSE)</f>
        <v>11</v>
      </c>
      <c r="BL942">
        <f>VLOOKUP($B942,[1]Data_Peer_with_peerVars!$B$2:$Z$1050,24,FALSE)</f>
        <v>5</v>
      </c>
      <c r="BM942">
        <f>VLOOKUP($B942,[1]Data_Peer_with_peerVars!$B$2:$Z$1050,25,FALSE)</f>
        <v>0.45454545499999999</v>
      </c>
    </row>
    <row r="943" spans="1:65" x14ac:dyDescent="0.2">
      <c r="A943">
        <v>1</v>
      </c>
      <c r="B943" t="s">
        <v>1448</v>
      </c>
      <c r="C943">
        <v>585</v>
      </c>
      <c r="D943" t="s">
        <v>68</v>
      </c>
      <c r="E943">
        <v>0</v>
      </c>
      <c r="F943">
        <v>516</v>
      </c>
      <c r="G943" t="s">
        <v>119</v>
      </c>
      <c r="H943" s="1">
        <v>5.5</v>
      </c>
      <c r="I943" t="s">
        <v>70</v>
      </c>
      <c r="J943" t="s">
        <v>436</v>
      </c>
      <c r="K943" t="s">
        <v>109</v>
      </c>
      <c r="L943">
        <v>1</v>
      </c>
      <c r="M943">
        <v>0</v>
      </c>
      <c r="N943">
        <v>0</v>
      </c>
      <c r="O943">
        <v>0</v>
      </c>
      <c r="P943">
        <v>1</v>
      </c>
      <c r="Q943">
        <v>1</v>
      </c>
      <c r="R943">
        <v>0</v>
      </c>
      <c r="S943">
        <v>0</v>
      </c>
      <c r="T943">
        <v>0</v>
      </c>
      <c r="U943">
        <v>0</v>
      </c>
      <c r="V943">
        <f t="shared" si="403"/>
        <v>1</v>
      </c>
      <c r="W943">
        <v>1</v>
      </c>
      <c r="X943">
        <v>1</v>
      </c>
      <c r="Y943">
        <v>1</v>
      </c>
      <c r="Z943" t="s">
        <v>73</v>
      </c>
      <c r="AA943" s="5" t="s">
        <v>73</v>
      </c>
      <c r="AB943" s="5" t="s">
        <v>73</v>
      </c>
      <c r="AC943" t="s">
        <v>73</v>
      </c>
      <c r="AD943" t="s">
        <v>137</v>
      </c>
      <c r="AE943" s="5" t="s">
        <v>137</v>
      </c>
      <c r="AF943" t="s">
        <v>113</v>
      </c>
      <c r="AG943" t="s">
        <v>287</v>
      </c>
      <c r="AH943">
        <f t="shared" si="421"/>
        <v>8.7240999999999999E-2</v>
      </c>
      <c r="AI943">
        <f t="shared" si="422"/>
        <v>8.7240999999999999E-2</v>
      </c>
      <c r="AJ943">
        <f t="shared" si="406"/>
        <v>8.7240999999999999E-2</v>
      </c>
      <c r="AK943">
        <v>8.7240999999999999E-2</v>
      </c>
      <c r="AL943">
        <v>0.12472708</v>
      </c>
      <c r="AM943">
        <v>0.13454147</v>
      </c>
      <c r="AN943">
        <v>0.13864629000000001</v>
      </c>
      <c r="AO943">
        <v>91.275899999999993</v>
      </c>
      <c r="AP943">
        <v>87.527292000000003</v>
      </c>
      <c r="AQ943">
        <v>86.545852999999994</v>
      </c>
      <c r="AR943">
        <v>86.135371000000006</v>
      </c>
      <c r="AS943" t="b">
        <v>1</v>
      </c>
      <c r="AT943" t="b">
        <v>0</v>
      </c>
      <c r="AU943" t="s">
        <v>77</v>
      </c>
      <c r="AV943" t="s">
        <v>78</v>
      </c>
      <c r="AW943" t="s">
        <v>783</v>
      </c>
      <c r="AX943" t="s">
        <v>1277</v>
      </c>
      <c r="AY943" t="s">
        <v>1449</v>
      </c>
      <c r="AZ943" t="s">
        <v>109</v>
      </c>
      <c r="BA943">
        <v>3</v>
      </c>
      <c r="BB943">
        <v>2</v>
      </c>
      <c r="BC943">
        <v>4.1163553999999996E-3</v>
      </c>
      <c r="BD943">
        <v>1.4279989108178799E-4</v>
      </c>
      <c r="BE943">
        <v>4.2591552910817903E-3</v>
      </c>
      <c r="BF943">
        <f>IF(AK943&lt;BE943,1,0)</f>
        <v>0</v>
      </c>
      <c r="BG943">
        <f>IF(AK943&lt;BC943,1,0)</f>
        <v>0</v>
      </c>
      <c r="BH943">
        <f>VLOOKUP($B943,[1]Data_Peer_with_peerVars!$B$2:$Z$1050,20,FALSE)</f>
        <v>4</v>
      </c>
      <c r="BI943">
        <f>VLOOKUP($B943,[1]Data_Peer_with_peerVars!$B$2:$Z$1050,21,FALSE)</f>
        <v>4</v>
      </c>
      <c r="BJ943">
        <f>VLOOKUP($B943,[1]Data_Peer_with_peerVars!$B$2:$Z$1050,22,FALSE)</f>
        <v>1</v>
      </c>
      <c r="BK943">
        <f>VLOOKUP($B943,[1]Data_Peer_with_peerVars!$B$2:$Z$1050,23,FALSE)</f>
        <v>10</v>
      </c>
      <c r="BL943">
        <f>VLOOKUP($B943,[1]Data_Peer_with_peerVars!$B$2:$Z$1050,24,FALSE)</f>
        <v>8</v>
      </c>
      <c r="BM943">
        <f>VLOOKUP($B943,[1]Data_Peer_with_peerVars!$B$2:$Z$1050,25,FALSE)</f>
        <v>0.8</v>
      </c>
    </row>
    <row r="944" spans="1:65" x14ac:dyDescent="0.2">
      <c r="A944">
        <v>1</v>
      </c>
      <c r="B944" t="s">
        <v>1450</v>
      </c>
      <c r="C944">
        <v>586</v>
      </c>
      <c r="D944" t="s">
        <v>68</v>
      </c>
      <c r="E944">
        <v>0</v>
      </c>
      <c r="F944">
        <v>517</v>
      </c>
      <c r="G944" t="s">
        <v>119</v>
      </c>
      <c r="H944" s="1">
        <v>7</v>
      </c>
      <c r="I944" t="s">
        <v>70</v>
      </c>
      <c r="J944" t="s">
        <v>301</v>
      </c>
      <c r="K944" t="s">
        <v>109</v>
      </c>
      <c r="L944">
        <v>1</v>
      </c>
      <c r="M944">
        <v>1</v>
      </c>
      <c r="N944">
        <v>0</v>
      </c>
      <c r="O944">
        <v>0</v>
      </c>
      <c r="P944">
        <v>1</v>
      </c>
      <c r="Q944">
        <v>6</v>
      </c>
      <c r="R944">
        <v>0</v>
      </c>
      <c r="S944">
        <v>0</v>
      </c>
      <c r="T944">
        <v>1</v>
      </c>
      <c r="U944">
        <v>1</v>
      </c>
      <c r="V944">
        <f t="shared" si="403"/>
        <v>1</v>
      </c>
      <c r="W944">
        <v>1</v>
      </c>
      <c r="X944">
        <v>1</v>
      </c>
      <c r="Y944">
        <v>1</v>
      </c>
      <c r="Z944" t="s">
        <v>73</v>
      </c>
      <c r="AA944" s="5" t="s">
        <v>73</v>
      </c>
      <c r="AB944" s="5" t="s">
        <v>73</v>
      </c>
      <c r="AC944" t="s">
        <v>73</v>
      </c>
      <c r="AD944" t="s">
        <v>94</v>
      </c>
      <c r="AE944" s="5" t="s">
        <v>106</v>
      </c>
      <c r="AF944" t="s">
        <v>107</v>
      </c>
      <c r="AG944" t="s">
        <v>95</v>
      </c>
      <c r="AH944">
        <f t="shared" si="421"/>
        <v>4.0916529999999998E-3</v>
      </c>
      <c r="AI944">
        <f t="shared" si="422"/>
        <v>4.0916529999999998E-3</v>
      </c>
      <c r="AJ944">
        <f t="shared" si="406"/>
        <v>4.0916529999999998E-3</v>
      </c>
      <c r="AK944">
        <v>4.0916529999999998E-3</v>
      </c>
      <c r="AL944">
        <v>0.13149261000000001</v>
      </c>
      <c r="AM944">
        <v>0.13651315999999999</v>
      </c>
      <c r="AN944">
        <v>0.13894967999999999</v>
      </c>
      <c r="AO944">
        <v>99.590834700000002</v>
      </c>
      <c r="AP944">
        <v>86.850739000000004</v>
      </c>
      <c r="AQ944">
        <v>86.348684000000006</v>
      </c>
      <c r="AR944">
        <v>86.105031999999994</v>
      </c>
      <c r="AS944" t="b">
        <v>1</v>
      </c>
      <c r="AT944" t="b">
        <v>0</v>
      </c>
      <c r="AU944" t="s">
        <v>77</v>
      </c>
      <c r="AV944" t="s">
        <v>108</v>
      </c>
      <c r="AW944" t="s">
        <v>783</v>
      </c>
      <c r="AX944" t="s">
        <v>1277</v>
      </c>
      <c r="AY944" t="s">
        <v>1430</v>
      </c>
      <c r="AZ944" t="s">
        <v>109</v>
      </c>
      <c r="BA944">
        <v>3</v>
      </c>
      <c r="BB944">
        <v>1.5</v>
      </c>
      <c r="BC944">
        <v>4.1163553999999996E-3</v>
      </c>
      <c r="BD944">
        <v>1.4279989108178799E-4</v>
      </c>
      <c r="BE944">
        <v>4.2591552910817903E-3</v>
      </c>
      <c r="BF944">
        <f>IF(AK944&lt;BE944,1,0)</f>
        <v>1</v>
      </c>
      <c r="BG944">
        <f>IF(AK944&lt;BC944,1,0)</f>
        <v>1</v>
      </c>
      <c r="BH944">
        <f>VLOOKUP($B944,[1]Data_Peer_with_peerVars!$B$2:$Z$1050,20,FALSE)</f>
        <v>2</v>
      </c>
      <c r="BI944">
        <f>VLOOKUP($B944,[1]Data_Peer_with_peerVars!$B$2:$Z$1050,21,FALSE)</f>
        <v>2</v>
      </c>
      <c r="BJ944">
        <f>VLOOKUP($B944,[1]Data_Peer_with_peerVars!$B$2:$Z$1050,22,FALSE)</f>
        <v>1</v>
      </c>
      <c r="BK944">
        <f>VLOOKUP($B944,[1]Data_Peer_with_peerVars!$B$2:$Z$1050,23,FALSE)</f>
        <v>7</v>
      </c>
      <c r="BL944">
        <f>VLOOKUP($B944,[1]Data_Peer_with_peerVars!$B$2:$Z$1050,24,FALSE)</f>
        <v>7</v>
      </c>
      <c r="BM944">
        <f>VLOOKUP($B944,[1]Data_Peer_with_peerVars!$B$2:$Z$1050,25,FALSE)</f>
        <v>1</v>
      </c>
    </row>
    <row r="945" spans="1:65" x14ac:dyDescent="0.2">
      <c r="A945">
        <v>1</v>
      </c>
      <c r="B945" t="s">
        <v>1451</v>
      </c>
      <c r="C945">
        <v>588</v>
      </c>
      <c r="D945" t="s">
        <v>68</v>
      </c>
      <c r="E945">
        <v>0</v>
      </c>
      <c r="F945">
        <v>553</v>
      </c>
      <c r="G945" t="s">
        <v>119</v>
      </c>
      <c r="H945" s="1">
        <v>6</v>
      </c>
      <c r="I945" t="s">
        <v>70</v>
      </c>
      <c r="J945" t="s">
        <v>301</v>
      </c>
      <c r="K945" t="s">
        <v>109</v>
      </c>
      <c r="L945">
        <v>1</v>
      </c>
      <c r="M945">
        <v>0</v>
      </c>
      <c r="N945">
        <v>0</v>
      </c>
      <c r="O945">
        <v>0</v>
      </c>
      <c r="P945">
        <v>0</v>
      </c>
      <c r="Q945">
        <v>6</v>
      </c>
      <c r="R945">
        <v>0</v>
      </c>
      <c r="S945">
        <v>0</v>
      </c>
      <c r="T945">
        <v>0</v>
      </c>
      <c r="U945">
        <v>0</v>
      </c>
      <c r="V945">
        <f t="shared" si="403"/>
        <v>1</v>
      </c>
      <c r="W945">
        <v>1</v>
      </c>
      <c r="X945">
        <v>1</v>
      </c>
      <c r="Y945">
        <v>1</v>
      </c>
      <c r="Z945" t="s">
        <v>73</v>
      </c>
      <c r="AA945" s="5" t="s">
        <v>73</v>
      </c>
      <c r="AB945" s="5" t="s">
        <v>73</v>
      </c>
      <c r="AC945" t="s">
        <v>73</v>
      </c>
      <c r="AD945" t="s">
        <v>75</v>
      </c>
      <c r="AE945" s="5" t="s">
        <v>75</v>
      </c>
      <c r="AF945" t="s">
        <v>94</v>
      </c>
      <c r="AG945" t="s">
        <v>74</v>
      </c>
      <c r="AH945">
        <f t="shared" si="421"/>
        <v>3.7663754000000001E-2</v>
      </c>
      <c r="AI945">
        <f t="shared" si="422"/>
        <v>3.7663754000000001E-2</v>
      </c>
      <c r="AJ945">
        <f t="shared" si="406"/>
        <v>3.7663754000000001E-2</v>
      </c>
      <c r="AK945">
        <v>3.7663754000000001E-2</v>
      </c>
      <c r="AL945">
        <v>0.12438356</v>
      </c>
      <c r="AM945">
        <v>0.13094587999999999</v>
      </c>
      <c r="AN945">
        <v>0.13474204000000001</v>
      </c>
      <c r="AO945">
        <v>96.233624599999999</v>
      </c>
      <c r="AP945">
        <v>87.561644000000001</v>
      </c>
      <c r="AQ945">
        <v>86.905411999999998</v>
      </c>
      <c r="AR945">
        <v>86.525796</v>
      </c>
      <c r="AS945" t="b">
        <v>1</v>
      </c>
      <c r="AT945" t="b">
        <v>0</v>
      </c>
      <c r="AU945" t="s">
        <v>77</v>
      </c>
      <c r="AV945" t="s">
        <v>78</v>
      </c>
      <c r="AW945" t="s">
        <v>783</v>
      </c>
      <c r="AX945" t="s">
        <v>1277</v>
      </c>
      <c r="AY945" t="s">
        <v>1449</v>
      </c>
      <c r="AZ945" t="s">
        <v>109</v>
      </c>
      <c r="BA945">
        <v>3</v>
      </c>
      <c r="BB945">
        <v>1</v>
      </c>
      <c r="BC945">
        <v>4.1163553999999996E-3</v>
      </c>
      <c r="BD945">
        <v>1.4279989108178799E-4</v>
      </c>
      <c r="BE945">
        <v>4.2591552910817903E-3</v>
      </c>
      <c r="BF945">
        <f>IF(AK945&lt;BE945,1,0)</f>
        <v>0</v>
      </c>
      <c r="BG945">
        <f>IF(AK945&lt;BC945,1,0)</f>
        <v>0</v>
      </c>
      <c r="BH945">
        <f>VLOOKUP($B945,[1]Data_Peer_with_peerVars!$B$2:$Z$1050,20,FALSE)</f>
        <v>4</v>
      </c>
      <c r="BI945">
        <f>VLOOKUP($B945,[1]Data_Peer_with_peerVars!$B$2:$Z$1050,21,FALSE)</f>
        <v>4</v>
      </c>
      <c r="BJ945">
        <f>VLOOKUP($B945,[1]Data_Peer_with_peerVars!$B$2:$Z$1050,22,FALSE)</f>
        <v>1</v>
      </c>
      <c r="BK945">
        <f>VLOOKUP($B945,[1]Data_Peer_with_peerVars!$B$2:$Z$1050,23,FALSE)</f>
        <v>10</v>
      </c>
      <c r="BL945">
        <f>VLOOKUP($B945,[1]Data_Peer_with_peerVars!$B$2:$Z$1050,24,FALSE)</f>
        <v>8</v>
      </c>
      <c r="BM945">
        <f>VLOOKUP($B945,[1]Data_Peer_with_peerVars!$B$2:$Z$1050,25,FALSE)</f>
        <v>0.8</v>
      </c>
    </row>
    <row r="946" spans="1:65" x14ac:dyDescent="0.2">
      <c r="A946">
        <v>1</v>
      </c>
      <c r="B946" t="s">
        <v>1452</v>
      </c>
      <c r="C946">
        <v>588</v>
      </c>
      <c r="D946" t="s">
        <v>68</v>
      </c>
      <c r="E946">
        <v>0</v>
      </c>
      <c r="F946">
        <v>553</v>
      </c>
      <c r="G946" t="s">
        <v>119</v>
      </c>
      <c r="H946" s="1">
        <v>6</v>
      </c>
      <c r="I946" t="s">
        <v>70</v>
      </c>
      <c r="J946" t="s">
        <v>301</v>
      </c>
      <c r="K946" t="s">
        <v>109</v>
      </c>
      <c r="L946">
        <v>1</v>
      </c>
      <c r="M946">
        <v>0</v>
      </c>
      <c r="N946">
        <v>0</v>
      </c>
      <c r="O946">
        <v>0</v>
      </c>
      <c r="P946">
        <v>0</v>
      </c>
      <c r="Q946">
        <v>6</v>
      </c>
      <c r="R946">
        <v>0</v>
      </c>
      <c r="S946">
        <v>0</v>
      </c>
      <c r="T946">
        <v>1</v>
      </c>
      <c r="U946">
        <v>1</v>
      </c>
      <c r="V946">
        <f t="shared" si="403"/>
        <v>0</v>
      </c>
      <c r="W946">
        <f t="shared" si="404"/>
        <v>0</v>
      </c>
      <c r="X946">
        <f t="shared" si="407"/>
        <v>0</v>
      </c>
      <c r="Y946">
        <f t="shared" si="405"/>
        <v>0</v>
      </c>
      <c r="Z946" t="s">
        <v>89</v>
      </c>
      <c r="AA946" s="5" t="s">
        <v>82</v>
      </c>
      <c r="AB946" s="5" t="s">
        <v>82</v>
      </c>
      <c r="AC946" t="s">
        <v>73</v>
      </c>
      <c r="AD946" t="s">
        <v>94</v>
      </c>
      <c r="AE946" s="5" t="s">
        <v>106</v>
      </c>
      <c r="AF946" t="s">
        <v>107</v>
      </c>
      <c r="AG946" t="s">
        <v>95</v>
      </c>
      <c r="AH946">
        <f>AI946</f>
        <v>3.5733769999999998E-2</v>
      </c>
      <c r="AI946">
        <f>AJ946</f>
        <v>3.5733769999999998E-2</v>
      </c>
      <c r="AJ946">
        <f t="shared" si="406"/>
        <v>3.5733769999999998E-2</v>
      </c>
      <c r="AK946">
        <v>3.5733769999999998E-2</v>
      </c>
      <c r="AL946">
        <v>0.12055768</v>
      </c>
      <c r="AM946">
        <v>0.13103070999999999</v>
      </c>
      <c r="AN946">
        <v>0.13191022999999999</v>
      </c>
      <c r="AO946">
        <v>96.426623000000006</v>
      </c>
      <c r="AP946">
        <v>87.944232</v>
      </c>
      <c r="AQ946">
        <v>86.896929</v>
      </c>
      <c r="AR946">
        <v>86.808976999999999</v>
      </c>
      <c r="AS946" t="s">
        <v>82</v>
      </c>
      <c r="AT946" t="s">
        <v>82</v>
      </c>
      <c r="AU946" t="s">
        <v>77</v>
      </c>
      <c r="AV946" t="s">
        <v>108</v>
      </c>
      <c r="AW946" t="s">
        <v>783</v>
      </c>
      <c r="AX946" t="s">
        <v>1277</v>
      </c>
      <c r="AY946" t="s">
        <v>1449</v>
      </c>
      <c r="AZ946" t="s">
        <v>82</v>
      </c>
      <c r="BA946" t="s">
        <v>82</v>
      </c>
      <c r="BB946" t="s">
        <v>82</v>
      </c>
      <c r="BC946">
        <v>4.1163553999999996E-3</v>
      </c>
      <c r="BD946">
        <v>1.4279989108178799E-4</v>
      </c>
      <c r="BE946">
        <v>4.2591552910817903E-3</v>
      </c>
      <c r="BF946">
        <f>IF(AK946&lt;BE946,1,0)</f>
        <v>0</v>
      </c>
      <c r="BG946">
        <f>IF(AK946&lt;BC946,1,0)</f>
        <v>0</v>
      </c>
    </row>
    <row r="947" spans="1:65" x14ac:dyDescent="0.2">
      <c r="A947">
        <v>1</v>
      </c>
      <c r="B947" t="s">
        <v>1453</v>
      </c>
      <c r="C947">
        <v>589</v>
      </c>
      <c r="D947" t="s">
        <v>68</v>
      </c>
      <c r="E947">
        <v>0</v>
      </c>
      <c r="F947">
        <v>554</v>
      </c>
      <c r="G947" t="s">
        <v>119</v>
      </c>
      <c r="H947" s="1">
        <v>7</v>
      </c>
      <c r="I947" t="s">
        <v>70</v>
      </c>
      <c r="J947" t="s">
        <v>436</v>
      </c>
      <c r="K947" t="s">
        <v>109</v>
      </c>
      <c r="L947">
        <v>1</v>
      </c>
      <c r="M947">
        <v>0</v>
      </c>
      <c r="N947">
        <v>0</v>
      </c>
      <c r="O947">
        <v>1</v>
      </c>
      <c r="P947">
        <v>1</v>
      </c>
      <c r="Q947">
        <v>2</v>
      </c>
      <c r="R947">
        <v>0</v>
      </c>
      <c r="S947">
        <v>0</v>
      </c>
      <c r="T947">
        <v>0</v>
      </c>
      <c r="U947">
        <v>1</v>
      </c>
      <c r="V947">
        <f t="shared" si="403"/>
        <v>1</v>
      </c>
      <c r="W947">
        <v>1</v>
      </c>
      <c r="X947">
        <v>1</v>
      </c>
      <c r="Y947">
        <v>1</v>
      </c>
      <c r="Z947" t="s">
        <v>73</v>
      </c>
      <c r="AA947" s="5" t="s">
        <v>73</v>
      </c>
      <c r="AB947" s="5" t="s">
        <v>73</v>
      </c>
      <c r="AC947" t="s">
        <v>73</v>
      </c>
      <c r="AD947" t="s">
        <v>75</v>
      </c>
      <c r="AE947" s="5" t="s">
        <v>478</v>
      </c>
      <c r="AF947" t="s">
        <v>94</v>
      </c>
      <c r="AG947" t="s">
        <v>107</v>
      </c>
      <c r="AH947">
        <f t="shared" ref="AH947:AH949" si="423">AI947</f>
        <v>1.9094381000000001E-2</v>
      </c>
      <c r="AI947">
        <f t="shared" ref="AI947:AI949" si="424">AJ947</f>
        <v>1.9094381000000001E-2</v>
      </c>
      <c r="AJ947">
        <f t="shared" si="406"/>
        <v>1.9094381000000001E-2</v>
      </c>
      <c r="AK947">
        <v>1.9094381000000001E-2</v>
      </c>
      <c r="AL947">
        <v>0.12582056</v>
      </c>
      <c r="AM947">
        <v>0.12861823999999999</v>
      </c>
      <c r="AN947">
        <v>0.13937569</v>
      </c>
      <c r="AO947">
        <v>98.090561899999997</v>
      </c>
      <c r="AP947">
        <v>87.417944000000006</v>
      </c>
      <c r="AQ947">
        <v>87.138176000000001</v>
      </c>
      <c r="AR947">
        <v>86.062431000000004</v>
      </c>
      <c r="AS947" t="b">
        <v>1</v>
      </c>
      <c r="AT947" t="b">
        <v>0</v>
      </c>
      <c r="AU947" t="s">
        <v>77</v>
      </c>
      <c r="AV947" t="s">
        <v>108</v>
      </c>
      <c r="AW947" t="s">
        <v>783</v>
      </c>
      <c r="AX947" t="s">
        <v>1277</v>
      </c>
      <c r="AY947" t="s">
        <v>1454</v>
      </c>
      <c r="AZ947" t="s">
        <v>109</v>
      </c>
      <c r="BA947">
        <v>2</v>
      </c>
      <c r="BB947">
        <v>0.7</v>
      </c>
      <c r="BC947">
        <v>4.1163553999999996E-3</v>
      </c>
      <c r="BD947">
        <v>1.4279989108178799E-4</v>
      </c>
      <c r="BE947">
        <v>4.2591552910817903E-3</v>
      </c>
      <c r="BF947">
        <f>IF(AK947&lt;BE947,1,0)</f>
        <v>0</v>
      </c>
      <c r="BG947">
        <f>IF(AK947&lt;BC947,1,0)</f>
        <v>0</v>
      </c>
      <c r="BH947">
        <f>VLOOKUP($B947,[1]Data_Peer_with_peerVars!$B$2:$Z$1050,20,FALSE)</f>
        <v>4</v>
      </c>
      <c r="BI947">
        <f>VLOOKUP($B947,[1]Data_Peer_with_peerVars!$B$2:$Z$1050,21,FALSE)</f>
        <v>4</v>
      </c>
      <c r="BJ947">
        <f>VLOOKUP($B947,[1]Data_Peer_with_peerVars!$B$2:$Z$1050,22,FALSE)</f>
        <v>1</v>
      </c>
      <c r="BK947">
        <f>VLOOKUP($B947,[1]Data_Peer_with_peerVars!$B$2:$Z$1050,23,FALSE)</f>
        <v>10</v>
      </c>
      <c r="BL947">
        <f>VLOOKUP($B947,[1]Data_Peer_with_peerVars!$B$2:$Z$1050,24,FALSE)</f>
        <v>8</v>
      </c>
      <c r="BM947">
        <f>VLOOKUP($B947,[1]Data_Peer_with_peerVars!$B$2:$Z$1050,25,FALSE)</f>
        <v>0.8</v>
      </c>
    </row>
    <row r="948" spans="1:65" x14ac:dyDescent="0.2">
      <c r="A948">
        <v>1</v>
      </c>
      <c r="B948" t="s">
        <v>1455</v>
      </c>
      <c r="C948">
        <v>590</v>
      </c>
      <c r="D948" t="s">
        <v>68</v>
      </c>
      <c r="E948">
        <v>0</v>
      </c>
      <c r="F948">
        <v>555</v>
      </c>
      <c r="G948" t="s">
        <v>119</v>
      </c>
      <c r="H948" s="1">
        <v>7</v>
      </c>
      <c r="I948" t="s">
        <v>87</v>
      </c>
      <c r="J948" t="s">
        <v>111</v>
      </c>
      <c r="K948" t="s">
        <v>109</v>
      </c>
      <c r="L948">
        <v>1</v>
      </c>
      <c r="M948">
        <v>0</v>
      </c>
      <c r="N948">
        <v>0</v>
      </c>
      <c r="O948">
        <v>0</v>
      </c>
      <c r="P948">
        <v>1</v>
      </c>
      <c r="Q948">
        <v>4</v>
      </c>
      <c r="R948">
        <v>0</v>
      </c>
      <c r="S948">
        <v>0</v>
      </c>
      <c r="T948">
        <v>1</v>
      </c>
      <c r="U948">
        <v>1</v>
      </c>
      <c r="V948">
        <f t="shared" si="403"/>
        <v>1</v>
      </c>
      <c r="W948">
        <v>1</v>
      </c>
      <c r="X948">
        <v>1</v>
      </c>
      <c r="Y948">
        <v>1</v>
      </c>
      <c r="Z948" t="s">
        <v>73</v>
      </c>
      <c r="AA948" s="5" t="s">
        <v>73</v>
      </c>
      <c r="AB948" s="5" t="s">
        <v>158</v>
      </c>
      <c r="AC948" t="s">
        <v>73</v>
      </c>
      <c r="AD948" t="s">
        <v>94</v>
      </c>
      <c r="AE948" s="5" t="s">
        <v>106</v>
      </c>
      <c r="AF948" t="s">
        <v>107</v>
      </c>
      <c r="AG948" t="s">
        <v>95</v>
      </c>
      <c r="AH948">
        <f t="shared" si="423"/>
        <v>3.8209606000000002E-3</v>
      </c>
      <c r="AI948">
        <f t="shared" si="424"/>
        <v>3.8209606000000002E-3</v>
      </c>
      <c r="AJ948">
        <f t="shared" si="406"/>
        <v>3.8209606000000002E-3</v>
      </c>
      <c r="AK948">
        <v>3.8209606000000002E-3</v>
      </c>
      <c r="AL948">
        <v>0.13183807</v>
      </c>
      <c r="AM948">
        <v>0.13693742</v>
      </c>
      <c r="AN948">
        <v>0.13929939999999999</v>
      </c>
      <c r="AO948">
        <v>99.617903940000005</v>
      </c>
      <c r="AP948">
        <v>86.816192999999998</v>
      </c>
      <c r="AQ948">
        <v>86.306258</v>
      </c>
      <c r="AR948">
        <v>86.070059999999998</v>
      </c>
      <c r="AS948" t="b">
        <v>1</v>
      </c>
      <c r="AT948" t="b">
        <v>0</v>
      </c>
      <c r="AU948" t="s">
        <v>77</v>
      </c>
      <c r="AV948" t="s">
        <v>108</v>
      </c>
      <c r="AW948" t="s">
        <v>783</v>
      </c>
      <c r="AX948" t="s">
        <v>1277</v>
      </c>
      <c r="AY948" t="s">
        <v>1449</v>
      </c>
      <c r="AZ948" t="s">
        <v>109</v>
      </c>
      <c r="BA948">
        <v>2</v>
      </c>
      <c r="BB948">
        <v>1.5</v>
      </c>
      <c r="BC948">
        <v>4.1163553999999996E-3</v>
      </c>
      <c r="BD948">
        <v>1.4279989108178799E-4</v>
      </c>
      <c r="BE948">
        <v>4.2591552910817903E-3</v>
      </c>
      <c r="BF948">
        <f>IF(AK948&lt;BE948,1,0)</f>
        <v>1</v>
      </c>
      <c r="BG948">
        <f>IF(AK948&lt;BC948,1,0)</f>
        <v>1</v>
      </c>
      <c r="BH948">
        <f>VLOOKUP($B948,[1]Data_Peer_with_peerVars!$B$2:$Z$1050,20,FALSE)</f>
        <v>4</v>
      </c>
      <c r="BI948">
        <f>VLOOKUP($B948,[1]Data_Peer_with_peerVars!$B$2:$Z$1050,21,FALSE)</f>
        <v>4</v>
      </c>
      <c r="BJ948">
        <f>VLOOKUP($B948,[1]Data_Peer_with_peerVars!$B$2:$Z$1050,22,FALSE)</f>
        <v>1</v>
      </c>
      <c r="BK948">
        <f>VLOOKUP($B948,[1]Data_Peer_with_peerVars!$B$2:$Z$1050,23,FALSE)</f>
        <v>10</v>
      </c>
      <c r="BL948">
        <f>VLOOKUP($B948,[1]Data_Peer_with_peerVars!$B$2:$Z$1050,24,FALSE)</f>
        <v>8</v>
      </c>
      <c r="BM948">
        <f>VLOOKUP($B948,[1]Data_Peer_with_peerVars!$B$2:$Z$1050,25,FALSE)</f>
        <v>0.8</v>
      </c>
    </row>
    <row r="949" spans="1:65" x14ac:dyDescent="0.2">
      <c r="A949">
        <v>1</v>
      </c>
      <c r="B949" t="s">
        <v>1456</v>
      </c>
      <c r="C949">
        <v>591</v>
      </c>
      <c r="D949" t="s">
        <v>68</v>
      </c>
      <c r="E949">
        <v>1</v>
      </c>
      <c r="F949">
        <v>683</v>
      </c>
      <c r="G949" t="s">
        <v>86</v>
      </c>
      <c r="H949" s="1">
        <v>6.5</v>
      </c>
      <c r="I949" t="s">
        <v>70</v>
      </c>
      <c r="J949" t="s">
        <v>436</v>
      </c>
      <c r="K949" t="s">
        <v>109</v>
      </c>
      <c r="L949">
        <v>2</v>
      </c>
      <c r="M949">
        <v>0</v>
      </c>
      <c r="N949">
        <v>1</v>
      </c>
      <c r="O949">
        <v>0</v>
      </c>
      <c r="P949">
        <v>1</v>
      </c>
      <c r="Q949">
        <v>6</v>
      </c>
      <c r="R949">
        <v>0</v>
      </c>
      <c r="S949">
        <v>0</v>
      </c>
      <c r="T949">
        <v>1</v>
      </c>
      <c r="U949">
        <v>1</v>
      </c>
      <c r="V949">
        <f t="shared" si="403"/>
        <v>1</v>
      </c>
      <c r="W949">
        <v>1</v>
      </c>
      <c r="X949">
        <v>1</v>
      </c>
      <c r="Y949">
        <v>1</v>
      </c>
      <c r="Z949" t="s">
        <v>73</v>
      </c>
      <c r="AA949" s="5" t="s">
        <v>73</v>
      </c>
      <c r="AB949" s="5" t="s">
        <v>73</v>
      </c>
      <c r="AC949" t="s">
        <v>73</v>
      </c>
      <c r="AD949" t="s">
        <v>94</v>
      </c>
      <c r="AE949" s="5" t="s">
        <v>106</v>
      </c>
      <c r="AF949" t="s">
        <v>173</v>
      </c>
      <c r="AG949" t="s">
        <v>95</v>
      </c>
      <c r="AH949">
        <f t="shared" si="423"/>
        <v>7.5614369999999998E-3</v>
      </c>
      <c r="AI949">
        <f t="shared" si="424"/>
        <v>7.5614369999999998E-3</v>
      </c>
      <c r="AJ949">
        <f t="shared" si="406"/>
        <v>7.5614369999999998E-3</v>
      </c>
      <c r="AK949">
        <v>7.5614369999999998E-3</v>
      </c>
      <c r="AL949">
        <v>0.13494318999999999</v>
      </c>
      <c r="AM949">
        <v>0.14035916000000001</v>
      </c>
      <c r="AN949">
        <v>0.140625</v>
      </c>
      <c r="AO949">
        <v>99.243856300000004</v>
      </c>
      <c r="AP949">
        <v>86.505680999999996</v>
      </c>
      <c r="AQ949">
        <v>85.964084</v>
      </c>
      <c r="AR949">
        <v>85.9375</v>
      </c>
      <c r="AS949" t="b">
        <v>1</v>
      </c>
      <c r="AT949" t="b">
        <v>0</v>
      </c>
      <c r="AU949" t="s">
        <v>77</v>
      </c>
      <c r="AV949" t="s">
        <v>108</v>
      </c>
      <c r="AW949" t="s">
        <v>783</v>
      </c>
      <c r="AX949" t="s">
        <v>1277</v>
      </c>
      <c r="AY949" t="s">
        <v>1449</v>
      </c>
      <c r="AZ949" t="s">
        <v>109</v>
      </c>
      <c r="BA949">
        <v>5</v>
      </c>
      <c r="BB949">
        <v>1</v>
      </c>
      <c r="BC949">
        <v>4.1163553999999996E-3</v>
      </c>
      <c r="BD949">
        <v>1.4279989108178799E-4</v>
      </c>
      <c r="BE949">
        <v>4.2591552910817903E-3</v>
      </c>
      <c r="BF949">
        <f>IF(AK949&lt;BE949,1,0)</f>
        <v>0</v>
      </c>
      <c r="BG949">
        <f>IF(AK949&lt;BC949,1,0)</f>
        <v>0</v>
      </c>
      <c r="BH949">
        <f>VLOOKUP($B949,[1]Data_Peer_with_peerVars!$B$2:$Z$1050,20,FALSE)</f>
        <v>4</v>
      </c>
      <c r="BI949">
        <f>VLOOKUP($B949,[1]Data_Peer_with_peerVars!$B$2:$Z$1050,21,FALSE)</f>
        <v>4</v>
      </c>
      <c r="BJ949">
        <f>VLOOKUP($B949,[1]Data_Peer_with_peerVars!$B$2:$Z$1050,22,FALSE)</f>
        <v>1</v>
      </c>
      <c r="BK949">
        <f>VLOOKUP($B949,[1]Data_Peer_with_peerVars!$B$2:$Z$1050,23,FALSE)</f>
        <v>11</v>
      </c>
      <c r="BL949">
        <f>VLOOKUP($B949,[1]Data_Peer_with_peerVars!$B$2:$Z$1050,24,FALSE)</f>
        <v>9</v>
      </c>
      <c r="BM949">
        <f>VLOOKUP($B949,[1]Data_Peer_with_peerVars!$B$2:$Z$1050,25,FALSE)</f>
        <v>0.81818181800000001</v>
      </c>
    </row>
    <row r="950" spans="1:65" x14ac:dyDescent="0.2">
      <c r="A950">
        <v>1</v>
      </c>
      <c r="B950" t="s">
        <v>1457</v>
      </c>
      <c r="C950">
        <v>592</v>
      </c>
      <c r="D950" t="s">
        <v>68</v>
      </c>
      <c r="E950">
        <v>0</v>
      </c>
      <c r="F950">
        <v>453</v>
      </c>
      <c r="G950" t="s">
        <v>97</v>
      </c>
      <c r="H950" s="1">
        <v>7</v>
      </c>
      <c r="I950" t="s">
        <v>87</v>
      </c>
      <c r="J950" t="s">
        <v>111</v>
      </c>
      <c r="K950" t="s">
        <v>109</v>
      </c>
      <c r="L950">
        <v>2</v>
      </c>
      <c r="M950">
        <v>1</v>
      </c>
      <c r="N950">
        <v>0</v>
      </c>
      <c r="O950">
        <v>0</v>
      </c>
      <c r="P950">
        <v>0</v>
      </c>
      <c r="Q950">
        <v>6</v>
      </c>
      <c r="R950">
        <v>0</v>
      </c>
      <c r="S950">
        <v>0</v>
      </c>
      <c r="T950">
        <v>0</v>
      </c>
      <c r="U950">
        <v>0</v>
      </c>
      <c r="V950">
        <f t="shared" si="403"/>
        <v>0</v>
      </c>
      <c r="W950">
        <f t="shared" si="404"/>
        <v>0</v>
      </c>
      <c r="X950">
        <f t="shared" si="407"/>
        <v>0</v>
      </c>
      <c r="Y950">
        <f t="shared" si="405"/>
        <v>0</v>
      </c>
      <c r="Z950" t="s">
        <v>98</v>
      </c>
      <c r="AA950" s="5" t="s">
        <v>1458</v>
      </c>
      <c r="AB950" s="5" t="s">
        <v>1458</v>
      </c>
      <c r="AC950" t="s">
        <v>74</v>
      </c>
      <c r="AD950" t="s">
        <v>76</v>
      </c>
      <c r="AE950" s="5" t="s">
        <v>76</v>
      </c>
      <c r="AF950" t="s">
        <v>120</v>
      </c>
      <c r="AG950" t="s">
        <v>75</v>
      </c>
      <c r="AH950">
        <f t="shared" ref="AH950:AH953" si="425">AI950</f>
        <v>7.9769740000000006E-2</v>
      </c>
      <c r="AI950">
        <f t="shared" ref="AI950:AI953" si="426">AJ950</f>
        <v>7.9769740000000006E-2</v>
      </c>
      <c r="AJ950">
        <f t="shared" si="406"/>
        <v>7.9769740000000006E-2</v>
      </c>
      <c r="AK950">
        <v>7.9769740000000006E-2</v>
      </c>
      <c r="AL950">
        <v>8.5245899999999999E-2</v>
      </c>
      <c r="AM950">
        <v>0.11530054000000001</v>
      </c>
      <c r="AN950">
        <v>0.11548988</v>
      </c>
      <c r="AO950">
        <v>92.023026000000002</v>
      </c>
      <c r="AP950">
        <v>91.475409999999997</v>
      </c>
      <c r="AQ950">
        <v>88.469945999999993</v>
      </c>
      <c r="AR950">
        <v>88.451012000000006</v>
      </c>
      <c r="AS950" t="b">
        <v>0</v>
      </c>
      <c r="AT950" t="b">
        <v>0</v>
      </c>
      <c r="AU950" t="s">
        <v>92</v>
      </c>
      <c r="AV950" t="s">
        <v>92</v>
      </c>
      <c r="AW950" t="s">
        <v>783</v>
      </c>
      <c r="AX950" t="s">
        <v>1277</v>
      </c>
      <c r="AY950" t="s">
        <v>1459</v>
      </c>
      <c r="AZ950" t="s">
        <v>109</v>
      </c>
      <c r="BA950">
        <v>3</v>
      </c>
      <c r="BB950">
        <v>0.105</v>
      </c>
      <c r="BC950">
        <v>2.4738868000000001E-3</v>
      </c>
      <c r="BD950">
        <v>1.4256942275279999E-4</v>
      </c>
      <c r="BE950">
        <v>2.6164562227527998E-3</v>
      </c>
      <c r="BF950">
        <f>IF(AK950&lt;BE950,1,0)</f>
        <v>0</v>
      </c>
      <c r="BG950">
        <f>IF(AK950&lt;BC950,1,0)</f>
        <v>0</v>
      </c>
      <c r="BH950">
        <f>VLOOKUP($B950,[1]Data_Peer_with_peerVars!$B$2:$Z$1050,20,FALSE)</f>
        <v>1</v>
      </c>
      <c r="BI950">
        <f>VLOOKUP($B950,[1]Data_Peer_with_peerVars!$B$2:$Z$1050,21,FALSE)</f>
        <v>1</v>
      </c>
      <c r="BJ950">
        <f>VLOOKUP($B950,[1]Data_Peer_with_peerVars!$B$2:$Z$1050,22,FALSE)</f>
        <v>1</v>
      </c>
      <c r="BK950">
        <f>VLOOKUP($B950,[1]Data_Peer_with_peerVars!$B$2:$Z$1050,23,FALSE)</f>
        <v>22</v>
      </c>
      <c r="BL950">
        <f>VLOOKUP($B950,[1]Data_Peer_with_peerVars!$B$2:$Z$1050,24,FALSE)</f>
        <v>8</v>
      </c>
      <c r="BM950">
        <f>VLOOKUP($B950,[1]Data_Peer_with_peerVars!$B$2:$Z$1050,25,FALSE)</f>
        <v>0.36363636399999999</v>
      </c>
    </row>
    <row r="951" spans="1:65" x14ac:dyDescent="0.2">
      <c r="A951">
        <v>1</v>
      </c>
      <c r="B951" t="s">
        <v>1460</v>
      </c>
      <c r="C951">
        <v>592</v>
      </c>
      <c r="D951" t="s">
        <v>68</v>
      </c>
      <c r="E951">
        <v>0</v>
      </c>
      <c r="F951">
        <v>453</v>
      </c>
      <c r="G951" t="s">
        <v>97</v>
      </c>
      <c r="H951" s="1">
        <v>7</v>
      </c>
      <c r="I951" t="s">
        <v>87</v>
      </c>
      <c r="J951" t="s">
        <v>111</v>
      </c>
      <c r="K951" t="s">
        <v>109</v>
      </c>
      <c r="L951">
        <v>2</v>
      </c>
      <c r="M951">
        <v>1</v>
      </c>
      <c r="N951">
        <v>0</v>
      </c>
      <c r="O951">
        <v>0</v>
      </c>
      <c r="P951">
        <v>0</v>
      </c>
      <c r="Q951">
        <v>6</v>
      </c>
      <c r="R951">
        <v>0</v>
      </c>
      <c r="S951">
        <v>0</v>
      </c>
      <c r="T951">
        <v>1</v>
      </c>
      <c r="U951">
        <v>1</v>
      </c>
      <c r="V951">
        <f t="shared" si="403"/>
        <v>0</v>
      </c>
      <c r="W951">
        <f t="shared" si="404"/>
        <v>0</v>
      </c>
      <c r="X951">
        <f t="shared" si="407"/>
        <v>0</v>
      </c>
      <c r="Y951">
        <f t="shared" si="405"/>
        <v>0</v>
      </c>
      <c r="Z951" t="s">
        <v>89</v>
      </c>
      <c r="AA951" s="5" t="s">
        <v>82</v>
      </c>
      <c r="AB951" s="5" t="s">
        <v>82</v>
      </c>
      <c r="AC951" t="s">
        <v>73</v>
      </c>
      <c r="AD951" t="s">
        <v>94</v>
      </c>
      <c r="AE951" s="5" t="s">
        <v>106</v>
      </c>
      <c r="AF951" t="s">
        <v>107</v>
      </c>
      <c r="AG951" t="s">
        <v>95</v>
      </c>
      <c r="AH951">
        <f t="shared" si="425"/>
        <v>3.8167940000000001E-3</v>
      </c>
      <c r="AI951">
        <f t="shared" si="426"/>
        <v>3.8167940000000001E-3</v>
      </c>
      <c r="AJ951">
        <f t="shared" si="406"/>
        <v>3.8167940000000001E-3</v>
      </c>
      <c r="AK951">
        <v>3.8167940000000001E-3</v>
      </c>
      <c r="AL951">
        <v>0.13169399000000001</v>
      </c>
      <c r="AM951">
        <v>0.13623904000000001</v>
      </c>
      <c r="AN951">
        <v>0.13867615</v>
      </c>
      <c r="AO951">
        <v>99.618320600000004</v>
      </c>
      <c r="AP951">
        <v>86.830601000000001</v>
      </c>
      <c r="AQ951">
        <v>86.376096000000004</v>
      </c>
      <c r="AR951">
        <v>86.132384999999999</v>
      </c>
      <c r="AS951" t="s">
        <v>82</v>
      </c>
      <c r="AT951" t="s">
        <v>82</v>
      </c>
      <c r="AU951" t="s">
        <v>77</v>
      </c>
      <c r="AV951" t="s">
        <v>108</v>
      </c>
      <c r="AW951" t="s">
        <v>783</v>
      </c>
      <c r="AX951" t="s">
        <v>1277</v>
      </c>
      <c r="AY951" t="s">
        <v>1459</v>
      </c>
      <c r="AZ951" t="s">
        <v>82</v>
      </c>
      <c r="BA951" t="s">
        <v>82</v>
      </c>
      <c r="BB951" t="s">
        <v>82</v>
      </c>
      <c r="BC951">
        <v>4.1163553999999996E-3</v>
      </c>
      <c r="BD951">
        <v>1.4279989108178799E-4</v>
      </c>
      <c r="BE951">
        <v>4.2591552910817903E-3</v>
      </c>
      <c r="BF951">
        <f>IF(AK951&lt;BE951,1,0)</f>
        <v>1</v>
      </c>
      <c r="BG951">
        <f>IF(AK951&lt;BC951,1,0)</f>
        <v>1</v>
      </c>
    </row>
    <row r="952" spans="1:65" x14ac:dyDescent="0.2">
      <c r="A952">
        <v>1</v>
      </c>
      <c r="B952" t="s">
        <v>1461</v>
      </c>
      <c r="C952">
        <v>593</v>
      </c>
      <c r="D952" t="s">
        <v>68</v>
      </c>
      <c r="E952">
        <v>0</v>
      </c>
      <c r="F952">
        <v>455</v>
      </c>
      <c r="G952" t="s">
        <v>97</v>
      </c>
      <c r="H952" s="1">
        <v>6</v>
      </c>
      <c r="I952" t="s">
        <v>87</v>
      </c>
      <c r="J952" t="s">
        <v>88</v>
      </c>
      <c r="K952" t="s">
        <v>72</v>
      </c>
      <c r="L952">
        <v>1</v>
      </c>
      <c r="M952">
        <v>1</v>
      </c>
      <c r="N952">
        <v>0</v>
      </c>
      <c r="O952">
        <v>0</v>
      </c>
      <c r="P952">
        <v>1</v>
      </c>
      <c r="Q952">
        <v>6</v>
      </c>
      <c r="R952">
        <v>0</v>
      </c>
      <c r="S952">
        <v>0</v>
      </c>
      <c r="T952">
        <v>0</v>
      </c>
      <c r="U952">
        <v>0</v>
      </c>
      <c r="V952">
        <f t="shared" si="403"/>
        <v>0</v>
      </c>
      <c r="W952">
        <f t="shared" si="404"/>
        <v>0</v>
      </c>
      <c r="X952">
        <f t="shared" si="407"/>
        <v>0</v>
      </c>
      <c r="Y952">
        <f t="shared" si="405"/>
        <v>0</v>
      </c>
      <c r="Z952" t="s">
        <v>89</v>
      </c>
      <c r="AA952" s="5" t="s">
        <v>89</v>
      </c>
      <c r="AB952" s="5" t="s">
        <v>577</v>
      </c>
      <c r="AC952" t="s">
        <v>91</v>
      </c>
      <c r="AD952" t="s">
        <v>287</v>
      </c>
      <c r="AE952" s="5" t="s">
        <v>287</v>
      </c>
      <c r="AF952" t="s">
        <v>137</v>
      </c>
      <c r="AG952" t="s">
        <v>84</v>
      </c>
      <c r="AH952">
        <f t="shared" si="425"/>
        <v>3.0071076E-3</v>
      </c>
      <c r="AI952">
        <f t="shared" si="426"/>
        <v>3.0071076E-3</v>
      </c>
      <c r="AJ952">
        <f t="shared" si="406"/>
        <v>3.0071076E-3</v>
      </c>
      <c r="AK952">
        <v>3.0071076E-3</v>
      </c>
      <c r="AL952">
        <v>0.1204918</v>
      </c>
      <c r="AM952">
        <v>0.12861823999999999</v>
      </c>
      <c r="AN952">
        <v>0.13406593999999999</v>
      </c>
      <c r="AO952">
        <v>99.699289239999999</v>
      </c>
      <c r="AP952">
        <v>87.950819999999993</v>
      </c>
      <c r="AQ952">
        <v>87.138176000000001</v>
      </c>
      <c r="AR952">
        <v>86.593406000000002</v>
      </c>
      <c r="AS952" t="b">
        <v>0</v>
      </c>
      <c r="AT952" t="b">
        <v>0</v>
      </c>
      <c r="AU952" t="s">
        <v>92</v>
      </c>
      <c r="AV952" t="s">
        <v>92</v>
      </c>
      <c r="AW952" t="s">
        <v>783</v>
      </c>
      <c r="AX952" t="s">
        <v>1277</v>
      </c>
      <c r="AY952" t="s">
        <v>1459</v>
      </c>
      <c r="AZ952" t="s">
        <v>72</v>
      </c>
      <c r="BA952" t="s">
        <v>82</v>
      </c>
      <c r="BB952">
        <v>1</v>
      </c>
      <c r="BC952">
        <v>9.0659339999999995E-3</v>
      </c>
      <c r="BD952">
        <v>2.76583658862385E-3</v>
      </c>
      <c r="BE952">
        <v>1.1831770588623799E-2</v>
      </c>
      <c r="BF952">
        <f>IF(AK952&lt;BE952,1,0)</f>
        <v>1</v>
      </c>
      <c r="BG952">
        <f>IF(AK952&lt;BC952,1,0)</f>
        <v>1</v>
      </c>
      <c r="BH952">
        <f>VLOOKUP($B952,[1]Data_Peer_with_peerVars!$B$2:$Z$1050,20,FALSE)</f>
        <v>1</v>
      </c>
      <c r="BI952">
        <f>VLOOKUP($B952,[1]Data_Peer_with_peerVars!$B$2:$Z$1050,21,FALSE)</f>
        <v>1</v>
      </c>
      <c r="BJ952">
        <f>VLOOKUP($B952,[1]Data_Peer_with_peerVars!$B$2:$Z$1050,22,FALSE)</f>
        <v>1</v>
      </c>
      <c r="BK952">
        <f>VLOOKUP($B952,[1]Data_Peer_with_peerVars!$B$2:$Z$1050,23,FALSE)</f>
        <v>17</v>
      </c>
      <c r="BL952">
        <f>VLOOKUP($B952,[1]Data_Peer_with_peerVars!$B$2:$Z$1050,24,FALSE)</f>
        <v>5</v>
      </c>
      <c r="BM952">
        <f>VLOOKUP($B952,[1]Data_Peer_with_peerVars!$B$2:$Z$1050,25,FALSE)</f>
        <v>0.29411764699999998</v>
      </c>
    </row>
    <row r="953" spans="1:65" x14ac:dyDescent="0.2">
      <c r="A953">
        <v>1</v>
      </c>
      <c r="B953" t="s">
        <v>1462</v>
      </c>
      <c r="C953">
        <v>593</v>
      </c>
      <c r="D953" t="s">
        <v>68</v>
      </c>
      <c r="E953">
        <v>0</v>
      </c>
      <c r="F953">
        <v>455</v>
      </c>
      <c r="G953" t="s">
        <v>97</v>
      </c>
      <c r="H953" s="1">
        <v>6</v>
      </c>
      <c r="I953" t="s">
        <v>87</v>
      </c>
      <c r="J953" t="s">
        <v>88</v>
      </c>
      <c r="K953" t="s">
        <v>72</v>
      </c>
      <c r="L953">
        <v>1</v>
      </c>
      <c r="M953">
        <v>1</v>
      </c>
      <c r="N953">
        <v>0</v>
      </c>
      <c r="O953">
        <v>0</v>
      </c>
      <c r="P953">
        <v>1</v>
      </c>
      <c r="Q953">
        <v>6</v>
      </c>
      <c r="R953">
        <v>0</v>
      </c>
      <c r="S953">
        <v>0</v>
      </c>
      <c r="T953">
        <v>0</v>
      </c>
      <c r="U953">
        <v>0</v>
      </c>
      <c r="V953">
        <f t="shared" si="403"/>
        <v>0</v>
      </c>
      <c r="W953">
        <f t="shared" si="404"/>
        <v>0</v>
      </c>
      <c r="X953">
        <f t="shared" si="407"/>
        <v>0</v>
      </c>
      <c r="Y953">
        <f t="shared" si="405"/>
        <v>0</v>
      </c>
      <c r="Z953" t="s">
        <v>89</v>
      </c>
      <c r="AA953" s="5" t="s">
        <v>89</v>
      </c>
      <c r="AB953" s="5" t="s">
        <v>577</v>
      </c>
      <c r="AC953" t="s">
        <v>74</v>
      </c>
      <c r="AD953" t="s">
        <v>76</v>
      </c>
      <c r="AE953" s="5" t="s">
        <v>76</v>
      </c>
      <c r="AF953" t="s">
        <v>75</v>
      </c>
      <c r="AG953" t="s">
        <v>120</v>
      </c>
      <c r="AH953">
        <f t="shared" si="425"/>
        <v>6.0307020000000003E-2</v>
      </c>
      <c r="AI953">
        <f t="shared" si="426"/>
        <v>6.0307020000000003E-2</v>
      </c>
      <c r="AJ953">
        <f t="shared" si="406"/>
        <v>6.0307020000000003E-2</v>
      </c>
      <c r="AK953">
        <v>6.0307020000000003E-2</v>
      </c>
      <c r="AL953">
        <v>7.0491806000000004E-2</v>
      </c>
      <c r="AM953">
        <v>0.104269296</v>
      </c>
      <c r="AN953">
        <v>0.109836064</v>
      </c>
      <c r="AO953">
        <v>93.969297999999995</v>
      </c>
      <c r="AP953">
        <v>92.9508194</v>
      </c>
      <c r="AQ953">
        <v>89.573070400000006</v>
      </c>
      <c r="AR953">
        <v>89.016393600000001</v>
      </c>
      <c r="AS953" t="b">
        <v>0</v>
      </c>
      <c r="AT953" t="b">
        <v>0</v>
      </c>
      <c r="AU953" t="s">
        <v>92</v>
      </c>
      <c r="AV953" t="s">
        <v>92</v>
      </c>
      <c r="AW953" t="s">
        <v>783</v>
      </c>
      <c r="AX953" t="s">
        <v>1277</v>
      </c>
      <c r="AY953" t="s">
        <v>1459</v>
      </c>
      <c r="AZ953" t="s">
        <v>72</v>
      </c>
      <c r="BA953" t="s">
        <v>82</v>
      </c>
      <c r="BB953">
        <v>1</v>
      </c>
      <c r="BC953">
        <v>2.4738868000000001E-3</v>
      </c>
      <c r="BD953">
        <v>1.4256942275279999E-4</v>
      </c>
      <c r="BE953">
        <v>2.6164562227527998E-3</v>
      </c>
      <c r="BF953">
        <f>IF(AK953&lt;BE953,1,0)</f>
        <v>0</v>
      </c>
      <c r="BG953">
        <f>IF(AK953&lt;BC953,1,0)</f>
        <v>0</v>
      </c>
      <c r="BH953">
        <f>VLOOKUP($B953,[1]Data_Peer_with_peerVars!$B$2:$Z$1050,20,FALSE)</f>
        <v>1</v>
      </c>
      <c r="BI953">
        <f>VLOOKUP($B953,[1]Data_Peer_with_peerVars!$B$2:$Z$1050,21,FALSE)</f>
        <v>1</v>
      </c>
      <c r="BJ953">
        <f>VLOOKUP($B953,[1]Data_Peer_with_peerVars!$B$2:$Z$1050,22,FALSE)</f>
        <v>1</v>
      </c>
      <c r="BK953">
        <f>VLOOKUP($B953,[1]Data_Peer_with_peerVars!$B$2:$Z$1050,23,FALSE)</f>
        <v>17</v>
      </c>
      <c r="BL953">
        <f>VLOOKUP($B953,[1]Data_Peer_with_peerVars!$B$2:$Z$1050,24,FALSE)</f>
        <v>5</v>
      </c>
      <c r="BM953">
        <f>VLOOKUP($B953,[1]Data_Peer_with_peerVars!$B$2:$Z$1050,25,FALSE)</f>
        <v>0.29411764699999998</v>
      </c>
    </row>
    <row r="954" spans="1:65" x14ac:dyDescent="0.2">
      <c r="A954">
        <v>1</v>
      </c>
      <c r="B954" t="s">
        <v>1463</v>
      </c>
      <c r="C954">
        <v>594</v>
      </c>
      <c r="D954" t="s">
        <v>68</v>
      </c>
      <c r="E954">
        <v>1</v>
      </c>
      <c r="F954">
        <v>456</v>
      </c>
      <c r="G954" t="s">
        <v>69</v>
      </c>
      <c r="H954" s="1">
        <v>7</v>
      </c>
      <c r="I954" t="s">
        <v>87</v>
      </c>
      <c r="J954" t="s">
        <v>88</v>
      </c>
      <c r="K954" t="s">
        <v>109</v>
      </c>
      <c r="L954">
        <v>2</v>
      </c>
      <c r="M954">
        <v>0</v>
      </c>
      <c r="N954">
        <v>1</v>
      </c>
      <c r="O954">
        <v>0</v>
      </c>
      <c r="P954">
        <v>0</v>
      </c>
      <c r="Q954">
        <v>5</v>
      </c>
      <c r="R954">
        <v>0</v>
      </c>
      <c r="S954">
        <v>0</v>
      </c>
      <c r="T954">
        <v>0</v>
      </c>
      <c r="U954">
        <v>1</v>
      </c>
      <c r="V954">
        <f t="shared" si="403"/>
        <v>1</v>
      </c>
      <c r="W954">
        <v>1</v>
      </c>
      <c r="X954">
        <v>1</v>
      </c>
      <c r="Y954">
        <v>1</v>
      </c>
      <c r="Z954" t="s">
        <v>73</v>
      </c>
      <c r="AA954" s="5" t="s">
        <v>73</v>
      </c>
      <c r="AB954" s="5" t="s">
        <v>73</v>
      </c>
      <c r="AC954" t="s">
        <v>73</v>
      </c>
      <c r="AD954" t="s">
        <v>94</v>
      </c>
      <c r="AE954" s="5" t="s">
        <v>106</v>
      </c>
      <c r="AF954" t="s">
        <v>75</v>
      </c>
      <c r="AG954" t="s">
        <v>107</v>
      </c>
      <c r="AH954">
        <f>AI954</f>
        <v>1.5275504000000001E-2</v>
      </c>
      <c r="AI954">
        <f>AJ954</f>
        <v>1.5275504000000001E-2</v>
      </c>
      <c r="AJ954">
        <f t="shared" si="406"/>
        <v>1.5275504000000001E-2</v>
      </c>
      <c r="AK954">
        <v>1.5275504000000001E-2</v>
      </c>
      <c r="AL954">
        <v>0.124931656</v>
      </c>
      <c r="AM954">
        <v>0.13643835000000001</v>
      </c>
      <c r="AN954">
        <v>0.13960505000000001</v>
      </c>
      <c r="AO954">
        <v>98.472449600000004</v>
      </c>
      <c r="AP954">
        <v>87.506834400000002</v>
      </c>
      <c r="AQ954">
        <v>86.356165000000004</v>
      </c>
      <c r="AR954">
        <v>86.039495000000002</v>
      </c>
      <c r="AS954" t="b">
        <v>1</v>
      </c>
      <c r="AT954" t="b">
        <v>0</v>
      </c>
      <c r="AU954" t="s">
        <v>77</v>
      </c>
      <c r="AV954" t="s">
        <v>108</v>
      </c>
      <c r="AW954" t="s">
        <v>783</v>
      </c>
      <c r="AX954" t="s">
        <v>1277</v>
      </c>
      <c r="AY954" t="s">
        <v>1464</v>
      </c>
      <c r="AZ954" t="s">
        <v>109</v>
      </c>
      <c r="BA954">
        <v>2</v>
      </c>
      <c r="BB954">
        <v>0.5</v>
      </c>
      <c r="BC954">
        <v>4.1163553999999996E-3</v>
      </c>
      <c r="BD954">
        <v>1.4279989108178799E-4</v>
      </c>
      <c r="BE954">
        <v>4.2591552910817903E-3</v>
      </c>
      <c r="BF954">
        <f>IF(AK954&lt;BE954,1,0)</f>
        <v>0</v>
      </c>
      <c r="BG954">
        <f>IF(AK954&lt;BC954,1,0)</f>
        <v>0</v>
      </c>
      <c r="BH954">
        <f>VLOOKUP($B954,[1]Data_Peer_with_peerVars!$B$2:$Z$1050,20,FALSE)</f>
        <v>3</v>
      </c>
      <c r="BI954">
        <f>VLOOKUP($B954,[1]Data_Peer_with_peerVars!$B$2:$Z$1050,21,FALSE)</f>
        <v>0</v>
      </c>
      <c r="BJ954">
        <f>VLOOKUP($B954,[1]Data_Peer_with_peerVars!$B$2:$Z$1050,22,FALSE)</f>
        <v>0</v>
      </c>
      <c r="BK954">
        <f>VLOOKUP($B954,[1]Data_Peer_with_peerVars!$B$2:$Z$1050,23,FALSE)</f>
        <v>21</v>
      </c>
      <c r="BL954">
        <f>VLOOKUP($B954,[1]Data_Peer_with_peerVars!$B$2:$Z$1050,24,FALSE)</f>
        <v>6</v>
      </c>
      <c r="BM954">
        <f>VLOOKUP($B954,[1]Data_Peer_with_peerVars!$B$2:$Z$1050,25,FALSE)</f>
        <v>0.28571428599999998</v>
      </c>
    </row>
    <row r="955" spans="1:65" x14ac:dyDescent="0.2">
      <c r="A955">
        <v>1</v>
      </c>
      <c r="B955" t="s">
        <v>1465</v>
      </c>
      <c r="C955">
        <v>596</v>
      </c>
      <c r="D955" t="s">
        <v>68</v>
      </c>
      <c r="E955">
        <v>1</v>
      </c>
      <c r="F955">
        <v>499</v>
      </c>
      <c r="G955" t="s">
        <v>86</v>
      </c>
      <c r="H955" s="1">
        <v>6.5</v>
      </c>
      <c r="I955" t="s">
        <v>87</v>
      </c>
      <c r="J955" t="s">
        <v>150</v>
      </c>
      <c r="K955" t="s">
        <v>72</v>
      </c>
      <c r="L955">
        <v>1</v>
      </c>
      <c r="M955">
        <v>0</v>
      </c>
      <c r="N955">
        <v>1</v>
      </c>
      <c r="O955">
        <v>0</v>
      </c>
      <c r="P955">
        <v>0</v>
      </c>
      <c r="Q955">
        <v>8</v>
      </c>
      <c r="R955">
        <v>0</v>
      </c>
      <c r="S955">
        <v>0</v>
      </c>
      <c r="T955">
        <v>0</v>
      </c>
      <c r="U955">
        <v>0</v>
      </c>
      <c r="V955">
        <f t="shared" si="403"/>
        <v>0</v>
      </c>
      <c r="W955">
        <f t="shared" si="404"/>
        <v>0</v>
      </c>
      <c r="X955">
        <f t="shared" si="407"/>
        <v>0</v>
      </c>
      <c r="Y955">
        <f t="shared" si="405"/>
        <v>0</v>
      </c>
      <c r="Z955" t="s">
        <v>91</v>
      </c>
      <c r="AA955" s="5" t="s">
        <v>91</v>
      </c>
      <c r="AB955" s="5" t="s">
        <v>1395</v>
      </c>
      <c r="AC955" t="s">
        <v>287</v>
      </c>
      <c r="AD955" t="s">
        <v>137</v>
      </c>
      <c r="AE955" s="5" t="s">
        <v>1466</v>
      </c>
      <c r="AF955" t="s">
        <v>103</v>
      </c>
      <c r="AG955" t="s">
        <v>113</v>
      </c>
      <c r="AH955">
        <f t="shared" ref="AH955:AH957" si="427">AI955</f>
        <v>0.10553728</v>
      </c>
      <c r="AI955">
        <f t="shared" ref="AI955:AI957" si="428">AJ955</f>
        <v>0.10553728</v>
      </c>
      <c r="AJ955">
        <f t="shared" si="406"/>
        <v>0.10553728</v>
      </c>
      <c r="AK955">
        <v>0.10553728</v>
      </c>
      <c r="AL955">
        <v>0.11485745999999999</v>
      </c>
      <c r="AM955">
        <v>0.121890545</v>
      </c>
      <c r="AN955">
        <v>0.123072684</v>
      </c>
      <c r="AO955">
        <v>89.446271999999993</v>
      </c>
      <c r="AP955">
        <v>88.514253999999994</v>
      </c>
      <c r="AQ955">
        <v>87.810945500000003</v>
      </c>
      <c r="AR955">
        <v>87.692731600000002</v>
      </c>
      <c r="AS955" t="b">
        <v>0</v>
      </c>
      <c r="AT955" t="b">
        <v>0</v>
      </c>
      <c r="AU955" t="s">
        <v>78</v>
      </c>
      <c r="AV955" t="s">
        <v>108</v>
      </c>
      <c r="AW955" t="s">
        <v>783</v>
      </c>
      <c r="AX955" t="s">
        <v>1277</v>
      </c>
      <c r="AY955" t="s">
        <v>1467</v>
      </c>
      <c r="AZ955" t="s">
        <v>72</v>
      </c>
      <c r="BA955" t="s">
        <v>82</v>
      </c>
      <c r="BB955">
        <v>0.98</v>
      </c>
      <c r="BC955">
        <v>5.5106750000000003E-2</v>
      </c>
      <c r="BD955">
        <v>2.4361461616194298E-3</v>
      </c>
      <c r="BE955">
        <v>5.7542896161619402E-2</v>
      </c>
      <c r="BF955">
        <f>IF(AK955&lt;BE955,1,0)</f>
        <v>0</v>
      </c>
      <c r="BG955">
        <f>IF(AK955&lt;BC955,1,0)</f>
        <v>0</v>
      </c>
      <c r="BH955">
        <f>VLOOKUP($B955,[1]Data_Peer_with_peerVars!$B$2:$Z$1050,20,FALSE)</f>
        <v>0</v>
      </c>
      <c r="BI955">
        <f>VLOOKUP($B955,[1]Data_Peer_with_peerVars!$B$2:$Z$1050,21,FALSE)</f>
        <v>0</v>
      </c>
      <c r="BJ955">
        <v>0</v>
      </c>
      <c r="BK955">
        <f>VLOOKUP($B955,[1]Data_Peer_with_peerVars!$B$2:$Z$1050,23,FALSE)</f>
        <v>20</v>
      </c>
      <c r="BL955">
        <f>VLOOKUP($B955,[1]Data_Peer_with_peerVars!$B$2:$Z$1050,24,FALSE)</f>
        <v>3</v>
      </c>
      <c r="BM955">
        <f>VLOOKUP($B955,[1]Data_Peer_with_peerVars!$B$2:$Z$1050,25,FALSE)</f>
        <v>0.15</v>
      </c>
    </row>
    <row r="956" spans="1:65" x14ac:dyDescent="0.2">
      <c r="A956">
        <v>1</v>
      </c>
      <c r="B956" t="s">
        <v>1468</v>
      </c>
      <c r="C956">
        <v>596</v>
      </c>
      <c r="D956" t="s">
        <v>68</v>
      </c>
      <c r="E956">
        <v>1</v>
      </c>
      <c r="F956">
        <v>499</v>
      </c>
      <c r="G956" t="s">
        <v>86</v>
      </c>
      <c r="H956" s="1">
        <v>6.5</v>
      </c>
      <c r="I956" t="s">
        <v>87</v>
      </c>
      <c r="J956" t="s">
        <v>150</v>
      </c>
      <c r="K956" t="s">
        <v>72</v>
      </c>
      <c r="L956">
        <v>1</v>
      </c>
      <c r="M956">
        <v>0</v>
      </c>
      <c r="N956">
        <v>1</v>
      </c>
      <c r="O956">
        <v>0</v>
      </c>
      <c r="P956">
        <v>0</v>
      </c>
      <c r="Q956">
        <v>8</v>
      </c>
      <c r="R956">
        <v>0</v>
      </c>
      <c r="S956">
        <v>0</v>
      </c>
      <c r="T956">
        <v>1</v>
      </c>
      <c r="U956">
        <v>1</v>
      </c>
      <c r="V956">
        <f t="shared" si="403"/>
        <v>0</v>
      </c>
      <c r="W956">
        <f t="shared" si="404"/>
        <v>0</v>
      </c>
      <c r="X956">
        <f t="shared" si="407"/>
        <v>0</v>
      </c>
      <c r="Y956">
        <f t="shared" si="405"/>
        <v>0</v>
      </c>
      <c r="Z956" t="s">
        <v>75</v>
      </c>
      <c r="AA956" s="5" t="s">
        <v>75</v>
      </c>
      <c r="AB956" s="5" t="s">
        <v>75</v>
      </c>
      <c r="AC956" t="s">
        <v>73</v>
      </c>
      <c r="AD956" t="s">
        <v>94</v>
      </c>
      <c r="AE956" s="5" t="s">
        <v>106</v>
      </c>
      <c r="AF956" t="s">
        <v>107</v>
      </c>
      <c r="AG956" t="s">
        <v>95</v>
      </c>
      <c r="AH956">
        <f t="shared" si="427"/>
        <v>4.0894219999999997E-3</v>
      </c>
      <c r="AI956">
        <f t="shared" si="428"/>
        <v>4.0894219999999997E-3</v>
      </c>
      <c r="AJ956">
        <f t="shared" si="406"/>
        <v>4.0894219999999997E-3</v>
      </c>
      <c r="AK956">
        <v>4.0894219999999997E-3</v>
      </c>
      <c r="AL956">
        <v>0.13196722</v>
      </c>
      <c r="AM956">
        <v>0.13651315999999999</v>
      </c>
      <c r="AN956">
        <v>0.13894967999999999</v>
      </c>
      <c r="AO956">
        <v>99.591057800000002</v>
      </c>
      <c r="AP956">
        <v>86.803278000000006</v>
      </c>
      <c r="AQ956">
        <v>86.348684000000006</v>
      </c>
      <c r="AR956">
        <v>86.105031999999994</v>
      </c>
      <c r="AS956" t="b">
        <v>0</v>
      </c>
      <c r="AT956" t="b">
        <v>0</v>
      </c>
      <c r="AU956" t="s">
        <v>77</v>
      </c>
      <c r="AV956" t="s">
        <v>108</v>
      </c>
      <c r="AW956" t="s">
        <v>783</v>
      </c>
      <c r="AX956" t="s">
        <v>1277</v>
      </c>
      <c r="AY956" t="s">
        <v>1467</v>
      </c>
      <c r="AZ956" t="s">
        <v>72</v>
      </c>
      <c r="BA956" t="s">
        <v>82</v>
      </c>
      <c r="BB956" t="s">
        <v>82</v>
      </c>
      <c r="BC956">
        <v>4.1163553999999996E-3</v>
      </c>
      <c r="BD956">
        <v>1.4279989108178799E-4</v>
      </c>
      <c r="BE956">
        <v>4.2591552910817903E-3</v>
      </c>
      <c r="BF956">
        <f>IF(AK956&lt;BE956,1,0)</f>
        <v>1</v>
      </c>
      <c r="BG956">
        <f>IF(AK956&lt;BC956,1,0)</f>
        <v>1</v>
      </c>
      <c r="BH956">
        <f>VLOOKUP($B956,[1]Data_Peer_with_peerVars!$B$2:$Z$1050,20,FALSE)</f>
        <v>0</v>
      </c>
      <c r="BI956">
        <f>VLOOKUP($B956,[1]Data_Peer_with_peerVars!$B$2:$Z$1050,21,FALSE)</f>
        <v>0</v>
      </c>
      <c r="BJ956">
        <v>0</v>
      </c>
      <c r="BK956">
        <f>VLOOKUP($B956,[1]Data_Peer_with_peerVars!$B$2:$Z$1050,23,FALSE)</f>
        <v>20</v>
      </c>
      <c r="BL956">
        <f>VLOOKUP($B956,[1]Data_Peer_with_peerVars!$B$2:$Z$1050,24,FALSE)</f>
        <v>3</v>
      </c>
      <c r="BM956">
        <f>VLOOKUP($B956,[1]Data_Peer_with_peerVars!$B$2:$Z$1050,25,FALSE)</f>
        <v>0.15</v>
      </c>
    </row>
    <row r="957" spans="1:65" x14ac:dyDescent="0.2">
      <c r="A957">
        <v>1</v>
      </c>
      <c r="B957" t="s">
        <v>1469</v>
      </c>
      <c r="C957">
        <v>597</v>
      </c>
      <c r="D957" t="s">
        <v>68</v>
      </c>
      <c r="E957">
        <v>1</v>
      </c>
      <c r="F957">
        <v>500</v>
      </c>
      <c r="G957" t="s">
        <v>86</v>
      </c>
      <c r="H957" s="1">
        <v>7</v>
      </c>
      <c r="I957" t="s">
        <v>70</v>
      </c>
      <c r="J957" t="s">
        <v>301</v>
      </c>
      <c r="K957" t="s">
        <v>109</v>
      </c>
      <c r="L957">
        <v>2</v>
      </c>
      <c r="M957">
        <v>1</v>
      </c>
      <c r="N957">
        <v>0</v>
      </c>
      <c r="O957">
        <v>0</v>
      </c>
      <c r="P957">
        <v>1</v>
      </c>
      <c r="Q957">
        <v>5</v>
      </c>
      <c r="R957">
        <v>0</v>
      </c>
      <c r="S957">
        <v>0</v>
      </c>
      <c r="T957">
        <v>0</v>
      </c>
      <c r="U957">
        <v>0</v>
      </c>
      <c r="V957">
        <f t="shared" si="403"/>
        <v>0</v>
      </c>
      <c r="W957">
        <f t="shared" si="404"/>
        <v>0</v>
      </c>
      <c r="X957">
        <f t="shared" si="407"/>
        <v>0</v>
      </c>
      <c r="Y957">
        <f t="shared" si="405"/>
        <v>0</v>
      </c>
      <c r="Z957" t="s">
        <v>170</v>
      </c>
      <c r="AA957" s="5" t="s">
        <v>170</v>
      </c>
      <c r="AB957" s="5" t="s">
        <v>1287</v>
      </c>
      <c r="AC957" t="s">
        <v>73</v>
      </c>
      <c r="AD957" t="s">
        <v>94</v>
      </c>
      <c r="AE957" s="5" t="s">
        <v>94</v>
      </c>
      <c r="AF957" t="s">
        <v>75</v>
      </c>
      <c r="AG957" t="s">
        <v>95</v>
      </c>
      <c r="AH957">
        <f t="shared" si="427"/>
        <v>6.4067609999999997E-2</v>
      </c>
      <c r="AI957">
        <f t="shared" si="428"/>
        <v>6.4067609999999997E-2</v>
      </c>
      <c r="AJ957">
        <f t="shared" si="406"/>
        <v>6.4067609999999997E-2</v>
      </c>
      <c r="AK957">
        <v>6.4067609999999997E-2</v>
      </c>
      <c r="AL957">
        <v>0.11735808</v>
      </c>
      <c r="AM957">
        <v>0.12937636999999999</v>
      </c>
      <c r="AN957">
        <v>0.14043716000000001</v>
      </c>
      <c r="AO957">
        <v>93.593238999999997</v>
      </c>
      <c r="AP957">
        <v>88.264191999999994</v>
      </c>
      <c r="AQ957">
        <v>87.062363000000005</v>
      </c>
      <c r="AR957">
        <v>85.956283999999997</v>
      </c>
      <c r="AS957" t="b">
        <v>0</v>
      </c>
      <c r="AT957" t="b">
        <v>0</v>
      </c>
      <c r="AU957" t="s">
        <v>92</v>
      </c>
      <c r="AV957" t="s">
        <v>92</v>
      </c>
      <c r="AW957" t="s">
        <v>783</v>
      </c>
      <c r="AX957" t="s">
        <v>1277</v>
      </c>
      <c r="AY957" t="s">
        <v>1378</v>
      </c>
      <c r="AZ957" t="s">
        <v>109</v>
      </c>
      <c r="BA957">
        <v>2</v>
      </c>
      <c r="BB957">
        <v>1</v>
      </c>
      <c r="BC957">
        <v>4.1163553999999996E-3</v>
      </c>
      <c r="BD957">
        <v>1.4279989108178799E-4</v>
      </c>
      <c r="BE957">
        <v>4.2591552910817903E-3</v>
      </c>
      <c r="BF957">
        <f>IF(AK957&lt;BE957,1,0)</f>
        <v>0</v>
      </c>
      <c r="BG957">
        <f>IF(AK957&lt;BC957,1,0)</f>
        <v>0</v>
      </c>
      <c r="BH957">
        <f>VLOOKUP($B957,[1]Data_Peer_with_peerVars!$B$2:$Z$1050,20,FALSE)</f>
        <v>2</v>
      </c>
      <c r="BI957">
        <f>VLOOKUP($B957,[1]Data_Peer_with_peerVars!$B$2:$Z$1050,21,FALSE)</f>
        <v>0</v>
      </c>
      <c r="BJ957">
        <f>VLOOKUP($B957,[1]Data_Peer_with_peerVars!$B$2:$Z$1050,22,FALSE)</f>
        <v>0</v>
      </c>
      <c r="BK957">
        <f>VLOOKUP($B957,[1]Data_Peer_with_peerVars!$B$2:$Z$1050,23,FALSE)</f>
        <v>8</v>
      </c>
      <c r="BL957">
        <f>VLOOKUP($B957,[1]Data_Peer_with_peerVars!$B$2:$Z$1050,24,FALSE)</f>
        <v>2</v>
      </c>
      <c r="BM957">
        <f>VLOOKUP($B957,[1]Data_Peer_with_peerVars!$B$2:$Z$1050,25,FALSE)</f>
        <v>0.25</v>
      </c>
    </row>
    <row r="958" spans="1:65" x14ac:dyDescent="0.2">
      <c r="A958">
        <v>1</v>
      </c>
      <c r="B958" t="s">
        <v>1470</v>
      </c>
      <c r="C958">
        <v>598</v>
      </c>
      <c r="D958" t="s">
        <v>68</v>
      </c>
      <c r="E958">
        <v>1</v>
      </c>
      <c r="F958">
        <v>506</v>
      </c>
      <c r="G958" t="s">
        <v>86</v>
      </c>
      <c r="H958" s="1">
        <v>7</v>
      </c>
      <c r="I958" t="s">
        <v>87</v>
      </c>
      <c r="J958" t="s">
        <v>111</v>
      </c>
      <c r="K958" t="s">
        <v>109</v>
      </c>
      <c r="L958">
        <v>1</v>
      </c>
      <c r="M958">
        <v>1</v>
      </c>
      <c r="N958">
        <v>0</v>
      </c>
      <c r="O958">
        <v>1</v>
      </c>
      <c r="P958">
        <v>1</v>
      </c>
      <c r="Q958">
        <v>6</v>
      </c>
      <c r="R958">
        <v>0</v>
      </c>
      <c r="S958">
        <v>0</v>
      </c>
      <c r="T958">
        <v>1</v>
      </c>
      <c r="U958">
        <v>1</v>
      </c>
      <c r="V958">
        <f t="shared" si="403"/>
        <v>1</v>
      </c>
      <c r="W958">
        <v>1</v>
      </c>
      <c r="X958">
        <v>1</v>
      </c>
      <c r="Y958">
        <v>1</v>
      </c>
      <c r="Z958" t="s">
        <v>73</v>
      </c>
      <c r="AA958" s="5" t="s">
        <v>73</v>
      </c>
      <c r="AB958" s="5" t="s">
        <v>73</v>
      </c>
      <c r="AC958" t="s">
        <v>73</v>
      </c>
      <c r="AD958" t="s">
        <v>94</v>
      </c>
      <c r="AE958" s="5" t="s">
        <v>106</v>
      </c>
      <c r="AF958" t="s">
        <v>107</v>
      </c>
      <c r="AG958" t="s">
        <v>95</v>
      </c>
      <c r="AH958">
        <f t="shared" ref="AH958:AI961" si="429">AI958</f>
        <v>4.0894219999999997E-3</v>
      </c>
      <c r="AI958">
        <f t="shared" si="429"/>
        <v>4.0894219999999997E-3</v>
      </c>
      <c r="AJ958">
        <f t="shared" si="406"/>
        <v>4.0894219999999997E-3</v>
      </c>
      <c r="AK958">
        <v>4.0894219999999997E-3</v>
      </c>
      <c r="AL958">
        <v>0.13196722</v>
      </c>
      <c r="AM958">
        <v>0.13651315999999999</v>
      </c>
      <c r="AN958">
        <v>0.13894967999999999</v>
      </c>
      <c r="AO958">
        <v>99.591057800000002</v>
      </c>
      <c r="AP958">
        <v>86.803278000000006</v>
      </c>
      <c r="AQ958">
        <v>86.348684000000006</v>
      </c>
      <c r="AR958">
        <v>86.105031999999994</v>
      </c>
      <c r="AS958" t="b">
        <v>1</v>
      </c>
      <c r="AT958" t="b">
        <v>0</v>
      </c>
      <c r="AU958" t="s">
        <v>77</v>
      </c>
      <c r="AV958" t="s">
        <v>108</v>
      </c>
      <c r="AW958" t="s">
        <v>783</v>
      </c>
      <c r="AX958" t="s">
        <v>1277</v>
      </c>
      <c r="AY958" t="s">
        <v>1430</v>
      </c>
      <c r="AZ958" t="s">
        <v>109</v>
      </c>
      <c r="BA958">
        <v>2</v>
      </c>
      <c r="BB958">
        <v>3</v>
      </c>
      <c r="BC958">
        <v>4.1163553999999996E-3</v>
      </c>
      <c r="BD958">
        <v>1.4279989108178799E-4</v>
      </c>
      <c r="BE958">
        <v>4.2591552910817903E-3</v>
      </c>
      <c r="BF958">
        <f>IF(AK958&lt;BE958,1,0)</f>
        <v>1</v>
      </c>
      <c r="BG958">
        <f>IF(AK958&lt;BC958,1,0)</f>
        <v>1</v>
      </c>
      <c r="BH958">
        <f>VLOOKUP($B958,[1]Data_Peer_with_peerVars!$B$2:$Z$1050,20,FALSE)</f>
        <v>2</v>
      </c>
      <c r="BI958">
        <f>VLOOKUP($B958,[1]Data_Peer_with_peerVars!$B$2:$Z$1050,21,FALSE)</f>
        <v>2</v>
      </c>
      <c r="BJ958">
        <f>VLOOKUP($B958,[1]Data_Peer_with_peerVars!$B$2:$Z$1050,22,FALSE)</f>
        <v>1</v>
      </c>
      <c r="BK958">
        <f>VLOOKUP($B958,[1]Data_Peer_with_peerVars!$B$2:$Z$1050,23,FALSE)</f>
        <v>7</v>
      </c>
      <c r="BL958">
        <f>VLOOKUP($B958,[1]Data_Peer_with_peerVars!$B$2:$Z$1050,24,FALSE)</f>
        <v>7</v>
      </c>
      <c r="BM958">
        <f>VLOOKUP($B958,[1]Data_Peer_with_peerVars!$B$2:$Z$1050,25,FALSE)</f>
        <v>1</v>
      </c>
    </row>
    <row r="959" spans="1:65" x14ac:dyDescent="0.2">
      <c r="A959">
        <v>1</v>
      </c>
      <c r="B959" t="s">
        <v>1471</v>
      </c>
      <c r="C959">
        <v>599</v>
      </c>
      <c r="D959" t="s">
        <v>68</v>
      </c>
      <c r="E959">
        <v>0</v>
      </c>
      <c r="F959">
        <v>507</v>
      </c>
      <c r="G959" t="s">
        <v>97</v>
      </c>
      <c r="H959" s="1">
        <v>7</v>
      </c>
      <c r="I959" t="s">
        <v>87</v>
      </c>
      <c r="J959" t="s">
        <v>111</v>
      </c>
      <c r="K959" t="s">
        <v>109</v>
      </c>
      <c r="L959">
        <v>1</v>
      </c>
      <c r="M959">
        <v>1</v>
      </c>
      <c r="N959">
        <v>0</v>
      </c>
      <c r="O959">
        <v>0</v>
      </c>
      <c r="P959">
        <v>0</v>
      </c>
      <c r="Q959">
        <v>9</v>
      </c>
      <c r="R959">
        <v>0</v>
      </c>
      <c r="S959">
        <v>0</v>
      </c>
      <c r="T959">
        <v>0</v>
      </c>
      <c r="U959">
        <v>0</v>
      </c>
      <c r="V959">
        <f t="shared" si="403"/>
        <v>0</v>
      </c>
      <c r="W959">
        <f t="shared" si="404"/>
        <v>0</v>
      </c>
      <c r="X959">
        <f t="shared" si="407"/>
        <v>0</v>
      </c>
      <c r="Y959">
        <f t="shared" si="405"/>
        <v>0</v>
      </c>
      <c r="Z959" t="s">
        <v>76</v>
      </c>
      <c r="AA959" s="5" t="s">
        <v>76</v>
      </c>
      <c r="AB959" s="5" t="s">
        <v>76</v>
      </c>
      <c r="AC959" t="s">
        <v>120</v>
      </c>
      <c r="AD959" t="s">
        <v>75</v>
      </c>
      <c r="AE959" s="5" t="s">
        <v>75</v>
      </c>
      <c r="AF959" t="s">
        <v>74</v>
      </c>
      <c r="AG959" t="s">
        <v>167</v>
      </c>
      <c r="AH959">
        <f t="shared" si="429"/>
        <v>2.6502732000000001E-2</v>
      </c>
      <c r="AI959">
        <f t="shared" si="429"/>
        <v>2.6502732000000001E-2</v>
      </c>
      <c r="AJ959">
        <f t="shared" si="406"/>
        <v>2.6502732000000001E-2</v>
      </c>
      <c r="AK959">
        <v>2.6502732000000001E-2</v>
      </c>
      <c r="AL959">
        <v>8.0142229999999995E-2</v>
      </c>
      <c r="AM959">
        <v>8.7397260000000004E-2</v>
      </c>
      <c r="AN959">
        <v>0.10005482</v>
      </c>
      <c r="AO959">
        <v>97.349726799999999</v>
      </c>
      <c r="AP959">
        <v>91.985776999999999</v>
      </c>
      <c r="AQ959">
        <v>91.260273999999995</v>
      </c>
      <c r="AR959">
        <v>89.994517999999999</v>
      </c>
      <c r="AS959" t="b">
        <v>0</v>
      </c>
      <c r="AT959" t="b">
        <v>0</v>
      </c>
      <c r="AU959" t="s">
        <v>77</v>
      </c>
      <c r="AV959" t="s">
        <v>77</v>
      </c>
      <c r="AW959" t="s">
        <v>783</v>
      </c>
      <c r="AX959" t="s">
        <v>1277</v>
      </c>
      <c r="AY959" t="s">
        <v>1472</v>
      </c>
      <c r="AZ959" t="s">
        <v>109</v>
      </c>
      <c r="BA959">
        <v>3</v>
      </c>
      <c r="BB959">
        <v>7.0000000000000007E-2</v>
      </c>
      <c r="BC959">
        <v>4.6849314000000003E-2</v>
      </c>
      <c r="BD959">
        <v>4.5250577219970098E-3</v>
      </c>
      <c r="BE959">
        <v>5.1374371721996999E-2</v>
      </c>
      <c r="BF959">
        <f>IF(AK959&lt;BE959,1,0)</f>
        <v>1</v>
      </c>
      <c r="BG959">
        <f>IF(AK959&lt;BC959,1,0)</f>
        <v>1</v>
      </c>
      <c r="BH959">
        <f>VLOOKUP($B959,[1]Data_Peer_with_peerVars!$B$2:$Z$1050,20,FALSE)</f>
        <v>0</v>
      </c>
      <c r="BI959">
        <f>VLOOKUP($B959,[1]Data_Peer_with_peerVars!$B$2:$Z$1050,21,FALSE)</f>
        <v>0</v>
      </c>
      <c r="BJ959">
        <v>0</v>
      </c>
      <c r="BK959">
        <f>VLOOKUP($B959,[1]Data_Peer_with_peerVars!$B$2:$Z$1050,23,FALSE)</f>
        <v>12</v>
      </c>
      <c r="BL959">
        <f>VLOOKUP($B959,[1]Data_Peer_with_peerVars!$B$2:$Z$1050,24,FALSE)</f>
        <v>2</v>
      </c>
      <c r="BM959">
        <f>VLOOKUP($B959,[1]Data_Peer_with_peerVars!$B$2:$Z$1050,25,FALSE)</f>
        <v>0.16666666699999999</v>
      </c>
    </row>
    <row r="960" spans="1:65" x14ac:dyDescent="0.2">
      <c r="A960">
        <v>1</v>
      </c>
      <c r="B960" t="s">
        <v>1473</v>
      </c>
      <c r="C960">
        <v>600</v>
      </c>
      <c r="D960" t="s">
        <v>68</v>
      </c>
      <c r="E960">
        <v>0</v>
      </c>
      <c r="F960">
        <v>415</v>
      </c>
      <c r="G960" t="s">
        <v>119</v>
      </c>
      <c r="H960" s="1">
        <v>7</v>
      </c>
      <c r="I960" t="s">
        <v>87</v>
      </c>
      <c r="J960" t="s">
        <v>111</v>
      </c>
      <c r="K960" t="s">
        <v>109</v>
      </c>
      <c r="L960">
        <v>1</v>
      </c>
      <c r="M960">
        <v>0</v>
      </c>
      <c r="N960">
        <v>0</v>
      </c>
      <c r="O960">
        <v>0</v>
      </c>
      <c r="P960">
        <v>0</v>
      </c>
      <c r="Q960">
        <v>1</v>
      </c>
      <c r="R960">
        <v>0</v>
      </c>
      <c r="S960">
        <v>0</v>
      </c>
      <c r="T960">
        <v>1</v>
      </c>
      <c r="U960">
        <v>1</v>
      </c>
      <c r="V960">
        <f t="shared" si="403"/>
        <v>1</v>
      </c>
      <c r="W960">
        <v>1</v>
      </c>
      <c r="X960">
        <v>1</v>
      </c>
      <c r="Y960">
        <v>1</v>
      </c>
      <c r="Z960" t="s">
        <v>73</v>
      </c>
      <c r="AA960" s="5" t="s">
        <v>73</v>
      </c>
      <c r="AB960" s="5" t="s">
        <v>73</v>
      </c>
      <c r="AC960" t="s">
        <v>73</v>
      </c>
      <c r="AD960" t="s">
        <v>94</v>
      </c>
      <c r="AE960" s="5" t="s">
        <v>106</v>
      </c>
      <c r="AF960" t="s">
        <v>107</v>
      </c>
      <c r="AG960" t="s">
        <v>95</v>
      </c>
      <c r="AH960">
        <f t="shared" si="429"/>
        <v>3.8167940000000001E-3</v>
      </c>
      <c r="AI960">
        <f t="shared" si="429"/>
        <v>3.8167940000000001E-3</v>
      </c>
      <c r="AJ960">
        <f t="shared" si="406"/>
        <v>3.8167940000000001E-3</v>
      </c>
      <c r="AK960">
        <v>3.8167940000000001E-3</v>
      </c>
      <c r="AL960">
        <v>0.13169399000000001</v>
      </c>
      <c r="AM960">
        <v>0.13623904000000001</v>
      </c>
      <c r="AN960">
        <v>0.13867615</v>
      </c>
      <c r="AO960">
        <v>99.618320600000004</v>
      </c>
      <c r="AP960">
        <v>86.830601000000001</v>
      </c>
      <c r="AQ960">
        <v>86.376096000000004</v>
      </c>
      <c r="AR960">
        <v>86.132384999999999</v>
      </c>
      <c r="AS960" t="b">
        <v>1</v>
      </c>
      <c r="AT960" t="b">
        <v>0</v>
      </c>
      <c r="AU960" t="s">
        <v>77</v>
      </c>
      <c r="AV960" t="s">
        <v>108</v>
      </c>
      <c r="AW960" t="s">
        <v>783</v>
      </c>
      <c r="AX960" t="s">
        <v>1277</v>
      </c>
      <c r="AY960" t="s">
        <v>257</v>
      </c>
      <c r="AZ960" t="s">
        <v>109</v>
      </c>
      <c r="BA960">
        <v>2</v>
      </c>
      <c r="BB960">
        <v>1</v>
      </c>
      <c r="BC960">
        <v>4.1163553999999996E-3</v>
      </c>
      <c r="BD960">
        <v>1.4279989108178799E-4</v>
      </c>
      <c r="BE960">
        <v>4.2591552910817903E-3</v>
      </c>
      <c r="BF960">
        <f>IF(AK960&lt;BE960,1,0)</f>
        <v>1</v>
      </c>
      <c r="BG960">
        <f>IF(AK960&lt;BC960,1,0)</f>
        <v>1</v>
      </c>
      <c r="BH960">
        <f>VLOOKUP($B960,[1]Data_Peer_with_peerVars!$B$2:$Z$1050,20,FALSE)</f>
        <v>3</v>
      </c>
      <c r="BI960">
        <f>VLOOKUP($B960,[1]Data_Peer_with_peerVars!$B$2:$Z$1050,21,FALSE)</f>
        <v>2</v>
      </c>
      <c r="BJ960">
        <f>VLOOKUP($B960,[1]Data_Peer_with_peerVars!$B$2:$Z$1050,22,FALSE)</f>
        <v>0.66666666699999999</v>
      </c>
      <c r="BK960">
        <f>VLOOKUP($B960,[1]Data_Peer_with_peerVars!$B$2:$Z$1050,23,FALSE)</f>
        <v>33</v>
      </c>
      <c r="BL960">
        <f>VLOOKUP($B960,[1]Data_Peer_with_peerVars!$B$2:$Z$1050,24,FALSE)</f>
        <v>13</v>
      </c>
      <c r="BM960">
        <f>VLOOKUP($B960,[1]Data_Peer_with_peerVars!$B$2:$Z$1050,25,FALSE)</f>
        <v>0.393939394</v>
      </c>
    </row>
    <row r="961" spans="1:65" x14ac:dyDescent="0.2">
      <c r="A961">
        <v>1</v>
      </c>
      <c r="B961" t="s">
        <v>1474</v>
      </c>
      <c r="C961">
        <v>601</v>
      </c>
      <c r="D961" t="s">
        <v>68</v>
      </c>
      <c r="E961">
        <v>0</v>
      </c>
      <c r="F961">
        <v>447</v>
      </c>
      <c r="G961" t="s">
        <v>119</v>
      </c>
      <c r="H961" s="1">
        <v>0</v>
      </c>
      <c r="I961" t="s">
        <v>87</v>
      </c>
      <c r="J961" t="s">
        <v>150</v>
      </c>
      <c r="K961" t="s">
        <v>109</v>
      </c>
      <c r="L961">
        <v>1</v>
      </c>
      <c r="M961">
        <v>1</v>
      </c>
      <c r="N961">
        <v>0</v>
      </c>
      <c r="O961">
        <v>0</v>
      </c>
      <c r="P961">
        <v>1</v>
      </c>
      <c r="Q961">
        <v>2</v>
      </c>
      <c r="R961">
        <v>0</v>
      </c>
      <c r="S961">
        <v>0</v>
      </c>
      <c r="T961">
        <v>0</v>
      </c>
      <c r="U961">
        <v>0</v>
      </c>
      <c r="V961">
        <f t="shared" si="403"/>
        <v>0</v>
      </c>
      <c r="W961">
        <f t="shared" si="404"/>
        <v>0</v>
      </c>
      <c r="X961">
        <f t="shared" si="407"/>
        <v>0</v>
      </c>
      <c r="Y961">
        <f t="shared" si="405"/>
        <v>0</v>
      </c>
      <c r="Z961" t="s">
        <v>89</v>
      </c>
      <c r="AA961" s="5" t="s">
        <v>89</v>
      </c>
      <c r="AB961" s="5" t="s">
        <v>577</v>
      </c>
      <c r="AC961" t="s">
        <v>120</v>
      </c>
      <c r="AD961" t="s">
        <v>75</v>
      </c>
      <c r="AE961" s="5" t="s">
        <v>75</v>
      </c>
      <c r="AF961" t="s">
        <v>74</v>
      </c>
      <c r="AG961" t="s">
        <v>167</v>
      </c>
      <c r="AH961">
        <f t="shared" si="429"/>
        <v>2.6761333000000002E-2</v>
      </c>
      <c r="AI961">
        <f t="shared" si="429"/>
        <v>2.6761333000000002E-2</v>
      </c>
      <c r="AJ961">
        <f t="shared" si="406"/>
        <v>2.6761333000000002E-2</v>
      </c>
      <c r="AK961">
        <v>2.6761333000000002E-2</v>
      </c>
      <c r="AL961">
        <v>8.0415756000000005E-2</v>
      </c>
      <c r="AM961">
        <v>8.7123290000000006E-2</v>
      </c>
      <c r="AN961">
        <v>9.9726029999999993E-2</v>
      </c>
      <c r="AO961">
        <v>97.323866699999996</v>
      </c>
      <c r="AP961">
        <v>91.958424399999998</v>
      </c>
      <c r="AQ961">
        <v>91.287671000000003</v>
      </c>
      <c r="AR961">
        <v>90.027396999999993</v>
      </c>
      <c r="AS961" t="b">
        <v>0</v>
      </c>
      <c r="AT961" t="b">
        <v>0</v>
      </c>
      <c r="AU961" t="s">
        <v>92</v>
      </c>
      <c r="AV961" t="s">
        <v>92</v>
      </c>
      <c r="AW961" t="s">
        <v>783</v>
      </c>
      <c r="AX961" t="s">
        <v>1277</v>
      </c>
      <c r="AY961" t="s">
        <v>350</v>
      </c>
      <c r="AZ961" t="s">
        <v>109</v>
      </c>
      <c r="BA961">
        <v>3</v>
      </c>
      <c r="BB961">
        <v>0.7</v>
      </c>
      <c r="BC961">
        <v>4.6849314000000003E-2</v>
      </c>
      <c r="BD961">
        <v>4.5250577219970098E-3</v>
      </c>
      <c r="BE961">
        <v>5.1374371721996999E-2</v>
      </c>
      <c r="BF961">
        <f>IF(AK961&lt;BE961,1,0)</f>
        <v>1</v>
      </c>
      <c r="BG961">
        <f>IF(AK961&lt;BC961,1,0)</f>
        <v>1</v>
      </c>
      <c r="BH961">
        <f>VLOOKUP($B961,[1]Data_Peer_with_peerVars!$B$2:$Z$1050,20,FALSE)</f>
        <v>4</v>
      </c>
      <c r="BI961">
        <f>VLOOKUP($B961,[1]Data_Peer_with_peerVars!$B$2:$Z$1050,21,FALSE)</f>
        <v>2</v>
      </c>
      <c r="BJ961">
        <f>VLOOKUP($B961,[1]Data_Peer_with_peerVars!$B$2:$Z$1050,22,FALSE)</f>
        <v>0.5</v>
      </c>
      <c r="BK961">
        <f>VLOOKUP($B961,[1]Data_Peer_with_peerVars!$B$2:$Z$1050,23,FALSE)</f>
        <v>64</v>
      </c>
      <c r="BL961">
        <f>VLOOKUP($B961,[1]Data_Peer_with_peerVars!$B$2:$Z$1050,24,FALSE)</f>
        <v>26</v>
      </c>
      <c r="BM961">
        <f>VLOOKUP($B961,[1]Data_Peer_with_peerVars!$B$2:$Z$1050,25,FALSE)</f>
        <v>0.40625</v>
      </c>
    </row>
    <row r="962" spans="1:65" x14ac:dyDescent="0.2">
      <c r="A962">
        <v>1</v>
      </c>
      <c r="B962" t="s">
        <v>1475</v>
      </c>
      <c r="C962">
        <v>601</v>
      </c>
      <c r="D962" t="s">
        <v>68</v>
      </c>
      <c r="E962">
        <v>0</v>
      </c>
      <c r="F962">
        <v>447</v>
      </c>
      <c r="G962" t="s">
        <v>119</v>
      </c>
      <c r="H962" s="1">
        <v>0</v>
      </c>
      <c r="I962" t="s">
        <v>87</v>
      </c>
      <c r="J962" t="s">
        <v>150</v>
      </c>
      <c r="K962" t="s">
        <v>109</v>
      </c>
      <c r="L962">
        <v>1</v>
      </c>
      <c r="M962">
        <v>1</v>
      </c>
      <c r="N962">
        <v>0</v>
      </c>
      <c r="O962">
        <v>0</v>
      </c>
      <c r="P962">
        <v>1</v>
      </c>
      <c r="Q962">
        <v>2</v>
      </c>
      <c r="R962">
        <v>0</v>
      </c>
      <c r="S962">
        <v>0</v>
      </c>
      <c r="T962">
        <v>0</v>
      </c>
      <c r="U962">
        <v>0</v>
      </c>
      <c r="V962">
        <f t="shared" si="403"/>
        <v>1</v>
      </c>
      <c r="W962">
        <v>1</v>
      </c>
      <c r="X962">
        <v>1</v>
      </c>
      <c r="Y962">
        <v>1</v>
      </c>
      <c r="Z962" t="s">
        <v>287</v>
      </c>
      <c r="AA962" s="5" t="s">
        <v>287</v>
      </c>
      <c r="AB962" s="5" t="s">
        <v>287</v>
      </c>
      <c r="AC962" t="s">
        <v>287</v>
      </c>
      <c r="AD962" t="s">
        <v>137</v>
      </c>
      <c r="AE962" s="5" t="s">
        <v>305</v>
      </c>
      <c r="AF962" t="s">
        <v>91</v>
      </c>
      <c r="AG962" t="s">
        <v>113</v>
      </c>
      <c r="AH962">
        <f t="shared" ref="AH962:AH963" si="430">AI962</f>
        <v>5.6526489999999999E-2</v>
      </c>
      <c r="AI962">
        <f t="shared" ref="AI962:AI963" si="431">AJ962</f>
        <v>5.6526489999999999E-2</v>
      </c>
      <c r="AJ962">
        <f t="shared" si="406"/>
        <v>5.6526489999999999E-2</v>
      </c>
      <c r="AK962">
        <v>5.6526489999999999E-2</v>
      </c>
      <c r="AL962">
        <v>0.10765027000000001</v>
      </c>
      <c r="AM962">
        <v>0.1152162</v>
      </c>
      <c r="AN962">
        <v>0.12218561</v>
      </c>
      <c r="AO962">
        <v>94.347351000000003</v>
      </c>
      <c r="AP962">
        <v>89.234972999999997</v>
      </c>
      <c r="AQ962">
        <v>88.478380000000001</v>
      </c>
      <c r="AR962">
        <v>87.781439000000006</v>
      </c>
      <c r="AS962" t="b">
        <v>1</v>
      </c>
      <c r="AT962" t="b">
        <v>0</v>
      </c>
      <c r="AU962" t="s">
        <v>77</v>
      </c>
      <c r="AV962" t="s">
        <v>108</v>
      </c>
      <c r="AW962" t="s">
        <v>783</v>
      </c>
      <c r="AX962" t="s">
        <v>1277</v>
      </c>
      <c r="AY962" t="s">
        <v>350</v>
      </c>
      <c r="AZ962" t="s">
        <v>109</v>
      </c>
      <c r="BA962">
        <v>4</v>
      </c>
      <c r="BB962">
        <v>0.28000000000000003</v>
      </c>
      <c r="BC962">
        <v>5.5106750000000003E-2</v>
      </c>
      <c r="BD962">
        <v>2.4361461616194298E-3</v>
      </c>
      <c r="BE962">
        <v>5.7542896161619402E-2</v>
      </c>
      <c r="BF962">
        <f>IF(AK962&lt;BE962,1,0)</f>
        <v>1</v>
      </c>
      <c r="BG962">
        <f>IF(AK962&lt;BC962,1,0)</f>
        <v>0</v>
      </c>
      <c r="BH962">
        <f>VLOOKUP($B962,[1]Data_Peer_with_peerVars!$B$2:$Z$1050,20,FALSE)</f>
        <v>4</v>
      </c>
      <c r="BI962">
        <f>VLOOKUP($B962,[1]Data_Peer_with_peerVars!$B$2:$Z$1050,21,FALSE)</f>
        <v>2</v>
      </c>
      <c r="BJ962">
        <f>VLOOKUP($B962,[1]Data_Peer_with_peerVars!$B$2:$Z$1050,22,FALSE)</f>
        <v>0.5</v>
      </c>
      <c r="BK962">
        <f>VLOOKUP($B962,[1]Data_Peer_with_peerVars!$B$2:$Z$1050,23,FALSE)</f>
        <v>64</v>
      </c>
      <c r="BL962">
        <f>VLOOKUP($B962,[1]Data_Peer_with_peerVars!$B$2:$Z$1050,24,FALSE)</f>
        <v>26</v>
      </c>
      <c r="BM962">
        <f>VLOOKUP($B962,[1]Data_Peer_with_peerVars!$B$2:$Z$1050,25,FALSE)</f>
        <v>0.40625</v>
      </c>
    </row>
    <row r="963" spans="1:65" x14ac:dyDescent="0.2">
      <c r="A963">
        <v>1</v>
      </c>
      <c r="B963" t="s">
        <v>1476</v>
      </c>
      <c r="C963">
        <v>602</v>
      </c>
      <c r="D963" t="s">
        <v>68</v>
      </c>
      <c r="E963">
        <v>0</v>
      </c>
      <c r="F963">
        <v>448</v>
      </c>
      <c r="G963" t="s">
        <v>119</v>
      </c>
      <c r="H963" s="1">
        <v>7</v>
      </c>
      <c r="I963" t="s">
        <v>87</v>
      </c>
      <c r="J963" t="s">
        <v>111</v>
      </c>
      <c r="K963" t="s">
        <v>109</v>
      </c>
      <c r="L963">
        <v>1</v>
      </c>
      <c r="M963">
        <v>0</v>
      </c>
      <c r="N963">
        <v>0</v>
      </c>
      <c r="O963">
        <v>0</v>
      </c>
      <c r="P963">
        <v>0</v>
      </c>
      <c r="Q963">
        <v>6</v>
      </c>
      <c r="R963">
        <v>0</v>
      </c>
      <c r="S963">
        <v>0</v>
      </c>
      <c r="T963">
        <v>0</v>
      </c>
      <c r="U963">
        <v>0</v>
      </c>
      <c r="V963">
        <f t="shared" ref="V963:V1026" si="432">IF(Z963=AC963,1,0)</f>
        <v>1</v>
      </c>
      <c r="W963">
        <v>1</v>
      </c>
      <c r="X963">
        <v>1</v>
      </c>
      <c r="Y963">
        <v>1</v>
      </c>
      <c r="Z963" t="s">
        <v>91</v>
      </c>
      <c r="AA963" s="5" t="s">
        <v>91</v>
      </c>
      <c r="AB963" s="5" t="s">
        <v>1395</v>
      </c>
      <c r="AC963" t="s">
        <v>91</v>
      </c>
      <c r="AD963" t="s">
        <v>287</v>
      </c>
      <c r="AE963" s="5" t="s">
        <v>287</v>
      </c>
      <c r="AF963" t="s">
        <v>137</v>
      </c>
      <c r="AG963" t="s">
        <v>113</v>
      </c>
      <c r="AH963">
        <f t="shared" si="430"/>
        <v>9.4912469999999999E-2</v>
      </c>
      <c r="AI963">
        <f t="shared" si="431"/>
        <v>9.4912469999999999E-2</v>
      </c>
      <c r="AJ963">
        <f t="shared" ref="AJ963:AJ1026" si="433">AK963</f>
        <v>9.4912469999999999E-2</v>
      </c>
      <c r="AK963">
        <v>9.4912469999999999E-2</v>
      </c>
      <c r="AL963">
        <v>0.11939891</v>
      </c>
      <c r="AM963">
        <v>0.12295082</v>
      </c>
      <c r="AN963">
        <v>0.13626373999999999</v>
      </c>
      <c r="AO963">
        <v>90.508752999999999</v>
      </c>
      <c r="AP963">
        <v>88.060108999999997</v>
      </c>
      <c r="AQ963">
        <v>87.704918000000006</v>
      </c>
      <c r="AR963">
        <v>86.373626000000002</v>
      </c>
      <c r="AS963" t="b">
        <v>1</v>
      </c>
      <c r="AT963" t="b">
        <v>0</v>
      </c>
      <c r="AU963" t="s">
        <v>77</v>
      </c>
      <c r="AV963" t="s">
        <v>78</v>
      </c>
      <c r="AW963" t="s">
        <v>783</v>
      </c>
      <c r="AX963" t="s">
        <v>1277</v>
      </c>
      <c r="AY963" t="s">
        <v>257</v>
      </c>
      <c r="AZ963" t="s">
        <v>109</v>
      </c>
      <c r="BA963">
        <v>15</v>
      </c>
      <c r="BB963">
        <v>0.7</v>
      </c>
      <c r="BC963">
        <v>9.0659339999999995E-3</v>
      </c>
      <c r="BD963">
        <v>2.76583658862385E-3</v>
      </c>
      <c r="BE963">
        <v>1.1831770588623799E-2</v>
      </c>
      <c r="BF963">
        <f>IF(AK963&lt;BE963,1,0)</f>
        <v>0</v>
      </c>
      <c r="BG963">
        <f>IF(AK963&lt;BC963,1,0)</f>
        <v>0</v>
      </c>
      <c r="BH963">
        <f>VLOOKUP($B963,[1]Data_Peer_with_peerVars!$B$2:$Z$1050,20,FALSE)</f>
        <v>1</v>
      </c>
      <c r="BI963">
        <f>VLOOKUP($B963,[1]Data_Peer_with_peerVars!$B$2:$Z$1050,21,FALSE)</f>
        <v>0</v>
      </c>
      <c r="BJ963">
        <f>VLOOKUP($B963,[1]Data_Peer_with_peerVars!$B$2:$Z$1050,22,FALSE)</f>
        <v>0</v>
      </c>
      <c r="BK963">
        <f>VLOOKUP($B963,[1]Data_Peer_with_peerVars!$B$2:$Z$1050,23,FALSE)</f>
        <v>23</v>
      </c>
      <c r="BL963">
        <f>VLOOKUP($B963,[1]Data_Peer_with_peerVars!$B$2:$Z$1050,24,FALSE)</f>
        <v>7</v>
      </c>
      <c r="BM963">
        <f>VLOOKUP($B963,[1]Data_Peer_with_peerVars!$B$2:$Z$1050,25,FALSE)</f>
        <v>0.30434782599999999</v>
      </c>
    </row>
    <row r="964" spans="1:65" x14ac:dyDescent="0.2">
      <c r="A964">
        <v>1</v>
      </c>
      <c r="B964" t="s">
        <v>1477</v>
      </c>
      <c r="C964">
        <v>602</v>
      </c>
      <c r="D964" t="s">
        <v>68</v>
      </c>
      <c r="E964">
        <v>0</v>
      </c>
      <c r="F964">
        <v>448</v>
      </c>
      <c r="G964" t="s">
        <v>119</v>
      </c>
      <c r="H964" s="1">
        <v>7</v>
      </c>
      <c r="I964" t="s">
        <v>87</v>
      </c>
      <c r="J964" t="s">
        <v>111</v>
      </c>
      <c r="K964" t="s">
        <v>109</v>
      </c>
      <c r="L964">
        <v>1</v>
      </c>
      <c r="M964">
        <v>0</v>
      </c>
      <c r="N964">
        <v>0</v>
      </c>
      <c r="O964">
        <v>0</v>
      </c>
      <c r="P964">
        <v>0</v>
      </c>
      <c r="Q964">
        <v>6</v>
      </c>
      <c r="R964">
        <v>0</v>
      </c>
      <c r="S964">
        <v>0</v>
      </c>
      <c r="T964">
        <v>0</v>
      </c>
      <c r="U964">
        <v>0</v>
      </c>
      <c r="V964">
        <f t="shared" si="432"/>
        <v>0</v>
      </c>
      <c r="W964">
        <f t="shared" ref="W964:W1026" si="434">IF(Z964=AD964,1,0)</f>
        <v>0</v>
      </c>
      <c r="X964">
        <f t="shared" ref="X964:X1027" si="435">IF(Z964=AF964,1,0)</f>
        <v>0</v>
      </c>
      <c r="Y964">
        <f t="shared" ref="Y964:Y1026" si="436">IF(Z964=AG964,1,0)</f>
        <v>0</v>
      </c>
      <c r="Z964" t="s">
        <v>73</v>
      </c>
      <c r="AA964" s="5" t="s">
        <v>73</v>
      </c>
      <c r="AB964" s="5" t="s">
        <v>73</v>
      </c>
      <c r="AC964" t="s">
        <v>91</v>
      </c>
      <c r="AD964" t="s">
        <v>287</v>
      </c>
      <c r="AE964" s="5" t="s">
        <v>287</v>
      </c>
      <c r="AF964" t="s">
        <v>137</v>
      </c>
      <c r="AG964" t="s">
        <v>84</v>
      </c>
      <c r="AH964">
        <f t="shared" ref="AH964:AI967" si="437">AI964</f>
        <v>3.8293215999999999E-3</v>
      </c>
      <c r="AI964">
        <f t="shared" si="437"/>
        <v>3.8293215999999999E-3</v>
      </c>
      <c r="AJ964">
        <f t="shared" si="433"/>
        <v>3.8293215999999999E-3</v>
      </c>
      <c r="AK964">
        <v>3.8293215999999999E-3</v>
      </c>
      <c r="AL964">
        <v>0.12028431000000001</v>
      </c>
      <c r="AM964">
        <v>0.12786885000000001</v>
      </c>
      <c r="AN964">
        <v>0.13386476</v>
      </c>
      <c r="AO964">
        <v>99.617067840000004</v>
      </c>
      <c r="AP964">
        <v>87.971569000000002</v>
      </c>
      <c r="AQ964">
        <v>87.213115000000002</v>
      </c>
      <c r="AR964">
        <v>86.613523999999998</v>
      </c>
      <c r="AS964" t="b">
        <v>0</v>
      </c>
      <c r="AT964" t="b">
        <v>0</v>
      </c>
      <c r="AU964" t="s">
        <v>77</v>
      </c>
      <c r="AV964" t="s">
        <v>78</v>
      </c>
      <c r="AW964" t="s">
        <v>783</v>
      </c>
      <c r="AX964" t="s">
        <v>1277</v>
      </c>
      <c r="AY964" t="s">
        <v>257</v>
      </c>
      <c r="AZ964" t="s">
        <v>109</v>
      </c>
      <c r="BA964">
        <v>3</v>
      </c>
      <c r="BB964">
        <v>0.21</v>
      </c>
      <c r="BC964">
        <v>9.0659339999999995E-3</v>
      </c>
      <c r="BD964">
        <v>2.76583658862385E-3</v>
      </c>
      <c r="BE964">
        <v>1.1831770588623799E-2</v>
      </c>
      <c r="BF964">
        <f>IF(AK964&lt;BE964,1,0)</f>
        <v>1</v>
      </c>
      <c r="BG964">
        <f>IF(AK964&lt;BC964,1,0)</f>
        <v>1</v>
      </c>
      <c r="BH964">
        <f>VLOOKUP($B964,[1]Data_Peer_with_peerVars!$B$2:$Z$1050,20,FALSE)</f>
        <v>1</v>
      </c>
      <c r="BI964">
        <f>VLOOKUP($B964,[1]Data_Peer_with_peerVars!$B$2:$Z$1050,21,FALSE)</f>
        <v>0</v>
      </c>
      <c r="BJ964">
        <f>VLOOKUP($B964,[1]Data_Peer_with_peerVars!$B$2:$Z$1050,22,FALSE)</f>
        <v>0</v>
      </c>
      <c r="BK964">
        <f>VLOOKUP($B964,[1]Data_Peer_with_peerVars!$B$2:$Z$1050,23,FALSE)</f>
        <v>23</v>
      </c>
      <c r="BL964">
        <f>VLOOKUP($B964,[1]Data_Peer_with_peerVars!$B$2:$Z$1050,24,FALSE)</f>
        <v>7</v>
      </c>
      <c r="BM964">
        <f>VLOOKUP($B964,[1]Data_Peer_with_peerVars!$B$2:$Z$1050,25,FALSE)</f>
        <v>0.30434782599999999</v>
      </c>
    </row>
    <row r="965" spans="1:65" x14ac:dyDescent="0.2">
      <c r="A965">
        <v>1</v>
      </c>
      <c r="B965" t="s">
        <v>1478</v>
      </c>
      <c r="C965">
        <v>602</v>
      </c>
      <c r="D965" t="s">
        <v>68</v>
      </c>
      <c r="E965">
        <v>0</v>
      </c>
      <c r="F965">
        <v>448</v>
      </c>
      <c r="G965" t="s">
        <v>119</v>
      </c>
      <c r="H965" s="1">
        <v>7</v>
      </c>
      <c r="I965" t="s">
        <v>87</v>
      </c>
      <c r="J965" t="s">
        <v>111</v>
      </c>
      <c r="K965" t="s">
        <v>109</v>
      </c>
      <c r="L965">
        <v>1</v>
      </c>
      <c r="M965">
        <v>0</v>
      </c>
      <c r="N965">
        <v>0</v>
      </c>
      <c r="O965">
        <v>0</v>
      </c>
      <c r="P965">
        <v>0</v>
      </c>
      <c r="Q965">
        <v>6</v>
      </c>
      <c r="R965">
        <v>0</v>
      </c>
      <c r="S965">
        <v>0</v>
      </c>
      <c r="T965">
        <v>0</v>
      </c>
      <c r="U965">
        <v>0</v>
      </c>
      <c r="V965">
        <f t="shared" si="432"/>
        <v>1</v>
      </c>
      <c r="W965">
        <v>1</v>
      </c>
      <c r="X965">
        <v>1</v>
      </c>
      <c r="Y965">
        <v>1</v>
      </c>
      <c r="Z965" t="s">
        <v>103</v>
      </c>
      <c r="AA965" s="5" t="s">
        <v>103</v>
      </c>
      <c r="AB965" s="5" t="s">
        <v>103</v>
      </c>
      <c r="AC965" t="s">
        <v>103</v>
      </c>
      <c r="AD965" t="s">
        <v>101</v>
      </c>
      <c r="AE965" s="5" t="s">
        <v>101</v>
      </c>
      <c r="AF965" t="s">
        <v>99</v>
      </c>
      <c r="AG965" t="s">
        <v>137</v>
      </c>
      <c r="AH965">
        <f t="shared" si="437"/>
        <v>1.6785910000000001E-2</v>
      </c>
      <c r="AI965">
        <f t="shared" si="437"/>
        <v>1.6785910000000001E-2</v>
      </c>
      <c r="AJ965">
        <f t="shared" si="433"/>
        <v>1.6785910000000001E-2</v>
      </c>
      <c r="AK965">
        <v>1.6785910000000001E-2</v>
      </c>
      <c r="AL965">
        <v>8.1548599999999999E-2</v>
      </c>
      <c r="AM965">
        <v>0.11279647</v>
      </c>
      <c r="AN965">
        <v>0.12561442</v>
      </c>
      <c r="AO965">
        <v>98.321409000000003</v>
      </c>
      <c r="AP965">
        <v>91.845140000000001</v>
      </c>
      <c r="AQ965">
        <v>88.720353000000003</v>
      </c>
      <c r="AR965">
        <v>87.438558</v>
      </c>
      <c r="AS965" t="b">
        <v>1</v>
      </c>
      <c r="AT965" t="b">
        <v>0</v>
      </c>
      <c r="AU965" t="s">
        <v>77</v>
      </c>
      <c r="AV965" t="s">
        <v>77</v>
      </c>
      <c r="AW965" t="s">
        <v>783</v>
      </c>
      <c r="AX965" t="s">
        <v>1277</v>
      </c>
      <c r="AY965" t="s">
        <v>257</v>
      </c>
      <c r="AZ965" t="s">
        <v>109</v>
      </c>
      <c r="BA965">
        <v>3</v>
      </c>
      <c r="BB965">
        <v>0.21</v>
      </c>
      <c r="BC965">
        <v>1.8406593999999998E-2</v>
      </c>
      <c r="BD965">
        <v>3.30705390234067E-4</v>
      </c>
      <c r="BE965">
        <v>1.8737299390234101E-2</v>
      </c>
      <c r="BF965">
        <f>IF(AK965&lt;BE965,1,0)</f>
        <v>1</v>
      </c>
      <c r="BG965">
        <f>IF(AK965&lt;BC965,1,0)</f>
        <v>1</v>
      </c>
      <c r="BH965">
        <f>VLOOKUP($B965,[1]Data_Peer_with_peerVars!$B$2:$Z$1050,20,FALSE)</f>
        <v>1</v>
      </c>
      <c r="BI965">
        <f>VLOOKUP($B965,[1]Data_Peer_with_peerVars!$B$2:$Z$1050,21,FALSE)</f>
        <v>0</v>
      </c>
      <c r="BJ965">
        <f>VLOOKUP($B965,[1]Data_Peer_with_peerVars!$B$2:$Z$1050,22,FALSE)</f>
        <v>0</v>
      </c>
      <c r="BK965">
        <f>VLOOKUP($B965,[1]Data_Peer_with_peerVars!$B$2:$Z$1050,23,FALSE)</f>
        <v>23</v>
      </c>
      <c r="BL965">
        <f>VLOOKUP($B965,[1]Data_Peer_with_peerVars!$B$2:$Z$1050,24,FALSE)</f>
        <v>7</v>
      </c>
      <c r="BM965">
        <f>VLOOKUP($B965,[1]Data_Peer_with_peerVars!$B$2:$Z$1050,25,FALSE)</f>
        <v>0.30434782599999999</v>
      </c>
    </row>
    <row r="966" spans="1:65" x14ac:dyDescent="0.2">
      <c r="A966">
        <v>1</v>
      </c>
      <c r="B966" t="s">
        <v>1479</v>
      </c>
      <c r="C966">
        <v>602</v>
      </c>
      <c r="D966" t="s">
        <v>68</v>
      </c>
      <c r="E966">
        <v>0</v>
      </c>
      <c r="F966">
        <v>448</v>
      </c>
      <c r="G966" t="s">
        <v>119</v>
      </c>
      <c r="H966" s="1">
        <v>7</v>
      </c>
      <c r="I966" t="s">
        <v>87</v>
      </c>
      <c r="J966" t="s">
        <v>111</v>
      </c>
      <c r="K966" t="s">
        <v>109</v>
      </c>
      <c r="L966">
        <v>1</v>
      </c>
      <c r="M966">
        <v>0</v>
      </c>
      <c r="N966">
        <v>0</v>
      </c>
      <c r="O966">
        <v>0</v>
      </c>
      <c r="P966">
        <v>0</v>
      </c>
      <c r="Q966">
        <v>6</v>
      </c>
      <c r="R966">
        <v>0</v>
      </c>
      <c r="S966">
        <v>0</v>
      </c>
      <c r="T966">
        <v>0</v>
      </c>
      <c r="U966">
        <v>0</v>
      </c>
      <c r="V966">
        <f t="shared" si="432"/>
        <v>0</v>
      </c>
      <c r="W966">
        <f t="shared" si="434"/>
        <v>0</v>
      </c>
      <c r="X966">
        <f t="shared" si="435"/>
        <v>0</v>
      </c>
      <c r="Y966">
        <f t="shared" si="436"/>
        <v>0</v>
      </c>
      <c r="Z966" t="s">
        <v>89</v>
      </c>
      <c r="AA966" s="5" t="s">
        <v>89</v>
      </c>
      <c r="AB966" s="5" t="s">
        <v>577</v>
      </c>
      <c r="AC966" t="s">
        <v>99</v>
      </c>
      <c r="AD966" t="s">
        <v>101</v>
      </c>
      <c r="AE966" s="5" t="s">
        <v>101</v>
      </c>
      <c r="AF966" t="s">
        <v>102</v>
      </c>
      <c r="AG966" t="s">
        <v>103</v>
      </c>
      <c r="AH966">
        <f t="shared" si="437"/>
        <v>2.3140496E-2</v>
      </c>
      <c r="AI966">
        <f t="shared" si="437"/>
        <v>2.3140496E-2</v>
      </c>
      <c r="AJ966">
        <f t="shared" si="433"/>
        <v>2.3140496E-2</v>
      </c>
      <c r="AK966">
        <v>2.3140496E-2</v>
      </c>
      <c r="AL966">
        <v>7.2017595000000004E-2</v>
      </c>
      <c r="AM966">
        <v>8.9344259999999995E-2</v>
      </c>
      <c r="AN966">
        <v>0.10783232</v>
      </c>
      <c r="AO966">
        <v>97.685950399999996</v>
      </c>
      <c r="AP966">
        <v>92.798240500000006</v>
      </c>
      <c r="AQ966">
        <v>91.065573999999998</v>
      </c>
      <c r="AR966">
        <v>89.216768000000002</v>
      </c>
      <c r="AS966" t="b">
        <v>0</v>
      </c>
      <c r="AT966" t="b">
        <v>0</v>
      </c>
      <c r="AU966" t="s">
        <v>92</v>
      </c>
      <c r="AV966" t="s">
        <v>92</v>
      </c>
      <c r="AW966" t="s">
        <v>783</v>
      </c>
      <c r="AX966" t="s">
        <v>1277</v>
      </c>
      <c r="AY966" t="s">
        <v>257</v>
      </c>
      <c r="AZ966" t="s">
        <v>109</v>
      </c>
      <c r="BA966">
        <v>2</v>
      </c>
      <c r="BB966">
        <v>0.21</v>
      </c>
      <c r="BC966">
        <v>2.4711695999999998E-2</v>
      </c>
      <c r="BD966">
        <v>1.72884756304863E-3</v>
      </c>
      <c r="BE966">
        <v>2.6440543563048601E-2</v>
      </c>
      <c r="BF966">
        <f>IF(AK966&lt;BE966,1,0)</f>
        <v>1</v>
      </c>
      <c r="BG966">
        <f>IF(AK966&lt;BC966,1,0)</f>
        <v>1</v>
      </c>
      <c r="BH966">
        <f>VLOOKUP($B966,[1]Data_Peer_with_peerVars!$B$2:$Z$1050,20,FALSE)</f>
        <v>1</v>
      </c>
      <c r="BI966">
        <f>VLOOKUP($B966,[1]Data_Peer_with_peerVars!$B$2:$Z$1050,21,FALSE)</f>
        <v>0</v>
      </c>
      <c r="BJ966">
        <f>VLOOKUP($B966,[1]Data_Peer_with_peerVars!$B$2:$Z$1050,22,FALSE)</f>
        <v>0</v>
      </c>
      <c r="BK966">
        <f>VLOOKUP($B966,[1]Data_Peer_with_peerVars!$B$2:$Z$1050,23,FALSE)</f>
        <v>23</v>
      </c>
      <c r="BL966">
        <f>VLOOKUP($B966,[1]Data_Peer_with_peerVars!$B$2:$Z$1050,24,FALSE)</f>
        <v>7</v>
      </c>
      <c r="BM966">
        <f>VLOOKUP($B966,[1]Data_Peer_with_peerVars!$B$2:$Z$1050,25,FALSE)</f>
        <v>0.30434782599999999</v>
      </c>
    </row>
    <row r="967" spans="1:65" x14ac:dyDescent="0.2">
      <c r="A967">
        <v>1</v>
      </c>
      <c r="B967" t="s">
        <v>1480</v>
      </c>
      <c r="C967">
        <v>603</v>
      </c>
      <c r="D967" t="s">
        <v>68</v>
      </c>
      <c r="E967">
        <v>0</v>
      </c>
      <c r="F967">
        <v>589</v>
      </c>
      <c r="G967" t="s">
        <v>119</v>
      </c>
      <c r="H967" s="1">
        <v>7</v>
      </c>
      <c r="I967" t="s">
        <v>87</v>
      </c>
      <c r="J967" t="s">
        <v>111</v>
      </c>
      <c r="K967" t="s">
        <v>109</v>
      </c>
      <c r="L967">
        <v>1</v>
      </c>
      <c r="M967">
        <v>0</v>
      </c>
      <c r="N967">
        <v>0</v>
      </c>
      <c r="O967">
        <v>0</v>
      </c>
      <c r="P967">
        <v>0</v>
      </c>
      <c r="Q967">
        <v>6</v>
      </c>
      <c r="R967">
        <v>0</v>
      </c>
      <c r="S967">
        <v>0</v>
      </c>
      <c r="T967">
        <v>0</v>
      </c>
      <c r="U967">
        <v>0</v>
      </c>
      <c r="V967">
        <f t="shared" si="432"/>
        <v>1</v>
      </c>
      <c r="W967">
        <v>1</v>
      </c>
      <c r="X967">
        <v>1</v>
      </c>
      <c r="Y967">
        <v>1</v>
      </c>
      <c r="Z967" t="s">
        <v>287</v>
      </c>
      <c r="AA967" s="5" t="s">
        <v>287</v>
      </c>
      <c r="AB967" s="5" t="s">
        <v>287</v>
      </c>
      <c r="AC967" t="s">
        <v>287</v>
      </c>
      <c r="AD967" t="s">
        <v>120</v>
      </c>
      <c r="AE967" s="5" t="s">
        <v>120</v>
      </c>
      <c r="AF967" t="s">
        <v>75</v>
      </c>
      <c r="AG967" t="s">
        <v>137</v>
      </c>
      <c r="AH967">
        <f t="shared" si="437"/>
        <v>9.6069870000000002E-2</v>
      </c>
      <c r="AI967">
        <f t="shared" si="437"/>
        <v>9.6069870000000002E-2</v>
      </c>
      <c r="AJ967">
        <f t="shared" si="433"/>
        <v>9.6069870000000002E-2</v>
      </c>
      <c r="AK967">
        <v>9.6069870000000002E-2</v>
      </c>
      <c r="AL967">
        <v>0.10021846</v>
      </c>
      <c r="AM967">
        <v>0.11980306</v>
      </c>
      <c r="AN967">
        <v>0.12090611499999999</v>
      </c>
      <c r="AO967">
        <v>90.393012999999996</v>
      </c>
      <c r="AP967">
        <v>89.978154000000004</v>
      </c>
      <c r="AQ967">
        <v>88.019694000000001</v>
      </c>
      <c r="AR967">
        <v>87.909388500000006</v>
      </c>
      <c r="AS967" t="b">
        <v>1</v>
      </c>
      <c r="AT967" t="b">
        <v>0</v>
      </c>
      <c r="AU967" t="s">
        <v>77</v>
      </c>
      <c r="AV967" t="s">
        <v>78</v>
      </c>
      <c r="AW967" t="s">
        <v>783</v>
      </c>
      <c r="AX967" t="s">
        <v>1277</v>
      </c>
      <c r="AY967" t="s">
        <v>257</v>
      </c>
      <c r="AZ967" t="s">
        <v>109</v>
      </c>
      <c r="BA967">
        <v>10</v>
      </c>
      <c r="BB967">
        <v>4.5</v>
      </c>
      <c r="BC967">
        <v>5.5106750000000003E-2</v>
      </c>
      <c r="BD967">
        <v>2.4361461616194298E-3</v>
      </c>
      <c r="BE967">
        <v>5.7542896161619402E-2</v>
      </c>
      <c r="BF967">
        <f>IF(AK967&lt;BE967,1,0)</f>
        <v>0</v>
      </c>
      <c r="BG967">
        <f>IF(AK967&lt;BC967,1,0)</f>
        <v>0</v>
      </c>
      <c r="BH967">
        <f>VLOOKUP($B967,[1]Data_Peer_with_peerVars!$B$2:$Z$1050,20,FALSE)</f>
        <v>3</v>
      </c>
      <c r="BI967">
        <f>VLOOKUP($B967,[1]Data_Peer_with_peerVars!$B$2:$Z$1050,21,FALSE)</f>
        <v>2</v>
      </c>
      <c r="BJ967">
        <f>VLOOKUP($B967,[1]Data_Peer_with_peerVars!$B$2:$Z$1050,22,FALSE)</f>
        <v>0.66666666699999999</v>
      </c>
      <c r="BK967">
        <f>VLOOKUP($B967,[1]Data_Peer_with_peerVars!$B$2:$Z$1050,23,FALSE)</f>
        <v>34</v>
      </c>
      <c r="BL967">
        <f>VLOOKUP($B967,[1]Data_Peer_with_peerVars!$B$2:$Z$1050,24,FALSE)</f>
        <v>13</v>
      </c>
      <c r="BM967">
        <f>VLOOKUP($B967,[1]Data_Peer_with_peerVars!$B$2:$Z$1050,25,FALSE)</f>
        <v>0.382352941</v>
      </c>
    </row>
    <row r="968" spans="1:65" x14ac:dyDescent="0.2">
      <c r="A968">
        <v>1</v>
      </c>
      <c r="B968" t="s">
        <v>1481</v>
      </c>
      <c r="C968">
        <v>604</v>
      </c>
      <c r="D968" t="s">
        <v>68</v>
      </c>
      <c r="E968">
        <v>0</v>
      </c>
      <c r="F968">
        <v>692</v>
      </c>
      <c r="G968" t="s">
        <v>119</v>
      </c>
      <c r="H968" s="1">
        <v>7</v>
      </c>
      <c r="I968" t="s">
        <v>87</v>
      </c>
      <c r="J968" t="s">
        <v>111</v>
      </c>
      <c r="K968" t="s">
        <v>109</v>
      </c>
      <c r="L968">
        <v>2</v>
      </c>
      <c r="M968">
        <v>0</v>
      </c>
      <c r="N968">
        <v>0</v>
      </c>
      <c r="O968">
        <v>0</v>
      </c>
      <c r="P968">
        <v>1</v>
      </c>
      <c r="Q968">
        <v>5</v>
      </c>
      <c r="R968">
        <v>0</v>
      </c>
      <c r="S968">
        <v>0</v>
      </c>
      <c r="T968">
        <v>0</v>
      </c>
      <c r="U968">
        <v>0</v>
      </c>
      <c r="V968">
        <f t="shared" si="432"/>
        <v>0</v>
      </c>
      <c r="W968">
        <f t="shared" si="434"/>
        <v>0</v>
      </c>
      <c r="X968">
        <f t="shared" si="435"/>
        <v>0</v>
      </c>
      <c r="Y968">
        <f t="shared" si="436"/>
        <v>0</v>
      </c>
      <c r="Z968" t="s">
        <v>75</v>
      </c>
      <c r="AA968" s="5" t="s">
        <v>75</v>
      </c>
      <c r="AB968" s="5" t="s">
        <v>75</v>
      </c>
      <c r="AC968" t="s">
        <v>91</v>
      </c>
      <c r="AD968" t="s">
        <v>287</v>
      </c>
      <c r="AE968" s="5" t="s">
        <v>287</v>
      </c>
      <c r="AF968" t="s">
        <v>137</v>
      </c>
      <c r="AG968" t="s">
        <v>84</v>
      </c>
      <c r="AH968">
        <f t="shared" ref="AH968:AH971" si="438">AI968</f>
        <v>3.5577450000000002E-3</v>
      </c>
      <c r="AI968">
        <f t="shared" ref="AI968:AI971" si="439">AJ968</f>
        <v>3.5577450000000002E-3</v>
      </c>
      <c r="AJ968">
        <f t="shared" si="433"/>
        <v>3.5577450000000002E-3</v>
      </c>
      <c r="AK968">
        <v>3.5577450000000002E-3</v>
      </c>
      <c r="AL968">
        <v>0.12117068</v>
      </c>
      <c r="AM968">
        <v>0.12930563</v>
      </c>
      <c r="AN968">
        <v>0.13338833999999999</v>
      </c>
      <c r="AO968">
        <v>99.644225500000005</v>
      </c>
      <c r="AP968">
        <v>87.882931999999997</v>
      </c>
      <c r="AQ968">
        <v>87.069436999999994</v>
      </c>
      <c r="AR968">
        <v>86.661165999999994</v>
      </c>
      <c r="AS968" t="b">
        <v>0</v>
      </c>
      <c r="AT968" t="b">
        <v>0</v>
      </c>
      <c r="AU968" t="s">
        <v>77</v>
      </c>
      <c r="AV968" t="s">
        <v>78</v>
      </c>
      <c r="AW968" t="s">
        <v>783</v>
      </c>
      <c r="AX968" t="s">
        <v>1277</v>
      </c>
      <c r="AY968" t="s">
        <v>257</v>
      </c>
      <c r="AZ968" t="s">
        <v>109</v>
      </c>
      <c r="BA968">
        <v>4</v>
      </c>
      <c r="BB968">
        <v>0.7</v>
      </c>
      <c r="BC968">
        <v>9.0659339999999995E-3</v>
      </c>
      <c r="BD968">
        <v>2.76583658862385E-3</v>
      </c>
      <c r="BE968">
        <v>1.1831770588623799E-2</v>
      </c>
      <c r="BF968">
        <f>IF(AK968&lt;BE968,1,0)</f>
        <v>1</v>
      </c>
      <c r="BG968">
        <f>IF(AK968&lt;BC968,1,0)</f>
        <v>1</v>
      </c>
      <c r="BH968">
        <f>VLOOKUP($B968,[1]Data_Peer_with_peerVars!$B$2:$Z$1050,20,FALSE)</f>
        <v>7</v>
      </c>
      <c r="BI968">
        <f>VLOOKUP($B968,[1]Data_Peer_with_peerVars!$B$2:$Z$1050,21,FALSE)</f>
        <v>4</v>
      </c>
      <c r="BJ968">
        <f>VLOOKUP($B968,[1]Data_Peer_with_peerVars!$B$2:$Z$1050,22,FALSE)</f>
        <v>0.571428571</v>
      </c>
      <c r="BK968">
        <f>VLOOKUP($B968,[1]Data_Peer_with_peerVars!$B$2:$Z$1050,23,FALSE)</f>
        <v>79</v>
      </c>
      <c r="BL968">
        <f>VLOOKUP($B968,[1]Data_Peer_with_peerVars!$B$2:$Z$1050,24,FALSE)</f>
        <v>37</v>
      </c>
      <c r="BM968">
        <f>VLOOKUP($B968,[1]Data_Peer_with_peerVars!$B$2:$Z$1050,25,FALSE)</f>
        <v>0.46835442999999999</v>
      </c>
    </row>
    <row r="969" spans="1:65" x14ac:dyDescent="0.2">
      <c r="A969">
        <v>1</v>
      </c>
      <c r="B969" t="s">
        <v>1482</v>
      </c>
      <c r="C969">
        <v>604</v>
      </c>
      <c r="D969" t="s">
        <v>68</v>
      </c>
      <c r="E969">
        <v>0</v>
      </c>
      <c r="F969">
        <v>692</v>
      </c>
      <c r="G969" t="s">
        <v>119</v>
      </c>
      <c r="H969" s="1">
        <v>7</v>
      </c>
      <c r="I969" t="s">
        <v>87</v>
      </c>
      <c r="J969" t="s">
        <v>111</v>
      </c>
      <c r="K969" t="s">
        <v>109</v>
      </c>
      <c r="L969">
        <v>2</v>
      </c>
      <c r="M969">
        <v>0</v>
      </c>
      <c r="N969">
        <v>0</v>
      </c>
      <c r="O969">
        <v>0</v>
      </c>
      <c r="P969">
        <v>1</v>
      </c>
      <c r="Q969">
        <v>5</v>
      </c>
      <c r="R969">
        <v>1</v>
      </c>
      <c r="S969">
        <v>1</v>
      </c>
      <c r="T969">
        <v>1</v>
      </c>
      <c r="U969">
        <v>1</v>
      </c>
      <c r="V969">
        <f t="shared" si="432"/>
        <v>0</v>
      </c>
      <c r="W969">
        <f t="shared" si="434"/>
        <v>0</v>
      </c>
      <c r="X969">
        <f t="shared" si="435"/>
        <v>0</v>
      </c>
      <c r="Y969">
        <f t="shared" si="436"/>
        <v>0</v>
      </c>
      <c r="Z969" t="s">
        <v>177</v>
      </c>
      <c r="AA969" s="5" t="s">
        <v>107</v>
      </c>
      <c r="AB969" s="5" t="s">
        <v>107</v>
      </c>
      <c r="AC969" t="s">
        <v>107</v>
      </c>
      <c r="AD969" t="s">
        <v>95</v>
      </c>
      <c r="AE969" s="5" t="s">
        <v>95</v>
      </c>
      <c r="AF969" t="s">
        <v>173</v>
      </c>
      <c r="AG969" t="s">
        <v>174</v>
      </c>
      <c r="AH969">
        <f t="shared" si="438"/>
        <v>8.7671229999999999E-3</v>
      </c>
      <c r="AI969">
        <f t="shared" si="439"/>
        <v>8.7671229999999999E-3</v>
      </c>
      <c r="AJ969">
        <f t="shared" si="433"/>
        <v>8.7671229999999999E-3</v>
      </c>
      <c r="AK969">
        <v>8.7671229999999999E-3</v>
      </c>
      <c r="AL969">
        <v>7.6986299999999994E-2</v>
      </c>
      <c r="AM969">
        <v>9.3818380000000007E-2</v>
      </c>
      <c r="AN969">
        <v>9.808219E-2</v>
      </c>
      <c r="AO969">
        <v>99.123287700000006</v>
      </c>
      <c r="AP969">
        <v>92.301370000000006</v>
      </c>
      <c r="AQ969">
        <v>90.618161999999998</v>
      </c>
      <c r="AR969">
        <v>90.191781000000006</v>
      </c>
      <c r="AS969" t="b">
        <v>1</v>
      </c>
      <c r="AT969" t="b">
        <v>0</v>
      </c>
      <c r="AU969" t="s">
        <v>77</v>
      </c>
      <c r="AV969" t="s">
        <v>77</v>
      </c>
      <c r="AW969" t="s">
        <v>783</v>
      </c>
      <c r="AX969" t="s">
        <v>1277</v>
      </c>
      <c r="AY969" t="s">
        <v>257</v>
      </c>
      <c r="AZ969" t="s">
        <v>72</v>
      </c>
      <c r="BA969" t="s">
        <v>82</v>
      </c>
      <c r="BB969">
        <v>0.28000000000000003</v>
      </c>
      <c r="BC969">
        <v>2.6475456000000001E-2</v>
      </c>
      <c r="BD969">
        <v>8.8330364056477401E-3</v>
      </c>
      <c r="BE969">
        <v>3.53084924056477E-2</v>
      </c>
      <c r="BF969">
        <f>IF(AK969&lt;BE969,1,0)</f>
        <v>1</v>
      </c>
      <c r="BG969">
        <f>IF(AK969&lt;BC969,1,0)</f>
        <v>1</v>
      </c>
      <c r="BH969">
        <f>VLOOKUP($B969,[1]Data_Peer_with_peerVars!$B$2:$Z$1050,20,FALSE)</f>
        <v>7</v>
      </c>
      <c r="BI969">
        <f>VLOOKUP($B969,[1]Data_Peer_with_peerVars!$B$2:$Z$1050,21,FALSE)</f>
        <v>4</v>
      </c>
      <c r="BJ969">
        <f>VLOOKUP($B969,[1]Data_Peer_with_peerVars!$B$2:$Z$1050,22,FALSE)</f>
        <v>0.571428571</v>
      </c>
      <c r="BK969">
        <f>VLOOKUP($B969,[1]Data_Peer_with_peerVars!$B$2:$Z$1050,23,FALSE)</f>
        <v>79</v>
      </c>
      <c r="BL969">
        <f>VLOOKUP($B969,[1]Data_Peer_with_peerVars!$B$2:$Z$1050,24,FALSE)</f>
        <v>37</v>
      </c>
      <c r="BM969">
        <f>VLOOKUP($B969,[1]Data_Peer_with_peerVars!$B$2:$Z$1050,25,FALSE)</f>
        <v>0.46835442999999999</v>
      </c>
    </row>
    <row r="970" spans="1:65" x14ac:dyDescent="0.2">
      <c r="A970">
        <v>1</v>
      </c>
      <c r="B970" t="s">
        <v>1483</v>
      </c>
      <c r="C970">
        <v>604</v>
      </c>
      <c r="D970" t="s">
        <v>68</v>
      </c>
      <c r="E970">
        <v>0</v>
      </c>
      <c r="F970">
        <v>692</v>
      </c>
      <c r="G970" t="s">
        <v>119</v>
      </c>
      <c r="H970" s="1">
        <v>7</v>
      </c>
      <c r="I970" t="s">
        <v>87</v>
      </c>
      <c r="J970" t="s">
        <v>111</v>
      </c>
      <c r="K970" t="s">
        <v>109</v>
      </c>
      <c r="L970">
        <v>2</v>
      </c>
      <c r="M970">
        <v>0</v>
      </c>
      <c r="N970">
        <v>0</v>
      </c>
      <c r="O970">
        <v>0</v>
      </c>
      <c r="P970">
        <v>1</v>
      </c>
      <c r="Q970">
        <v>5</v>
      </c>
      <c r="R970">
        <v>0</v>
      </c>
      <c r="S970">
        <v>0</v>
      </c>
      <c r="T970">
        <v>0</v>
      </c>
      <c r="U970">
        <v>0</v>
      </c>
      <c r="V970">
        <f t="shared" si="432"/>
        <v>1</v>
      </c>
      <c r="W970">
        <v>1</v>
      </c>
      <c r="X970">
        <v>1</v>
      </c>
      <c r="Y970">
        <v>1</v>
      </c>
      <c r="Z970" t="s">
        <v>120</v>
      </c>
      <c r="AA970" s="5" t="s">
        <v>120</v>
      </c>
      <c r="AB970" s="5" t="s">
        <v>934</v>
      </c>
      <c r="AC970" t="s">
        <v>120</v>
      </c>
      <c r="AD970" t="s">
        <v>75</v>
      </c>
      <c r="AE970" s="5" t="s">
        <v>75</v>
      </c>
      <c r="AF970" t="s">
        <v>74</v>
      </c>
      <c r="AG970" t="s">
        <v>167</v>
      </c>
      <c r="AH970">
        <f t="shared" si="438"/>
        <v>2.8977584000000001E-2</v>
      </c>
      <c r="AI970">
        <f t="shared" si="439"/>
        <v>2.8977584000000001E-2</v>
      </c>
      <c r="AJ970">
        <f t="shared" si="433"/>
        <v>2.8977584000000001E-2</v>
      </c>
      <c r="AK970">
        <v>2.8977584000000001E-2</v>
      </c>
      <c r="AL970">
        <v>8.7623220000000002E-2</v>
      </c>
      <c r="AM970">
        <v>9.1607240000000006E-2</v>
      </c>
      <c r="AN970">
        <v>0.10257817</v>
      </c>
      <c r="AO970">
        <v>97.102241599999999</v>
      </c>
      <c r="AP970">
        <v>91.237678000000002</v>
      </c>
      <c r="AQ970">
        <v>90.839275999999998</v>
      </c>
      <c r="AR970">
        <v>89.742182999999997</v>
      </c>
      <c r="AS970" t="b">
        <v>1</v>
      </c>
      <c r="AT970" t="b">
        <v>0</v>
      </c>
      <c r="AU970" t="s">
        <v>77</v>
      </c>
      <c r="AV970" t="s">
        <v>77</v>
      </c>
      <c r="AW970" t="s">
        <v>783</v>
      </c>
      <c r="AX970" t="s">
        <v>1277</v>
      </c>
      <c r="AY970" t="s">
        <v>257</v>
      </c>
      <c r="AZ970" t="s">
        <v>109</v>
      </c>
      <c r="BA970">
        <v>3</v>
      </c>
      <c r="BB970">
        <v>0.14000000000000001</v>
      </c>
      <c r="BC970">
        <v>4.6849314000000003E-2</v>
      </c>
      <c r="BD970">
        <v>4.5250577219970098E-3</v>
      </c>
      <c r="BE970">
        <v>5.1374371721996999E-2</v>
      </c>
      <c r="BF970">
        <f>IF(AK970&lt;BE970,1,0)</f>
        <v>1</v>
      </c>
      <c r="BG970">
        <f>IF(AK970&lt;BC970,1,0)</f>
        <v>1</v>
      </c>
      <c r="BH970">
        <f>VLOOKUP($B970,[1]Data_Peer_with_peerVars!$B$2:$Z$1050,20,FALSE)</f>
        <v>7</v>
      </c>
      <c r="BI970">
        <f>VLOOKUP($B970,[1]Data_Peer_with_peerVars!$B$2:$Z$1050,21,FALSE)</f>
        <v>4</v>
      </c>
      <c r="BJ970">
        <f>VLOOKUP($B970,[1]Data_Peer_with_peerVars!$B$2:$Z$1050,22,FALSE)</f>
        <v>0.571428571</v>
      </c>
      <c r="BK970">
        <f>VLOOKUP($B970,[1]Data_Peer_with_peerVars!$B$2:$Z$1050,23,FALSE)</f>
        <v>79</v>
      </c>
      <c r="BL970">
        <f>VLOOKUP($B970,[1]Data_Peer_with_peerVars!$B$2:$Z$1050,24,FALSE)</f>
        <v>37</v>
      </c>
      <c r="BM970">
        <f>VLOOKUP($B970,[1]Data_Peer_with_peerVars!$B$2:$Z$1050,25,FALSE)</f>
        <v>0.46835442999999999</v>
      </c>
    </row>
    <row r="971" spans="1:65" x14ac:dyDescent="0.2">
      <c r="A971">
        <v>1</v>
      </c>
      <c r="B971" t="s">
        <v>1484</v>
      </c>
      <c r="C971">
        <v>604</v>
      </c>
      <c r="D971" t="s">
        <v>68</v>
      </c>
      <c r="E971">
        <v>0</v>
      </c>
      <c r="F971">
        <v>692</v>
      </c>
      <c r="G971" t="s">
        <v>119</v>
      </c>
      <c r="H971" s="1">
        <v>7</v>
      </c>
      <c r="I971" t="s">
        <v>87</v>
      </c>
      <c r="J971" t="s">
        <v>111</v>
      </c>
      <c r="K971" t="s">
        <v>109</v>
      </c>
      <c r="L971">
        <v>2</v>
      </c>
      <c r="M971">
        <v>0</v>
      </c>
      <c r="N971">
        <v>0</v>
      </c>
      <c r="O971">
        <v>0</v>
      </c>
      <c r="P971">
        <v>1</v>
      </c>
      <c r="Q971">
        <v>5</v>
      </c>
      <c r="R971">
        <v>0</v>
      </c>
      <c r="S971">
        <v>0</v>
      </c>
      <c r="T971">
        <v>0</v>
      </c>
      <c r="U971">
        <v>0</v>
      </c>
      <c r="V971">
        <f t="shared" si="432"/>
        <v>1</v>
      </c>
      <c r="W971">
        <v>1</v>
      </c>
      <c r="X971">
        <v>1</v>
      </c>
      <c r="Y971">
        <v>1</v>
      </c>
      <c r="Z971" t="s">
        <v>287</v>
      </c>
      <c r="AA971" s="5" t="s">
        <v>287</v>
      </c>
      <c r="AB971" s="5" t="s">
        <v>287</v>
      </c>
      <c r="AC971" t="s">
        <v>287</v>
      </c>
      <c r="AD971" t="s">
        <v>137</v>
      </c>
      <c r="AE971" s="5" t="s">
        <v>308</v>
      </c>
      <c r="AF971" t="s">
        <v>113</v>
      </c>
      <c r="AG971" t="s">
        <v>91</v>
      </c>
      <c r="AH971">
        <f t="shared" si="438"/>
        <v>6.4179920000000001E-2</v>
      </c>
      <c r="AI971">
        <f t="shared" si="439"/>
        <v>6.4179920000000001E-2</v>
      </c>
      <c r="AJ971">
        <f t="shared" si="433"/>
        <v>6.4179920000000001E-2</v>
      </c>
      <c r="AK971">
        <v>6.4179920000000001E-2</v>
      </c>
      <c r="AL971">
        <v>0.1069079</v>
      </c>
      <c r="AM971">
        <v>0.12030905</v>
      </c>
      <c r="AN971">
        <v>0.12465677999999999</v>
      </c>
      <c r="AO971">
        <v>93.582008000000002</v>
      </c>
      <c r="AP971">
        <v>89.309209999999993</v>
      </c>
      <c r="AQ971">
        <v>87.969094999999996</v>
      </c>
      <c r="AR971">
        <v>87.534322000000003</v>
      </c>
      <c r="AS971" t="b">
        <v>1</v>
      </c>
      <c r="AT971" t="b">
        <v>0</v>
      </c>
      <c r="AU971" t="s">
        <v>77</v>
      </c>
      <c r="AV971" t="s">
        <v>108</v>
      </c>
      <c r="AW971" t="s">
        <v>783</v>
      </c>
      <c r="AX971" t="s">
        <v>1277</v>
      </c>
      <c r="AY971" t="s">
        <v>257</v>
      </c>
      <c r="AZ971" t="s">
        <v>109</v>
      </c>
      <c r="BA971">
        <v>5</v>
      </c>
      <c r="BB971">
        <v>0.28000000000000003</v>
      </c>
      <c r="BC971">
        <v>5.5106750000000003E-2</v>
      </c>
      <c r="BD971">
        <v>2.4361461616194298E-3</v>
      </c>
      <c r="BE971">
        <v>5.7542896161619402E-2</v>
      </c>
      <c r="BF971">
        <f>IF(AK971&lt;BE971,1,0)</f>
        <v>0</v>
      </c>
      <c r="BG971">
        <f>IF(AK971&lt;BC971,1,0)</f>
        <v>0</v>
      </c>
      <c r="BH971">
        <f>VLOOKUP($B971,[1]Data_Peer_with_peerVars!$B$2:$Z$1050,20,FALSE)</f>
        <v>7</v>
      </c>
      <c r="BI971">
        <f>VLOOKUP($B971,[1]Data_Peer_with_peerVars!$B$2:$Z$1050,21,FALSE)</f>
        <v>4</v>
      </c>
      <c r="BJ971">
        <f>VLOOKUP($B971,[1]Data_Peer_with_peerVars!$B$2:$Z$1050,22,FALSE)</f>
        <v>0.571428571</v>
      </c>
      <c r="BK971">
        <f>VLOOKUP($B971,[1]Data_Peer_with_peerVars!$B$2:$Z$1050,23,FALSE)</f>
        <v>79</v>
      </c>
      <c r="BL971">
        <f>VLOOKUP($B971,[1]Data_Peer_with_peerVars!$B$2:$Z$1050,24,FALSE)</f>
        <v>37</v>
      </c>
      <c r="BM971">
        <f>VLOOKUP($B971,[1]Data_Peer_with_peerVars!$B$2:$Z$1050,25,FALSE)</f>
        <v>0.46835442999999999</v>
      </c>
    </row>
    <row r="972" spans="1:65" x14ac:dyDescent="0.2">
      <c r="A972">
        <v>1</v>
      </c>
      <c r="B972" t="s">
        <v>1485</v>
      </c>
      <c r="C972">
        <v>605</v>
      </c>
      <c r="D972" t="s">
        <v>68</v>
      </c>
      <c r="E972">
        <v>1</v>
      </c>
      <c r="F972">
        <v>679</v>
      </c>
      <c r="G972" t="s">
        <v>69</v>
      </c>
      <c r="H972" s="1">
        <v>6</v>
      </c>
      <c r="I972" t="s">
        <v>87</v>
      </c>
      <c r="J972" t="s">
        <v>111</v>
      </c>
      <c r="K972" t="s">
        <v>109</v>
      </c>
      <c r="L972">
        <v>1</v>
      </c>
      <c r="M972">
        <v>1</v>
      </c>
      <c r="N972">
        <v>0</v>
      </c>
      <c r="O972">
        <v>0</v>
      </c>
      <c r="P972">
        <v>0</v>
      </c>
      <c r="Q972">
        <v>7</v>
      </c>
      <c r="R972">
        <v>0</v>
      </c>
      <c r="S972">
        <v>0</v>
      </c>
      <c r="T972">
        <v>0</v>
      </c>
      <c r="U972">
        <v>0</v>
      </c>
      <c r="V972">
        <f t="shared" si="432"/>
        <v>0</v>
      </c>
      <c r="W972">
        <f t="shared" si="434"/>
        <v>0</v>
      </c>
      <c r="X972">
        <f t="shared" si="435"/>
        <v>0</v>
      </c>
      <c r="Y972">
        <f t="shared" si="436"/>
        <v>0</v>
      </c>
      <c r="Z972" t="s">
        <v>89</v>
      </c>
      <c r="AA972" s="5" t="s">
        <v>273</v>
      </c>
      <c r="AB972" s="5" t="s">
        <v>1486</v>
      </c>
      <c r="AC972" t="s">
        <v>74</v>
      </c>
      <c r="AD972" t="s">
        <v>76</v>
      </c>
      <c r="AE972" s="5" t="s">
        <v>76</v>
      </c>
      <c r="AF972" t="s">
        <v>75</v>
      </c>
      <c r="AG972" t="s">
        <v>120</v>
      </c>
      <c r="AH972">
        <f>AI972</f>
        <v>0.10230388999999999</v>
      </c>
      <c r="AI972">
        <f>AJ972</f>
        <v>0.10230388999999999</v>
      </c>
      <c r="AJ972">
        <f t="shared" si="433"/>
        <v>0.10230388999999999</v>
      </c>
      <c r="AK972">
        <v>0.10230388999999999</v>
      </c>
      <c r="AL972">
        <v>0.10864805399999999</v>
      </c>
      <c r="AM972">
        <v>0.13061336000000001</v>
      </c>
      <c r="AN972">
        <v>0.13176599</v>
      </c>
      <c r="AO972">
        <v>89.769610999999998</v>
      </c>
      <c r="AP972">
        <v>89.135194600000005</v>
      </c>
      <c r="AQ972">
        <v>86.938664000000003</v>
      </c>
      <c r="AR972">
        <v>86.823401000000004</v>
      </c>
      <c r="AS972" t="b">
        <v>0</v>
      </c>
      <c r="AT972" t="b">
        <v>0</v>
      </c>
      <c r="AU972" t="s">
        <v>92</v>
      </c>
      <c r="AV972" t="s">
        <v>92</v>
      </c>
      <c r="AW972" t="s">
        <v>783</v>
      </c>
      <c r="AX972" t="s">
        <v>1277</v>
      </c>
      <c r="AY972" t="s">
        <v>1445</v>
      </c>
      <c r="AZ972" t="s">
        <v>109</v>
      </c>
      <c r="BA972">
        <v>2</v>
      </c>
      <c r="BB972">
        <v>0.21</v>
      </c>
      <c r="BC972">
        <v>2.4738868000000001E-3</v>
      </c>
      <c r="BD972">
        <v>1.4256942275279999E-4</v>
      </c>
      <c r="BE972">
        <v>2.6164562227527998E-3</v>
      </c>
      <c r="BF972">
        <f>IF(AK972&lt;BE972,1,0)</f>
        <v>0</v>
      </c>
      <c r="BG972">
        <f>IF(AK972&lt;BC972,1,0)</f>
        <v>0</v>
      </c>
      <c r="BH972">
        <f>VLOOKUP($B972,[1]Data_Peer_with_peerVars!$B$2:$Z$1050,20,FALSE)</f>
        <v>6</v>
      </c>
      <c r="BI972">
        <f>VLOOKUP($B972,[1]Data_Peer_with_peerVars!$B$2:$Z$1050,21,FALSE)</f>
        <v>0</v>
      </c>
      <c r="BJ972">
        <f>VLOOKUP($B972,[1]Data_Peer_with_peerVars!$B$2:$Z$1050,22,FALSE)</f>
        <v>0</v>
      </c>
      <c r="BK972">
        <f>VLOOKUP($B972,[1]Data_Peer_with_peerVars!$B$2:$Z$1050,23,FALSE)</f>
        <v>54</v>
      </c>
      <c r="BL972">
        <f>VLOOKUP($B972,[1]Data_Peer_with_peerVars!$B$2:$Z$1050,24,FALSE)</f>
        <v>23</v>
      </c>
      <c r="BM972">
        <f>VLOOKUP($B972,[1]Data_Peer_with_peerVars!$B$2:$Z$1050,25,FALSE)</f>
        <v>0.42592592600000001</v>
      </c>
    </row>
    <row r="973" spans="1:65" x14ac:dyDescent="0.2">
      <c r="A973">
        <v>1</v>
      </c>
      <c r="B973" t="s">
        <v>1487</v>
      </c>
      <c r="C973">
        <v>605</v>
      </c>
      <c r="D973" t="s">
        <v>68</v>
      </c>
      <c r="E973">
        <v>1</v>
      </c>
      <c r="F973">
        <v>679</v>
      </c>
      <c r="G973" t="s">
        <v>69</v>
      </c>
      <c r="H973" s="1">
        <v>6</v>
      </c>
      <c r="I973" t="s">
        <v>87</v>
      </c>
      <c r="J973" t="s">
        <v>111</v>
      </c>
      <c r="K973" t="s">
        <v>109</v>
      </c>
      <c r="L973">
        <v>1</v>
      </c>
      <c r="M973">
        <v>1</v>
      </c>
      <c r="N973">
        <v>0</v>
      </c>
      <c r="O973">
        <v>0</v>
      </c>
      <c r="P973">
        <v>0</v>
      </c>
      <c r="Q973">
        <v>7</v>
      </c>
      <c r="R973">
        <v>0</v>
      </c>
      <c r="S973">
        <v>0</v>
      </c>
      <c r="T973">
        <v>0</v>
      </c>
      <c r="U973">
        <v>0</v>
      </c>
      <c r="V973">
        <f t="shared" si="432"/>
        <v>1</v>
      </c>
      <c r="W973">
        <v>1</v>
      </c>
      <c r="X973">
        <v>1</v>
      </c>
      <c r="Y973">
        <v>1</v>
      </c>
      <c r="Z973" t="s">
        <v>91</v>
      </c>
      <c r="AA973" s="5" t="s">
        <v>91</v>
      </c>
      <c r="AB973" s="5" t="s">
        <v>1488</v>
      </c>
      <c r="AC973" t="s">
        <v>91</v>
      </c>
      <c r="AD973" t="s">
        <v>287</v>
      </c>
      <c r="AE973" s="5" t="s">
        <v>287</v>
      </c>
      <c r="AF973" t="s">
        <v>137</v>
      </c>
      <c r="AG973" t="s">
        <v>113</v>
      </c>
      <c r="AH973">
        <f t="shared" ref="AH973:AH976" si="440">AI973</f>
        <v>0.10606889</v>
      </c>
      <c r="AI973">
        <f t="shared" ref="AI973:AI976" si="441">AJ973</f>
        <v>0.10606889</v>
      </c>
      <c r="AJ973">
        <f t="shared" si="433"/>
        <v>0.10606889</v>
      </c>
      <c r="AK973">
        <v>0.10606889</v>
      </c>
      <c r="AL973">
        <v>0.11517467000000001</v>
      </c>
      <c r="AM973">
        <v>0.12718341</v>
      </c>
      <c r="AN973">
        <v>0.13783635</v>
      </c>
      <c r="AO973">
        <v>89.393111000000005</v>
      </c>
      <c r="AP973">
        <v>88.482533000000004</v>
      </c>
      <c r="AQ973">
        <v>87.281659000000005</v>
      </c>
      <c r="AR973">
        <v>86.216364999999996</v>
      </c>
      <c r="AS973" t="b">
        <v>1</v>
      </c>
      <c r="AT973" t="b">
        <v>0</v>
      </c>
      <c r="AU973" t="s">
        <v>78</v>
      </c>
      <c r="AV973" t="s">
        <v>78</v>
      </c>
      <c r="AW973" t="s">
        <v>783</v>
      </c>
      <c r="AX973" t="s">
        <v>1277</v>
      </c>
      <c r="AY973" t="s">
        <v>1445</v>
      </c>
      <c r="AZ973" t="s">
        <v>109</v>
      </c>
      <c r="BA973">
        <v>2</v>
      </c>
      <c r="BB973">
        <v>0.21</v>
      </c>
      <c r="BC973">
        <v>9.0659339999999995E-3</v>
      </c>
      <c r="BD973">
        <v>2.76583658862385E-3</v>
      </c>
      <c r="BE973">
        <v>1.1831770588623799E-2</v>
      </c>
      <c r="BF973">
        <f>IF(AK973&lt;BE973,1,0)</f>
        <v>0</v>
      </c>
      <c r="BG973">
        <f>IF(AK973&lt;BC973,1,0)</f>
        <v>0</v>
      </c>
      <c r="BH973">
        <f>VLOOKUP($B973,[1]Data_Peer_with_peerVars!$B$2:$Z$1050,20,FALSE)</f>
        <v>6</v>
      </c>
      <c r="BI973">
        <f>VLOOKUP($B973,[1]Data_Peer_with_peerVars!$B$2:$Z$1050,21,FALSE)</f>
        <v>0</v>
      </c>
      <c r="BJ973">
        <f>VLOOKUP($B973,[1]Data_Peer_with_peerVars!$B$2:$Z$1050,22,FALSE)</f>
        <v>0</v>
      </c>
      <c r="BK973">
        <f>VLOOKUP($B973,[1]Data_Peer_with_peerVars!$B$2:$Z$1050,23,FALSE)</f>
        <v>54</v>
      </c>
      <c r="BL973">
        <f>VLOOKUP($B973,[1]Data_Peer_with_peerVars!$B$2:$Z$1050,24,FALSE)</f>
        <v>23</v>
      </c>
      <c r="BM973">
        <f>VLOOKUP($B973,[1]Data_Peer_with_peerVars!$B$2:$Z$1050,25,FALSE)</f>
        <v>0.42592592600000001</v>
      </c>
    </row>
    <row r="974" spans="1:65" x14ac:dyDescent="0.2">
      <c r="A974">
        <v>1</v>
      </c>
      <c r="B974" t="s">
        <v>1489</v>
      </c>
      <c r="C974">
        <v>605</v>
      </c>
      <c r="D974" t="s">
        <v>68</v>
      </c>
      <c r="E974">
        <v>1</v>
      </c>
      <c r="F974">
        <v>679</v>
      </c>
      <c r="G974" t="s">
        <v>69</v>
      </c>
      <c r="H974" s="1">
        <v>6</v>
      </c>
      <c r="I974" t="s">
        <v>87</v>
      </c>
      <c r="J974" t="s">
        <v>111</v>
      </c>
      <c r="K974" t="s">
        <v>109</v>
      </c>
      <c r="L974">
        <v>1</v>
      </c>
      <c r="M974">
        <v>1</v>
      </c>
      <c r="N974">
        <v>0</v>
      </c>
      <c r="O974">
        <v>0</v>
      </c>
      <c r="P974">
        <v>0</v>
      </c>
      <c r="Q974">
        <v>7</v>
      </c>
      <c r="R974">
        <v>0</v>
      </c>
      <c r="S974">
        <v>0</v>
      </c>
      <c r="T974">
        <v>0</v>
      </c>
      <c r="U974">
        <v>0</v>
      </c>
      <c r="V974">
        <f t="shared" si="432"/>
        <v>1</v>
      </c>
      <c r="W974">
        <v>1</v>
      </c>
      <c r="X974">
        <v>1</v>
      </c>
      <c r="Y974">
        <v>1</v>
      </c>
      <c r="Z974" t="s">
        <v>103</v>
      </c>
      <c r="AA974" s="5" t="s">
        <v>103</v>
      </c>
      <c r="AB974" s="5" t="s">
        <v>103</v>
      </c>
      <c r="AC974" t="s">
        <v>103</v>
      </c>
      <c r="AD974" t="s">
        <v>137</v>
      </c>
      <c r="AE974" s="5" t="s">
        <v>1490</v>
      </c>
      <c r="AF974" t="s">
        <v>101</v>
      </c>
      <c r="AG974" t="s">
        <v>99</v>
      </c>
      <c r="AH974">
        <f t="shared" si="440"/>
        <v>5.0936120000000001E-2</v>
      </c>
      <c r="AI974">
        <f t="shared" si="441"/>
        <v>5.0936120000000001E-2</v>
      </c>
      <c r="AJ974">
        <f t="shared" si="433"/>
        <v>5.0936120000000001E-2</v>
      </c>
      <c r="AK974">
        <v>5.0936120000000001E-2</v>
      </c>
      <c r="AL974">
        <v>8.9568540000000002E-2</v>
      </c>
      <c r="AM974">
        <v>0.10214168</v>
      </c>
      <c r="AN974">
        <v>0.12493105</v>
      </c>
      <c r="AO974">
        <v>94.906388000000007</v>
      </c>
      <c r="AP974">
        <v>91.043145999999993</v>
      </c>
      <c r="AQ974">
        <v>89.785831999999999</v>
      </c>
      <c r="AR974">
        <v>87.506895</v>
      </c>
      <c r="AS974" t="b">
        <v>1</v>
      </c>
      <c r="AT974" t="b">
        <v>0</v>
      </c>
      <c r="AU974" t="s">
        <v>77</v>
      </c>
      <c r="AV974" t="s">
        <v>108</v>
      </c>
      <c r="AW974" t="s">
        <v>783</v>
      </c>
      <c r="AX974" t="s">
        <v>1277</v>
      </c>
      <c r="AY974" t="s">
        <v>1445</v>
      </c>
      <c r="AZ974" t="s">
        <v>109</v>
      </c>
      <c r="BA974">
        <v>2</v>
      </c>
      <c r="BB974">
        <v>0.14000000000000001</v>
      </c>
      <c r="BC974">
        <v>1.8406593999999998E-2</v>
      </c>
      <c r="BD974">
        <v>3.30705390234067E-4</v>
      </c>
      <c r="BE974">
        <v>1.8737299390234101E-2</v>
      </c>
      <c r="BF974">
        <f>IF(AK974&lt;BE974,1,0)</f>
        <v>0</v>
      </c>
      <c r="BG974">
        <f>IF(AK974&lt;BC974,1,0)</f>
        <v>0</v>
      </c>
      <c r="BH974">
        <f>VLOOKUP($B974,[1]Data_Peer_with_peerVars!$B$2:$Z$1050,20,FALSE)</f>
        <v>6</v>
      </c>
      <c r="BI974">
        <f>VLOOKUP($B974,[1]Data_Peer_with_peerVars!$B$2:$Z$1050,21,FALSE)</f>
        <v>0</v>
      </c>
      <c r="BJ974">
        <f>VLOOKUP($B974,[1]Data_Peer_with_peerVars!$B$2:$Z$1050,22,FALSE)</f>
        <v>0</v>
      </c>
      <c r="BK974">
        <f>VLOOKUP($B974,[1]Data_Peer_with_peerVars!$B$2:$Z$1050,23,FALSE)</f>
        <v>54</v>
      </c>
      <c r="BL974">
        <f>VLOOKUP($B974,[1]Data_Peer_with_peerVars!$B$2:$Z$1050,24,FALSE)</f>
        <v>23</v>
      </c>
      <c r="BM974">
        <f>VLOOKUP($B974,[1]Data_Peer_with_peerVars!$B$2:$Z$1050,25,FALSE)</f>
        <v>0.42592592600000001</v>
      </c>
    </row>
    <row r="975" spans="1:65" x14ac:dyDescent="0.2">
      <c r="A975">
        <v>1</v>
      </c>
      <c r="B975" t="s">
        <v>1491</v>
      </c>
      <c r="C975">
        <v>606</v>
      </c>
      <c r="D975" t="s">
        <v>68</v>
      </c>
      <c r="E975">
        <v>1</v>
      </c>
      <c r="F975">
        <v>678</v>
      </c>
      <c r="G975" t="s">
        <v>86</v>
      </c>
      <c r="H975" s="1">
        <v>6</v>
      </c>
      <c r="I975" t="s">
        <v>87</v>
      </c>
      <c r="J975" t="s">
        <v>111</v>
      </c>
      <c r="L975">
        <v>1</v>
      </c>
      <c r="M975">
        <v>0</v>
      </c>
      <c r="N975">
        <v>1</v>
      </c>
      <c r="O975">
        <v>0</v>
      </c>
      <c r="P975">
        <v>1</v>
      </c>
      <c r="Q975">
        <v>6</v>
      </c>
      <c r="R975">
        <v>0</v>
      </c>
      <c r="S975">
        <v>0</v>
      </c>
      <c r="T975">
        <v>0</v>
      </c>
      <c r="U975">
        <v>0</v>
      </c>
      <c r="V975">
        <f t="shared" si="432"/>
        <v>1</v>
      </c>
      <c r="W975">
        <v>1</v>
      </c>
      <c r="X975">
        <v>1</v>
      </c>
      <c r="Y975">
        <v>1</v>
      </c>
      <c r="Z975" t="s">
        <v>103</v>
      </c>
      <c r="AA975" s="5" t="s">
        <v>103</v>
      </c>
      <c r="AB975" s="5" t="s">
        <v>103</v>
      </c>
      <c r="AC975" t="s">
        <v>103</v>
      </c>
      <c r="AD975" t="s">
        <v>101</v>
      </c>
      <c r="AE975" s="5" t="s">
        <v>101</v>
      </c>
      <c r="AF975" t="s">
        <v>99</v>
      </c>
      <c r="AG975" t="s">
        <v>137</v>
      </c>
      <c r="AH975">
        <f t="shared" si="440"/>
        <v>1.6253442999999999E-2</v>
      </c>
      <c r="AI975">
        <f t="shared" si="441"/>
        <v>1.6253442999999999E-2</v>
      </c>
      <c r="AJ975">
        <f t="shared" si="433"/>
        <v>1.6253442999999999E-2</v>
      </c>
      <c r="AK975">
        <v>1.6253442999999999E-2</v>
      </c>
      <c r="AL975">
        <v>7.7747256000000001E-2</v>
      </c>
      <c r="AM975">
        <v>0.10960795</v>
      </c>
      <c r="AN975">
        <v>0.122197926</v>
      </c>
      <c r="AO975">
        <v>98.374655700000005</v>
      </c>
      <c r="AP975">
        <v>92.225274400000004</v>
      </c>
      <c r="AQ975">
        <v>89.039204999999995</v>
      </c>
      <c r="AR975">
        <v>87.780207399999995</v>
      </c>
      <c r="AS975" t="b">
        <v>1</v>
      </c>
      <c r="AT975" t="b">
        <v>0</v>
      </c>
      <c r="AU975" t="s">
        <v>77</v>
      </c>
      <c r="AV975" t="s">
        <v>77</v>
      </c>
      <c r="AW975" t="s">
        <v>783</v>
      </c>
      <c r="AX975" t="s">
        <v>1277</v>
      </c>
      <c r="AY975" t="s">
        <v>1492</v>
      </c>
      <c r="AZ975" t="s">
        <v>89</v>
      </c>
      <c r="BA975" t="s">
        <v>82</v>
      </c>
      <c r="BB975">
        <v>0.21</v>
      </c>
      <c r="BC975">
        <v>1.8406593999999998E-2</v>
      </c>
      <c r="BD975">
        <v>3.30705390234067E-4</v>
      </c>
      <c r="BE975">
        <v>1.8737299390234101E-2</v>
      </c>
      <c r="BF975">
        <f>IF(AK975&lt;BE975,1,0)</f>
        <v>1</v>
      </c>
      <c r="BG975">
        <f>IF(AK975&lt;BC975,1,0)</f>
        <v>1</v>
      </c>
      <c r="BH975">
        <f>VLOOKUP($B975,[1]Data_Peer_with_peerVars!$B$2:$Z$1050,20,FALSE)</f>
        <v>5</v>
      </c>
      <c r="BI975">
        <f>VLOOKUP($B975,[1]Data_Peer_with_peerVars!$B$2:$Z$1050,21,FALSE)</f>
        <v>3</v>
      </c>
      <c r="BJ975">
        <f>VLOOKUP($B975,[1]Data_Peer_with_peerVars!$B$2:$Z$1050,22,FALSE)</f>
        <v>0.6</v>
      </c>
      <c r="BK975">
        <f>VLOOKUP($B975,[1]Data_Peer_with_peerVars!$B$2:$Z$1050,23,FALSE)</f>
        <v>43</v>
      </c>
      <c r="BL975">
        <f>VLOOKUP($B975,[1]Data_Peer_with_peerVars!$B$2:$Z$1050,24,FALSE)</f>
        <v>16</v>
      </c>
      <c r="BM975">
        <f>VLOOKUP($B975,[1]Data_Peer_with_peerVars!$B$2:$Z$1050,25,FALSE)</f>
        <v>0.37209302300000002</v>
      </c>
    </row>
    <row r="976" spans="1:65" x14ac:dyDescent="0.2">
      <c r="A976">
        <v>1</v>
      </c>
      <c r="B976" t="s">
        <v>1493</v>
      </c>
      <c r="C976">
        <v>607</v>
      </c>
      <c r="D976" t="s">
        <v>68</v>
      </c>
      <c r="E976">
        <v>1</v>
      </c>
      <c r="F976">
        <v>680</v>
      </c>
      <c r="G976" t="s">
        <v>86</v>
      </c>
      <c r="H976" s="1">
        <v>7</v>
      </c>
      <c r="I976" t="s">
        <v>87</v>
      </c>
      <c r="J976" t="s">
        <v>111</v>
      </c>
      <c r="K976" t="s">
        <v>109</v>
      </c>
      <c r="L976">
        <v>1</v>
      </c>
      <c r="M976">
        <v>0</v>
      </c>
      <c r="N976">
        <v>1</v>
      </c>
      <c r="O976">
        <v>0</v>
      </c>
      <c r="P976">
        <v>0</v>
      </c>
      <c r="Q976">
        <v>11</v>
      </c>
      <c r="R976">
        <v>0</v>
      </c>
      <c r="S976">
        <v>0</v>
      </c>
      <c r="T976">
        <v>0</v>
      </c>
      <c r="U976">
        <v>0</v>
      </c>
      <c r="V976">
        <f t="shared" si="432"/>
        <v>1</v>
      </c>
      <c r="W976">
        <v>1</v>
      </c>
      <c r="X976">
        <v>1</v>
      </c>
      <c r="Y976">
        <v>1</v>
      </c>
      <c r="Z976" t="s">
        <v>75</v>
      </c>
      <c r="AA976" s="5" t="s">
        <v>75</v>
      </c>
      <c r="AB976" s="5" t="s">
        <v>75</v>
      </c>
      <c r="AC976" t="s">
        <v>75</v>
      </c>
      <c r="AD976" t="s">
        <v>74</v>
      </c>
      <c r="AE976" s="5" t="s">
        <v>817</v>
      </c>
      <c r="AF976" t="s">
        <v>120</v>
      </c>
      <c r="AG976" t="s">
        <v>167</v>
      </c>
      <c r="AH976">
        <f t="shared" si="440"/>
        <v>1.1487964999999999E-2</v>
      </c>
      <c r="AI976">
        <f t="shared" si="441"/>
        <v>1.1487964999999999E-2</v>
      </c>
      <c r="AJ976">
        <f t="shared" si="433"/>
        <v>1.1487964999999999E-2</v>
      </c>
      <c r="AK976">
        <v>1.1487964999999999E-2</v>
      </c>
      <c r="AL976">
        <v>8.2236840000000005E-2</v>
      </c>
      <c r="AM976">
        <v>8.4972679999999995E-2</v>
      </c>
      <c r="AN976">
        <v>9.6491225E-2</v>
      </c>
      <c r="AO976">
        <v>98.851203499999997</v>
      </c>
      <c r="AP976">
        <v>91.776315999999994</v>
      </c>
      <c r="AQ976">
        <v>91.502731999999995</v>
      </c>
      <c r="AR976">
        <v>90.350877499999996</v>
      </c>
      <c r="AS976" t="b">
        <v>1</v>
      </c>
      <c r="AT976" t="b">
        <v>0</v>
      </c>
      <c r="AU976" t="s">
        <v>77</v>
      </c>
      <c r="AV976" t="s">
        <v>108</v>
      </c>
      <c r="AW976" t="s">
        <v>783</v>
      </c>
      <c r="AX976" t="s">
        <v>1277</v>
      </c>
      <c r="AY976" t="s">
        <v>1492</v>
      </c>
      <c r="AZ976" t="s">
        <v>109</v>
      </c>
      <c r="BA976">
        <v>3</v>
      </c>
      <c r="BB976">
        <v>0.5</v>
      </c>
      <c r="BC976">
        <v>2.3038946000000001E-2</v>
      </c>
      <c r="BD976">
        <v>2.6184719377746E-3</v>
      </c>
      <c r="BE976">
        <v>2.5657417937774599E-2</v>
      </c>
      <c r="BF976">
        <f>IF(AK976&lt;BE976,1,0)</f>
        <v>1</v>
      </c>
      <c r="BG976">
        <f>IF(AK976&lt;BC976,1,0)</f>
        <v>1</v>
      </c>
      <c r="BH976">
        <f>VLOOKUP($B976,[1]Data_Peer_with_peerVars!$B$2:$Z$1050,20,FALSE)</f>
        <v>4</v>
      </c>
      <c r="BI976">
        <f>VLOOKUP($B976,[1]Data_Peer_with_peerVars!$B$2:$Z$1050,21,FALSE)</f>
        <v>2</v>
      </c>
      <c r="BJ976">
        <f>VLOOKUP($B976,[1]Data_Peer_with_peerVars!$B$2:$Z$1050,22,FALSE)</f>
        <v>0.5</v>
      </c>
      <c r="BK976">
        <f>VLOOKUP($B976,[1]Data_Peer_with_peerVars!$B$2:$Z$1050,23,FALSE)</f>
        <v>32</v>
      </c>
      <c r="BL976">
        <f>VLOOKUP($B976,[1]Data_Peer_with_peerVars!$B$2:$Z$1050,24,FALSE)</f>
        <v>11</v>
      </c>
      <c r="BM976">
        <f>VLOOKUP($B976,[1]Data_Peer_with_peerVars!$B$2:$Z$1050,25,FALSE)</f>
        <v>0.34375</v>
      </c>
    </row>
    <row r="977" spans="1:65" x14ac:dyDescent="0.2">
      <c r="A977">
        <v>1</v>
      </c>
      <c r="B977" t="s">
        <v>1494</v>
      </c>
      <c r="C977">
        <v>608</v>
      </c>
      <c r="D977" t="s">
        <v>68</v>
      </c>
      <c r="E977">
        <v>1</v>
      </c>
      <c r="F977">
        <v>682</v>
      </c>
      <c r="G977" t="s">
        <v>86</v>
      </c>
      <c r="H977" s="1">
        <v>7</v>
      </c>
      <c r="I977" t="s">
        <v>87</v>
      </c>
      <c r="J977" t="s">
        <v>111</v>
      </c>
      <c r="K977" t="s">
        <v>109</v>
      </c>
      <c r="L977">
        <v>1</v>
      </c>
      <c r="M977">
        <v>0</v>
      </c>
      <c r="N977">
        <v>1</v>
      </c>
      <c r="O977">
        <v>0</v>
      </c>
      <c r="P977">
        <v>0</v>
      </c>
      <c r="Q977">
        <v>6</v>
      </c>
      <c r="R977">
        <v>1</v>
      </c>
      <c r="S977">
        <v>1</v>
      </c>
      <c r="T977">
        <v>1</v>
      </c>
      <c r="U977">
        <v>1</v>
      </c>
      <c r="V977">
        <f t="shared" si="432"/>
        <v>0</v>
      </c>
      <c r="W977">
        <f t="shared" si="434"/>
        <v>0</v>
      </c>
      <c r="X977">
        <f t="shared" si="435"/>
        <v>0</v>
      </c>
      <c r="Y977">
        <f t="shared" si="436"/>
        <v>0</v>
      </c>
      <c r="Z977" t="s">
        <v>177</v>
      </c>
      <c r="AA977" s="5" t="s">
        <v>177</v>
      </c>
      <c r="AB977" s="5" t="s">
        <v>1495</v>
      </c>
      <c r="AC977" t="s">
        <v>174</v>
      </c>
      <c r="AD977" t="s">
        <v>173</v>
      </c>
      <c r="AE977" s="5" t="s">
        <v>506</v>
      </c>
      <c r="AF977" t="s">
        <v>198</v>
      </c>
      <c r="AG977" t="s">
        <v>196</v>
      </c>
      <c r="AH977">
        <f>AI977</f>
        <v>6.2875887E-3</v>
      </c>
      <c r="AI977">
        <f>AJ977</f>
        <v>6.2875887E-3</v>
      </c>
      <c r="AJ977">
        <f t="shared" si="433"/>
        <v>6.2875887E-3</v>
      </c>
      <c r="AK977">
        <v>6.2875887E-3</v>
      </c>
      <c r="AL977">
        <v>3.2768980000000003E-2</v>
      </c>
      <c r="AM977">
        <v>3.4851809999999997E-2</v>
      </c>
      <c r="AN977">
        <v>5.2386176E-2</v>
      </c>
      <c r="AO977">
        <v>99.371241130000001</v>
      </c>
      <c r="AP977">
        <v>96.723101999999997</v>
      </c>
      <c r="AQ977">
        <v>96.514819000000003</v>
      </c>
      <c r="AR977">
        <v>94.761382400000002</v>
      </c>
      <c r="AS977" t="b">
        <v>0</v>
      </c>
      <c r="AT977" t="b">
        <v>0</v>
      </c>
      <c r="AU977" t="s">
        <v>92</v>
      </c>
      <c r="AV977" t="s">
        <v>92</v>
      </c>
      <c r="AW977" t="s">
        <v>783</v>
      </c>
      <c r="AX977" t="s">
        <v>784</v>
      </c>
      <c r="AY977" t="s">
        <v>1492</v>
      </c>
      <c r="AZ977" t="s">
        <v>109</v>
      </c>
      <c r="BA977">
        <v>2</v>
      </c>
      <c r="BB977">
        <v>1</v>
      </c>
      <c r="BC977">
        <v>6.6481995999999998E-3</v>
      </c>
      <c r="BD977">
        <v>2.8322716361753601E-4</v>
      </c>
      <c r="BE977">
        <v>6.9314267636175399E-3</v>
      </c>
      <c r="BF977">
        <f>IF(AK977&lt;BE977,1,0)</f>
        <v>1</v>
      </c>
      <c r="BG977">
        <f>IF(AK977&lt;BC977,1,0)</f>
        <v>1</v>
      </c>
      <c r="BH977">
        <f>VLOOKUP($B977,[1]Data_Peer_with_peerVars!$B$2:$Z$1050,20,FALSE)</f>
        <v>3</v>
      </c>
      <c r="BI977">
        <f>VLOOKUP($B977,[1]Data_Peer_with_peerVars!$B$2:$Z$1050,21,FALSE)</f>
        <v>2</v>
      </c>
      <c r="BJ977">
        <f>VLOOKUP($B977,[1]Data_Peer_with_peerVars!$B$2:$Z$1050,22,FALSE)</f>
        <v>0.66666666699999999</v>
      </c>
      <c r="BK977">
        <f>VLOOKUP($B977,[1]Data_Peer_with_peerVars!$B$2:$Z$1050,23,FALSE)</f>
        <v>29</v>
      </c>
      <c r="BL977">
        <f>VLOOKUP($B977,[1]Data_Peer_with_peerVars!$B$2:$Z$1050,24,FALSE)</f>
        <v>11</v>
      </c>
      <c r="BM977">
        <f>VLOOKUP($B977,[1]Data_Peer_with_peerVars!$B$2:$Z$1050,25,FALSE)</f>
        <v>0.37931034499999999</v>
      </c>
    </row>
    <row r="978" spans="1:65" x14ac:dyDescent="0.2">
      <c r="A978">
        <v>1</v>
      </c>
      <c r="B978" t="s">
        <v>1496</v>
      </c>
      <c r="C978">
        <v>608</v>
      </c>
      <c r="D978" t="s">
        <v>68</v>
      </c>
      <c r="E978">
        <v>1</v>
      </c>
      <c r="F978">
        <v>682</v>
      </c>
      <c r="G978" t="s">
        <v>86</v>
      </c>
      <c r="H978" s="1">
        <v>7</v>
      </c>
      <c r="I978" t="s">
        <v>87</v>
      </c>
      <c r="J978" t="s">
        <v>111</v>
      </c>
      <c r="K978" t="s">
        <v>109</v>
      </c>
      <c r="L978">
        <v>1</v>
      </c>
      <c r="M978">
        <v>0</v>
      </c>
      <c r="N978">
        <v>1</v>
      </c>
      <c r="O978">
        <v>0</v>
      </c>
      <c r="P978">
        <v>0</v>
      </c>
      <c r="Q978">
        <v>6</v>
      </c>
      <c r="R978">
        <v>0</v>
      </c>
      <c r="S978">
        <v>0</v>
      </c>
      <c r="T978">
        <v>0</v>
      </c>
      <c r="U978">
        <v>0</v>
      </c>
      <c r="V978">
        <f t="shared" si="432"/>
        <v>1</v>
      </c>
      <c r="W978">
        <v>1</v>
      </c>
      <c r="X978">
        <v>1</v>
      </c>
      <c r="Y978">
        <v>1</v>
      </c>
      <c r="Z978" t="s">
        <v>75</v>
      </c>
      <c r="AA978" s="5" t="s">
        <v>75</v>
      </c>
      <c r="AB978" s="5" t="s">
        <v>75</v>
      </c>
      <c r="AC978" t="s">
        <v>75</v>
      </c>
      <c r="AD978" t="s">
        <v>120</v>
      </c>
      <c r="AE978" s="5" t="s">
        <v>810</v>
      </c>
      <c r="AF978" t="s">
        <v>74</v>
      </c>
      <c r="AG978" t="s">
        <v>167</v>
      </c>
      <c r="AH978">
        <f>AI978</f>
        <v>2.5164114000000001E-2</v>
      </c>
      <c r="AI978">
        <f>AJ978</f>
        <v>2.5164114000000001E-2</v>
      </c>
      <c r="AJ978">
        <f t="shared" si="433"/>
        <v>2.5164114000000001E-2</v>
      </c>
      <c r="AK978">
        <v>2.5164114000000001E-2</v>
      </c>
      <c r="AL978">
        <v>9.8360660000000003E-2</v>
      </c>
      <c r="AM978">
        <v>9.8684214000000006E-2</v>
      </c>
      <c r="AN978">
        <v>0.10882675999999999</v>
      </c>
      <c r="AO978">
        <v>97.483588600000004</v>
      </c>
      <c r="AP978">
        <v>90.163933999999998</v>
      </c>
      <c r="AQ978">
        <v>90.131578599999997</v>
      </c>
      <c r="AR978">
        <v>89.117323999999996</v>
      </c>
      <c r="AS978" t="b">
        <v>1</v>
      </c>
      <c r="AT978" t="b">
        <v>0</v>
      </c>
      <c r="AU978" t="s">
        <v>77</v>
      </c>
      <c r="AV978" t="s">
        <v>108</v>
      </c>
      <c r="AW978" t="s">
        <v>783</v>
      </c>
      <c r="AX978" t="s">
        <v>784</v>
      </c>
      <c r="AY978" t="s">
        <v>1492</v>
      </c>
      <c r="AZ978" t="s">
        <v>109</v>
      </c>
      <c r="BA978">
        <v>4</v>
      </c>
      <c r="BB978">
        <v>0.49</v>
      </c>
      <c r="BC978">
        <v>2.3038946000000001E-2</v>
      </c>
      <c r="BD978">
        <v>2.6184719377746E-3</v>
      </c>
      <c r="BE978">
        <v>2.5657417937774599E-2</v>
      </c>
      <c r="BF978">
        <f>IF(AK978&lt;BE978,1,0)</f>
        <v>1</v>
      </c>
      <c r="BG978">
        <f>IF(AK978&lt;BC978,1,0)</f>
        <v>0</v>
      </c>
      <c r="BH978">
        <f>VLOOKUP($B978,[1]Data_Peer_with_peerVars!$B$2:$Z$1050,20,FALSE)</f>
        <v>3</v>
      </c>
      <c r="BI978">
        <f>VLOOKUP($B978,[1]Data_Peer_with_peerVars!$B$2:$Z$1050,21,FALSE)</f>
        <v>2</v>
      </c>
      <c r="BJ978">
        <f>VLOOKUP($B978,[1]Data_Peer_with_peerVars!$B$2:$Z$1050,22,FALSE)</f>
        <v>0.66666666699999999</v>
      </c>
      <c r="BK978">
        <f>VLOOKUP($B978,[1]Data_Peer_with_peerVars!$B$2:$Z$1050,23,FALSE)</f>
        <v>29</v>
      </c>
      <c r="BL978">
        <f>VLOOKUP($B978,[1]Data_Peer_with_peerVars!$B$2:$Z$1050,24,FALSE)</f>
        <v>11</v>
      </c>
      <c r="BM978">
        <f>VLOOKUP($B978,[1]Data_Peer_with_peerVars!$B$2:$Z$1050,25,FALSE)</f>
        <v>0.37931034499999999</v>
      </c>
    </row>
    <row r="979" spans="1:65" x14ac:dyDescent="0.2">
      <c r="A979">
        <v>1</v>
      </c>
      <c r="B979" t="s">
        <v>1497</v>
      </c>
      <c r="C979">
        <v>609</v>
      </c>
      <c r="D979" t="s">
        <v>68</v>
      </c>
      <c r="E979">
        <v>1</v>
      </c>
      <c r="F979">
        <v>686</v>
      </c>
      <c r="G979" t="s">
        <v>69</v>
      </c>
      <c r="H979" s="1">
        <v>7</v>
      </c>
      <c r="I979" t="s">
        <v>87</v>
      </c>
      <c r="J979" t="s">
        <v>111</v>
      </c>
      <c r="K979" t="s">
        <v>109</v>
      </c>
      <c r="L979">
        <v>1</v>
      </c>
      <c r="M979">
        <v>1</v>
      </c>
      <c r="N979">
        <v>1</v>
      </c>
      <c r="O979">
        <v>1</v>
      </c>
      <c r="P979">
        <v>0</v>
      </c>
      <c r="Q979">
        <v>0</v>
      </c>
      <c r="R979">
        <v>0</v>
      </c>
      <c r="S979">
        <v>0</v>
      </c>
      <c r="T979">
        <v>0</v>
      </c>
      <c r="U979">
        <v>0</v>
      </c>
      <c r="V979">
        <f t="shared" si="432"/>
        <v>0</v>
      </c>
      <c r="W979">
        <f t="shared" si="434"/>
        <v>0</v>
      </c>
      <c r="X979">
        <f t="shared" si="435"/>
        <v>0</v>
      </c>
      <c r="Y979">
        <f t="shared" si="436"/>
        <v>0</v>
      </c>
      <c r="Z979" t="s">
        <v>98</v>
      </c>
      <c r="AA979" s="5" t="s">
        <v>284</v>
      </c>
      <c r="AB979" s="5" t="s">
        <v>284</v>
      </c>
      <c r="AC979" t="s">
        <v>102</v>
      </c>
      <c r="AD979" t="s">
        <v>167</v>
      </c>
      <c r="AE979" s="5" t="s">
        <v>167</v>
      </c>
      <c r="AF979" t="s">
        <v>91</v>
      </c>
      <c r="AG979" t="s">
        <v>74</v>
      </c>
      <c r="AH979">
        <f t="shared" ref="AH979:AH980" si="442">AI979</f>
        <v>0.11666667</v>
      </c>
      <c r="AI979">
        <f t="shared" ref="AI979:AI985" si="443">AJ979</f>
        <v>0.11666667</v>
      </c>
      <c r="AJ979">
        <f t="shared" si="433"/>
        <v>0.11666667</v>
      </c>
      <c r="AK979">
        <v>0.11666667</v>
      </c>
      <c r="AL979">
        <v>0.12294181999999999</v>
      </c>
      <c r="AM979">
        <v>0.13780822000000001</v>
      </c>
      <c r="AN979">
        <v>0.13783635</v>
      </c>
      <c r="AO979">
        <v>88.333332999999996</v>
      </c>
      <c r="AP979">
        <v>87.705817999999994</v>
      </c>
      <c r="AQ979">
        <v>86.219177999999999</v>
      </c>
      <c r="AR979">
        <v>86.216364999999996</v>
      </c>
      <c r="AS979" t="b">
        <v>0</v>
      </c>
      <c r="AT979" t="b">
        <v>0</v>
      </c>
      <c r="AU979" t="s">
        <v>92</v>
      </c>
      <c r="AV979" t="s">
        <v>92</v>
      </c>
      <c r="AW979" t="s">
        <v>783</v>
      </c>
      <c r="AX979" t="s">
        <v>1298</v>
      </c>
      <c r="AY979" t="s">
        <v>1498</v>
      </c>
      <c r="AZ979" t="s">
        <v>109</v>
      </c>
      <c r="BA979">
        <v>6</v>
      </c>
      <c r="BB979">
        <v>0.7</v>
      </c>
      <c r="BC979">
        <v>3.0153507999999998E-3</v>
      </c>
      <c r="BD979">
        <v>1.41556405228766E-4</v>
      </c>
      <c r="BE979">
        <v>3.1569072052287702E-3</v>
      </c>
      <c r="BF979">
        <f>IF(AK979&lt;BE979,1,0)</f>
        <v>0</v>
      </c>
      <c r="BG979">
        <f>IF(AK979&lt;BC979,1,0)</f>
        <v>0</v>
      </c>
      <c r="BH979">
        <f>VLOOKUP($B979,[1]Data_Peer_with_peerVars!$B$2:$Z$1050,20,FALSE)</f>
        <v>2</v>
      </c>
      <c r="BI979">
        <f>VLOOKUP($B979,[1]Data_Peer_with_peerVars!$B$2:$Z$1050,21,FALSE)</f>
        <v>0</v>
      </c>
      <c r="BJ979">
        <f>VLOOKUP($B979,[1]Data_Peer_with_peerVars!$B$2:$Z$1050,22,FALSE)</f>
        <v>0</v>
      </c>
      <c r="BK979">
        <f>VLOOKUP($B979,[1]Data_Peer_with_peerVars!$B$2:$Z$1050,23,FALSE)</f>
        <v>30</v>
      </c>
      <c r="BL979">
        <f>VLOOKUP($B979,[1]Data_Peer_with_peerVars!$B$2:$Z$1050,24,FALSE)</f>
        <v>12</v>
      </c>
      <c r="BM979">
        <f>VLOOKUP($B979,[1]Data_Peer_with_peerVars!$B$2:$Z$1050,25,FALSE)</f>
        <v>0.4</v>
      </c>
    </row>
    <row r="980" spans="1:65" x14ac:dyDescent="0.2">
      <c r="A980">
        <v>1</v>
      </c>
      <c r="B980" t="s">
        <v>1499</v>
      </c>
      <c r="C980">
        <v>611</v>
      </c>
      <c r="D980" t="s">
        <v>68</v>
      </c>
      <c r="E980">
        <v>1</v>
      </c>
      <c r="F980">
        <v>726</v>
      </c>
      <c r="G980" t="s">
        <v>86</v>
      </c>
      <c r="H980" s="1">
        <v>7</v>
      </c>
      <c r="I980" t="s">
        <v>87</v>
      </c>
      <c r="J980" t="s">
        <v>111</v>
      </c>
      <c r="K980" t="s">
        <v>109</v>
      </c>
      <c r="L980">
        <v>2</v>
      </c>
      <c r="M980">
        <v>0</v>
      </c>
      <c r="N980">
        <v>1</v>
      </c>
      <c r="O980">
        <v>0</v>
      </c>
      <c r="P980">
        <v>0</v>
      </c>
      <c r="Q980">
        <v>8</v>
      </c>
      <c r="R980">
        <v>1</v>
      </c>
      <c r="S980">
        <v>1</v>
      </c>
      <c r="T980">
        <v>1</v>
      </c>
      <c r="U980">
        <v>1</v>
      </c>
      <c r="V980">
        <f t="shared" si="432"/>
        <v>0</v>
      </c>
      <c r="W980">
        <f t="shared" si="434"/>
        <v>0</v>
      </c>
      <c r="X980">
        <f t="shared" si="435"/>
        <v>0</v>
      </c>
      <c r="Y980">
        <f t="shared" si="436"/>
        <v>0</v>
      </c>
      <c r="Z980" t="s">
        <v>287</v>
      </c>
      <c r="AA980" s="5" t="s">
        <v>287</v>
      </c>
      <c r="AB980" s="5" t="s">
        <v>287</v>
      </c>
      <c r="AC980" t="s">
        <v>107</v>
      </c>
      <c r="AD980" t="s">
        <v>95</v>
      </c>
      <c r="AE980" s="5" t="s">
        <v>95</v>
      </c>
      <c r="AF980" t="s">
        <v>173</v>
      </c>
      <c r="AG980" t="s">
        <v>174</v>
      </c>
      <c r="AH980">
        <f t="shared" si="442"/>
        <v>9.3150690000000005E-3</v>
      </c>
      <c r="AI980">
        <f t="shared" si="443"/>
        <v>9.3150690000000005E-3</v>
      </c>
      <c r="AJ980">
        <f t="shared" si="433"/>
        <v>9.3150690000000005E-3</v>
      </c>
      <c r="AK980">
        <v>9.3150690000000005E-3</v>
      </c>
      <c r="AL980">
        <v>7.6206140000000006E-2</v>
      </c>
      <c r="AM980">
        <v>9.2501365000000002E-2</v>
      </c>
      <c r="AN980">
        <v>9.5942979999999997E-2</v>
      </c>
      <c r="AO980">
        <v>99.068493099999998</v>
      </c>
      <c r="AP980">
        <v>92.379385999999997</v>
      </c>
      <c r="AQ980">
        <v>90.749863500000004</v>
      </c>
      <c r="AR980">
        <v>90.405702000000005</v>
      </c>
      <c r="AS980" t="b">
        <v>0</v>
      </c>
      <c r="AT980" t="b">
        <v>0</v>
      </c>
      <c r="AU980" t="s">
        <v>77</v>
      </c>
      <c r="AV980" t="s">
        <v>77</v>
      </c>
      <c r="AW980" t="s">
        <v>783</v>
      </c>
      <c r="AX980" t="s">
        <v>1277</v>
      </c>
      <c r="AY980" t="s">
        <v>1500</v>
      </c>
      <c r="AZ980" t="s">
        <v>109</v>
      </c>
      <c r="BA980">
        <v>3</v>
      </c>
      <c r="BB980">
        <v>0.7</v>
      </c>
      <c r="BC980">
        <v>2.6475456000000001E-2</v>
      </c>
      <c r="BD980">
        <v>8.8330364056477401E-3</v>
      </c>
      <c r="BE980">
        <v>3.53084924056477E-2</v>
      </c>
      <c r="BF980">
        <f>IF(AK980&lt;BE980,1,0)</f>
        <v>1</v>
      </c>
      <c r="BG980">
        <f>IF(AK980&lt;BC980,1,0)</f>
        <v>1</v>
      </c>
      <c r="BH980">
        <f>VLOOKUP($B980,[1]Data_Peer_with_peerVars!$B$2:$Z$1050,20,FALSE)</f>
        <v>3</v>
      </c>
      <c r="BI980">
        <f>VLOOKUP($B980,[1]Data_Peer_with_peerVars!$B$2:$Z$1050,21,FALSE)</f>
        <v>2</v>
      </c>
      <c r="BJ980">
        <f>VLOOKUP($B980,[1]Data_Peer_with_peerVars!$B$2:$Z$1050,22,FALSE)</f>
        <v>0.66666666699999999</v>
      </c>
      <c r="BK980">
        <f>VLOOKUP($B980,[1]Data_Peer_with_peerVars!$B$2:$Z$1050,23,FALSE)</f>
        <v>29</v>
      </c>
      <c r="BL980">
        <f>VLOOKUP($B980,[1]Data_Peer_with_peerVars!$B$2:$Z$1050,24,FALSE)</f>
        <v>11</v>
      </c>
      <c r="BM980">
        <f>VLOOKUP($B980,[1]Data_Peer_with_peerVars!$B$2:$Z$1050,25,FALSE)</f>
        <v>0.37931034499999999</v>
      </c>
    </row>
    <row r="981" spans="1:65" x14ac:dyDescent="0.2">
      <c r="A981">
        <v>1</v>
      </c>
      <c r="B981" t="s">
        <v>1501</v>
      </c>
      <c r="C981">
        <v>611</v>
      </c>
      <c r="D981" t="s">
        <v>68</v>
      </c>
      <c r="E981">
        <v>1</v>
      </c>
      <c r="F981">
        <v>726</v>
      </c>
      <c r="G981" t="s">
        <v>86</v>
      </c>
      <c r="H981" s="1">
        <v>7</v>
      </c>
      <c r="I981" t="s">
        <v>87</v>
      </c>
      <c r="J981" t="s">
        <v>111</v>
      </c>
      <c r="K981" t="s">
        <v>109</v>
      </c>
      <c r="L981">
        <v>2</v>
      </c>
      <c r="M981">
        <v>0</v>
      </c>
      <c r="N981">
        <v>1</v>
      </c>
      <c r="O981">
        <v>0</v>
      </c>
      <c r="P981">
        <v>0</v>
      </c>
      <c r="Q981">
        <v>8</v>
      </c>
      <c r="R981">
        <v>0</v>
      </c>
      <c r="S981">
        <v>0</v>
      </c>
      <c r="T981">
        <v>0</v>
      </c>
      <c r="U981">
        <v>0</v>
      </c>
      <c r="V981">
        <f t="shared" si="432"/>
        <v>0</v>
      </c>
      <c r="W981">
        <f t="shared" si="434"/>
        <v>1</v>
      </c>
      <c r="X981">
        <v>1</v>
      </c>
      <c r="Y981">
        <v>1</v>
      </c>
      <c r="Z981" t="s">
        <v>120</v>
      </c>
      <c r="AA981" s="5" t="s">
        <v>120</v>
      </c>
      <c r="AB981" s="5" t="s">
        <v>1502</v>
      </c>
      <c r="AC981" t="s">
        <v>91</v>
      </c>
      <c r="AD981" t="s">
        <v>120</v>
      </c>
      <c r="AE981" s="5" t="s">
        <v>1103</v>
      </c>
      <c r="AF981" t="s">
        <v>74</v>
      </c>
      <c r="AG981" t="s">
        <v>75</v>
      </c>
      <c r="AH981">
        <f>AI981</f>
        <v>9.2572360000000006E-2</v>
      </c>
      <c r="AI981">
        <f t="shared" si="443"/>
        <v>9.2572360000000006E-2</v>
      </c>
      <c r="AJ981">
        <f>AL981</f>
        <v>9.2572360000000006E-2</v>
      </c>
      <c r="AK981">
        <v>9.0585659999999998E-2</v>
      </c>
      <c r="AL981">
        <v>9.2572360000000006E-2</v>
      </c>
      <c r="AM981">
        <v>0.12</v>
      </c>
      <c r="AN981">
        <v>0.12068965</v>
      </c>
      <c r="AO981">
        <v>90.941434000000001</v>
      </c>
      <c r="AP981">
        <v>90.742763999999994</v>
      </c>
      <c r="AQ981">
        <v>88</v>
      </c>
      <c r="AR981">
        <v>87.931034999999994</v>
      </c>
      <c r="AS981" t="b">
        <v>0</v>
      </c>
      <c r="AT981" t="b">
        <v>0</v>
      </c>
      <c r="AU981" t="s">
        <v>108</v>
      </c>
      <c r="AV981" t="s">
        <v>108</v>
      </c>
      <c r="AW981" t="s">
        <v>783</v>
      </c>
      <c r="AX981" t="s">
        <v>1277</v>
      </c>
      <c r="AY981" t="s">
        <v>1500</v>
      </c>
      <c r="AZ981" t="s">
        <v>109</v>
      </c>
      <c r="BA981">
        <v>3</v>
      </c>
      <c r="BB981">
        <v>7.0000000000000007E-2</v>
      </c>
      <c r="BC981">
        <v>9.0659339999999995E-3</v>
      </c>
      <c r="BD981">
        <v>2.76583658862385E-3</v>
      </c>
      <c r="BE981">
        <v>1.1831770588623799E-2</v>
      </c>
      <c r="BF981">
        <f>IF(AK981&lt;BE981,1,0)</f>
        <v>0</v>
      </c>
      <c r="BG981">
        <f>IF(AK981&lt;BC981,1,0)</f>
        <v>0</v>
      </c>
      <c r="BH981">
        <f>VLOOKUP($B981,[1]Data_Peer_with_peerVars!$B$2:$Z$1050,20,FALSE)</f>
        <v>3</v>
      </c>
      <c r="BI981">
        <f>VLOOKUP($B981,[1]Data_Peer_with_peerVars!$B$2:$Z$1050,21,FALSE)</f>
        <v>2</v>
      </c>
      <c r="BJ981">
        <f>VLOOKUP($B981,[1]Data_Peer_with_peerVars!$B$2:$Z$1050,22,FALSE)</f>
        <v>0.66666666699999999</v>
      </c>
      <c r="BK981">
        <f>VLOOKUP($B981,[1]Data_Peer_with_peerVars!$B$2:$Z$1050,23,FALSE)</f>
        <v>29</v>
      </c>
      <c r="BL981">
        <f>VLOOKUP($B981,[1]Data_Peer_with_peerVars!$B$2:$Z$1050,24,FALSE)</f>
        <v>11</v>
      </c>
      <c r="BM981">
        <f>VLOOKUP($B981,[1]Data_Peer_with_peerVars!$B$2:$Z$1050,25,FALSE)</f>
        <v>0.37931034499999999</v>
      </c>
    </row>
    <row r="982" spans="1:65" x14ac:dyDescent="0.2">
      <c r="A982">
        <v>1</v>
      </c>
      <c r="B982" t="s">
        <v>1503</v>
      </c>
      <c r="C982">
        <v>612</v>
      </c>
      <c r="D982" t="s">
        <v>68</v>
      </c>
      <c r="E982">
        <v>1</v>
      </c>
      <c r="F982">
        <v>747</v>
      </c>
      <c r="G982" t="s">
        <v>69</v>
      </c>
      <c r="H982" s="1">
        <v>7</v>
      </c>
      <c r="I982" t="s">
        <v>87</v>
      </c>
      <c r="J982" t="s">
        <v>111</v>
      </c>
      <c r="K982" t="s">
        <v>109</v>
      </c>
      <c r="L982">
        <v>1</v>
      </c>
      <c r="M982">
        <v>0</v>
      </c>
      <c r="N982">
        <v>1</v>
      </c>
      <c r="O982">
        <v>0</v>
      </c>
      <c r="P982">
        <v>0</v>
      </c>
      <c r="Q982">
        <v>6</v>
      </c>
      <c r="R982">
        <v>0</v>
      </c>
      <c r="S982">
        <v>0</v>
      </c>
      <c r="T982">
        <v>0</v>
      </c>
      <c r="U982">
        <v>0</v>
      </c>
      <c r="V982">
        <f t="shared" si="432"/>
        <v>0</v>
      </c>
      <c r="W982">
        <f t="shared" si="434"/>
        <v>0</v>
      </c>
      <c r="X982">
        <f t="shared" si="435"/>
        <v>0</v>
      </c>
      <c r="Y982">
        <f t="shared" si="436"/>
        <v>1</v>
      </c>
      <c r="Z982" t="s">
        <v>76</v>
      </c>
      <c r="AA982" s="5" t="s">
        <v>76</v>
      </c>
      <c r="AB982" s="5" t="s">
        <v>76</v>
      </c>
      <c r="AC982" t="s">
        <v>74</v>
      </c>
      <c r="AD982" t="s">
        <v>75</v>
      </c>
      <c r="AE982" s="5" t="s">
        <v>75</v>
      </c>
      <c r="AF982" t="s">
        <v>120</v>
      </c>
      <c r="AG982" t="s">
        <v>76</v>
      </c>
      <c r="AH982">
        <f>AN982</f>
        <v>9.2278205000000002E-2</v>
      </c>
      <c r="AI982">
        <f t="shared" si="443"/>
        <v>1.479452E-2</v>
      </c>
      <c r="AJ982">
        <f t="shared" si="433"/>
        <v>1.479452E-2</v>
      </c>
      <c r="AK982">
        <v>1.479452E-2</v>
      </c>
      <c r="AL982">
        <v>8.4884994000000005E-2</v>
      </c>
      <c r="AM982">
        <v>8.8846359999999999E-2</v>
      </c>
      <c r="AN982">
        <v>9.2278205000000002E-2</v>
      </c>
      <c r="AO982">
        <v>98.520548000000005</v>
      </c>
      <c r="AP982">
        <v>91.511500600000005</v>
      </c>
      <c r="AQ982">
        <v>91.115364</v>
      </c>
      <c r="AR982">
        <v>90.772179499999993</v>
      </c>
      <c r="AS982" t="b">
        <v>0</v>
      </c>
      <c r="AT982" t="b">
        <v>0</v>
      </c>
      <c r="AU982" t="s">
        <v>77</v>
      </c>
      <c r="AV982" t="s">
        <v>77</v>
      </c>
      <c r="AW982" t="s">
        <v>783</v>
      </c>
      <c r="AX982" t="s">
        <v>1277</v>
      </c>
      <c r="AY982" t="s">
        <v>1492</v>
      </c>
      <c r="AZ982" t="s">
        <v>109</v>
      </c>
      <c r="BA982">
        <v>5</v>
      </c>
      <c r="BB982">
        <v>0.315</v>
      </c>
      <c r="BC982">
        <v>2.4738868000000001E-3</v>
      </c>
      <c r="BD982">
        <v>1.4256942275279999E-4</v>
      </c>
      <c r="BE982">
        <v>2.6164562227527998E-3</v>
      </c>
      <c r="BF982">
        <f>IF(AK982&lt;BE982,1,0)</f>
        <v>0</v>
      </c>
      <c r="BG982">
        <f>IF(AK982&lt;BC982,1,0)</f>
        <v>0</v>
      </c>
      <c r="BH982">
        <f>VLOOKUP($B982,[1]Data_Peer_with_peerVars!$B$2:$Z$1050,20,FALSE)</f>
        <v>1</v>
      </c>
      <c r="BI982">
        <f>VLOOKUP($B982,[1]Data_Peer_with_peerVars!$B$2:$Z$1050,21,FALSE)</f>
        <v>1</v>
      </c>
      <c r="BJ982">
        <f>VLOOKUP($B982,[1]Data_Peer_with_peerVars!$B$2:$Z$1050,22,FALSE)</f>
        <v>1</v>
      </c>
      <c r="BK982">
        <f>VLOOKUP($B982,[1]Data_Peer_with_peerVars!$B$2:$Z$1050,23,FALSE)</f>
        <v>33</v>
      </c>
      <c r="BL982">
        <f>VLOOKUP($B982,[1]Data_Peer_with_peerVars!$B$2:$Z$1050,24,FALSE)</f>
        <v>13</v>
      </c>
      <c r="BM982">
        <f>VLOOKUP($B982,[1]Data_Peer_with_peerVars!$B$2:$Z$1050,25,FALSE)</f>
        <v>0.393939394</v>
      </c>
    </row>
    <row r="983" spans="1:65" x14ac:dyDescent="0.2">
      <c r="A983">
        <v>1</v>
      </c>
      <c r="B983" t="s">
        <v>1504</v>
      </c>
      <c r="C983">
        <v>612</v>
      </c>
      <c r="D983" t="s">
        <v>68</v>
      </c>
      <c r="E983">
        <v>1</v>
      </c>
      <c r="F983">
        <v>747</v>
      </c>
      <c r="G983" t="s">
        <v>69</v>
      </c>
      <c r="H983" s="1">
        <v>7</v>
      </c>
      <c r="I983" t="s">
        <v>87</v>
      </c>
      <c r="J983" t="s">
        <v>111</v>
      </c>
      <c r="K983" t="s">
        <v>109</v>
      </c>
      <c r="L983">
        <v>1</v>
      </c>
      <c r="M983">
        <v>0</v>
      </c>
      <c r="N983">
        <v>1</v>
      </c>
      <c r="O983">
        <v>0</v>
      </c>
      <c r="P983">
        <v>0</v>
      </c>
      <c r="Q983">
        <v>6</v>
      </c>
      <c r="R983">
        <v>0</v>
      </c>
      <c r="S983">
        <v>0</v>
      </c>
      <c r="T983">
        <v>0</v>
      </c>
      <c r="U983">
        <v>0</v>
      </c>
      <c r="V983">
        <f t="shared" si="432"/>
        <v>1</v>
      </c>
      <c r="W983">
        <v>1</v>
      </c>
      <c r="X983">
        <v>1</v>
      </c>
      <c r="Y983">
        <v>1</v>
      </c>
      <c r="Z983" t="s">
        <v>120</v>
      </c>
      <c r="AA983" s="5" t="s">
        <v>120</v>
      </c>
      <c r="AB983" s="5" t="s">
        <v>1502</v>
      </c>
      <c r="AC983" t="s">
        <v>120</v>
      </c>
      <c r="AD983" t="s">
        <v>75</v>
      </c>
      <c r="AE983" s="5" t="s">
        <v>75</v>
      </c>
      <c r="AF983" t="s">
        <v>74</v>
      </c>
      <c r="AG983" t="s">
        <v>76</v>
      </c>
      <c r="AH983">
        <f t="shared" ref="AH983:AH985" si="444">AI983</f>
        <v>5.2430365E-2</v>
      </c>
      <c r="AI983">
        <f t="shared" si="443"/>
        <v>5.2430365E-2</v>
      </c>
      <c r="AJ983">
        <f t="shared" si="433"/>
        <v>5.2430365E-2</v>
      </c>
      <c r="AK983">
        <v>5.2430365E-2</v>
      </c>
      <c r="AL983">
        <v>9.4091910000000001E-2</v>
      </c>
      <c r="AM983">
        <v>0.10054795</v>
      </c>
      <c r="AN983">
        <v>0.10393872999999999</v>
      </c>
      <c r="AO983">
        <v>94.756963499999998</v>
      </c>
      <c r="AP983">
        <v>90.590808999999993</v>
      </c>
      <c r="AQ983">
        <v>89.945205000000001</v>
      </c>
      <c r="AR983">
        <v>89.606127000000001</v>
      </c>
      <c r="AS983" t="b">
        <v>1</v>
      </c>
      <c r="AT983" t="b">
        <v>0</v>
      </c>
      <c r="AU983" t="s">
        <v>77</v>
      </c>
      <c r="AV983" t="s">
        <v>77</v>
      </c>
      <c r="AW983" t="s">
        <v>783</v>
      </c>
      <c r="AX983" t="s">
        <v>1277</v>
      </c>
      <c r="AY983" t="s">
        <v>1505</v>
      </c>
      <c r="AZ983" t="s">
        <v>109</v>
      </c>
      <c r="BA983">
        <v>4</v>
      </c>
      <c r="BB983">
        <v>0.315</v>
      </c>
      <c r="BC983">
        <v>4.6849314000000003E-2</v>
      </c>
      <c r="BD983">
        <v>4.5250577219970098E-3</v>
      </c>
      <c r="BE983">
        <v>5.1374371721996999E-2</v>
      </c>
      <c r="BF983">
        <f>IF(AK983&lt;BE983,1,0)</f>
        <v>0</v>
      </c>
      <c r="BG983">
        <f>IF(AK983&lt;BC983,1,0)</f>
        <v>0</v>
      </c>
      <c r="BH983">
        <f>VLOOKUP($B983,[1]Data_Peer_with_peerVars!$B$2:$Z$1050,20,FALSE)</f>
        <v>1</v>
      </c>
      <c r="BI983">
        <f>VLOOKUP($B983,[1]Data_Peer_with_peerVars!$B$2:$Z$1050,21,FALSE)</f>
        <v>1</v>
      </c>
      <c r="BJ983">
        <f>VLOOKUP($B983,[1]Data_Peer_with_peerVars!$B$2:$Z$1050,22,FALSE)</f>
        <v>1</v>
      </c>
      <c r="BK983">
        <f>VLOOKUP($B983,[1]Data_Peer_with_peerVars!$B$2:$Z$1050,23,FALSE)</f>
        <v>33</v>
      </c>
      <c r="BL983">
        <f>VLOOKUP($B983,[1]Data_Peer_with_peerVars!$B$2:$Z$1050,24,FALSE)</f>
        <v>13</v>
      </c>
      <c r="BM983">
        <f>VLOOKUP($B983,[1]Data_Peer_with_peerVars!$B$2:$Z$1050,25,FALSE)</f>
        <v>0.393939394</v>
      </c>
    </row>
    <row r="984" spans="1:65" x14ac:dyDescent="0.2">
      <c r="A984">
        <v>1</v>
      </c>
      <c r="B984" t="s">
        <v>1506</v>
      </c>
      <c r="C984">
        <v>612</v>
      </c>
      <c r="D984" t="s">
        <v>68</v>
      </c>
      <c r="E984">
        <v>1</v>
      </c>
      <c r="F984">
        <v>747</v>
      </c>
      <c r="G984" t="s">
        <v>69</v>
      </c>
      <c r="H984" s="1">
        <v>7</v>
      </c>
      <c r="I984" t="s">
        <v>87</v>
      </c>
      <c r="J984" t="s">
        <v>111</v>
      </c>
      <c r="K984" t="s">
        <v>109</v>
      </c>
      <c r="L984">
        <v>1</v>
      </c>
      <c r="M984">
        <v>0</v>
      </c>
      <c r="N984">
        <v>1</v>
      </c>
      <c r="O984">
        <v>0</v>
      </c>
      <c r="P984">
        <v>0</v>
      </c>
      <c r="Q984">
        <v>6</v>
      </c>
      <c r="R984">
        <v>0</v>
      </c>
      <c r="S984">
        <v>0</v>
      </c>
      <c r="T984">
        <v>1</v>
      </c>
      <c r="U984">
        <v>1</v>
      </c>
      <c r="V984">
        <f t="shared" si="432"/>
        <v>1</v>
      </c>
      <c r="W984">
        <v>1</v>
      </c>
      <c r="X984">
        <v>1</v>
      </c>
      <c r="Y984">
        <v>1</v>
      </c>
      <c r="Z984" t="s">
        <v>73</v>
      </c>
      <c r="AA984" s="5" t="s">
        <v>73</v>
      </c>
      <c r="AB984" s="5" t="s">
        <v>73</v>
      </c>
      <c r="AC984" t="s">
        <v>73</v>
      </c>
      <c r="AD984" t="s">
        <v>94</v>
      </c>
      <c r="AE984" s="5" t="s">
        <v>106</v>
      </c>
      <c r="AF984" t="s">
        <v>107</v>
      </c>
      <c r="AG984" t="s">
        <v>95</v>
      </c>
      <c r="AH984">
        <f t="shared" si="444"/>
        <v>3.8188760000000001E-3</v>
      </c>
      <c r="AI984">
        <f t="shared" si="443"/>
        <v>3.8188760000000001E-3</v>
      </c>
      <c r="AJ984">
        <f t="shared" si="433"/>
        <v>3.8188760000000001E-3</v>
      </c>
      <c r="AK984">
        <v>3.8188760000000001E-3</v>
      </c>
      <c r="AL984">
        <v>0.13176599</v>
      </c>
      <c r="AM984">
        <v>0.13631377</v>
      </c>
      <c r="AN984">
        <v>0.13875206000000001</v>
      </c>
      <c r="AO984">
        <v>99.618112400000001</v>
      </c>
      <c r="AP984">
        <v>86.823401000000004</v>
      </c>
      <c r="AQ984">
        <v>86.368622999999999</v>
      </c>
      <c r="AR984">
        <v>86.124793999999994</v>
      </c>
      <c r="AS984" t="b">
        <v>1</v>
      </c>
      <c r="AT984" t="b">
        <v>0</v>
      </c>
      <c r="AU984" t="s">
        <v>77</v>
      </c>
      <c r="AV984" t="s">
        <v>108</v>
      </c>
      <c r="AW984" t="s">
        <v>783</v>
      </c>
      <c r="AX984" t="s">
        <v>1277</v>
      </c>
      <c r="AY984" t="s">
        <v>1492</v>
      </c>
      <c r="AZ984" t="s">
        <v>72</v>
      </c>
      <c r="BA984" t="s">
        <v>82</v>
      </c>
      <c r="BB984">
        <v>0.42</v>
      </c>
      <c r="BC984">
        <v>4.1163553999999996E-3</v>
      </c>
      <c r="BD984">
        <v>1.4279989108178799E-4</v>
      </c>
      <c r="BE984">
        <v>4.2591552910817903E-3</v>
      </c>
      <c r="BF984">
        <f>IF(AK984&lt;BE984,1,0)</f>
        <v>1</v>
      </c>
      <c r="BG984">
        <f>IF(AK984&lt;BC984,1,0)</f>
        <v>1</v>
      </c>
      <c r="BH984">
        <f>VLOOKUP($B984,[1]Data_Peer_with_peerVars!$B$2:$Z$1050,20,FALSE)</f>
        <v>1</v>
      </c>
      <c r="BI984">
        <f>VLOOKUP($B984,[1]Data_Peer_with_peerVars!$B$2:$Z$1050,21,FALSE)</f>
        <v>1</v>
      </c>
      <c r="BJ984">
        <f>VLOOKUP($B984,[1]Data_Peer_with_peerVars!$B$2:$Z$1050,22,FALSE)</f>
        <v>1</v>
      </c>
      <c r="BK984">
        <f>VLOOKUP($B984,[1]Data_Peer_with_peerVars!$B$2:$Z$1050,23,FALSE)</f>
        <v>33</v>
      </c>
      <c r="BL984">
        <f>VLOOKUP($B984,[1]Data_Peer_with_peerVars!$B$2:$Z$1050,24,FALSE)</f>
        <v>13</v>
      </c>
      <c r="BM984">
        <f>VLOOKUP($B984,[1]Data_Peer_with_peerVars!$B$2:$Z$1050,25,FALSE)</f>
        <v>0.393939394</v>
      </c>
    </row>
    <row r="985" spans="1:65" x14ac:dyDescent="0.2">
      <c r="A985">
        <v>1</v>
      </c>
      <c r="B985" t="s">
        <v>1507</v>
      </c>
      <c r="C985">
        <v>612</v>
      </c>
      <c r="D985" t="s">
        <v>68</v>
      </c>
      <c r="E985">
        <v>1</v>
      </c>
      <c r="F985">
        <v>747</v>
      </c>
      <c r="G985" t="s">
        <v>69</v>
      </c>
      <c r="H985" s="1">
        <v>7</v>
      </c>
      <c r="I985" t="s">
        <v>87</v>
      </c>
      <c r="J985" t="s">
        <v>111</v>
      </c>
      <c r="K985" t="s">
        <v>109</v>
      </c>
      <c r="L985">
        <v>1</v>
      </c>
      <c r="M985">
        <v>0</v>
      </c>
      <c r="N985">
        <v>1</v>
      </c>
      <c r="O985">
        <v>0</v>
      </c>
      <c r="P985">
        <v>0</v>
      </c>
      <c r="Q985">
        <v>6</v>
      </c>
      <c r="R985">
        <v>0</v>
      </c>
      <c r="S985">
        <v>0</v>
      </c>
      <c r="T985">
        <v>0</v>
      </c>
      <c r="U985">
        <v>0</v>
      </c>
      <c r="V985">
        <f t="shared" si="432"/>
        <v>1</v>
      </c>
      <c r="W985">
        <v>1</v>
      </c>
      <c r="X985">
        <v>1</v>
      </c>
      <c r="Y985">
        <v>1</v>
      </c>
      <c r="Z985" t="s">
        <v>75</v>
      </c>
      <c r="AA985" s="5" t="s">
        <v>75</v>
      </c>
      <c r="AB985" s="5" t="s">
        <v>75</v>
      </c>
      <c r="AC985" t="s">
        <v>75</v>
      </c>
      <c r="AD985" t="s">
        <v>74</v>
      </c>
      <c r="AE985" s="5" t="s">
        <v>817</v>
      </c>
      <c r="AF985" t="s">
        <v>120</v>
      </c>
      <c r="AG985" t="s">
        <v>167</v>
      </c>
      <c r="AH985">
        <f t="shared" si="444"/>
        <v>1.1214442E-2</v>
      </c>
      <c r="AI985">
        <f t="shared" si="443"/>
        <v>1.1214442E-2</v>
      </c>
      <c r="AJ985">
        <f t="shared" si="433"/>
        <v>1.1214442E-2</v>
      </c>
      <c r="AK985">
        <v>1.1214442E-2</v>
      </c>
      <c r="AL985">
        <v>8.1962720000000003E-2</v>
      </c>
      <c r="AM985">
        <v>8.4699449999999996E-2</v>
      </c>
      <c r="AN985">
        <v>9.62171E-2</v>
      </c>
      <c r="AO985">
        <v>98.878555800000001</v>
      </c>
      <c r="AP985">
        <v>91.803728000000007</v>
      </c>
      <c r="AQ985">
        <v>91.530055000000004</v>
      </c>
      <c r="AR985">
        <v>90.378290000000007</v>
      </c>
      <c r="AS985" t="b">
        <v>1</v>
      </c>
      <c r="AT985" t="b">
        <v>0</v>
      </c>
      <c r="AU985" t="s">
        <v>77</v>
      </c>
      <c r="AV985" t="s">
        <v>108</v>
      </c>
      <c r="AW985" t="s">
        <v>783</v>
      </c>
      <c r="AX985" t="s">
        <v>1277</v>
      </c>
      <c r="AY985" t="s">
        <v>1492</v>
      </c>
      <c r="AZ985" t="s">
        <v>109</v>
      </c>
      <c r="BA985">
        <v>4</v>
      </c>
      <c r="BB985">
        <v>0.14000000000000001</v>
      </c>
      <c r="BC985">
        <v>2.3038946000000001E-2</v>
      </c>
      <c r="BD985">
        <v>2.6184719377746E-3</v>
      </c>
      <c r="BE985">
        <v>2.5657417937774599E-2</v>
      </c>
      <c r="BF985">
        <f>IF(AK985&lt;BE985,1,0)</f>
        <v>1</v>
      </c>
      <c r="BG985">
        <f>IF(AK985&lt;BC985,1,0)</f>
        <v>1</v>
      </c>
      <c r="BH985">
        <f>VLOOKUP($B985,[1]Data_Peer_with_peerVars!$B$2:$Z$1050,20,FALSE)</f>
        <v>1</v>
      </c>
      <c r="BI985">
        <f>VLOOKUP($B985,[1]Data_Peer_with_peerVars!$B$2:$Z$1050,21,FALSE)</f>
        <v>1</v>
      </c>
      <c r="BJ985">
        <f>VLOOKUP($B985,[1]Data_Peer_with_peerVars!$B$2:$Z$1050,22,FALSE)</f>
        <v>1</v>
      </c>
      <c r="BK985">
        <f>VLOOKUP($B985,[1]Data_Peer_with_peerVars!$B$2:$Z$1050,23,FALSE)</f>
        <v>33</v>
      </c>
      <c r="BL985">
        <f>VLOOKUP($B985,[1]Data_Peer_with_peerVars!$B$2:$Z$1050,24,FALSE)</f>
        <v>13</v>
      </c>
      <c r="BM985">
        <f>VLOOKUP($B985,[1]Data_Peer_with_peerVars!$B$2:$Z$1050,25,FALSE)</f>
        <v>0.393939394</v>
      </c>
    </row>
    <row r="986" spans="1:65" x14ac:dyDescent="0.2">
      <c r="A986">
        <v>1</v>
      </c>
      <c r="B986" t="s">
        <v>1508</v>
      </c>
      <c r="C986">
        <v>612</v>
      </c>
      <c r="D986" t="s">
        <v>68</v>
      </c>
      <c r="E986">
        <v>1</v>
      </c>
      <c r="F986">
        <v>747</v>
      </c>
      <c r="G986" t="s">
        <v>69</v>
      </c>
      <c r="H986" s="1">
        <v>7</v>
      </c>
      <c r="I986" t="s">
        <v>87</v>
      </c>
      <c r="J986" t="s">
        <v>111</v>
      </c>
      <c r="K986" t="s">
        <v>109</v>
      </c>
      <c r="L986">
        <v>1</v>
      </c>
      <c r="M986">
        <v>0</v>
      </c>
      <c r="N986">
        <v>1</v>
      </c>
      <c r="O986">
        <v>0</v>
      </c>
      <c r="P986">
        <v>0</v>
      </c>
      <c r="Q986">
        <v>6</v>
      </c>
      <c r="R986">
        <v>1</v>
      </c>
      <c r="S986">
        <v>1</v>
      </c>
      <c r="T986">
        <v>1</v>
      </c>
      <c r="U986">
        <v>1</v>
      </c>
      <c r="V986">
        <f t="shared" si="432"/>
        <v>0</v>
      </c>
      <c r="W986">
        <f t="shared" si="434"/>
        <v>0</v>
      </c>
      <c r="X986">
        <f t="shared" si="435"/>
        <v>0</v>
      </c>
      <c r="Y986">
        <f t="shared" si="436"/>
        <v>0</v>
      </c>
      <c r="Z986" t="s">
        <v>89</v>
      </c>
      <c r="AA986" s="5" t="s">
        <v>89</v>
      </c>
      <c r="AB986" s="5" t="s">
        <v>577</v>
      </c>
      <c r="AC986" t="s">
        <v>196</v>
      </c>
      <c r="AD986" t="s">
        <v>198</v>
      </c>
      <c r="AE986" s="5" t="s">
        <v>506</v>
      </c>
      <c r="AF986" t="s">
        <v>173</v>
      </c>
      <c r="AG986" t="s">
        <v>95</v>
      </c>
      <c r="AH986">
        <f>AI986</f>
        <v>2.2191782E-2</v>
      </c>
      <c r="AI986">
        <f>AJ986</f>
        <v>2.2191782E-2</v>
      </c>
      <c r="AJ986">
        <f t="shared" si="433"/>
        <v>2.2191782E-2</v>
      </c>
      <c r="AK986">
        <v>2.2191782E-2</v>
      </c>
      <c r="AL986">
        <v>3.8482685000000003E-2</v>
      </c>
      <c r="AM986">
        <v>4.1028447000000003E-2</v>
      </c>
      <c r="AN986">
        <v>4.2465754000000001E-2</v>
      </c>
      <c r="AO986">
        <v>97.780821799999998</v>
      </c>
      <c r="AP986">
        <v>96.151731499999997</v>
      </c>
      <c r="AQ986">
        <v>95.897155299999994</v>
      </c>
      <c r="AR986">
        <v>95.753424600000002</v>
      </c>
      <c r="AS986" t="b">
        <v>0</v>
      </c>
      <c r="AT986" t="b">
        <v>0</v>
      </c>
      <c r="AU986" t="s">
        <v>92</v>
      </c>
      <c r="AV986" t="s">
        <v>92</v>
      </c>
      <c r="AW986" t="s">
        <v>783</v>
      </c>
      <c r="AX986" t="s">
        <v>1277</v>
      </c>
      <c r="AY986" t="s">
        <v>1492</v>
      </c>
      <c r="AZ986" t="s">
        <v>72</v>
      </c>
      <c r="BA986" t="s">
        <v>82</v>
      </c>
      <c r="BB986">
        <v>7.0000000000000007E-2</v>
      </c>
      <c r="BC986">
        <v>2.6736494E-2</v>
      </c>
      <c r="BD986">
        <v>2.13125818054995E-3</v>
      </c>
      <c r="BE986">
        <v>2.8867752180549901E-2</v>
      </c>
      <c r="BF986">
        <f>IF(AK986&lt;BE986,1,0)</f>
        <v>1</v>
      </c>
      <c r="BG986">
        <f>IF(AK986&lt;BC986,1,0)</f>
        <v>1</v>
      </c>
      <c r="BH986">
        <f>VLOOKUP($B986,[1]Data_Peer_with_peerVars!$B$2:$Z$1050,20,FALSE)</f>
        <v>1</v>
      </c>
      <c r="BI986">
        <f>VLOOKUP($B986,[1]Data_Peer_with_peerVars!$B$2:$Z$1050,21,FALSE)</f>
        <v>1</v>
      </c>
      <c r="BJ986">
        <f>VLOOKUP($B986,[1]Data_Peer_with_peerVars!$B$2:$Z$1050,22,FALSE)</f>
        <v>1</v>
      </c>
      <c r="BK986">
        <f>VLOOKUP($B986,[1]Data_Peer_with_peerVars!$B$2:$Z$1050,23,FALSE)</f>
        <v>33</v>
      </c>
      <c r="BL986">
        <f>VLOOKUP($B986,[1]Data_Peer_with_peerVars!$B$2:$Z$1050,24,FALSE)</f>
        <v>13</v>
      </c>
      <c r="BM986">
        <f>VLOOKUP($B986,[1]Data_Peer_with_peerVars!$B$2:$Z$1050,25,FALSE)</f>
        <v>0.393939394</v>
      </c>
    </row>
    <row r="987" spans="1:65" x14ac:dyDescent="0.2">
      <c r="A987">
        <v>1</v>
      </c>
      <c r="B987" t="s">
        <v>1509</v>
      </c>
      <c r="C987">
        <v>613</v>
      </c>
      <c r="D987" t="s">
        <v>68</v>
      </c>
      <c r="E987">
        <v>1</v>
      </c>
      <c r="F987">
        <v>748</v>
      </c>
      <c r="G987" t="s">
        <v>69</v>
      </c>
      <c r="H987" s="1">
        <v>7</v>
      </c>
      <c r="I987" t="s">
        <v>87</v>
      </c>
      <c r="J987" t="s">
        <v>111</v>
      </c>
      <c r="K987" t="s">
        <v>109</v>
      </c>
      <c r="L987">
        <v>1</v>
      </c>
      <c r="M987">
        <v>1</v>
      </c>
      <c r="N987">
        <v>0</v>
      </c>
      <c r="O987">
        <v>0</v>
      </c>
      <c r="P987">
        <v>0</v>
      </c>
      <c r="Q987">
        <v>6</v>
      </c>
      <c r="R987">
        <v>0</v>
      </c>
      <c r="S987">
        <v>0</v>
      </c>
      <c r="T987">
        <v>0</v>
      </c>
      <c r="U987">
        <v>0</v>
      </c>
      <c r="V987">
        <f t="shared" si="432"/>
        <v>1</v>
      </c>
      <c r="W987">
        <v>1</v>
      </c>
      <c r="X987">
        <v>1</v>
      </c>
      <c r="Y987">
        <v>1</v>
      </c>
      <c r="Z987" t="s">
        <v>73</v>
      </c>
      <c r="AA987" s="5" t="s">
        <v>73</v>
      </c>
      <c r="AB987" s="5" t="s">
        <v>73</v>
      </c>
      <c r="AC987" t="s">
        <v>73</v>
      </c>
      <c r="AD987" t="s">
        <v>75</v>
      </c>
      <c r="AE987" s="5" t="s">
        <v>75</v>
      </c>
      <c r="AF987" t="s">
        <v>94</v>
      </c>
      <c r="AG987" t="s">
        <v>113</v>
      </c>
      <c r="AH987">
        <f>AI987</f>
        <v>4.691762E-2</v>
      </c>
      <c r="AI987">
        <f>AJ987</f>
        <v>4.691762E-2</v>
      </c>
      <c r="AJ987">
        <f t="shared" si="433"/>
        <v>4.691762E-2</v>
      </c>
      <c r="AK987">
        <v>4.691762E-2</v>
      </c>
      <c r="AL987">
        <v>0.13170865000000001</v>
      </c>
      <c r="AM987">
        <v>0.13961749000000001</v>
      </c>
      <c r="AN987">
        <v>0.14870807999999999</v>
      </c>
      <c r="AO987">
        <v>95.308238000000003</v>
      </c>
      <c r="AP987">
        <v>86.829134999999994</v>
      </c>
      <c r="AQ987">
        <v>86.038251000000002</v>
      </c>
      <c r="AR987">
        <v>85.129192000000003</v>
      </c>
      <c r="AS987" t="b">
        <v>1</v>
      </c>
      <c r="AT987" t="b">
        <v>0</v>
      </c>
      <c r="AU987" t="s">
        <v>77</v>
      </c>
      <c r="AV987" t="s">
        <v>78</v>
      </c>
      <c r="AW987" t="s">
        <v>783</v>
      </c>
      <c r="AX987" t="s">
        <v>1277</v>
      </c>
      <c r="AY987" t="s">
        <v>1419</v>
      </c>
      <c r="AZ987" t="s">
        <v>109</v>
      </c>
      <c r="BA987">
        <v>4</v>
      </c>
      <c r="BB987">
        <v>7.0000000000000007E-2</v>
      </c>
      <c r="BC987">
        <v>4.1163553999999996E-3</v>
      </c>
      <c r="BD987">
        <v>1.4279989108178799E-4</v>
      </c>
      <c r="BE987">
        <v>4.2591552910817903E-3</v>
      </c>
      <c r="BF987">
        <f>IF(AK987&lt;BE987,1,0)</f>
        <v>0</v>
      </c>
      <c r="BG987">
        <f>IF(AK987&lt;BC987,1,0)</f>
        <v>0</v>
      </c>
      <c r="BH987">
        <f>VLOOKUP($B987,[1]Data_Peer_with_peerVars!$B$2:$Z$1050,20,FALSE)</f>
        <v>8</v>
      </c>
      <c r="BI987">
        <f>VLOOKUP($B987,[1]Data_Peer_with_peerVars!$B$2:$Z$1050,21,FALSE)</f>
        <v>5</v>
      </c>
      <c r="BJ987">
        <f>VLOOKUP($B987,[1]Data_Peer_with_peerVars!$B$2:$Z$1050,22,FALSE)</f>
        <v>0.625</v>
      </c>
      <c r="BK987">
        <f>VLOOKUP($B987,[1]Data_Peer_with_peerVars!$B$2:$Z$1050,23,FALSE)</f>
        <v>82</v>
      </c>
      <c r="BL987">
        <f>VLOOKUP($B987,[1]Data_Peer_with_peerVars!$B$2:$Z$1050,24,FALSE)</f>
        <v>37</v>
      </c>
      <c r="BM987">
        <f>VLOOKUP($B987,[1]Data_Peer_with_peerVars!$B$2:$Z$1050,25,FALSE)</f>
        <v>0.45121951199999999</v>
      </c>
    </row>
    <row r="988" spans="1:65" x14ac:dyDescent="0.2">
      <c r="A988">
        <v>1</v>
      </c>
      <c r="B988" t="s">
        <v>1510</v>
      </c>
      <c r="C988">
        <v>613</v>
      </c>
      <c r="D988" t="s">
        <v>68</v>
      </c>
      <c r="E988">
        <v>1</v>
      </c>
      <c r="F988">
        <v>748</v>
      </c>
      <c r="G988" t="s">
        <v>69</v>
      </c>
      <c r="H988" s="1">
        <v>7</v>
      </c>
      <c r="I988" t="s">
        <v>87</v>
      </c>
      <c r="J988" t="s">
        <v>111</v>
      </c>
      <c r="K988" t="s">
        <v>109</v>
      </c>
      <c r="L988">
        <v>1</v>
      </c>
      <c r="M988">
        <v>1</v>
      </c>
      <c r="N988">
        <v>0</v>
      </c>
      <c r="O988">
        <v>0</v>
      </c>
      <c r="P988">
        <v>0</v>
      </c>
      <c r="Q988">
        <v>6</v>
      </c>
      <c r="R988">
        <v>0</v>
      </c>
      <c r="S988">
        <v>0</v>
      </c>
      <c r="T988">
        <v>0</v>
      </c>
      <c r="U988">
        <v>0</v>
      </c>
      <c r="V988">
        <f t="shared" si="432"/>
        <v>0</v>
      </c>
      <c r="W988">
        <f t="shared" si="434"/>
        <v>0</v>
      </c>
      <c r="X988">
        <f t="shared" si="435"/>
        <v>0</v>
      </c>
      <c r="Y988">
        <f t="shared" si="436"/>
        <v>0</v>
      </c>
      <c r="Z988" t="s">
        <v>89</v>
      </c>
      <c r="AA988" s="5" t="s">
        <v>89</v>
      </c>
      <c r="AB988" s="5" t="s">
        <v>577</v>
      </c>
      <c r="AC988" t="s">
        <v>120</v>
      </c>
      <c r="AD988" t="s">
        <v>75</v>
      </c>
      <c r="AE988" s="5" t="s">
        <v>75</v>
      </c>
      <c r="AF988" t="s">
        <v>74</v>
      </c>
      <c r="AG988" t="s">
        <v>167</v>
      </c>
      <c r="AH988">
        <f t="shared" ref="AH988:AH989" si="445">AI988</f>
        <v>2.7610715000000001E-2</v>
      </c>
      <c r="AI988">
        <f t="shared" ref="AI988:AI989" si="446">AJ988</f>
        <v>2.7610715000000001E-2</v>
      </c>
      <c r="AJ988">
        <f t="shared" si="433"/>
        <v>2.7610715000000001E-2</v>
      </c>
      <c r="AK988">
        <v>2.7610715000000001E-2</v>
      </c>
      <c r="AL988">
        <v>8.1325300000000003E-2</v>
      </c>
      <c r="AM988">
        <v>8.8590235000000003E-2</v>
      </c>
      <c r="AN988">
        <v>0.1012068</v>
      </c>
      <c r="AO988">
        <v>97.2389285</v>
      </c>
      <c r="AP988">
        <v>91.867469999999997</v>
      </c>
      <c r="AQ988">
        <v>91.140976499999994</v>
      </c>
      <c r="AR988">
        <v>89.879320000000007</v>
      </c>
      <c r="AS988" t="b">
        <v>0</v>
      </c>
      <c r="AT988" t="b">
        <v>0</v>
      </c>
      <c r="AU988" t="s">
        <v>92</v>
      </c>
      <c r="AV988" t="s">
        <v>92</v>
      </c>
      <c r="AW988" t="s">
        <v>783</v>
      </c>
      <c r="AX988" t="s">
        <v>1277</v>
      </c>
      <c r="AY988" t="s">
        <v>1419</v>
      </c>
      <c r="AZ988" t="s">
        <v>109</v>
      </c>
      <c r="BA988">
        <v>3</v>
      </c>
      <c r="BB988">
        <v>0.28000000000000003</v>
      </c>
      <c r="BC988">
        <v>4.6849314000000003E-2</v>
      </c>
      <c r="BD988">
        <v>4.5250577219970098E-3</v>
      </c>
      <c r="BE988">
        <v>5.1374371721996999E-2</v>
      </c>
      <c r="BF988">
        <f>IF(AK988&lt;BE988,1,0)</f>
        <v>1</v>
      </c>
      <c r="BG988">
        <f>IF(AK988&lt;BC988,1,0)</f>
        <v>1</v>
      </c>
      <c r="BH988">
        <f>VLOOKUP($B988,[1]Data_Peer_with_peerVars!$B$2:$Z$1050,20,FALSE)</f>
        <v>8</v>
      </c>
      <c r="BI988">
        <f>VLOOKUP($B988,[1]Data_Peer_with_peerVars!$B$2:$Z$1050,21,FALSE)</f>
        <v>5</v>
      </c>
      <c r="BJ988">
        <f>VLOOKUP($B988,[1]Data_Peer_with_peerVars!$B$2:$Z$1050,22,FALSE)</f>
        <v>0.625</v>
      </c>
      <c r="BK988">
        <f>VLOOKUP($B988,[1]Data_Peer_with_peerVars!$B$2:$Z$1050,23,FALSE)</f>
        <v>82</v>
      </c>
      <c r="BL988">
        <f>VLOOKUP($B988,[1]Data_Peer_with_peerVars!$B$2:$Z$1050,24,FALSE)</f>
        <v>37</v>
      </c>
      <c r="BM988">
        <f>VLOOKUP($B988,[1]Data_Peer_with_peerVars!$B$2:$Z$1050,25,FALSE)</f>
        <v>0.45121951199999999</v>
      </c>
    </row>
    <row r="989" spans="1:65" x14ac:dyDescent="0.2">
      <c r="A989">
        <v>1</v>
      </c>
      <c r="B989" t="s">
        <v>1511</v>
      </c>
      <c r="C989">
        <v>614</v>
      </c>
      <c r="D989" t="s">
        <v>68</v>
      </c>
      <c r="E989">
        <v>1</v>
      </c>
      <c r="F989">
        <v>824</v>
      </c>
      <c r="G989" t="s">
        <v>69</v>
      </c>
      <c r="H989" s="1">
        <v>7</v>
      </c>
      <c r="I989" t="s">
        <v>87</v>
      </c>
      <c r="J989" t="s">
        <v>111</v>
      </c>
      <c r="K989" t="s">
        <v>109</v>
      </c>
      <c r="L989">
        <v>1</v>
      </c>
      <c r="M989">
        <v>1</v>
      </c>
      <c r="N989">
        <v>1</v>
      </c>
      <c r="O989">
        <v>0</v>
      </c>
      <c r="P989">
        <v>1</v>
      </c>
      <c r="Q989">
        <v>0</v>
      </c>
      <c r="R989">
        <v>0</v>
      </c>
      <c r="S989">
        <v>0</v>
      </c>
      <c r="T989">
        <v>0</v>
      </c>
      <c r="U989">
        <v>0</v>
      </c>
      <c r="V989">
        <f t="shared" si="432"/>
        <v>0</v>
      </c>
      <c r="W989">
        <f t="shared" si="434"/>
        <v>0</v>
      </c>
      <c r="X989">
        <f t="shared" si="435"/>
        <v>0</v>
      </c>
      <c r="Y989">
        <f t="shared" si="436"/>
        <v>0</v>
      </c>
      <c r="Z989" t="s">
        <v>170</v>
      </c>
      <c r="AA989" s="5" t="s">
        <v>170</v>
      </c>
      <c r="AB989" s="5" t="s">
        <v>1512</v>
      </c>
      <c r="AC989" t="s">
        <v>74</v>
      </c>
      <c r="AD989" t="s">
        <v>75</v>
      </c>
      <c r="AE989" s="5" t="s">
        <v>213</v>
      </c>
      <c r="AF989" t="s">
        <v>120</v>
      </c>
      <c r="AG989" t="s">
        <v>167</v>
      </c>
      <c r="AH989">
        <f t="shared" si="445"/>
        <v>7.8716405000000003E-2</v>
      </c>
      <c r="AI989">
        <f t="shared" si="446"/>
        <v>7.8716405000000003E-2</v>
      </c>
      <c r="AJ989">
        <f t="shared" si="433"/>
        <v>7.8716405000000003E-2</v>
      </c>
      <c r="AK989">
        <v>7.8716405000000003E-2</v>
      </c>
      <c r="AL989">
        <v>8.4337345999999994E-2</v>
      </c>
      <c r="AM989">
        <v>8.5292510000000002E-2</v>
      </c>
      <c r="AN989">
        <v>9.7915520000000006E-2</v>
      </c>
      <c r="AO989">
        <v>92.128359500000002</v>
      </c>
      <c r="AP989">
        <v>91.566265400000006</v>
      </c>
      <c r="AQ989">
        <v>91.470748999999998</v>
      </c>
      <c r="AR989">
        <v>90.208448000000004</v>
      </c>
      <c r="AS989" t="b">
        <v>0</v>
      </c>
      <c r="AT989" t="b">
        <v>0</v>
      </c>
      <c r="AU989" t="s">
        <v>92</v>
      </c>
      <c r="AV989" t="s">
        <v>92</v>
      </c>
      <c r="AW989" t="s">
        <v>783</v>
      </c>
      <c r="AX989" t="s">
        <v>1277</v>
      </c>
      <c r="AY989" t="s">
        <v>1445</v>
      </c>
      <c r="AZ989" t="s">
        <v>109</v>
      </c>
      <c r="BA989">
        <v>7</v>
      </c>
      <c r="BB989">
        <v>0.35</v>
      </c>
      <c r="BC989">
        <v>2.4738868000000001E-3</v>
      </c>
      <c r="BD989">
        <v>1.4256942275279999E-4</v>
      </c>
      <c r="BE989">
        <v>2.6164562227527998E-3</v>
      </c>
      <c r="BF989">
        <f>IF(AK989&lt;BE989,1,0)</f>
        <v>0</v>
      </c>
      <c r="BG989">
        <f>IF(AK989&lt;BC989,1,0)</f>
        <v>0</v>
      </c>
      <c r="BH989">
        <f>VLOOKUP($B989,[1]Data_Peer_with_peerVars!$B$2:$Z$1050,20,FALSE)</f>
        <v>14</v>
      </c>
      <c r="BI989">
        <f>VLOOKUP($B989,[1]Data_Peer_with_peerVars!$B$2:$Z$1050,21,FALSE)</f>
        <v>5</v>
      </c>
      <c r="BJ989">
        <f>VLOOKUP($B989,[1]Data_Peer_with_peerVars!$B$2:$Z$1050,22,FALSE)</f>
        <v>0.35714285699999998</v>
      </c>
      <c r="BK989">
        <f>VLOOKUP($B989,[1]Data_Peer_with_peerVars!$B$2:$Z$1050,23,FALSE)</f>
        <v>57</v>
      </c>
      <c r="BL989">
        <f>VLOOKUP($B989,[1]Data_Peer_with_peerVars!$B$2:$Z$1050,24,FALSE)</f>
        <v>25</v>
      </c>
      <c r="BM989">
        <f>VLOOKUP($B989,[1]Data_Peer_with_peerVars!$B$2:$Z$1050,25,FALSE)</f>
        <v>0.43859649099999998</v>
      </c>
    </row>
    <row r="990" spans="1:65" x14ac:dyDescent="0.2">
      <c r="A990">
        <v>1</v>
      </c>
      <c r="B990" t="s">
        <v>1513</v>
      </c>
      <c r="C990">
        <v>615</v>
      </c>
      <c r="D990" t="s">
        <v>68</v>
      </c>
      <c r="E990">
        <v>0</v>
      </c>
      <c r="F990">
        <v>707</v>
      </c>
      <c r="G990" t="s">
        <v>97</v>
      </c>
      <c r="H990" s="1">
        <v>7</v>
      </c>
      <c r="I990" t="s">
        <v>87</v>
      </c>
      <c r="J990" t="s">
        <v>111</v>
      </c>
      <c r="K990" t="s">
        <v>109</v>
      </c>
      <c r="L990">
        <v>1</v>
      </c>
      <c r="M990">
        <v>0</v>
      </c>
      <c r="N990">
        <v>0</v>
      </c>
      <c r="O990">
        <v>0</v>
      </c>
      <c r="P990">
        <v>0</v>
      </c>
      <c r="Q990">
        <v>6</v>
      </c>
      <c r="R990">
        <v>0</v>
      </c>
      <c r="S990">
        <v>0</v>
      </c>
      <c r="T990">
        <v>0</v>
      </c>
      <c r="U990">
        <v>0</v>
      </c>
      <c r="V990">
        <f t="shared" si="432"/>
        <v>1</v>
      </c>
      <c r="W990">
        <v>1</v>
      </c>
      <c r="X990">
        <v>1</v>
      </c>
      <c r="Y990">
        <v>1</v>
      </c>
      <c r="Z990" t="s">
        <v>91</v>
      </c>
      <c r="AA990" s="5" t="s">
        <v>91</v>
      </c>
      <c r="AB990" s="5" t="s">
        <v>91</v>
      </c>
      <c r="AC990" t="s">
        <v>91</v>
      </c>
      <c r="AD990" t="s">
        <v>137</v>
      </c>
      <c r="AE990" s="5" t="s">
        <v>1433</v>
      </c>
      <c r="AF990" t="s">
        <v>287</v>
      </c>
      <c r="AG990" t="s">
        <v>113</v>
      </c>
      <c r="AH990">
        <f>AI990</f>
        <v>8.3698034000000004E-2</v>
      </c>
      <c r="AI990">
        <f>AJ990</f>
        <v>8.3698034000000004E-2</v>
      </c>
      <c r="AJ990">
        <f t="shared" si="433"/>
        <v>8.3698034000000004E-2</v>
      </c>
      <c r="AK990">
        <v>8.3698034000000004E-2</v>
      </c>
      <c r="AL990">
        <v>0.12090611499999999</v>
      </c>
      <c r="AM990">
        <v>0.12206445</v>
      </c>
      <c r="AN990">
        <v>0.13351648999999999</v>
      </c>
      <c r="AO990">
        <v>91.630196600000005</v>
      </c>
      <c r="AP990">
        <v>87.909388500000006</v>
      </c>
      <c r="AQ990">
        <v>87.793554999999998</v>
      </c>
      <c r="AR990">
        <v>86.648351000000005</v>
      </c>
      <c r="AS990" t="b">
        <v>1</v>
      </c>
      <c r="AT990" t="b">
        <v>0</v>
      </c>
      <c r="AU990" t="s">
        <v>77</v>
      </c>
      <c r="AV990" t="s">
        <v>108</v>
      </c>
      <c r="AW990" t="s">
        <v>783</v>
      </c>
      <c r="AX990" t="s">
        <v>1277</v>
      </c>
      <c r="AY990" t="s">
        <v>1492</v>
      </c>
      <c r="AZ990" t="s">
        <v>109</v>
      </c>
      <c r="BA990">
        <v>10</v>
      </c>
      <c r="BB990">
        <v>3.5</v>
      </c>
      <c r="BC990">
        <v>9.0659339999999995E-3</v>
      </c>
      <c r="BD990">
        <v>2.76583658862385E-3</v>
      </c>
      <c r="BE990">
        <v>1.1831770588623799E-2</v>
      </c>
      <c r="BF990">
        <f>IF(AK990&lt;BE990,1,0)</f>
        <v>0</v>
      </c>
      <c r="BG990">
        <f>IF(AK990&lt;BC990,1,0)</f>
        <v>0</v>
      </c>
      <c r="BH990">
        <f>VLOOKUP($B990,[1]Data_Peer_with_peerVars!$B$2:$Z$1050,20,FALSE)</f>
        <v>4</v>
      </c>
      <c r="BI990">
        <f>VLOOKUP($B990,[1]Data_Peer_with_peerVars!$B$2:$Z$1050,21,FALSE)</f>
        <v>3</v>
      </c>
      <c r="BJ990">
        <f>VLOOKUP($B990,[1]Data_Peer_with_peerVars!$B$2:$Z$1050,22,FALSE)</f>
        <v>0.75</v>
      </c>
      <c r="BK990">
        <f>VLOOKUP($B990,[1]Data_Peer_with_peerVars!$B$2:$Z$1050,23,FALSE)</f>
        <v>61</v>
      </c>
      <c r="BL990">
        <f>VLOOKUP($B990,[1]Data_Peer_with_peerVars!$B$2:$Z$1050,24,FALSE)</f>
        <v>30</v>
      </c>
      <c r="BM990">
        <f>VLOOKUP($B990,[1]Data_Peer_with_peerVars!$B$2:$Z$1050,25,FALSE)</f>
        <v>0.49180327899999998</v>
      </c>
    </row>
    <row r="991" spans="1:65" x14ac:dyDescent="0.2">
      <c r="A991">
        <v>1</v>
      </c>
      <c r="B991" t="s">
        <v>1514</v>
      </c>
      <c r="C991">
        <v>616</v>
      </c>
      <c r="D991" t="s">
        <v>68</v>
      </c>
      <c r="E991">
        <v>0</v>
      </c>
      <c r="F991">
        <v>715</v>
      </c>
      <c r="G991" t="s">
        <v>97</v>
      </c>
      <c r="H991" s="1">
        <v>7</v>
      </c>
      <c r="I991" t="s">
        <v>70</v>
      </c>
      <c r="J991" t="s">
        <v>71</v>
      </c>
      <c r="K991" t="s">
        <v>72</v>
      </c>
      <c r="L991">
        <v>2</v>
      </c>
      <c r="M991">
        <v>0</v>
      </c>
      <c r="N991">
        <v>1</v>
      </c>
      <c r="O991">
        <v>0</v>
      </c>
      <c r="P991">
        <v>1</v>
      </c>
      <c r="Q991">
        <v>6</v>
      </c>
      <c r="R991">
        <v>0</v>
      </c>
      <c r="S991">
        <v>0</v>
      </c>
      <c r="T991">
        <v>0</v>
      </c>
      <c r="U991">
        <v>0</v>
      </c>
      <c r="V991">
        <f t="shared" si="432"/>
        <v>0</v>
      </c>
      <c r="W991">
        <f t="shared" si="434"/>
        <v>0</v>
      </c>
      <c r="X991">
        <f t="shared" si="435"/>
        <v>0</v>
      </c>
      <c r="Y991">
        <f t="shared" si="436"/>
        <v>1</v>
      </c>
      <c r="Z991" t="s">
        <v>76</v>
      </c>
      <c r="AA991" s="5" t="s">
        <v>76</v>
      </c>
      <c r="AB991" s="5" t="s">
        <v>76</v>
      </c>
      <c r="AC991" t="s">
        <v>74</v>
      </c>
      <c r="AD991" t="s">
        <v>120</v>
      </c>
      <c r="AE991" s="5" t="s">
        <v>213</v>
      </c>
      <c r="AF991" t="s">
        <v>75</v>
      </c>
      <c r="AG991" t="s">
        <v>76</v>
      </c>
      <c r="AH991">
        <f>AN991</f>
        <v>0.106359646</v>
      </c>
      <c r="AI991">
        <f>AJ991</f>
        <v>4.9752610000000003E-2</v>
      </c>
      <c r="AJ991">
        <f t="shared" si="433"/>
        <v>4.9752610000000003E-2</v>
      </c>
      <c r="AK991">
        <v>4.9752610000000003E-2</v>
      </c>
      <c r="AL991">
        <v>9.2054789999999997E-2</v>
      </c>
      <c r="AM991">
        <v>9.3304059999999994E-2</v>
      </c>
      <c r="AN991">
        <v>0.106359646</v>
      </c>
      <c r="AO991">
        <v>95.024738999999997</v>
      </c>
      <c r="AP991">
        <v>90.794521000000003</v>
      </c>
      <c r="AQ991">
        <v>90.669594000000004</v>
      </c>
      <c r="AR991">
        <v>89.364035400000006</v>
      </c>
      <c r="AS991" t="b">
        <v>0</v>
      </c>
      <c r="AT991" t="b">
        <v>0</v>
      </c>
      <c r="AU991" t="s">
        <v>77</v>
      </c>
      <c r="AV991" t="s">
        <v>108</v>
      </c>
      <c r="AW991" t="s">
        <v>783</v>
      </c>
      <c r="AX991" t="s">
        <v>1277</v>
      </c>
      <c r="AY991" t="s">
        <v>1515</v>
      </c>
      <c r="AZ991" t="s">
        <v>72</v>
      </c>
      <c r="BA991" t="s">
        <v>82</v>
      </c>
      <c r="BB991">
        <v>1.05</v>
      </c>
      <c r="BC991">
        <v>2.4738868000000001E-3</v>
      </c>
      <c r="BD991">
        <v>1.4256942275279999E-4</v>
      </c>
      <c r="BE991">
        <v>2.6164562227527998E-3</v>
      </c>
      <c r="BF991">
        <f>IF(AK991&lt;BE991,1,0)</f>
        <v>0</v>
      </c>
      <c r="BG991">
        <f>IF(AK991&lt;BC991,1,0)</f>
        <v>0</v>
      </c>
      <c r="BH991">
        <f>VLOOKUP($B991,[1]Data_Peer_with_peerVars!$B$2:$Z$1050,20,FALSE)</f>
        <v>3</v>
      </c>
      <c r="BI991">
        <f>VLOOKUP($B991,[1]Data_Peer_with_peerVars!$B$2:$Z$1050,21,FALSE)</f>
        <v>3</v>
      </c>
      <c r="BJ991">
        <f>VLOOKUP($B991,[1]Data_Peer_with_peerVars!$B$2:$Z$1050,22,FALSE)</f>
        <v>1</v>
      </c>
      <c r="BK991">
        <f>VLOOKUP($B991,[1]Data_Peer_with_peerVars!$B$2:$Z$1050,23,FALSE)</f>
        <v>60</v>
      </c>
      <c r="BL991">
        <f>VLOOKUP($B991,[1]Data_Peer_with_peerVars!$B$2:$Z$1050,24,FALSE)</f>
        <v>30</v>
      </c>
      <c r="BM991">
        <f>VLOOKUP($B991,[1]Data_Peer_with_peerVars!$B$2:$Z$1050,25,FALSE)</f>
        <v>0.5</v>
      </c>
    </row>
    <row r="992" spans="1:65" x14ac:dyDescent="0.2">
      <c r="A992">
        <v>1</v>
      </c>
      <c r="B992" t="s">
        <v>1516</v>
      </c>
      <c r="C992">
        <v>616</v>
      </c>
      <c r="D992" t="s">
        <v>68</v>
      </c>
      <c r="E992">
        <v>0</v>
      </c>
      <c r="F992">
        <v>715</v>
      </c>
      <c r="G992" t="s">
        <v>97</v>
      </c>
      <c r="H992" s="1">
        <v>7</v>
      </c>
      <c r="I992" t="s">
        <v>70</v>
      </c>
      <c r="J992" t="s">
        <v>71</v>
      </c>
      <c r="K992" t="s">
        <v>72</v>
      </c>
      <c r="L992">
        <v>2</v>
      </c>
      <c r="M992">
        <v>0</v>
      </c>
      <c r="N992">
        <v>1</v>
      </c>
      <c r="O992">
        <v>0</v>
      </c>
      <c r="P992">
        <v>1</v>
      </c>
      <c r="Q992">
        <v>6</v>
      </c>
      <c r="R992">
        <v>0</v>
      </c>
      <c r="S992">
        <v>0</v>
      </c>
      <c r="T992">
        <v>0</v>
      </c>
      <c r="U992">
        <v>0</v>
      </c>
      <c r="V992">
        <f t="shared" si="432"/>
        <v>1</v>
      </c>
      <c r="W992">
        <v>1</v>
      </c>
      <c r="X992">
        <v>1</v>
      </c>
      <c r="Y992">
        <v>1</v>
      </c>
      <c r="Z992" t="s">
        <v>73</v>
      </c>
      <c r="AA992" s="5" t="s">
        <v>73</v>
      </c>
      <c r="AB992" s="5" t="s">
        <v>73</v>
      </c>
      <c r="AC992" t="s">
        <v>73</v>
      </c>
      <c r="AD992" t="s">
        <v>91</v>
      </c>
      <c r="AE992" s="5" t="s">
        <v>91</v>
      </c>
      <c r="AF992" t="s">
        <v>94</v>
      </c>
      <c r="AG992" t="s">
        <v>75</v>
      </c>
      <c r="AH992">
        <f t="shared" ref="AH992:AH996" si="447">AI992</f>
        <v>8.0513100000000004E-2</v>
      </c>
      <c r="AI992">
        <f>AJ992</f>
        <v>8.0513100000000004E-2</v>
      </c>
      <c r="AJ992">
        <f t="shared" si="433"/>
        <v>8.0513100000000004E-2</v>
      </c>
      <c r="AK992">
        <v>8.0513100000000004E-2</v>
      </c>
      <c r="AL992">
        <v>8.1599123999999995E-2</v>
      </c>
      <c r="AM992">
        <v>0.13497268000000001</v>
      </c>
      <c r="AN992">
        <v>0.14109589</v>
      </c>
      <c r="AO992">
        <v>91.948689999999999</v>
      </c>
      <c r="AP992">
        <v>91.840087600000004</v>
      </c>
      <c r="AQ992">
        <v>86.502731999999995</v>
      </c>
      <c r="AR992">
        <v>85.890411</v>
      </c>
      <c r="AS992" t="b">
        <v>1</v>
      </c>
      <c r="AT992" t="b">
        <v>0</v>
      </c>
      <c r="AU992" t="s">
        <v>77</v>
      </c>
      <c r="AV992" t="s">
        <v>77</v>
      </c>
      <c r="AW992" t="s">
        <v>783</v>
      </c>
      <c r="AX992" t="s">
        <v>1277</v>
      </c>
      <c r="AY992" t="s">
        <v>1492</v>
      </c>
      <c r="AZ992" t="s">
        <v>109</v>
      </c>
      <c r="BA992">
        <v>3</v>
      </c>
      <c r="BB992">
        <v>2.4500000000000002</v>
      </c>
      <c r="BC992">
        <v>4.1163553999999996E-3</v>
      </c>
      <c r="BD992">
        <v>1.4279989108178799E-4</v>
      </c>
      <c r="BE992">
        <v>4.2591552910817903E-3</v>
      </c>
      <c r="BF992">
        <f>IF(AK992&lt;BE992,1,0)</f>
        <v>0</v>
      </c>
      <c r="BG992">
        <f>IF(AK992&lt;BC992,1,0)</f>
        <v>0</v>
      </c>
      <c r="BH992">
        <f>VLOOKUP($B992,[1]Data_Peer_with_peerVars!$B$2:$Z$1050,20,FALSE)</f>
        <v>3</v>
      </c>
      <c r="BI992">
        <f>VLOOKUP($B992,[1]Data_Peer_with_peerVars!$B$2:$Z$1050,21,FALSE)</f>
        <v>3</v>
      </c>
      <c r="BJ992">
        <f>VLOOKUP($B992,[1]Data_Peer_with_peerVars!$B$2:$Z$1050,22,FALSE)</f>
        <v>1</v>
      </c>
      <c r="BK992">
        <f>VLOOKUP($B992,[1]Data_Peer_with_peerVars!$B$2:$Z$1050,23,FALSE)</f>
        <v>60</v>
      </c>
      <c r="BL992">
        <f>VLOOKUP($B992,[1]Data_Peer_with_peerVars!$B$2:$Z$1050,24,FALSE)</f>
        <v>30</v>
      </c>
      <c r="BM992">
        <f>VLOOKUP($B992,[1]Data_Peer_with_peerVars!$B$2:$Z$1050,25,FALSE)</f>
        <v>0.5</v>
      </c>
    </row>
    <row r="993" spans="1:65" x14ac:dyDescent="0.2">
      <c r="A993">
        <v>1</v>
      </c>
      <c r="B993" t="s">
        <v>1517</v>
      </c>
      <c r="C993">
        <v>617</v>
      </c>
      <c r="D993" t="s">
        <v>68</v>
      </c>
      <c r="E993">
        <v>0</v>
      </c>
      <c r="F993">
        <v>727</v>
      </c>
      <c r="G993" t="s">
        <v>97</v>
      </c>
      <c r="H993" s="1">
        <v>7</v>
      </c>
      <c r="I993" t="s">
        <v>87</v>
      </c>
      <c r="J993" t="s">
        <v>111</v>
      </c>
      <c r="K993" t="s">
        <v>109</v>
      </c>
      <c r="L993">
        <v>1</v>
      </c>
      <c r="M993">
        <v>1</v>
      </c>
      <c r="N993">
        <v>0</v>
      </c>
      <c r="O993">
        <v>1</v>
      </c>
      <c r="P993">
        <v>0</v>
      </c>
      <c r="Q993">
        <v>6</v>
      </c>
      <c r="R993">
        <v>0</v>
      </c>
      <c r="S993">
        <v>0</v>
      </c>
      <c r="T993">
        <v>0</v>
      </c>
      <c r="U993">
        <v>0</v>
      </c>
      <c r="V993">
        <f t="shared" si="432"/>
        <v>0</v>
      </c>
      <c r="W993">
        <f t="shared" si="434"/>
        <v>0</v>
      </c>
      <c r="X993">
        <f t="shared" si="435"/>
        <v>1</v>
      </c>
      <c r="Y993">
        <v>1</v>
      </c>
      <c r="Z993" t="s">
        <v>76</v>
      </c>
      <c r="AA993" s="5" t="s">
        <v>76</v>
      </c>
      <c r="AB993" s="5" t="s">
        <v>76</v>
      </c>
      <c r="AC993" t="s">
        <v>74</v>
      </c>
      <c r="AD993" t="s">
        <v>75</v>
      </c>
      <c r="AE993" s="5" t="s">
        <v>584</v>
      </c>
      <c r="AF993" t="s">
        <v>76</v>
      </c>
      <c r="AG993" t="s">
        <v>120</v>
      </c>
      <c r="AH993">
        <f t="shared" si="447"/>
        <v>8.9462130000000001E-2</v>
      </c>
      <c r="AI993">
        <f t="shared" ref="AI993:AI994" si="448">AM993</f>
        <v>8.9462130000000001E-2</v>
      </c>
      <c r="AJ993">
        <f t="shared" si="433"/>
        <v>1.5093304E-2</v>
      </c>
      <c r="AK993">
        <v>1.5093304E-2</v>
      </c>
      <c r="AL993">
        <v>8.8364440000000002E-2</v>
      </c>
      <c r="AM993">
        <v>8.9462130000000001E-2</v>
      </c>
      <c r="AN993">
        <v>9.0410955000000001E-2</v>
      </c>
      <c r="AO993">
        <v>98.490669600000004</v>
      </c>
      <c r="AP993">
        <v>91.163556</v>
      </c>
      <c r="AQ993">
        <v>91.053787</v>
      </c>
      <c r="AR993">
        <v>90.958904500000003</v>
      </c>
      <c r="AS993" t="b">
        <v>0</v>
      </c>
      <c r="AT993" t="b">
        <v>0</v>
      </c>
      <c r="AU993" t="s">
        <v>77</v>
      </c>
      <c r="AV993" t="s">
        <v>108</v>
      </c>
      <c r="AW993" t="s">
        <v>783</v>
      </c>
      <c r="AX993" t="s">
        <v>1277</v>
      </c>
      <c r="AY993" t="s">
        <v>1518</v>
      </c>
      <c r="AZ993" t="s">
        <v>109</v>
      </c>
      <c r="BA993">
        <v>5</v>
      </c>
      <c r="BB993">
        <v>1</v>
      </c>
      <c r="BC993">
        <v>2.4738868000000001E-3</v>
      </c>
      <c r="BD993">
        <v>1.4256942275279999E-4</v>
      </c>
      <c r="BE993">
        <v>2.6164562227527998E-3</v>
      </c>
      <c r="BF993">
        <f>IF(AK993&lt;BE993,1,0)</f>
        <v>0</v>
      </c>
      <c r="BG993">
        <f>IF(AK993&lt;BC993,1,0)</f>
        <v>0</v>
      </c>
      <c r="BH993">
        <f>VLOOKUP($B993,[1]Data_Peer_with_peerVars!$B$2:$Z$1050,20,FALSE)</f>
        <v>0</v>
      </c>
      <c r="BI993">
        <f>VLOOKUP($B993,[1]Data_Peer_with_peerVars!$B$2:$Z$1050,21,FALSE)</f>
        <v>0</v>
      </c>
      <c r="BJ993">
        <v>0</v>
      </c>
      <c r="BK993">
        <f>VLOOKUP($B993,[1]Data_Peer_with_peerVars!$B$2:$Z$1050,23,FALSE)</f>
        <v>60</v>
      </c>
      <c r="BL993">
        <f>VLOOKUP($B993,[1]Data_Peer_with_peerVars!$B$2:$Z$1050,24,FALSE)</f>
        <v>32</v>
      </c>
      <c r="BM993">
        <f>VLOOKUP($B993,[1]Data_Peer_with_peerVars!$B$2:$Z$1050,25,FALSE)</f>
        <v>0.53333333299999997</v>
      </c>
    </row>
    <row r="994" spans="1:65" x14ac:dyDescent="0.2">
      <c r="A994">
        <v>1</v>
      </c>
      <c r="B994" t="s">
        <v>1519</v>
      </c>
      <c r="C994">
        <v>618</v>
      </c>
      <c r="D994" t="s">
        <v>155</v>
      </c>
      <c r="E994">
        <v>0</v>
      </c>
      <c r="F994" s="14" t="s">
        <v>82</v>
      </c>
      <c r="G994" s="14" t="s">
        <v>82</v>
      </c>
      <c r="H994" s="1">
        <v>7</v>
      </c>
      <c r="I994" t="s">
        <v>87</v>
      </c>
      <c r="J994" t="s">
        <v>150</v>
      </c>
      <c r="K994" t="s">
        <v>72</v>
      </c>
      <c r="L994">
        <v>1</v>
      </c>
      <c r="M994">
        <v>1</v>
      </c>
      <c r="N994">
        <v>0</v>
      </c>
      <c r="O994">
        <v>0</v>
      </c>
      <c r="P994">
        <v>0</v>
      </c>
      <c r="Q994">
        <v>6</v>
      </c>
      <c r="R994">
        <v>0</v>
      </c>
      <c r="S994">
        <v>0</v>
      </c>
      <c r="T994">
        <v>0</v>
      </c>
      <c r="U994">
        <v>0</v>
      </c>
      <c r="V994">
        <f t="shared" si="432"/>
        <v>0</v>
      </c>
      <c r="W994">
        <f t="shared" si="434"/>
        <v>0</v>
      </c>
      <c r="X994">
        <f t="shared" si="435"/>
        <v>1</v>
      </c>
      <c r="Y994">
        <v>1</v>
      </c>
      <c r="Z994" t="s">
        <v>287</v>
      </c>
      <c r="AA994" s="5" t="s">
        <v>287</v>
      </c>
      <c r="AB994" s="5" t="s">
        <v>287</v>
      </c>
      <c r="AC994" t="s">
        <v>91</v>
      </c>
      <c r="AD994" t="s">
        <v>75</v>
      </c>
      <c r="AE994" s="5" t="s">
        <v>1393</v>
      </c>
      <c r="AF994" t="s">
        <v>287</v>
      </c>
      <c r="AG994" t="s">
        <v>137</v>
      </c>
      <c r="AH994">
        <f t="shared" si="447"/>
        <v>0.13844893999999999</v>
      </c>
      <c r="AI994">
        <f t="shared" si="448"/>
        <v>0.13844893999999999</v>
      </c>
      <c r="AJ994">
        <f t="shared" si="433"/>
        <v>0.11597374000000001</v>
      </c>
      <c r="AK994">
        <v>0.11597374000000001</v>
      </c>
      <c r="AL994">
        <v>0.11658456</v>
      </c>
      <c r="AM994">
        <v>0.13844893999999999</v>
      </c>
      <c r="AN994">
        <v>0.1398143</v>
      </c>
      <c r="AO994">
        <v>88.402625999999998</v>
      </c>
      <c r="AP994">
        <v>88.341543999999999</v>
      </c>
      <c r="AQ994">
        <v>86.155106000000004</v>
      </c>
      <c r="AR994">
        <v>86.018569999999997</v>
      </c>
      <c r="AS994" t="b">
        <v>0</v>
      </c>
      <c r="AT994" t="b">
        <v>0</v>
      </c>
      <c r="AU994" t="s">
        <v>108</v>
      </c>
      <c r="AV994" t="s">
        <v>108</v>
      </c>
      <c r="AW994" t="s">
        <v>783</v>
      </c>
      <c r="AX994" t="s">
        <v>1277</v>
      </c>
      <c r="AY994" t="s">
        <v>1520</v>
      </c>
      <c r="AZ994" t="s">
        <v>72</v>
      </c>
      <c r="BA994" t="s">
        <v>82</v>
      </c>
      <c r="BB994">
        <v>0.7</v>
      </c>
      <c r="BC994">
        <v>9.0659339999999995E-3</v>
      </c>
      <c r="BD994">
        <v>2.76583658862385E-3</v>
      </c>
      <c r="BE994">
        <v>1.1831770588623799E-2</v>
      </c>
      <c r="BF994">
        <f>IF(AK994&lt;BE994,1,0)</f>
        <v>0</v>
      </c>
      <c r="BG994">
        <f>IF(AK994&lt;BC994,1,0)</f>
        <v>0</v>
      </c>
      <c r="BH994">
        <f>VLOOKUP($B994,[1]Data_Peer_with_peerVars!$B$2:$Z$1050,20,FALSE)</f>
        <v>6</v>
      </c>
      <c r="BI994">
        <f>VLOOKUP($B994,[1]Data_Peer_with_peerVars!$B$2:$Z$1050,21,FALSE)</f>
        <v>4</v>
      </c>
      <c r="BJ994">
        <f>VLOOKUP($B994,[1]Data_Peer_with_peerVars!$B$2:$Z$1050,22,FALSE)</f>
        <v>0.66666666699999999</v>
      </c>
      <c r="BK994">
        <f>VLOOKUP($B994,[1]Data_Peer_with_peerVars!$B$2:$Z$1050,23,FALSE)</f>
        <v>14</v>
      </c>
      <c r="BL994">
        <f>VLOOKUP($B994,[1]Data_Peer_with_peerVars!$B$2:$Z$1050,24,FALSE)</f>
        <v>6</v>
      </c>
      <c r="BM994">
        <f>VLOOKUP($B994,[1]Data_Peer_with_peerVars!$B$2:$Z$1050,25,FALSE)</f>
        <v>0.428571429</v>
      </c>
    </row>
    <row r="995" spans="1:65" x14ac:dyDescent="0.2">
      <c r="A995">
        <v>1</v>
      </c>
      <c r="B995" t="s">
        <v>1521</v>
      </c>
      <c r="C995">
        <v>619</v>
      </c>
      <c r="D995" t="s">
        <v>155</v>
      </c>
      <c r="E995">
        <v>0</v>
      </c>
      <c r="F995" s="14" t="s">
        <v>82</v>
      </c>
      <c r="G995" s="14" t="s">
        <v>82</v>
      </c>
      <c r="H995" s="1">
        <v>5</v>
      </c>
      <c r="I995" t="s">
        <v>87</v>
      </c>
      <c r="J995" t="s">
        <v>111</v>
      </c>
      <c r="K995" t="s">
        <v>109</v>
      </c>
      <c r="L995">
        <v>2</v>
      </c>
      <c r="M995">
        <v>1</v>
      </c>
      <c r="N995">
        <v>0</v>
      </c>
      <c r="O995">
        <v>0</v>
      </c>
      <c r="P995">
        <v>0</v>
      </c>
      <c r="Q995">
        <v>6</v>
      </c>
      <c r="R995">
        <v>0</v>
      </c>
      <c r="S995">
        <v>0</v>
      </c>
      <c r="T995">
        <v>0</v>
      </c>
      <c r="U995">
        <v>0</v>
      </c>
      <c r="V995">
        <f t="shared" si="432"/>
        <v>0</v>
      </c>
      <c r="W995">
        <f t="shared" si="434"/>
        <v>1</v>
      </c>
      <c r="X995">
        <v>1</v>
      </c>
      <c r="Y995">
        <v>1</v>
      </c>
      <c r="Z995" t="s">
        <v>76</v>
      </c>
      <c r="AA995" s="5" t="s">
        <v>76</v>
      </c>
      <c r="AB995" s="5" t="s">
        <v>76</v>
      </c>
      <c r="AC995" t="s">
        <v>74</v>
      </c>
      <c r="AD995" t="s">
        <v>76</v>
      </c>
      <c r="AE995" s="5" t="s">
        <v>76</v>
      </c>
      <c r="AF995" t="s">
        <v>120</v>
      </c>
      <c r="AG995" t="s">
        <v>75</v>
      </c>
      <c r="AH995">
        <f t="shared" si="447"/>
        <v>8.7383939999999993E-2</v>
      </c>
      <c r="AI995">
        <f>AJ995</f>
        <v>8.7383939999999993E-2</v>
      </c>
      <c r="AJ995">
        <f>AL995</f>
        <v>8.7383939999999993E-2</v>
      </c>
      <c r="AK995">
        <v>7.7260270000000006E-2</v>
      </c>
      <c r="AL995">
        <v>8.7383939999999993E-2</v>
      </c>
      <c r="AM995">
        <v>0.11256830399999999</v>
      </c>
      <c r="AN995">
        <v>0.11269147</v>
      </c>
      <c r="AO995">
        <v>92.273972999999998</v>
      </c>
      <c r="AP995">
        <v>91.261606</v>
      </c>
      <c r="AQ995">
        <v>88.743169600000002</v>
      </c>
      <c r="AR995">
        <v>88.730852999999996</v>
      </c>
      <c r="AS995" t="b">
        <v>0</v>
      </c>
      <c r="AT995" t="b">
        <v>1</v>
      </c>
      <c r="AU995" t="s">
        <v>77</v>
      </c>
      <c r="AV995" t="s">
        <v>77</v>
      </c>
      <c r="AW995" t="s">
        <v>783</v>
      </c>
      <c r="AX995" t="s">
        <v>1277</v>
      </c>
      <c r="AY995" t="s">
        <v>604</v>
      </c>
      <c r="AZ995" t="s">
        <v>109</v>
      </c>
      <c r="BA995">
        <v>4</v>
      </c>
      <c r="BB995">
        <v>0.21</v>
      </c>
      <c r="BC995">
        <v>2.4738868000000001E-3</v>
      </c>
      <c r="BD995">
        <v>1.4256942275279999E-4</v>
      </c>
      <c r="BE995">
        <v>2.6164562227527998E-3</v>
      </c>
      <c r="BF995">
        <f>IF(AK995&lt;BE995,1,0)</f>
        <v>0</v>
      </c>
      <c r="BG995">
        <f>IF(AK995&lt;BC995,1,0)</f>
        <v>0</v>
      </c>
      <c r="BH995">
        <f>VLOOKUP($B995,[1]Data_Peer_with_peerVars!$B$2:$Z$1050,20,FALSE)</f>
        <v>4</v>
      </c>
      <c r="BI995">
        <f>VLOOKUP($B995,[1]Data_Peer_with_peerVars!$B$2:$Z$1050,21,FALSE)</f>
        <v>2</v>
      </c>
      <c r="BJ995">
        <f>VLOOKUP($B995,[1]Data_Peer_with_peerVars!$B$2:$Z$1050,22,FALSE)</f>
        <v>0.5</v>
      </c>
      <c r="BK995">
        <f>VLOOKUP($B995,[1]Data_Peer_with_peerVars!$B$2:$Z$1050,23,FALSE)</f>
        <v>9</v>
      </c>
      <c r="BL995">
        <f>VLOOKUP($B995,[1]Data_Peer_with_peerVars!$B$2:$Z$1050,24,FALSE)</f>
        <v>4</v>
      </c>
      <c r="BM995">
        <f>VLOOKUP($B995,[1]Data_Peer_with_peerVars!$B$2:$Z$1050,25,FALSE)</f>
        <v>0.44444444399999999</v>
      </c>
    </row>
    <row r="996" spans="1:65" x14ac:dyDescent="0.2">
      <c r="A996">
        <v>1</v>
      </c>
      <c r="B996" t="s">
        <v>1522</v>
      </c>
      <c r="C996">
        <v>619</v>
      </c>
      <c r="D996" t="s">
        <v>155</v>
      </c>
      <c r="E996">
        <v>0</v>
      </c>
      <c r="F996" s="14" t="s">
        <v>82</v>
      </c>
      <c r="G996" s="14" t="s">
        <v>82</v>
      </c>
      <c r="H996" s="1">
        <v>5</v>
      </c>
      <c r="I996" t="s">
        <v>87</v>
      </c>
      <c r="J996" t="s">
        <v>111</v>
      </c>
      <c r="K996" t="s">
        <v>109</v>
      </c>
      <c r="L996">
        <v>2</v>
      </c>
      <c r="M996">
        <v>1</v>
      </c>
      <c r="N996">
        <v>0</v>
      </c>
      <c r="O996">
        <v>0</v>
      </c>
      <c r="P996">
        <v>0</v>
      </c>
      <c r="Q996">
        <v>6</v>
      </c>
      <c r="R996">
        <v>0</v>
      </c>
      <c r="S996">
        <v>0</v>
      </c>
      <c r="T996">
        <v>1</v>
      </c>
      <c r="U996">
        <v>1</v>
      </c>
      <c r="V996">
        <f t="shared" si="432"/>
        <v>1</v>
      </c>
      <c r="W996">
        <v>1</v>
      </c>
      <c r="X996">
        <v>1</v>
      </c>
      <c r="Y996">
        <v>1</v>
      </c>
      <c r="Z996" t="s">
        <v>73</v>
      </c>
      <c r="AA996" s="5" t="s">
        <v>73</v>
      </c>
      <c r="AB996" s="5" t="s">
        <v>73</v>
      </c>
      <c r="AC996" t="s">
        <v>73</v>
      </c>
      <c r="AD996" t="s">
        <v>94</v>
      </c>
      <c r="AE996" s="5" t="s">
        <v>106</v>
      </c>
      <c r="AF996" t="s">
        <v>107</v>
      </c>
      <c r="AG996" t="s">
        <v>95</v>
      </c>
      <c r="AH996">
        <f t="shared" si="447"/>
        <v>3.8167940000000001E-3</v>
      </c>
      <c r="AI996">
        <f>AJ996</f>
        <v>3.8167940000000001E-3</v>
      </c>
      <c r="AJ996">
        <f t="shared" si="433"/>
        <v>3.8167940000000001E-3</v>
      </c>
      <c r="AK996">
        <v>3.8167940000000001E-3</v>
      </c>
      <c r="AL996">
        <v>0.13169399000000001</v>
      </c>
      <c r="AM996">
        <v>0.13623904000000001</v>
      </c>
      <c r="AN996">
        <v>0.13875206000000001</v>
      </c>
      <c r="AO996">
        <v>99.618320600000004</v>
      </c>
      <c r="AP996">
        <v>86.830601000000001</v>
      </c>
      <c r="AQ996">
        <v>86.376096000000004</v>
      </c>
      <c r="AR996">
        <v>86.124793999999994</v>
      </c>
      <c r="AS996" t="b">
        <v>1</v>
      </c>
      <c r="AT996" t="b">
        <v>0</v>
      </c>
      <c r="AU996" t="s">
        <v>77</v>
      </c>
      <c r="AV996" t="s">
        <v>108</v>
      </c>
      <c r="AW996" t="s">
        <v>783</v>
      </c>
      <c r="AX996" t="s">
        <v>1277</v>
      </c>
      <c r="AY996" t="s">
        <v>604</v>
      </c>
      <c r="AZ996" t="s">
        <v>72</v>
      </c>
      <c r="BA996" t="s">
        <v>82</v>
      </c>
      <c r="BB996">
        <v>0.28000000000000003</v>
      </c>
      <c r="BC996">
        <v>4.1163553999999996E-3</v>
      </c>
      <c r="BD996">
        <v>1.4279989108178799E-4</v>
      </c>
      <c r="BE996">
        <v>4.2591552910817903E-3</v>
      </c>
      <c r="BF996">
        <f>IF(AK996&lt;BE996,1,0)</f>
        <v>1</v>
      </c>
      <c r="BG996">
        <f>IF(AK996&lt;BC996,1,0)</f>
        <v>1</v>
      </c>
      <c r="BH996">
        <f>VLOOKUP($B996,[1]Data_Peer_with_peerVars!$B$2:$Z$1050,20,FALSE)</f>
        <v>4</v>
      </c>
      <c r="BI996">
        <f>VLOOKUP($B996,[1]Data_Peer_with_peerVars!$B$2:$Z$1050,21,FALSE)</f>
        <v>2</v>
      </c>
      <c r="BJ996">
        <f>VLOOKUP($B996,[1]Data_Peer_with_peerVars!$B$2:$Z$1050,22,FALSE)</f>
        <v>0.5</v>
      </c>
      <c r="BK996">
        <f>VLOOKUP($B996,[1]Data_Peer_with_peerVars!$B$2:$Z$1050,23,FALSE)</f>
        <v>9</v>
      </c>
      <c r="BL996">
        <f>VLOOKUP($B996,[1]Data_Peer_with_peerVars!$B$2:$Z$1050,24,FALSE)</f>
        <v>4</v>
      </c>
      <c r="BM996">
        <f>VLOOKUP($B996,[1]Data_Peer_with_peerVars!$B$2:$Z$1050,25,FALSE)</f>
        <v>0.44444444399999999</v>
      </c>
    </row>
    <row r="997" spans="1:65" x14ac:dyDescent="0.2">
      <c r="A997">
        <v>1</v>
      </c>
      <c r="B997" t="s">
        <v>1523</v>
      </c>
      <c r="C997">
        <v>619</v>
      </c>
      <c r="D997" t="s">
        <v>155</v>
      </c>
      <c r="E997">
        <v>0</v>
      </c>
      <c r="F997" s="14" t="s">
        <v>82</v>
      </c>
      <c r="G997" s="14" t="s">
        <v>82</v>
      </c>
      <c r="H997" s="1">
        <v>5</v>
      </c>
      <c r="I997" t="s">
        <v>87</v>
      </c>
      <c r="J997" t="s">
        <v>111</v>
      </c>
      <c r="K997" t="s">
        <v>109</v>
      </c>
      <c r="L997">
        <v>2</v>
      </c>
      <c r="M997">
        <v>1</v>
      </c>
      <c r="N997">
        <v>0</v>
      </c>
      <c r="O997">
        <v>0</v>
      </c>
      <c r="P997">
        <v>0</v>
      </c>
      <c r="Q997">
        <v>6</v>
      </c>
      <c r="R997">
        <v>0</v>
      </c>
      <c r="S997">
        <v>0</v>
      </c>
      <c r="T997">
        <v>0</v>
      </c>
      <c r="U997">
        <v>0</v>
      </c>
      <c r="V997">
        <f t="shared" si="432"/>
        <v>0</v>
      </c>
      <c r="W997">
        <f t="shared" si="434"/>
        <v>0</v>
      </c>
      <c r="X997">
        <f t="shared" si="435"/>
        <v>0</v>
      </c>
      <c r="Y997">
        <f t="shared" si="436"/>
        <v>0</v>
      </c>
      <c r="Z997" t="s">
        <v>89</v>
      </c>
      <c r="AA997" s="5" t="s">
        <v>89</v>
      </c>
      <c r="AB997" s="5" t="s">
        <v>577</v>
      </c>
      <c r="AC997" t="s">
        <v>137</v>
      </c>
      <c r="AD997" t="s">
        <v>103</v>
      </c>
      <c r="AE997" s="5" t="s">
        <v>1524</v>
      </c>
      <c r="AF997" t="s">
        <v>287</v>
      </c>
      <c r="AG997" t="s">
        <v>113</v>
      </c>
      <c r="AH997">
        <f>AI997</f>
        <v>0.11714910000000001</v>
      </c>
      <c r="AI997">
        <f t="shared" ref="AI997:AI1000" si="449">AJ997</f>
        <v>0.11714910000000001</v>
      </c>
      <c r="AJ997">
        <f t="shared" si="433"/>
        <v>0.11714910000000001</v>
      </c>
      <c r="AK997">
        <v>0.11714910000000001</v>
      </c>
      <c r="AL997">
        <v>0.14179516</v>
      </c>
      <c r="AM997">
        <v>0.14262295</v>
      </c>
      <c r="AN997">
        <v>0.14293568000000001</v>
      </c>
      <c r="AO997">
        <v>88.285089999999997</v>
      </c>
      <c r="AP997">
        <v>85.820483999999993</v>
      </c>
      <c r="AQ997">
        <v>85.737705000000005</v>
      </c>
      <c r="AR997">
        <v>85.706432000000007</v>
      </c>
      <c r="AS997" t="b">
        <v>0</v>
      </c>
      <c r="AT997" t="b">
        <v>0</v>
      </c>
      <c r="AU997" t="s">
        <v>92</v>
      </c>
      <c r="AV997" t="s">
        <v>92</v>
      </c>
      <c r="AW997" t="s">
        <v>783</v>
      </c>
      <c r="AX997" t="s">
        <v>1277</v>
      </c>
      <c r="AY997" t="s">
        <v>604</v>
      </c>
      <c r="AZ997" t="s">
        <v>72</v>
      </c>
      <c r="BA997" t="s">
        <v>82</v>
      </c>
      <c r="BB997">
        <v>0.28000000000000003</v>
      </c>
      <c r="BC997">
        <v>5.4824560000000001E-2</v>
      </c>
      <c r="BD997">
        <v>2.68252196314279E-2</v>
      </c>
      <c r="BE997">
        <v>8.1649779631427902E-2</v>
      </c>
      <c r="BF997">
        <f>IF(AK997&lt;BE997,1,0)</f>
        <v>0</v>
      </c>
      <c r="BG997">
        <f>IF(AK997&lt;BC997,1,0)</f>
        <v>0</v>
      </c>
      <c r="BH997">
        <f>VLOOKUP($B997,[1]Data_Peer_with_peerVars!$B$2:$Z$1050,20,FALSE)</f>
        <v>4</v>
      </c>
      <c r="BI997">
        <f>VLOOKUP($B997,[1]Data_Peer_with_peerVars!$B$2:$Z$1050,21,FALSE)</f>
        <v>2</v>
      </c>
      <c r="BJ997">
        <f>VLOOKUP($B997,[1]Data_Peer_with_peerVars!$B$2:$Z$1050,22,FALSE)</f>
        <v>0.5</v>
      </c>
      <c r="BK997">
        <f>VLOOKUP($B997,[1]Data_Peer_with_peerVars!$B$2:$Z$1050,23,FALSE)</f>
        <v>9</v>
      </c>
      <c r="BL997">
        <f>VLOOKUP($B997,[1]Data_Peer_with_peerVars!$B$2:$Z$1050,24,FALSE)</f>
        <v>4</v>
      </c>
      <c r="BM997">
        <f>VLOOKUP($B997,[1]Data_Peer_with_peerVars!$B$2:$Z$1050,25,FALSE)</f>
        <v>0.44444444399999999</v>
      </c>
    </row>
    <row r="998" spans="1:65" x14ac:dyDescent="0.2">
      <c r="A998">
        <v>1</v>
      </c>
      <c r="B998" t="s">
        <v>1525</v>
      </c>
      <c r="C998">
        <v>620</v>
      </c>
      <c r="D998" t="s">
        <v>155</v>
      </c>
      <c r="E998">
        <v>0</v>
      </c>
      <c r="F998" s="14" t="s">
        <v>82</v>
      </c>
      <c r="G998" s="14" t="s">
        <v>82</v>
      </c>
      <c r="H998" s="1">
        <v>7</v>
      </c>
      <c r="I998" t="s">
        <v>87</v>
      </c>
      <c r="J998" t="s">
        <v>111</v>
      </c>
      <c r="K998" t="s">
        <v>109</v>
      </c>
      <c r="L998">
        <v>1</v>
      </c>
      <c r="M998">
        <v>1</v>
      </c>
      <c r="N998">
        <v>0</v>
      </c>
      <c r="O998">
        <v>0</v>
      </c>
      <c r="P998">
        <v>0</v>
      </c>
      <c r="Q998">
        <v>6</v>
      </c>
      <c r="R998">
        <v>0</v>
      </c>
      <c r="S998">
        <v>0</v>
      </c>
      <c r="T998">
        <v>0</v>
      </c>
      <c r="U998">
        <v>0</v>
      </c>
      <c r="V998">
        <f t="shared" si="432"/>
        <v>0</v>
      </c>
      <c r="W998">
        <f t="shared" si="434"/>
        <v>1</v>
      </c>
      <c r="X998">
        <v>1</v>
      </c>
      <c r="Y998">
        <v>1</v>
      </c>
      <c r="Z998" t="s">
        <v>76</v>
      </c>
      <c r="AA998" s="5" t="s">
        <v>76</v>
      </c>
      <c r="AB998" s="5" t="s">
        <v>76</v>
      </c>
      <c r="AC998" t="s">
        <v>74</v>
      </c>
      <c r="AD998" t="s">
        <v>76</v>
      </c>
      <c r="AE998" s="5" t="s">
        <v>76</v>
      </c>
      <c r="AF998" t="s">
        <v>84</v>
      </c>
      <c r="AG998" t="s">
        <v>120</v>
      </c>
      <c r="AH998">
        <f t="shared" ref="AH998:AH1004" si="450">AI998</f>
        <v>0.10573771</v>
      </c>
      <c r="AI998">
        <f t="shared" si="449"/>
        <v>0.10573771</v>
      </c>
      <c r="AJ998">
        <f>AL998</f>
        <v>0.10573771</v>
      </c>
      <c r="AK998">
        <v>0.10389254000000001</v>
      </c>
      <c r="AL998">
        <v>0.10573771</v>
      </c>
      <c r="AM998">
        <v>0.11037891</v>
      </c>
      <c r="AN998">
        <v>0.12923497</v>
      </c>
      <c r="AO998">
        <v>89.610746000000006</v>
      </c>
      <c r="AP998">
        <v>89.426229000000006</v>
      </c>
      <c r="AQ998">
        <v>88.962108999999998</v>
      </c>
      <c r="AR998">
        <v>87.076503000000002</v>
      </c>
      <c r="AS998" t="b">
        <v>0</v>
      </c>
      <c r="AT998" t="b">
        <v>1</v>
      </c>
      <c r="AU998" t="s">
        <v>78</v>
      </c>
      <c r="AV998" t="s">
        <v>78</v>
      </c>
      <c r="AW998" t="s">
        <v>783</v>
      </c>
      <c r="AX998" t="s">
        <v>1277</v>
      </c>
      <c r="AY998" t="s">
        <v>1281</v>
      </c>
      <c r="AZ998" t="s">
        <v>109</v>
      </c>
      <c r="BA998">
        <v>3</v>
      </c>
      <c r="BB998">
        <v>0.35</v>
      </c>
      <c r="BC998">
        <v>2.4738868000000001E-3</v>
      </c>
      <c r="BD998">
        <v>1.4256942275279999E-4</v>
      </c>
      <c r="BE998">
        <v>2.6164562227527998E-3</v>
      </c>
      <c r="BF998">
        <f>IF(AK998&lt;BE998,1,0)</f>
        <v>0</v>
      </c>
      <c r="BG998">
        <f>IF(AK998&lt;BC998,1,0)</f>
        <v>0</v>
      </c>
      <c r="BH998">
        <f>VLOOKUP($B998,[1]Data_Peer_with_peerVars!$B$2:$Z$1050,20,FALSE)</f>
        <v>0</v>
      </c>
      <c r="BI998">
        <f>VLOOKUP($B998,[1]Data_Peer_with_peerVars!$B$2:$Z$1050,21,FALSE)</f>
        <v>0</v>
      </c>
      <c r="BJ998">
        <v>0</v>
      </c>
      <c r="BK998">
        <f>VLOOKUP($B998,[1]Data_Peer_with_peerVars!$B$2:$Z$1050,23,FALSE)</f>
        <v>9</v>
      </c>
      <c r="BL998">
        <f>VLOOKUP($B998,[1]Data_Peer_with_peerVars!$B$2:$Z$1050,24,FALSE)</f>
        <v>2</v>
      </c>
      <c r="BM998">
        <f>VLOOKUP($B998,[1]Data_Peer_with_peerVars!$B$2:$Z$1050,25,FALSE)</f>
        <v>0.222222222</v>
      </c>
    </row>
    <row r="999" spans="1:65" x14ac:dyDescent="0.2">
      <c r="A999">
        <v>1</v>
      </c>
      <c r="B999" t="s">
        <v>1526</v>
      </c>
      <c r="C999">
        <v>620</v>
      </c>
      <c r="D999" t="s">
        <v>155</v>
      </c>
      <c r="E999">
        <v>0</v>
      </c>
      <c r="F999" s="14" t="s">
        <v>82</v>
      </c>
      <c r="G999" s="14" t="s">
        <v>82</v>
      </c>
      <c r="H999" s="1">
        <v>7</v>
      </c>
      <c r="I999" t="s">
        <v>87</v>
      </c>
      <c r="J999" t="s">
        <v>111</v>
      </c>
      <c r="K999" t="s">
        <v>109</v>
      </c>
      <c r="L999">
        <v>1</v>
      </c>
      <c r="M999">
        <v>1</v>
      </c>
      <c r="N999">
        <v>0</v>
      </c>
      <c r="O999">
        <v>0</v>
      </c>
      <c r="P999">
        <v>0</v>
      </c>
      <c r="Q999">
        <v>6</v>
      </c>
      <c r="R999">
        <v>0</v>
      </c>
      <c r="S999">
        <v>0</v>
      </c>
      <c r="T999">
        <v>0</v>
      </c>
      <c r="U999">
        <v>0</v>
      </c>
      <c r="V999">
        <f t="shared" si="432"/>
        <v>1</v>
      </c>
      <c r="W999">
        <v>1</v>
      </c>
      <c r="X999">
        <v>1</v>
      </c>
      <c r="Y999">
        <v>1</v>
      </c>
      <c r="Z999" t="s">
        <v>287</v>
      </c>
      <c r="AA999" s="5" t="s">
        <v>287</v>
      </c>
      <c r="AB999" s="5" t="s">
        <v>287</v>
      </c>
      <c r="AC999" t="s">
        <v>287</v>
      </c>
      <c r="AD999" t="s">
        <v>137</v>
      </c>
      <c r="AE999" s="5" t="s">
        <v>137</v>
      </c>
      <c r="AF999" t="s">
        <v>113</v>
      </c>
      <c r="AG999" t="s">
        <v>91</v>
      </c>
      <c r="AH999">
        <f t="shared" si="450"/>
        <v>7.5177690000000005E-2</v>
      </c>
      <c r="AI999">
        <f t="shared" si="449"/>
        <v>7.5177690000000005E-2</v>
      </c>
      <c r="AJ999">
        <f t="shared" si="433"/>
        <v>7.5177690000000005E-2</v>
      </c>
      <c r="AK999">
        <v>7.5177690000000005E-2</v>
      </c>
      <c r="AL999">
        <v>0.10524877000000001</v>
      </c>
      <c r="AM999">
        <v>0.122112215</v>
      </c>
      <c r="AN999">
        <v>0.131161</v>
      </c>
      <c r="AO999">
        <v>92.482230999999999</v>
      </c>
      <c r="AP999">
        <v>89.475122999999996</v>
      </c>
      <c r="AQ999">
        <v>87.788778500000006</v>
      </c>
      <c r="AR999">
        <v>86.883899999999997</v>
      </c>
      <c r="AS999" t="b">
        <v>1</v>
      </c>
      <c r="AT999" t="b">
        <v>0</v>
      </c>
      <c r="AU999" t="s">
        <v>77</v>
      </c>
      <c r="AV999" t="s">
        <v>78</v>
      </c>
      <c r="AW999" t="s">
        <v>783</v>
      </c>
      <c r="AX999" t="s">
        <v>1277</v>
      </c>
      <c r="AY999" t="s">
        <v>1281</v>
      </c>
      <c r="AZ999" t="s">
        <v>109</v>
      </c>
      <c r="BA999">
        <v>2</v>
      </c>
      <c r="BB999">
        <v>0.35</v>
      </c>
      <c r="BC999">
        <v>5.5106750000000003E-2</v>
      </c>
      <c r="BD999">
        <v>2.4361461616194298E-3</v>
      </c>
      <c r="BE999">
        <v>5.7542896161619402E-2</v>
      </c>
      <c r="BF999">
        <f>IF(AK999&lt;BE999,1,0)</f>
        <v>0</v>
      </c>
      <c r="BG999">
        <f>IF(AK999&lt;BC999,1,0)</f>
        <v>0</v>
      </c>
      <c r="BH999">
        <f>VLOOKUP($B999,[1]Data_Peer_with_peerVars!$B$2:$Z$1050,20,FALSE)</f>
        <v>0</v>
      </c>
      <c r="BI999">
        <f>VLOOKUP($B999,[1]Data_Peer_with_peerVars!$B$2:$Z$1050,21,FALSE)</f>
        <v>0</v>
      </c>
      <c r="BJ999">
        <v>0</v>
      </c>
      <c r="BK999">
        <f>VLOOKUP($B999,[1]Data_Peer_with_peerVars!$B$2:$Z$1050,23,FALSE)</f>
        <v>9</v>
      </c>
      <c r="BL999">
        <f>VLOOKUP($B999,[1]Data_Peer_with_peerVars!$B$2:$Z$1050,24,FALSE)</f>
        <v>2</v>
      </c>
      <c r="BM999">
        <f>VLOOKUP($B999,[1]Data_Peer_with_peerVars!$B$2:$Z$1050,25,FALSE)</f>
        <v>0.222222222</v>
      </c>
    </row>
    <row r="1000" spans="1:65" x14ac:dyDescent="0.2">
      <c r="A1000">
        <v>1</v>
      </c>
      <c r="B1000" t="s">
        <v>1527</v>
      </c>
      <c r="C1000">
        <v>621</v>
      </c>
      <c r="D1000" t="s">
        <v>155</v>
      </c>
      <c r="E1000">
        <v>0</v>
      </c>
      <c r="F1000" s="14" t="s">
        <v>82</v>
      </c>
      <c r="G1000" s="14" t="s">
        <v>82</v>
      </c>
      <c r="H1000" s="1">
        <v>7</v>
      </c>
      <c r="I1000" t="s">
        <v>87</v>
      </c>
      <c r="J1000" t="s">
        <v>111</v>
      </c>
      <c r="K1000" t="s">
        <v>109</v>
      </c>
      <c r="L1000">
        <v>2</v>
      </c>
      <c r="M1000">
        <v>0</v>
      </c>
      <c r="N1000">
        <v>0</v>
      </c>
      <c r="O1000">
        <v>0</v>
      </c>
      <c r="P1000">
        <v>0</v>
      </c>
      <c r="Q1000">
        <v>6</v>
      </c>
      <c r="R1000">
        <v>0</v>
      </c>
      <c r="S1000">
        <v>0</v>
      </c>
      <c r="T1000">
        <v>0</v>
      </c>
      <c r="U1000">
        <v>0</v>
      </c>
      <c r="V1000">
        <f t="shared" si="432"/>
        <v>1</v>
      </c>
      <c r="W1000">
        <v>1</v>
      </c>
      <c r="X1000">
        <v>1</v>
      </c>
      <c r="Y1000">
        <v>1</v>
      </c>
      <c r="Z1000" t="s">
        <v>91</v>
      </c>
      <c r="AA1000" s="5" t="s">
        <v>91</v>
      </c>
      <c r="AB1000" s="5" t="s">
        <v>1395</v>
      </c>
      <c r="AC1000" t="s">
        <v>91</v>
      </c>
      <c r="AD1000" t="s">
        <v>137</v>
      </c>
      <c r="AE1000" s="5" t="s">
        <v>497</v>
      </c>
      <c r="AF1000" t="s">
        <v>287</v>
      </c>
      <c r="AG1000" t="s">
        <v>103</v>
      </c>
      <c r="AH1000">
        <f t="shared" si="450"/>
        <v>6.2431543999999999E-2</v>
      </c>
      <c r="AI1000">
        <f t="shared" si="449"/>
        <v>6.2431543999999999E-2</v>
      </c>
      <c r="AJ1000">
        <f t="shared" si="433"/>
        <v>6.2431543999999999E-2</v>
      </c>
      <c r="AK1000">
        <v>6.2431543999999999E-2</v>
      </c>
      <c r="AL1000">
        <v>0.104371585</v>
      </c>
      <c r="AM1000">
        <v>0.12465829</v>
      </c>
      <c r="AN1000">
        <v>0.12534434999999999</v>
      </c>
      <c r="AO1000">
        <v>93.756845600000005</v>
      </c>
      <c r="AP1000">
        <v>89.562841500000005</v>
      </c>
      <c r="AQ1000">
        <v>87.534171000000001</v>
      </c>
      <c r="AR1000">
        <v>87.465564999999998</v>
      </c>
      <c r="AS1000" t="b">
        <v>1</v>
      </c>
      <c r="AT1000" t="b">
        <v>0</v>
      </c>
      <c r="AU1000" t="s">
        <v>77</v>
      </c>
      <c r="AV1000" t="s">
        <v>108</v>
      </c>
      <c r="AW1000" t="s">
        <v>783</v>
      </c>
      <c r="AX1000" t="s">
        <v>1277</v>
      </c>
      <c r="AY1000" t="s">
        <v>1492</v>
      </c>
      <c r="AZ1000" t="s">
        <v>109</v>
      </c>
      <c r="BA1000">
        <v>3</v>
      </c>
      <c r="BB1000">
        <v>0.56000000000000005</v>
      </c>
      <c r="BC1000">
        <v>9.0659339999999995E-3</v>
      </c>
      <c r="BD1000">
        <v>2.76583658862385E-3</v>
      </c>
      <c r="BE1000">
        <v>1.1831770588623799E-2</v>
      </c>
      <c r="BF1000">
        <f>IF(AK1000&lt;BE1000,1,0)</f>
        <v>0</v>
      </c>
      <c r="BG1000">
        <f>IF(AK1000&lt;BC1000,1,0)</f>
        <v>0</v>
      </c>
      <c r="BH1000">
        <f>VLOOKUP($B1000,[1]Data_Peer_with_peerVars!$B$2:$Z$1050,20,FALSE)</f>
        <v>3</v>
      </c>
      <c r="BI1000">
        <f>VLOOKUP($B1000,[1]Data_Peer_with_peerVars!$B$2:$Z$1050,21,FALSE)</f>
        <v>2</v>
      </c>
      <c r="BJ1000">
        <f>VLOOKUP($B1000,[1]Data_Peer_with_peerVars!$B$2:$Z$1050,22,FALSE)</f>
        <v>0.66666666699999999</v>
      </c>
      <c r="BK1000">
        <f>VLOOKUP($B1000,[1]Data_Peer_with_peerVars!$B$2:$Z$1050,23,FALSE)</f>
        <v>60</v>
      </c>
      <c r="BL1000">
        <f>VLOOKUP($B1000,[1]Data_Peer_with_peerVars!$B$2:$Z$1050,24,FALSE)</f>
        <v>29</v>
      </c>
      <c r="BM1000">
        <f>VLOOKUP($B1000,[1]Data_Peer_with_peerVars!$B$2:$Z$1050,25,FALSE)</f>
        <v>0.48333333299999998</v>
      </c>
    </row>
    <row r="1001" spans="1:65" x14ac:dyDescent="0.2">
      <c r="A1001">
        <v>1</v>
      </c>
      <c r="B1001" t="s">
        <v>1528</v>
      </c>
      <c r="C1001">
        <v>621</v>
      </c>
      <c r="D1001" t="s">
        <v>155</v>
      </c>
      <c r="E1001">
        <v>0</v>
      </c>
      <c r="F1001" s="14" t="s">
        <v>82</v>
      </c>
      <c r="G1001" s="14" t="s">
        <v>82</v>
      </c>
      <c r="H1001" s="1">
        <v>7</v>
      </c>
      <c r="I1001" t="s">
        <v>87</v>
      </c>
      <c r="J1001" t="s">
        <v>111</v>
      </c>
      <c r="K1001" t="s">
        <v>109</v>
      </c>
      <c r="L1001">
        <v>2</v>
      </c>
      <c r="M1001">
        <v>0</v>
      </c>
      <c r="N1001">
        <v>0</v>
      </c>
      <c r="O1001">
        <v>0</v>
      </c>
      <c r="P1001">
        <v>0</v>
      </c>
      <c r="Q1001">
        <v>6</v>
      </c>
      <c r="R1001">
        <v>0</v>
      </c>
      <c r="S1001">
        <v>0</v>
      </c>
      <c r="T1001">
        <v>0</v>
      </c>
      <c r="U1001">
        <v>0</v>
      </c>
      <c r="V1001">
        <f t="shared" si="432"/>
        <v>0</v>
      </c>
      <c r="W1001">
        <f t="shared" si="434"/>
        <v>1</v>
      </c>
      <c r="X1001">
        <v>1</v>
      </c>
      <c r="Y1001">
        <v>1</v>
      </c>
      <c r="Z1001" t="s">
        <v>76</v>
      </c>
      <c r="AA1001" s="5" t="s">
        <v>76</v>
      </c>
      <c r="AB1001" s="5" t="s">
        <v>76</v>
      </c>
      <c r="AC1001" t="s">
        <v>74</v>
      </c>
      <c r="AD1001" t="s">
        <v>76</v>
      </c>
      <c r="AE1001" s="5" t="s">
        <v>76</v>
      </c>
      <c r="AF1001" t="s">
        <v>120</v>
      </c>
      <c r="AG1001" t="s">
        <v>75</v>
      </c>
      <c r="AH1001">
        <f t="shared" si="450"/>
        <v>8.3560899999999994E-2</v>
      </c>
      <c r="AI1001">
        <f>AJ1001</f>
        <v>8.3560899999999994E-2</v>
      </c>
      <c r="AJ1001">
        <f>AL1001</f>
        <v>8.3560899999999994E-2</v>
      </c>
      <c r="AK1001">
        <v>8.2739726E-2</v>
      </c>
      <c r="AL1001">
        <v>8.3560899999999994E-2</v>
      </c>
      <c r="AM1001">
        <v>0.11796832</v>
      </c>
      <c r="AN1001">
        <v>0.11925602</v>
      </c>
      <c r="AO1001">
        <v>91.726027400000007</v>
      </c>
      <c r="AP1001">
        <v>91.643910000000005</v>
      </c>
      <c r="AQ1001">
        <v>88.203168000000005</v>
      </c>
      <c r="AR1001">
        <v>88.074398000000002</v>
      </c>
      <c r="AS1001" t="b">
        <v>0</v>
      </c>
      <c r="AT1001" t="b">
        <v>1</v>
      </c>
      <c r="AU1001" t="s">
        <v>77</v>
      </c>
      <c r="AV1001" t="s">
        <v>77</v>
      </c>
      <c r="AW1001" t="s">
        <v>783</v>
      </c>
      <c r="AX1001" t="s">
        <v>1277</v>
      </c>
      <c r="AY1001" t="s">
        <v>1492</v>
      </c>
      <c r="AZ1001" t="s">
        <v>109</v>
      </c>
      <c r="BA1001">
        <v>3</v>
      </c>
      <c r="BB1001">
        <v>0.7</v>
      </c>
      <c r="BC1001">
        <v>2.4738868000000001E-3</v>
      </c>
      <c r="BD1001">
        <v>1.4256942275279999E-4</v>
      </c>
      <c r="BE1001">
        <v>2.6164562227527998E-3</v>
      </c>
      <c r="BF1001">
        <f>IF(AK1001&lt;BE1001,1,0)</f>
        <v>0</v>
      </c>
      <c r="BG1001">
        <f>IF(AK1001&lt;BC1001,1,0)</f>
        <v>0</v>
      </c>
      <c r="BH1001">
        <f>VLOOKUP($B1001,[1]Data_Peer_with_peerVars!$B$2:$Z$1050,20,FALSE)</f>
        <v>3</v>
      </c>
      <c r="BI1001">
        <f>VLOOKUP($B1001,[1]Data_Peer_with_peerVars!$B$2:$Z$1050,21,FALSE)</f>
        <v>2</v>
      </c>
      <c r="BJ1001">
        <f>VLOOKUP($B1001,[1]Data_Peer_with_peerVars!$B$2:$Z$1050,22,FALSE)</f>
        <v>0.66666666699999999</v>
      </c>
      <c r="BK1001">
        <f>VLOOKUP($B1001,[1]Data_Peer_with_peerVars!$B$2:$Z$1050,23,FALSE)</f>
        <v>60</v>
      </c>
      <c r="BL1001">
        <f>VLOOKUP($B1001,[1]Data_Peer_with_peerVars!$B$2:$Z$1050,24,FALSE)</f>
        <v>29</v>
      </c>
      <c r="BM1001">
        <f>VLOOKUP($B1001,[1]Data_Peer_with_peerVars!$B$2:$Z$1050,25,FALSE)</f>
        <v>0.48333333299999998</v>
      </c>
    </row>
    <row r="1002" spans="1:65" x14ac:dyDescent="0.2">
      <c r="A1002">
        <v>1</v>
      </c>
      <c r="B1002" t="s">
        <v>1529</v>
      </c>
      <c r="C1002">
        <v>622</v>
      </c>
      <c r="D1002" t="s">
        <v>155</v>
      </c>
      <c r="E1002">
        <v>0</v>
      </c>
      <c r="F1002" s="14" t="s">
        <v>82</v>
      </c>
      <c r="G1002" s="14" t="s">
        <v>82</v>
      </c>
      <c r="H1002" s="1">
        <v>5</v>
      </c>
      <c r="I1002" t="s">
        <v>87</v>
      </c>
      <c r="J1002" t="s">
        <v>111</v>
      </c>
      <c r="K1002" t="s">
        <v>109</v>
      </c>
      <c r="L1002">
        <v>1</v>
      </c>
      <c r="M1002">
        <v>1</v>
      </c>
      <c r="N1002">
        <v>0</v>
      </c>
      <c r="O1002">
        <v>0</v>
      </c>
      <c r="P1002">
        <v>0</v>
      </c>
      <c r="Q1002">
        <v>10</v>
      </c>
      <c r="R1002">
        <v>0</v>
      </c>
      <c r="S1002">
        <v>0</v>
      </c>
      <c r="T1002">
        <v>0</v>
      </c>
      <c r="U1002">
        <v>0</v>
      </c>
      <c r="V1002">
        <f t="shared" si="432"/>
        <v>1</v>
      </c>
      <c r="W1002">
        <v>1</v>
      </c>
      <c r="X1002">
        <v>1</v>
      </c>
      <c r="Y1002">
        <v>1</v>
      </c>
      <c r="Z1002" t="s">
        <v>91</v>
      </c>
      <c r="AA1002" s="5" t="s">
        <v>91</v>
      </c>
      <c r="AB1002" s="5" t="s">
        <v>915</v>
      </c>
      <c r="AC1002" t="s">
        <v>91</v>
      </c>
      <c r="AD1002" t="s">
        <v>287</v>
      </c>
      <c r="AE1002" s="5" t="s">
        <v>287</v>
      </c>
      <c r="AF1002" t="s">
        <v>137</v>
      </c>
      <c r="AG1002" t="s">
        <v>113</v>
      </c>
      <c r="AH1002">
        <f t="shared" si="450"/>
        <v>6.8616730000000001E-2</v>
      </c>
      <c r="AI1002">
        <f t="shared" ref="AI1002:AI1004" si="451">AJ1002</f>
        <v>6.8616730000000001E-2</v>
      </c>
      <c r="AJ1002">
        <f t="shared" si="433"/>
        <v>6.8616730000000001E-2</v>
      </c>
      <c r="AK1002">
        <v>6.8616730000000001E-2</v>
      </c>
      <c r="AL1002">
        <v>7.9737849999999999E-2</v>
      </c>
      <c r="AM1002">
        <v>0.11981441</v>
      </c>
      <c r="AN1002">
        <v>0.13021979</v>
      </c>
      <c r="AO1002">
        <v>93.138327000000004</v>
      </c>
      <c r="AP1002">
        <v>92.026214999999993</v>
      </c>
      <c r="AQ1002">
        <v>88.018558999999996</v>
      </c>
      <c r="AR1002">
        <v>86.978020999999998</v>
      </c>
      <c r="AS1002" t="b">
        <v>1</v>
      </c>
      <c r="AT1002" t="b">
        <v>0</v>
      </c>
      <c r="AU1002" t="s">
        <v>77</v>
      </c>
      <c r="AV1002" t="s">
        <v>77</v>
      </c>
      <c r="AW1002" t="s">
        <v>783</v>
      </c>
      <c r="AX1002" t="s">
        <v>784</v>
      </c>
      <c r="AY1002" t="s">
        <v>1530</v>
      </c>
      <c r="AZ1002" t="s">
        <v>109</v>
      </c>
      <c r="BA1002">
        <v>4</v>
      </c>
      <c r="BB1002">
        <v>0.63</v>
      </c>
      <c r="BC1002">
        <v>9.0659339999999995E-3</v>
      </c>
      <c r="BD1002">
        <v>2.76583658862385E-3</v>
      </c>
      <c r="BE1002">
        <v>1.1831770588623799E-2</v>
      </c>
      <c r="BF1002">
        <f>IF(AK1002&lt;BE1002,1,0)</f>
        <v>0</v>
      </c>
      <c r="BG1002">
        <f>IF(AK1002&lt;BC1002,1,0)</f>
        <v>0</v>
      </c>
      <c r="BH1002">
        <f>VLOOKUP($B1002,[1]Data_Peer_with_peerVars!$B$2:$Z$1050,20,FALSE)</f>
        <v>8</v>
      </c>
      <c r="BI1002">
        <f>VLOOKUP($B1002,[1]Data_Peer_with_peerVars!$B$2:$Z$1050,21,FALSE)</f>
        <v>4</v>
      </c>
      <c r="BJ1002">
        <f>VLOOKUP($B1002,[1]Data_Peer_with_peerVars!$B$2:$Z$1050,22,FALSE)</f>
        <v>0.5</v>
      </c>
      <c r="BK1002">
        <f>VLOOKUP($B1002,[1]Data_Peer_with_peerVars!$B$2:$Z$1050,23,FALSE)</f>
        <v>82</v>
      </c>
      <c r="BL1002">
        <f>VLOOKUP($B1002,[1]Data_Peer_with_peerVars!$B$2:$Z$1050,24,FALSE)</f>
        <v>36</v>
      </c>
      <c r="BM1002">
        <f>VLOOKUP($B1002,[1]Data_Peer_with_peerVars!$B$2:$Z$1050,25,FALSE)</f>
        <v>0.43902438999999999</v>
      </c>
    </row>
    <row r="1003" spans="1:65" x14ac:dyDescent="0.2">
      <c r="A1003">
        <v>1</v>
      </c>
      <c r="B1003" t="s">
        <v>1531</v>
      </c>
      <c r="C1003">
        <v>622</v>
      </c>
      <c r="D1003" t="s">
        <v>155</v>
      </c>
      <c r="E1003">
        <v>0</v>
      </c>
      <c r="F1003" s="14" t="s">
        <v>82</v>
      </c>
      <c r="G1003" s="14" t="s">
        <v>82</v>
      </c>
      <c r="H1003" s="1">
        <v>5</v>
      </c>
      <c r="I1003" t="s">
        <v>87</v>
      </c>
      <c r="J1003" t="s">
        <v>111</v>
      </c>
      <c r="K1003" t="s">
        <v>109</v>
      </c>
      <c r="L1003">
        <v>1</v>
      </c>
      <c r="M1003">
        <v>1</v>
      </c>
      <c r="N1003">
        <v>0</v>
      </c>
      <c r="O1003">
        <v>0</v>
      </c>
      <c r="P1003">
        <v>0</v>
      </c>
      <c r="Q1003">
        <v>10</v>
      </c>
      <c r="R1003">
        <v>0</v>
      </c>
      <c r="S1003">
        <v>0</v>
      </c>
      <c r="T1003">
        <v>0</v>
      </c>
      <c r="U1003">
        <v>0</v>
      </c>
      <c r="V1003">
        <f t="shared" si="432"/>
        <v>1</v>
      </c>
      <c r="W1003">
        <v>1</v>
      </c>
      <c r="X1003">
        <v>1</v>
      </c>
      <c r="Y1003">
        <v>1</v>
      </c>
      <c r="Z1003" t="s">
        <v>103</v>
      </c>
      <c r="AA1003" s="5" t="s">
        <v>103</v>
      </c>
      <c r="AB1003" s="5" t="s">
        <v>103</v>
      </c>
      <c r="AC1003" t="s">
        <v>103</v>
      </c>
      <c r="AD1003" t="s">
        <v>101</v>
      </c>
      <c r="AE1003" s="5" t="s">
        <v>101</v>
      </c>
      <c r="AF1003" t="s">
        <v>99</v>
      </c>
      <c r="AG1003" t="s">
        <v>113</v>
      </c>
      <c r="AH1003">
        <f t="shared" si="450"/>
        <v>3.8249859999999997E-2</v>
      </c>
      <c r="AI1003">
        <f t="shared" si="451"/>
        <v>3.8249859999999997E-2</v>
      </c>
      <c r="AJ1003">
        <f t="shared" si="433"/>
        <v>3.8249859999999997E-2</v>
      </c>
      <c r="AK1003">
        <v>3.8249859999999997E-2</v>
      </c>
      <c r="AL1003">
        <v>7.3585940000000002E-2</v>
      </c>
      <c r="AM1003">
        <v>0.10314396000000001</v>
      </c>
      <c r="AN1003">
        <v>0.13063806</v>
      </c>
      <c r="AO1003">
        <v>96.175014000000004</v>
      </c>
      <c r="AP1003">
        <v>92.641406000000003</v>
      </c>
      <c r="AQ1003">
        <v>89.685603999999998</v>
      </c>
      <c r="AR1003">
        <v>86.936194</v>
      </c>
      <c r="AS1003" t="b">
        <v>1</v>
      </c>
      <c r="AT1003" t="b">
        <v>0</v>
      </c>
      <c r="AU1003" t="s">
        <v>77</v>
      </c>
      <c r="AV1003" t="s">
        <v>77</v>
      </c>
      <c r="AW1003" t="s">
        <v>783</v>
      </c>
      <c r="AX1003" t="s">
        <v>784</v>
      </c>
      <c r="AY1003" t="s">
        <v>1530</v>
      </c>
      <c r="AZ1003" t="s">
        <v>72</v>
      </c>
      <c r="BA1003" t="s">
        <v>82</v>
      </c>
      <c r="BB1003">
        <v>7.0000000000000007E-2</v>
      </c>
      <c r="BC1003">
        <v>1.8406593999999998E-2</v>
      </c>
      <c r="BD1003">
        <v>3.30705390234067E-4</v>
      </c>
      <c r="BE1003">
        <v>1.8737299390234101E-2</v>
      </c>
      <c r="BF1003">
        <f>IF(AK1003&lt;BE1003,1,0)</f>
        <v>0</v>
      </c>
      <c r="BG1003">
        <f>IF(AK1003&lt;BC1003,1,0)</f>
        <v>0</v>
      </c>
      <c r="BH1003">
        <f>VLOOKUP($B1003,[1]Data_Peer_with_peerVars!$B$2:$Z$1050,20,FALSE)</f>
        <v>8</v>
      </c>
      <c r="BI1003">
        <f>VLOOKUP($B1003,[1]Data_Peer_with_peerVars!$B$2:$Z$1050,21,FALSE)</f>
        <v>4</v>
      </c>
      <c r="BJ1003">
        <f>VLOOKUP($B1003,[1]Data_Peer_with_peerVars!$B$2:$Z$1050,22,FALSE)</f>
        <v>0.5</v>
      </c>
      <c r="BK1003">
        <f>VLOOKUP($B1003,[1]Data_Peer_with_peerVars!$B$2:$Z$1050,23,FALSE)</f>
        <v>82</v>
      </c>
      <c r="BL1003">
        <f>VLOOKUP($B1003,[1]Data_Peer_with_peerVars!$B$2:$Z$1050,24,FALSE)</f>
        <v>36</v>
      </c>
      <c r="BM1003">
        <f>VLOOKUP($B1003,[1]Data_Peer_with_peerVars!$B$2:$Z$1050,25,FALSE)</f>
        <v>0.43902438999999999</v>
      </c>
    </row>
    <row r="1004" spans="1:65" x14ac:dyDescent="0.2">
      <c r="A1004">
        <v>1</v>
      </c>
      <c r="B1004" t="s">
        <v>1532</v>
      </c>
      <c r="C1004">
        <v>623</v>
      </c>
      <c r="D1004" t="s">
        <v>155</v>
      </c>
      <c r="E1004">
        <v>0</v>
      </c>
      <c r="F1004" s="14" t="s">
        <v>82</v>
      </c>
      <c r="G1004" s="14" t="s">
        <v>82</v>
      </c>
      <c r="H1004" s="1">
        <v>7</v>
      </c>
      <c r="I1004" t="s">
        <v>87</v>
      </c>
      <c r="J1004" t="s">
        <v>111</v>
      </c>
      <c r="K1004" t="s">
        <v>109</v>
      </c>
      <c r="L1004">
        <v>1</v>
      </c>
      <c r="M1004">
        <v>1</v>
      </c>
      <c r="N1004">
        <v>0</v>
      </c>
      <c r="O1004">
        <v>0</v>
      </c>
      <c r="P1004">
        <v>0</v>
      </c>
      <c r="Q1004">
        <v>11</v>
      </c>
      <c r="R1004">
        <v>0</v>
      </c>
      <c r="S1004">
        <v>0</v>
      </c>
      <c r="T1004">
        <v>0</v>
      </c>
      <c r="U1004">
        <v>0</v>
      </c>
      <c r="V1004">
        <f t="shared" si="432"/>
        <v>1</v>
      </c>
      <c r="W1004">
        <v>1</v>
      </c>
      <c r="X1004">
        <v>1</v>
      </c>
      <c r="Y1004">
        <v>1</v>
      </c>
      <c r="Z1004" t="s">
        <v>137</v>
      </c>
      <c r="AA1004" s="5" t="s">
        <v>137</v>
      </c>
      <c r="AB1004" s="5" t="s">
        <v>137</v>
      </c>
      <c r="AC1004" t="s">
        <v>137</v>
      </c>
      <c r="AD1004" t="s">
        <v>287</v>
      </c>
      <c r="AE1004" s="5" t="s">
        <v>919</v>
      </c>
      <c r="AF1004" t="s">
        <v>91</v>
      </c>
      <c r="AG1004" t="s">
        <v>113</v>
      </c>
      <c r="AH1004">
        <f t="shared" si="450"/>
        <v>9.7434499999999993E-2</v>
      </c>
      <c r="AI1004">
        <f t="shared" si="451"/>
        <v>9.7434499999999993E-2</v>
      </c>
      <c r="AJ1004">
        <f t="shared" si="433"/>
        <v>9.7434499999999993E-2</v>
      </c>
      <c r="AK1004">
        <v>9.7434499999999993E-2</v>
      </c>
      <c r="AL1004">
        <v>0.12772924999999999</v>
      </c>
      <c r="AM1004">
        <v>0.12793876000000001</v>
      </c>
      <c r="AN1004">
        <v>0.12850081999999999</v>
      </c>
      <c r="AO1004">
        <v>90.256550000000004</v>
      </c>
      <c r="AP1004">
        <v>87.227074999999999</v>
      </c>
      <c r="AQ1004">
        <v>87.206124000000003</v>
      </c>
      <c r="AR1004">
        <v>87.149918</v>
      </c>
      <c r="AS1004" t="b">
        <v>1</v>
      </c>
      <c r="AT1004" t="b">
        <v>0</v>
      </c>
      <c r="AU1004" t="s">
        <v>78</v>
      </c>
      <c r="AV1004" t="s">
        <v>108</v>
      </c>
      <c r="AW1004" t="s">
        <v>783</v>
      </c>
      <c r="AX1004" t="s">
        <v>1277</v>
      </c>
      <c r="AY1004" t="s">
        <v>1533</v>
      </c>
      <c r="AZ1004" t="s">
        <v>109</v>
      </c>
      <c r="BA1004">
        <v>10</v>
      </c>
      <c r="BB1004">
        <v>1</v>
      </c>
      <c r="BC1004">
        <v>5.4824560000000001E-2</v>
      </c>
      <c r="BD1004">
        <v>2.68252196314279E-2</v>
      </c>
      <c r="BE1004">
        <v>8.1649779631427902E-2</v>
      </c>
      <c r="BF1004">
        <f>IF(AK1004&lt;BE1004,1,0)</f>
        <v>0</v>
      </c>
      <c r="BG1004">
        <f>IF(AK1004&lt;BC1004,1,0)</f>
        <v>0</v>
      </c>
    </row>
    <row r="1005" spans="1:65" x14ac:dyDescent="0.2">
      <c r="A1005">
        <v>1</v>
      </c>
      <c r="B1005" t="s">
        <v>1534</v>
      </c>
      <c r="C1005">
        <v>623</v>
      </c>
      <c r="D1005" t="s">
        <v>155</v>
      </c>
      <c r="E1005">
        <v>0</v>
      </c>
      <c r="F1005" s="14" t="s">
        <v>82</v>
      </c>
      <c r="G1005" s="14" t="s">
        <v>82</v>
      </c>
      <c r="H1005" s="1">
        <v>7</v>
      </c>
      <c r="I1005" t="s">
        <v>87</v>
      </c>
      <c r="J1005" t="s">
        <v>111</v>
      </c>
      <c r="K1005" t="s">
        <v>109</v>
      </c>
      <c r="L1005">
        <v>1</v>
      </c>
      <c r="M1005">
        <v>1</v>
      </c>
      <c r="N1005">
        <v>0</v>
      </c>
      <c r="O1005">
        <v>0</v>
      </c>
      <c r="P1005">
        <v>0</v>
      </c>
      <c r="Q1005">
        <v>11</v>
      </c>
      <c r="R1005">
        <v>0</v>
      </c>
      <c r="S1005">
        <v>0</v>
      </c>
      <c r="T1005">
        <v>0</v>
      </c>
      <c r="U1005">
        <v>0</v>
      </c>
      <c r="V1005">
        <f t="shared" si="432"/>
        <v>0</v>
      </c>
      <c r="W1005">
        <f t="shared" si="434"/>
        <v>0</v>
      </c>
      <c r="X1005">
        <f t="shared" si="435"/>
        <v>0</v>
      </c>
      <c r="Y1005">
        <f t="shared" si="436"/>
        <v>0</v>
      </c>
      <c r="Z1005" t="s">
        <v>76</v>
      </c>
      <c r="AA1005" s="5" t="s">
        <v>76</v>
      </c>
      <c r="AB1005" s="5" t="s">
        <v>76</v>
      </c>
      <c r="AC1005" t="s">
        <v>101</v>
      </c>
      <c r="AD1005" t="s">
        <v>99</v>
      </c>
      <c r="AE1005" s="5" t="s">
        <v>99</v>
      </c>
      <c r="AF1005" t="s">
        <v>103</v>
      </c>
      <c r="AG1005" t="s">
        <v>102</v>
      </c>
      <c r="AH1005">
        <f t="shared" ref="AH1005:AI1007" si="452">AI1005</f>
        <v>5.7417583000000001E-2</v>
      </c>
      <c r="AI1005">
        <f t="shared" si="452"/>
        <v>5.7417583000000001E-2</v>
      </c>
      <c r="AJ1005">
        <f t="shared" si="433"/>
        <v>5.7417583000000001E-2</v>
      </c>
      <c r="AK1005">
        <v>5.7417583000000001E-2</v>
      </c>
      <c r="AL1005">
        <v>7.7857540000000003E-2</v>
      </c>
      <c r="AM1005">
        <v>9.8731379999999994E-2</v>
      </c>
      <c r="AN1005">
        <v>0.12739201999999999</v>
      </c>
      <c r="AO1005">
        <v>94.258241699999999</v>
      </c>
      <c r="AP1005">
        <v>92.214246000000003</v>
      </c>
      <c r="AQ1005">
        <v>90.126862000000003</v>
      </c>
      <c r="AR1005">
        <v>87.260797999999994</v>
      </c>
      <c r="AS1005" t="b">
        <v>0</v>
      </c>
      <c r="AT1005" t="b">
        <v>0</v>
      </c>
      <c r="AU1005" t="s">
        <v>77</v>
      </c>
      <c r="AV1005" t="s">
        <v>77</v>
      </c>
      <c r="AW1005" t="s">
        <v>783</v>
      </c>
      <c r="AX1005" t="s">
        <v>1277</v>
      </c>
      <c r="AY1005" t="s">
        <v>1533</v>
      </c>
      <c r="AZ1005" t="s">
        <v>109</v>
      </c>
      <c r="BA1005">
        <v>10</v>
      </c>
      <c r="BB1005">
        <v>0.5</v>
      </c>
      <c r="BC1005">
        <v>1.4096186E-2</v>
      </c>
      <c r="BD1005">
        <v>1.55088650053763E-3</v>
      </c>
      <c r="BE1005">
        <v>1.5647072500537599E-2</v>
      </c>
      <c r="BF1005">
        <f>IF(AK1005&lt;BE1005,1,0)</f>
        <v>0</v>
      </c>
      <c r="BG1005">
        <f>IF(AK1005&lt;BC1005,1,0)</f>
        <v>0</v>
      </c>
      <c r="BH1005">
        <f>VLOOKUP($B1005,[1]Data_Peer_with_peerVars!$B$2:$Z$1050,20,FALSE)</f>
        <v>1</v>
      </c>
      <c r="BI1005">
        <f>VLOOKUP($B1005,[1]Data_Peer_with_peerVars!$B$2:$Z$1050,21,FALSE)</f>
        <v>1</v>
      </c>
      <c r="BJ1005">
        <f>VLOOKUP($B1005,[1]Data_Peer_with_peerVars!$B$2:$Z$1050,22,FALSE)</f>
        <v>1</v>
      </c>
      <c r="BK1005">
        <f>VLOOKUP($B1005,[1]Data_Peer_with_peerVars!$B$2:$Z$1050,23,FALSE)</f>
        <v>11</v>
      </c>
      <c r="BL1005">
        <f>VLOOKUP($B1005,[1]Data_Peer_with_peerVars!$B$2:$Z$1050,24,FALSE)</f>
        <v>4</v>
      </c>
      <c r="BM1005">
        <f>VLOOKUP($B1005,[1]Data_Peer_with_peerVars!$B$2:$Z$1050,25,FALSE)</f>
        <v>0.36363636399999999</v>
      </c>
    </row>
    <row r="1006" spans="1:65" x14ac:dyDescent="0.2">
      <c r="A1006">
        <v>1</v>
      </c>
      <c r="B1006" t="s">
        <v>1535</v>
      </c>
      <c r="C1006">
        <v>624</v>
      </c>
      <c r="D1006" t="s">
        <v>155</v>
      </c>
      <c r="E1006">
        <v>0</v>
      </c>
      <c r="F1006" s="14" t="s">
        <v>82</v>
      </c>
      <c r="G1006" s="14" t="s">
        <v>82</v>
      </c>
      <c r="H1006" s="1">
        <v>6</v>
      </c>
      <c r="I1006" t="s">
        <v>87</v>
      </c>
      <c r="J1006" t="s">
        <v>111</v>
      </c>
      <c r="L1006">
        <v>1</v>
      </c>
      <c r="M1006">
        <v>1</v>
      </c>
      <c r="N1006">
        <v>0</v>
      </c>
      <c r="O1006">
        <v>0</v>
      </c>
      <c r="P1006">
        <v>1</v>
      </c>
      <c r="Q1006">
        <v>1</v>
      </c>
      <c r="R1006">
        <v>0</v>
      </c>
      <c r="S1006">
        <v>0</v>
      </c>
      <c r="T1006">
        <v>0</v>
      </c>
      <c r="U1006">
        <v>0</v>
      </c>
      <c r="V1006">
        <f t="shared" si="432"/>
        <v>1</v>
      </c>
      <c r="W1006">
        <v>1</v>
      </c>
      <c r="X1006">
        <v>1</v>
      </c>
      <c r="Y1006">
        <v>1</v>
      </c>
      <c r="Z1006" t="s">
        <v>91</v>
      </c>
      <c r="AA1006" s="5" t="s">
        <v>91</v>
      </c>
      <c r="AB1006" s="5" t="s">
        <v>1488</v>
      </c>
      <c r="AC1006" t="s">
        <v>91</v>
      </c>
      <c r="AD1006" t="s">
        <v>287</v>
      </c>
      <c r="AE1006" s="5" t="s">
        <v>287</v>
      </c>
      <c r="AF1006" t="s">
        <v>137</v>
      </c>
      <c r="AG1006" t="s">
        <v>84</v>
      </c>
      <c r="AH1006">
        <f t="shared" si="452"/>
        <v>3.280481E-3</v>
      </c>
      <c r="AI1006">
        <f t="shared" si="452"/>
        <v>3.280481E-3</v>
      </c>
      <c r="AJ1006">
        <f t="shared" si="433"/>
        <v>3.280481E-3</v>
      </c>
      <c r="AK1006">
        <v>3.280481E-3</v>
      </c>
      <c r="AL1006">
        <v>0.119945355</v>
      </c>
      <c r="AM1006">
        <v>0.12814207</v>
      </c>
      <c r="AN1006">
        <v>0.13351648999999999</v>
      </c>
      <c r="AO1006">
        <v>99.671951899999996</v>
      </c>
      <c r="AP1006">
        <v>88.005464500000002</v>
      </c>
      <c r="AQ1006">
        <v>87.185793000000004</v>
      </c>
      <c r="AR1006">
        <v>86.648351000000005</v>
      </c>
      <c r="AS1006" t="b">
        <v>1</v>
      </c>
      <c r="AT1006" t="b">
        <v>0</v>
      </c>
      <c r="AU1006" t="s">
        <v>77</v>
      </c>
      <c r="AV1006" t="s">
        <v>78</v>
      </c>
      <c r="AW1006" t="s">
        <v>783</v>
      </c>
      <c r="AX1006" t="s">
        <v>1277</v>
      </c>
      <c r="AY1006" t="s">
        <v>1419</v>
      </c>
      <c r="AZ1006" t="s">
        <v>89</v>
      </c>
      <c r="BA1006" t="s">
        <v>82</v>
      </c>
      <c r="BB1006">
        <v>0.7</v>
      </c>
      <c r="BC1006">
        <v>9.0659339999999995E-3</v>
      </c>
      <c r="BD1006">
        <v>2.76583658862385E-3</v>
      </c>
      <c r="BE1006">
        <v>1.1831770588623799E-2</v>
      </c>
      <c r="BF1006">
        <f>IF(AK1006&lt;BE1006,1,0)</f>
        <v>1</v>
      </c>
      <c r="BG1006">
        <f>IF(AK1006&lt;BC1006,1,0)</f>
        <v>1</v>
      </c>
      <c r="BH1006">
        <f>VLOOKUP($B1006,[1]Data_Peer_with_peerVars!$B$2:$Z$1050,20,FALSE)</f>
        <v>8</v>
      </c>
      <c r="BI1006">
        <f>VLOOKUP($B1006,[1]Data_Peer_with_peerVars!$B$2:$Z$1050,21,FALSE)</f>
        <v>5</v>
      </c>
      <c r="BJ1006">
        <f>VLOOKUP($B1006,[1]Data_Peer_with_peerVars!$B$2:$Z$1050,22,FALSE)</f>
        <v>0.625</v>
      </c>
      <c r="BK1006">
        <f>VLOOKUP($B1006,[1]Data_Peer_with_peerVars!$B$2:$Z$1050,23,FALSE)</f>
        <v>82</v>
      </c>
      <c r="BL1006">
        <f>VLOOKUP($B1006,[1]Data_Peer_with_peerVars!$B$2:$Z$1050,24,FALSE)</f>
        <v>37</v>
      </c>
      <c r="BM1006">
        <f>VLOOKUP($B1006,[1]Data_Peer_with_peerVars!$B$2:$Z$1050,25,FALSE)</f>
        <v>0.45121951199999999</v>
      </c>
    </row>
    <row r="1007" spans="1:65" x14ac:dyDescent="0.2">
      <c r="A1007">
        <v>1</v>
      </c>
      <c r="B1007" t="s">
        <v>1536</v>
      </c>
      <c r="C1007">
        <v>624</v>
      </c>
      <c r="D1007" t="s">
        <v>155</v>
      </c>
      <c r="E1007">
        <v>0</v>
      </c>
      <c r="F1007" s="14" t="s">
        <v>82</v>
      </c>
      <c r="G1007" s="14" t="s">
        <v>82</v>
      </c>
      <c r="H1007" s="1">
        <v>6</v>
      </c>
      <c r="I1007" t="s">
        <v>87</v>
      </c>
      <c r="J1007" t="s">
        <v>111</v>
      </c>
      <c r="L1007">
        <v>1</v>
      </c>
      <c r="M1007">
        <v>1</v>
      </c>
      <c r="N1007">
        <v>0</v>
      </c>
      <c r="O1007">
        <v>0</v>
      </c>
      <c r="P1007">
        <v>1</v>
      </c>
      <c r="Q1007">
        <v>1</v>
      </c>
      <c r="R1007">
        <v>0</v>
      </c>
      <c r="S1007">
        <v>0</v>
      </c>
      <c r="T1007">
        <v>0</v>
      </c>
      <c r="U1007">
        <v>0</v>
      </c>
      <c r="V1007">
        <f t="shared" si="432"/>
        <v>0</v>
      </c>
      <c r="W1007">
        <f t="shared" si="434"/>
        <v>0</v>
      </c>
      <c r="X1007">
        <f t="shared" si="435"/>
        <v>0</v>
      </c>
      <c r="Y1007">
        <f t="shared" si="436"/>
        <v>0</v>
      </c>
      <c r="Z1007" t="s">
        <v>89</v>
      </c>
      <c r="AA1007" s="5" t="s">
        <v>89</v>
      </c>
      <c r="AB1007" s="5" t="s">
        <v>1432</v>
      </c>
      <c r="AC1007" t="s">
        <v>120</v>
      </c>
      <c r="AD1007" t="s">
        <v>74</v>
      </c>
      <c r="AE1007" s="5" t="s">
        <v>1014</v>
      </c>
      <c r="AF1007" t="s">
        <v>75</v>
      </c>
      <c r="AG1007" t="s">
        <v>167</v>
      </c>
      <c r="AH1007">
        <f t="shared" si="452"/>
        <v>3.3042055000000001E-2</v>
      </c>
      <c r="AI1007">
        <f t="shared" si="452"/>
        <v>3.3042055000000001E-2</v>
      </c>
      <c r="AJ1007">
        <f t="shared" si="433"/>
        <v>3.3042055000000001E-2</v>
      </c>
      <c r="AK1007">
        <v>3.3042055000000001E-2</v>
      </c>
      <c r="AL1007">
        <v>9.013699E-2</v>
      </c>
      <c r="AM1007">
        <v>9.2450770000000002E-2</v>
      </c>
      <c r="AN1007">
        <v>0.10356165000000001</v>
      </c>
      <c r="AO1007">
        <v>96.695794500000005</v>
      </c>
      <c r="AP1007">
        <v>90.986300999999997</v>
      </c>
      <c r="AQ1007">
        <v>90.754923000000005</v>
      </c>
      <c r="AR1007">
        <v>89.643834999999996</v>
      </c>
      <c r="AS1007" t="b">
        <v>0</v>
      </c>
      <c r="AT1007" t="b">
        <v>0</v>
      </c>
      <c r="AU1007" t="s">
        <v>92</v>
      </c>
      <c r="AV1007" t="s">
        <v>92</v>
      </c>
      <c r="AW1007" t="s">
        <v>783</v>
      </c>
      <c r="AX1007" t="s">
        <v>1277</v>
      </c>
      <c r="AY1007" t="s">
        <v>1419</v>
      </c>
      <c r="AZ1007" t="s">
        <v>109</v>
      </c>
      <c r="BA1007">
        <v>3</v>
      </c>
      <c r="BB1007">
        <v>0.105</v>
      </c>
      <c r="BC1007">
        <v>4.6849314000000003E-2</v>
      </c>
      <c r="BD1007">
        <v>4.5250577219970098E-3</v>
      </c>
      <c r="BE1007">
        <v>5.1374371721996999E-2</v>
      </c>
      <c r="BF1007">
        <f>IF(AK1007&lt;BE1007,1,0)</f>
        <v>1</v>
      </c>
      <c r="BG1007">
        <f>IF(AK1007&lt;BC1007,1,0)</f>
        <v>1</v>
      </c>
      <c r="BH1007">
        <f>VLOOKUP($B1007,[1]Data_Peer_with_peerVars!$B$2:$Z$1050,20,FALSE)</f>
        <v>8</v>
      </c>
      <c r="BI1007">
        <f>VLOOKUP($B1007,[1]Data_Peer_with_peerVars!$B$2:$Z$1050,21,FALSE)</f>
        <v>5</v>
      </c>
      <c r="BJ1007">
        <f>VLOOKUP($B1007,[1]Data_Peer_with_peerVars!$B$2:$Z$1050,22,FALSE)</f>
        <v>0.625</v>
      </c>
      <c r="BK1007">
        <f>VLOOKUP($B1007,[1]Data_Peer_with_peerVars!$B$2:$Z$1050,23,FALSE)</f>
        <v>82</v>
      </c>
      <c r="BL1007">
        <f>VLOOKUP($B1007,[1]Data_Peer_with_peerVars!$B$2:$Z$1050,24,FALSE)</f>
        <v>37</v>
      </c>
      <c r="BM1007">
        <f>VLOOKUP($B1007,[1]Data_Peer_with_peerVars!$B$2:$Z$1050,25,FALSE)</f>
        <v>0.45121951199999999</v>
      </c>
    </row>
    <row r="1008" spans="1:65" x14ac:dyDescent="0.2">
      <c r="A1008">
        <v>1</v>
      </c>
      <c r="B1008" t="s">
        <v>1537</v>
      </c>
      <c r="C1008">
        <v>625</v>
      </c>
      <c r="D1008" t="s">
        <v>155</v>
      </c>
      <c r="E1008">
        <v>0</v>
      </c>
      <c r="F1008" s="14" t="s">
        <v>82</v>
      </c>
      <c r="G1008" s="14" t="s">
        <v>82</v>
      </c>
      <c r="H1008" s="1">
        <v>5.6666666666666696</v>
      </c>
      <c r="I1008" t="s">
        <v>70</v>
      </c>
      <c r="J1008" t="s">
        <v>71</v>
      </c>
      <c r="K1008" t="s">
        <v>109</v>
      </c>
      <c r="L1008">
        <v>1</v>
      </c>
      <c r="M1008">
        <v>0</v>
      </c>
      <c r="N1008">
        <v>0</v>
      </c>
      <c r="O1008">
        <v>0</v>
      </c>
      <c r="P1008">
        <v>0</v>
      </c>
      <c r="Q1008">
        <v>9</v>
      </c>
      <c r="R1008">
        <v>0</v>
      </c>
      <c r="S1008">
        <v>0</v>
      </c>
      <c r="T1008">
        <v>0</v>
      </c>
      <c r="U1008">
        <v>0</v>
      </c>
      <c r="V1008">
        <f t="shared" si="432"/>
        <v>1</v>
      </c>
      <c r="W1008">
        <v>1</v>
      </c>
      <c r="X1008">
        <v>1</v>
      </c>
      <c r="Y1008">
        <v>1</v>
      </c>
      <c r="Z1008" t="s">
        <v>91</v>
      </c>
      <c r="AA1008" s="5" t="s">
        <v>91</v>
      </c>
      <c r="AB1008" s="5" t="s">
        <v>1395</v>
      </c>
      <c r="AC1008" t="s">
        <v>91</v>
      </c>
      <c r="AD1008" t="s">
        <v>73</v>
      </c>
      <c r="AE1008" s="5" t="s">
        <v>1538</v>
      </c>
      <c r="AF1008" t="s">
        <v>94</v>
      </c>
      <c r="AG1008" t="s">
        <v>75</v>
      </c>
      <c r="AH1008">
        <f t="shared" ref="AH1008:AH1009" si="453">AI1008</f>
        <v>8.0962800000000001E-2</v>
      </c>
      <c r="AI1008">
        <f t="shared" ref="AI1008:AI1009" si="454">AJ1008</f>
        <v>8.0962800000000001E-2</v>
      </c>
      <c r="AJ1008">
        <f t="shared" si="433"/>
        <v>8.0962800000000001E-2</v>
      </c>
      <c r="AK1008">
        <v>8.0962800000000001E-2</v>
      </c>
      <c r="AL1008">
        <v>8.2924164999999994E-2</v>
      </c>
      <c r="AM1008">
        <v>0.13626434000000001</v>
      </c>
      <c r="AN1008">
        <v>0.14148878000000001</v>
      </c>
      <c r="AO1008">
        <v>91.903720000000007</v>
      </c>
      <c r="AP1008">
        <v>91.707583499999998</v>
      </c>
      <c r="AQ1008">
        <v>86.373565999999997</v>
      </c>
      <c r="AR1008">
        <v>85.851122000000004</v>
      </c>
      <c r="AS1008" t="b">
        <v>0</v>
      </c>
      <c r="AT1008" t="b">
        <v>0</v>
      </c>
      <c r="AU1008" t="s">
        <v>108</v>
      </c>
      <c r="AV1008" t="s">
        <v>108</v>
      </c>
      <c r="AW1008" t="s">
        <v>783</v>
      </c>
      <c r="AX1008" t="s">
        <v>1277</v>
      </c>
      <c r="AY1008" t="s">
        <v>1281</v>
      </c>
      <c r="AZ1008" t="s">
        <v>109</v>
      </c>
      <c r="BA1008">
        <v>2</v>
      </c>
      <c r="BB1008">
        <v>2.1</v>
      </c>
      <c r="BC1008">
        <v>9.0659339999999995E-3</v>
      </c>
      <c r="BD1008">
        <v>2.76583658862385E-3</v>
      </c>
      <c r="BE1008">
        <v>1.1831770588623799E-2</v>
      </c>
      <c r="BF1008">
        <f>IF(AK1008&lt;BE1008,1,0)</f>
        <v>0</v>
      </c>
      <c r="BG1008">
        <f>IF(AK1008&lt;BC1008,1,0)</f>
        <v>0</v>
      </c>
      <c r="BH1008">
        <f>VLOOKUP($B1008,[1]Data_Peer_with_peerVars!$B$2:$Z$1050,20,FALSE)</f>
        <v>2</v>
      </c>
      <c r="BI1008">
        <f>VLOOKUP($B1008,[1]Data_Peer_with_peerVars!$B$2:$Z$1050,21,FALSE)</f>
        <v>0</v>
      </c>
      <c r="BJ1008">
        <f>VLOOKUP($B1008,[1]Data_Peer_with_peerVars!$B$2:$Z$1050,22,FALSE)</f>
        <v>0</v>
      </c>
      <c r="BK1008">
        <f>VLOOKUP($B1008,[1]Data_Peer_with_peerVars!$B$2:$Z$1050,23,FALSE)</f>
        <v>9</v>
      </c>
      <c r="BL1008">
        <f>VLOOKUP($B1008,[1]Data_Peer_with_peerVars!$B$2:$Z$1050,24,FALSE)</f>
        <v>3</v>
      </c>
      <c r="BM1008">
        <f>VLOOKUP($B1008,[1]Data_Peer_with_peerVars!$B$2:$Z$1050,25,FALSE)</f>
        <v>0.33333333300000001</v>
      </c>
    </row>
    <row r="1009" spans="1:65" x14ac:dyDescent="0.2">
      <c r="A1009">
        <v>1</v>
      </c>
      <c r="B1009" t="s">
        <v>1539</v>
      </c>
      <c r="C1009">
        <v>625</v>
      </c>
      <c r="D1009" t="s">
        <v>155</v>
      </c>
      <c r="E1009">
        <v>0</v>
      </c>
      <c r="F1009" s="14" t="s">
        <v>82</v>
      </c>
      <c r="G1009" s="14" t="s">
        <v>82</v>
      </c>
      <c r="H1009" s="1">
        <v>5.6666666666666696</v>
      </c>
      <c r="I1009" t="s">
        <v>70</v>
      </c>
      <c r="J1009" t="s">
        <v>71</v>
      </c>
      <c r="K1009" t="s">
        <v>109</v>
      </c>
      <c r="L1009">
        <v>1</v>
      </c>
      <c r="M1009">
        <v>0</v>
      </c>
      <c r="N1009">
        <v>0</v>
      </c>
      <c r="O1009">
        <v>0</v>
      </c>
      <c r="P1009">
        <v>0</v>
      </c>
      <c r="Q1009">
        <v>9</v>
      </c>
      <c r="R1009">
        <v>0</v>
      </c>
      <c r="S1009">
        <v>0</v>
      </c>
      <c r="T1009">
        <v>0</v>
      </c>
      <c r="U1009">
        <v>0</v>
      </c>
      <c r="V1009">
        <f t="shared" si="432"/>
        <v>1</v>
      </c>
      <c r="W1009">
        <v>1</v>
      </c>
      <c r="X1009">
        <v>1</v>
      </c>
      <c r="Y1009">
        <v>1</v>
      </c>
      <c r="Z1009" t="s">
        <v>103</v>
      </c>
      <c r="AA1009" s="5" t="s">
        <v>103</v>
      </c>
      <c r="AB1009" s="5" t="s">
        <v>103</v>
      </c>
      <c r="AC1009" t="s">
        <v>103</v>
      </c>
      <c r="AD1009" t="s">
        <v>101</v>
      </c>
      <c r="AE1009" s="5" t="s">
        <v>101</v>
      </c>
      <c r="AF1009" t="s">
        <v>99</v>
      </c>
      <c r="AG1009" t="s">
        <v>137</v>
      </c>
      <c r="AH1009">
        <f t="shared" si="453"/>
        <v>1.7061090000000001E-2</v>
      </c>
      <c r="AI1009">
        <f t="shared" si="454"/>
        <v>1.7061090000000001E-2</v>
      </c>
      <c r="AJ1009">
        <f t="shared" si="433"/>
        <v>1.7061090000000001E-2</v>
      </c>
      <c r="AK1009">
        <v>1.7061090000000001E-2</v>
      </c>
      <c r="AL1009">
        <v>7.8485180000000002E-2</v>
      </c>
      <c r="AM1009">
        <v>0.11031440000000001</v>
      </c>
      <c r="AN1009">
        <v>0.12643364000000001</v>
      </c>
      <c r="AO1009">
        <v>98.293891000000002</v>
      </c>
      <c r="AP1009">
        <v>92.151482000000001</v>
      </c>
      <c r="AQ1009">
        <v>88.968559999999997</v>
      </c>
      <c r="AR1009">
        <v>87.356635999999995</v>
      </c>
      <c r="AS1009" t="b">
        <v>1</v>
      </c>
      <c r="AT1009" t="b">
        <v>0</v>
      </c>
      <c r="AU1009" t="s">
        <v>77</v>
      </c>
      <c r="AV1009" t="s">
        <v>77</v>
      </c>
      <c r="AW1009" t="s">
        <v>783</v>
      </c>
      <c r="AX1009" t="s">
        <v>1277</v>
      </c>
      <c r="AY1009" t="s">
        <v>1281</v>
      </c>
      <c r="AZ1009" t="s">
        <v>109</v>
      </c>
      <c r="BA1009">
        <v>2</v>
      </c>
      <c r="BB1009">
        <v>0.7</v>
      </c>
      <c r="BC1009">
        <v>1.8406593999999998E-2</v>
      </c>
      <c r="BD1009">
        <v>3.30705390234067E-4</v>
      </c>
      <c r="BE1009">
        <v>1.8737299390234101E-2</v>
      </c>
      <c r="BF1009">
        <f>IF(AK1009&lt;BE1009,1,0)</f>
        <v>1</v>
      </c>
      <c r="BG1009">
        <f>IF(AK1009&lt;BC1009,1,0)</f>
        <v>1</v>
      </c>
      <c r="BH1009">
        <f>VLOOKUP($B1009,[1]Data_Peer_with_peerVars!$B$2:$Z$1050,20,FALSE)</f>
        <v>2</v>
      </c>
      <c r="BI1009">
        <f>VLOOKUP($B1009,[1]Data_Peer_with_peerVars!$B$2:$Z$1050,21,FALSE)</f>
        <v>0</v>
      </c>
      <c r="BJ1009">
        <f>VLOOKUP($B1009,[1]Data_Peer_with_peerVars!$B$2:$Z$1050,22,FALSE)</f>
        <v>0</v>
      </c>
      <c r="BK1009">
        <f>VLOOKUP($B1009,[1]Data_Peer_with_peerVars!$B$2:$Z$1050,23,FALSE)</f>
        <v>9</v>
      </c>
      <c r="BL1009">
        <f>VLOOKUP($B1009,[1]Data_Peer_with_peerVars!$B$2:$Z$1050,24,FALSE)</f>
        <v>3</v>
      </c>
      <c r="BM1009">
        <f>VLOOKUP($B1009,[1]Data_Peer_with_peerVars!$B$2:$Z$1050,25,FALSE)</f>
        <v>0.33333333300000001</v>
      </c>
    </row>
    <row r="1010" spans="1:65" x14ac:dyDescent="0.2">
      <c r="A1010">
        <v>1</v>
      </c>
      <c r="B1010" t="s">
        <v>1540</v>
      </c>
      <c r="C1010">
        <v>626</v>
      </c>
      <c r="D1010" t="s">
        <v>155</v>
      </c>
      <c r="E1010">
        <v>0</v>
      </c>
      <c r="F1010" s="14" t="s">
        <v>82</v>
      </c>
      <c r="G1010" s="14" t="s">
        <v>82</v>
      </c>
      <c r="H1010" s="1">
        <v>7</v>
      </c>
      <c r="I1010" t="s">
        <v>87</v>
      </c>
      <c r="J1010" t="s">
        <v>111</v>
      </c>
      <c r="K1010" t="s">
        <v>109</v>
      </c>
      <c r="L1010">
        <v>2</v>
      </c>
      <c r="M1010">
        <v>1</v>
      </c>
      <c r="N1010">
        <v>0</v>
      </c>
      <c r="O1010">
        <v>0</v>
      </c>
      <c r="P1010">
        <v>0</v>
      </c>
      <c r="Q1010">
        <v>12</v>
      </c>
      <c r="R1010">
        <v>0</v>
      </c>
      <c r="S1010">
        <v>0</v>
      </c>
      <c r="T1010">
        <v>0</v>
      </c>
      <c r="U1010">
        <v>0</v>
      </c>
      <c r="V1010">
        <f t="shared" si="432"/>
        <v>0</v>
      </c>
      <c r="W1010">
        <f t="shared" si="434"/>
        <v>0</v>
      </c>
      <c r="X1010">
        <f t="shared" si="435"/>
        <v>0</v>
      </c>
      <c r="Y1010">
        <f t="shared" si="436"/>
        <v>0</v>
      </c>
      <c r="Z1010" t="s">
        <v>89</v>
      </c>
      <c r="AA1010" s="5" t="s">
        <v>89</v>
      </c>
      <c r="AB1010" s="5" t="s">
        <v>577</v>
      </c>
      <c r="AC1010" t="s">
        <v>120</v>
      </c>
      <c r="AD1010" t="s">
        <v>74</v>
      </c>
      <c r="AE1010" s="5" t="s">
        <v>74</v>
      </c>
      <c r="AF1010" t="s">
        <v>75</v>
      </c>
      <c r="AG1010" t="s">
        <v>167</v>
      </c>
      <c r="AH1010">
        <f t="shared" ref="AH1010:AH1016" si="455">AI1010</f>
        <v>5.5494808E-2</v>
      </c>
      <c r="AI1010">
        <f t="shared" ref="AI1010:AI1013" si="456">AJ1010</f>
        <v>5.5494808E-2</v>
      </c>
      <c r="AJ1010">
        <f t="shared" si="433"/>
        <v>5.5494808E-2</v>
      </c>
      <c r="AK1010">
        <v>5.5494808E-2</v>
      </c>
      <c r="AL1010">
        <v>8.2556224999999997E-2</v>
      </c>
      <c r="AM1010">
        <v>9.5564074999999998E-2</v>
      </c>
      <c r="AN1010">
        <v>0.112452</v>
      </c>
      <c r="AO1010">
        <v>94.450519200000002</v>
      </c>
      <c r="AP1010">
        <v>91.744377499999999</v>
      </c>
      <c r="AQ1010">
        <v>90.443592499999994</v>
      </c>
      <c r="AR1010">
        <v>88.754800000000003</v>
      </c>
      <c r="AS1010" t="b">
        <v>0</v>
      </c>
      <c r="AT1010" t="b">
        <v>0</v>
      </c>
      <c r="AU1010" t="s">
        <v>92</v>
      </c>
      <c r="AV1010" t="s">
        <v>92</v>
      </c>
      <c r="AW1010" t="s">
        <v>783</v>
      </c>
      <c r="AX1010" t="s">
        <v>1277</v>
      </c>
      <c r="AY1010" t="s">
        <v>1423</v>
      </c>
      <c r="AZ1010" t="s">
        <v>109</v>
      </c>
      <c r="BA1010">
        <v>3</v>
      </c>
      <c r="BB1010">
        <v>0.49</v>
      </c>
      <c r="BC1010">
        <v>4.6849314000000003E-2</v>
      </c>
      <c r="BD1010">
        <v>4.5250577219970098E-3</v>
      </c>
      <c r="BE1010">
        <v>5.1374371721996999E-2</v>
      </c>
      <c r="BF1010">
        <f>IF(AK1010&lt;BE1010,1,0)</f>
        <v>0</v>
      </c>
      <c r="BG1010">
        <f>IF(AK1010&lt;BC1010,1,0)</f>
        <v>0</v>
      </c>
      <c r="BH1010">
        <f>VLOOKUP($B1010,[1]Data_Peer_with_peerVars!$B$2:$Z$1050,20,FALSE)</f>
        <v>0</v>
      </c>
      <c r="BI1010">
        <f>VLOOKUP($B1010,[1]Data_Peer_with_peerVars!$B$2:$Z$1050,21,FALSE)</f>
        <v>0</v>
      </c>
      <c r="BJ1010">
        <v>0</v>
      </c>
      <c r="BK1010">
        <f>VLOOKUP($B1010,[1]Data_Peer_with_peerVars!$B$2:$Z$1050,23,FALSE)</f>
        <v>54</v>
      </c>
      <c r="BL1010">
        <f>VLOOKUP($B1010,[1]Data_Peer_with_peerVars!$B$2:$Z$1050,24,FALSE)</f>
        <v>29</v>
      </c>
      <c r="BM1010">
        <f>VLOOKUP($B1010,[1]Data_Peer_with_peerVars!$B$2:$Z$1050,25,FALSE)</f>
        <v>0.53703703700000005</v>
      </c>
    </row>
    <row r="1011" spans="1:65" x14ac:dyDescent="0.2">
      <c r="A1011">
        <v>1</v>
      </c>
      <c r="B1011" t="s">
        <v>1541</v>
      </c>
      <c r="C1011">
        <v>626</v>
      </c>
      <c r="D1011" t="s">
        <v>155</v>
      </c>
      <c r="E1011">
        <v>0</v>
      </c>
      <c r="F1011" s="14" t="s">
        <v>82</v>
      </c>
      <c r="G1011" s="14" t="s">
        <v>82</v>
      </c>
      <c r="H1011" s="1">
        <v>7</v>
      </c>
      <c r="I1011" t="s">
        <v>87</v>
      </c>
      <c r="J1011" t="s">
        <v>111</v>
      </c>
      <c r="K1011" t="s">
        <v>109</v>
      </c>
      <c r="L1011">
        <v>2</v>
      </c>
      <c r="M1011">
        <v>1</v>
      </c>
      <c r="N1011">
        <v>0</v>
      </c>
      <c r="O1011">
        <v>0</v>
      </c>
      <c r="P1011">
        <v>0</v>
      </c>
      <c r="Q1011">
        <v>12</v>
      </c>
      <c r="R1011">
        <v>0</v>
      </c>
      <c r="S1011">
        <v>0</v>
      </c>
      <c r="T1011">
        <v>0</v>
      </c>
      <c r="U1011">
        <v>0</v>
      </c>
      <c r="V1011">
        <f t="shared" si="432"/>
        <v>0</v>
      </c>
      <c r="W1011">
        <f t="shared" si="434"/>
        <v>0</v>
      </c>
      <c r="X1011">
        <f t="shared" si="435"/>
        <v>0</v>
      </c>
      <c r="Y1011">
        <f t="shared" si="436"/>
        <v>0</v>
      </c>
      <c r="Z1011" t="s">
        <v>75</v>
      </c>
      <c r="AA1011" s="5" t="s">
        <v>75</v>
      </c>
      <c r="AB1011" s="5" t="s">
        <v>75</v>
      </c>
      <c r="AC1011" t="s">
        <v>137</v>
      </c>
      <c r="AD1011" t="s">
        <v>113</v>
      </c>
      <c r="AE1011" s="5" t="s">
        <v>1078</v>
      </c>
      <c r="AF1011" t="s">
        <v>287</v>
      </c>
      <c r="AG1011" t="s">
        <v>103</v>
      </c>
      <c r="AH1011">
        <f t="shared" si="455"/>
        <v>8.9568540000000002E-2</v>
      </c>
      <c r="AI1011">
        <f t="shared" si="456"/>
        <v>8.9568540000000002E-2</v>
      </c>
      <c r="AJ1011">
        <f t="shared" si="433"/>
        <v>8.9568540000000002E-2</v>
      </c>
      <c r="AK1011">
        <v>8.9568540000000002E-2</v>
      </c>
      <c r="AL1011">
        <v>0.12506871999999999</v>
      </c>
      <c r="AM1011">
        <v>0.12650274</v>
      </c>
      <c r="AN1011">
        <v>0.13133259999999999</v>
      </c>
      <c r="AO1011">
        <v>91.043145999999993</v>
      </c>
      <c r="AP1011">
        <v>87.493127999999999</v>
      </c>
      <c r="AQ1011">
        <v>87.349726000000004</v>
      </c>
      <c r="AR1011">
        <v>86.866739999999993</v>
      </c>
      <c r="AS1011" t="b">
        <v>0</v>
      </c>
      <c r="AT1011" t="b">
        <v>0</v>
      </c>
      <c r="AU1011" t="s">
        <v>77</v>
      </c>
      <c r="AV1011" t="s">
        <v>108</v>
      </c>
      <c r="AW1011" t="s">
        <v>783</v>
      </c>
      <c r="AX1011" t="s">
        <v>1277</v>
      </c>
      <c r="AY1011" t="s">
        <v>1423</v>
      </c>
      <c r="AZ1011" t="s">
        <v>109</v>
      </c>
      <c r="BA1011">
        <v>2</v>
      </c>
      <c r="BB1011">
        <v>0.28000000000000003</v>
      </c>
      <c r="BC1011">
        <v>5.4824560000000001E-2</v>
      </c>
      <c r="BD1011">
        <v>2.68252196314279E-2</v>
      </c>
      <c r="BE1011">
        <v>8.1649779631427902E-2</v>
      </c>
      <c r="BF1011">
        <f>IF(AK1011&lt;BE1011,1,0)</f>
        <v>0</v>
      </c>
      <c r="BG1011">
        <f>IF(AK1011&lt;BC1011,1,0)</f>
        <v>0</v>
      </c>
      <c r="BH1011">
        <f>VLOOKUP($B1011,[1]Data_Peer_with_peerVars!$B$2:$Z$1050,20,FALSE)</f>
        <v>0</v>
      </c>
      <c r="BI1011">
        <f>VLOOKUP($B1011,[1]Data_Peer_with_peerVars!$B$2:$Z$1050,21,FALSE)</f>
        <v>0</v>
      </c>
      <c r="BJ1011">
        <v>0</v>
      </c>
      <c r="BK1011">
        <f>VLOOKUP($B1011,[1]Data_Peer_with_peerVars!$B$2:$Z$1050,23,FALSE)</f>
        <v>54</v>
      </c>
      <c r="BL1011">
        <f>VLOOKUP($B1011,[1]Data_Peer_with_peerVars!$B$2:$Z$1050,24,FALSE)</f>
        <v>29</v>
      </c>
      <c r="BM1011">
        <f>VLOOKUP($B1011,[1]Data_Peer_with_peerVars!$B$2:$Z$1050,25,FALSE)</f>
        <v>0.53703703700000005</v>
      </c>
    </row>
    <row r="1012" spans="1:65" x14ac:dyDescent="0.2">
      <c r="A1012">
        <v>1</v>
      </c>
      <c r="B1012" t="s">
        <v>1542</v>
      </c>
      <c r="C1012">
        <v>627</v>
      </c>
      <c r="D1012" t="s">
        <v>155</v>
      </c>
      <c r="E1012">
        <v>0</v>
      </c>
      <c r="F1012" s="14" t="s">
        <v>82</v>
      </c>
      <c r="G1012" s="14" t="s">
        <v>82</v>
      </c>
      <c r="H1012" s="1">
        <v>4.6666666666666696</v>
      </c>
      <c r="I1012" t="s">
        <v>87</v>
      </c>
      <c r="J1012" t="s">
        <v>150</v>
      </c>
      <c r="K1012" t="s">
        <v>109</v>
      </c>
      <c r="L1012">
        <v>1</v>
      </c>
      <c r="M1012">
        <v>0</v>
      </c>
      <c r="N1012">
        <v>0</v>
      </c>
      <c r="O1012">
        <v>0</v>
      </c>
      <c r="P1012">
        <v>0</v>
      </c>
      <c r="Q1012">
        <v>6</v>
      </c>
      <c r="R1012">
        <v>1</v>
      </c>
      <c r="S1012">
        <v>1</v>
      </c>
      <c r="T1012">
        <v>1</v>
      </c>
      <c r="U1012">
        <v>1</v>
      </c>
      <c r="V1012">
        <f t="shared" si="432"/>
        <v>0</v>
      </c>
      <c r="W1012">
        <f t="shared" si="434"/>
        <v>0</v>
      </c>
      <c r="X1012">
        <f t="shared" si="435"/>
        <v>0</v>
      </c>
      <c r="Y1012">
        <f t="shared" si="436"/>
        <v>0</v>
      </c>
      <c r="Z1012" t="s">
        <v>89</v>
      </c>
      <c r="AA1012" s="5" t="s">
        <v>89</v>
      </c>
      <c r="AB1012" s="5" t="s">
        <v>577</v>
      </c>
      <c r="AC1012" t="s">
        <v>196</v>
      </c>
      <c r="AD1012" t="s">
        <v>173</v>
      </c>
      <c r="AE1012" s="5" t="s">
        <v>461</v>
      </c>
      <c r="AF1012" t="s">
        <v>198</v>
      </c>
      <c r="AG1012" t="s">
        <v>174</v>
      </c>
      <c r="AH1012">
        <f t="shared" si="455"/>
        <v>3.8630135000000003E-2</v>
      </c>
      <c r="AI1012">
        <f t="shared" si="456"/>
        <v>3.8630135000000003E-2</v>
      </c>
      <c r="AJ1012">
        <f t="shared" si="433"/>
        <v>3.8630135000000003E-2</v>
      </c>
      <c r="AK1012">
        <v>3.8630135000000003E-2</v>
      </c>
      <c r="AL1012">
        <v>4.0370975000000003E-2</v>
      </c>
      <c r="AM1012">
        <v>4.0570176999999999E-2</v>
      </c>
      <c r="AN1012">
        <v>4.0983605999999999E-2</v>
      </c>
      <c r="AO1012">
        <v>96.136986500000006</v>
      </c>
      <c r="AP1012">
        <v>95.962902499999998</v>
      </c>
      <c r="AQ1012">
        <v>95.942982299999997</v>
      </c>
      <c r="AR1012">
        <v>95.901639399999993</v>
      </c>
      <c r="AS1012" t="b">
        <v>0</v>
      </c>
      <c r="AT1012" t="b">
        <v>0</v>
      </c>
      <c r="AU1012" t="s">
        <v>92</v>
      </c>
      <c r="AV1012" t="s">
        <v>92</v>
      </c>
      <c r="AW1012" t="s">
        <v>783</v>
      </c>
      <c r="AX1012" t="s">
        <v>1277</v>
      </c>
      <c r="AY1012" t="s">
        <v>1278</v>
      </c>
      <c r="AZ1012" t="s">
        <v>109</v>
      </c>
      <c r="BA1012">
        <v>2</v>
      </c>
      <c r="BB1012">
        <v>0.14000000000000001</v>
      </c>
      <c r="BC1012">
        <v>2.6736494E-2</v>
      </c>
      <c r="BD1012">
        <v>2.13125818054995E-3</v>
      </c>
      <c r="BE1012">
        <v>2.8867752180549901E-2</v>
      </c>
      <c r="BF1012">
        <f>IF(AK1012&lt;BE1012,1,0)</f>
        <v>0</v>
      </c>
      <c r="BG1012">
        <f>IF(AK1012&lt;BC1012,1,0)</f>
        <v>0</v>
      </c>
      <c r="BH1012">
        <f>VLOOKUP($B1012,[1]Data_Peer_with_peerVars!$B$2:$Z$1050,20,FALSE)</f>
        <v>2</v>
      </c>
      <c r="BI1012">
        <f>VLOOKUP($B1012,[1]Data_Peer_with_peerVars!$B$2:$Z$1050,21,FALSE)</f>
        <v>1</v>
      </c>
      <c r="BJ1012">
        <f>VLOOKUP($B1012,[1]Data_Peer_with_peerVars!$B$2:$Z$1050,22,FALSE)</f>
        <v>0.5</v>
      </c>
      <c r="BK1012">
        <f>VLOOKUP($B1012,[1]Data_Peer_with_peerVars!$B$2:$Z$1050,23,FALSE)</f>
        <v>12</v>
      </c>
      <c r="BL1012">
        <f>VLOOKUP($B1012,[1]Data_Peer_with_peerVars!$B$2:$Z$1050,24,FALSE)</f>
        <v>4</v>
      </c>
      <c r="BM1012">
        <f>VLOOKUP($B1012,[1]Data_Peer_with_peerVars!$B$2:$Z$1050,25,FALSE)</f>
        <v>0.33333333300000001</v>
      </c>
    </row>
    <row r="1013" spans="1:65" x14ac:dyDescent="0.2">
      <c r="A1013">
        <v>1</v>
      </c>
      <c r="B1013" t="s">
        <v>1543</v>
      </c>
      <c r="C1013">
        <v>627</v>
      </c>
      <c r="D1013" t="s">
        <v>155</v>
      </c>
      <c r="E1013">
        <v>0</v>
      </c>
      <c r="F1013" s="14" t="s">
        <v>82</v>
      </c>
      <c r="G1013" s="14" t="s">
        <v>82</v>
      </c>
      <c r="H1013" s="1">
        <v>4.6666666666666696</v>
      </c>
      <c r="I1013" t="s">
        <v>87</v>
      </c>
      <c r="J1013" t="s">
        <v>150</v>
      </c>
      <c r="K1013" t="s">
        <v>109</v>
      </c>
      <c r="L1013">
        <v>1</v>
      </c>
      <c r="M1013">
        <v>0</v>
      </c>
      <c r="N1013">
        <v>0</v>
      </c>
      <c r="O1013">
        <v>0</v>
      </c>
      <c r="P1013">
        <v>0</v>
      </c>
      <c r="Q1013">
        <v>6</v>
      </c>
      <c r="R1013">
        <v>1</v>
      </c>
      <c r="S1013">
        <v>1</v>
      </c>
      <c r="T1013">
        <v>1</v>
      </c>
      <c r="U1013">
        <v>1</v>
      </c>
      <c r="V1013">
        <f t="shared" si="432"/>
        <v>0</v>
      </c>
      <c r="W1013">
        <f t="shared" si="434"/>
        <v>0</v>
      </c>
      <c r="X1013">
        <f t="shared" si="435"/>
        <v>0</v>
      </c>
      <c r="Y1013">
        <f t="shared" si="436"/>
        <v>0</v>
      </c>
      <c r="Z1013" t="s">
        <v>89</v>
      </c>
      <c r="AA1013" s="5" t="s">
        <v>89</v>
      </c>
      <c r="AB1013" s="5" t="s">
        <v>1432</v>
      </c>
      <c r="AC1013" t="s">
        <v>107</v>
      </c>
      <c r="AD1013" t="s">
        <v>95</v>
      </c>
      <c r="AE1013" s="5" t="s">
        <v>1544</v>
      </c>
      <c r="AF1013" t="s">
        <v>196</v>
      </c>
      <c r="AG1013" t="s">
        <v>173</v>
      </c>
      <c r="AH1013">
        <f t="shared" si="455"/>
        <v>4.8519738E-2</v>
      </c>
      <c r="AI1013">
        <f t="shared" si="456"/>
        <v>4.8519738E-2</v>
      </c>
      <c r="AJ1013">
        <f t="shared" si="433"/>
        <v>4.8519738E-2</v>
      </c>
      <c r="AK1013">
        <v>4.8519738E-2</v>
      </c>
      <c r="AL1013">
        <v>6.6192559999999998E-2</v>
      </c>
      <c r="AM1013">
        <v>6.8568299999999999E-2</v>
      </c>
      <c r="AN1013">
        <v>7.1818679999999996E-2</v>
      </c>
      <c r="AO1013">
        <v>95.148026200000004</v>
      </c>
      <c r="AP1013">
        <v>93.380744000000007</v>
      </c>
      <c r="AQ1013">
        <v>93.143169999999998</v>
      </c>
      <c r="AR1013">
        <v>92.818132000000006</v>
      </c>
      <c r="AS1013" t="b">
        <v>0</v>
      </c>
      <c r="AT1013" t="b">
        <v>0</v>
      </c>
      <c r="AU1013" t="s">
        <v>92</v>
      </c>
      <c r="AV1013" t="s">
        <v>92</v>
      </c>
      <c r="AW1013" t="s">
        <v>783</v>
      </c>
      <c r="AX1013" t="s">
        <v>1277</v>
      </c>
      <c r="AY1013" t="s">
        <v>1278</v>
      </c>
      <c r="AZ1013" t="s">
        <v>89</v>
      </c>
      <c r="BA1013" t="s">
        <v>82</v>
      </c>
      <c r="BB1013">
        <v>7.0000000000000007E-2</v>
      </c>
      <c r="BC1013">
        <v>2.6475456000000001E-2</v>
      </c>
      <c r="BD1013">
        <v>8.8330364056477401E-3</v>
      </c>
      <c r="BE1013">
        <v>3.53084924056477E-2</v>
      </c>
      <c r="BF1013">
        <f>IF(AK1013&lt;BE1013,1,0)</f>
        <v>0</v>
      </c>
      <c r="BG1013">
        <f>IF(AK1013&lt;BC1013,1,0)</f>
        <v>0</v>
      </c>
      <c r="BH1013">
        <f>VLOOKUP($B1013,[1]Data_Peer_with_peerVars!$B$2:$Z$1050,20,FALSE)</f>
        <v>2</v>
      </c>
      <c r="BI1013">
        <f>VLOOKUP($B1013,[1]Data_Peer_with_peerVars!$B$2:$Z$1050,21,FALSE)</f>
        <v>1</v>
      </c>
      <c r="BJ1013">
        <f>VLOOKUP($B1013,[1]Data_Peer_with_peerVars!$B$2:$Z$1050,22,FALSE)</f>
        <v>0.5</v>
      </c>
      <c r="BK1013">
        <f>VLOOKUP($B1013,[1]Data_Peer_with_peerVars!$B$2:$Z$1050,23,FALSE)</f>
        <v>12</v>
      </c>
      <c r="BL1013">
        <f>VLOOKUP($B1013,[1]Data_Peer_with_peerVars!$B$2:$Z$1050,24,FALSE)</f>
        <v>4</v>
      </c>
      <c r="BM1013">
        <f>VLOOKUP($B1013,[1]Data_Peer_with_peerVars!$B$2:$Z$1050,25,FALSE)</f>
        <v>0.33333333300000001</v>
      </c>
    </row>
    <row r="1014" spans="1:65" x14ac:dyDescent="0.2">
      <c r="A1014">
        <v>1</v>
      </c>
      <c r="B1014" t="s">
        <v>1545</v>
      </c>
      <c r="C1014">
        <v>628</v>
      </c>
      <c r="D1014" t="s">
        <v>155</v>
      </c>
      <c r="E1014">
        <v>0</v>
      </c>
      <c r="F1014" s="14" t="s">
        <v>82</v>
      </c>
      <c r="G1014" s="14" t="s">
        <v>82</v>
      </c>
      <c r="H1014" s="1">
        <v>7</v>
      </c>
      <c r="I1014" t="s">
        <v>87</v>
      </c>
      <c r="J1014" t="s">
        <v>111</v>
      </c>
      <c r="K1014" t="s">
        <v>109</v>
      </c>
      <c r="L1014">
        <v>1</v>
      </c>
      <c r="M1014">
        <v>0</v>
      </c>
      <c r="N1014">
        <v>0</v>
      </c>
      <c r="O1014">
        <v>0</v>
      </c>
      <c r="P1014">
        <v>0</v>
      </c>
      <c r="Q1014">
        <v>11</v>
      </c>
      <c r="R1014">
        <v>0</v>
      </c>
      <c r="S1014">
        <v>0</v>
      </c>
      <c r="T1014">
        <v>0</v>
      </c>
      <c r="U1014">
        <v>0</v>
      </c>
      <c r="V1014">
        <f t="shared" si="432"/>
        <v>1</v>
      </c>
      <c r="W1014">
        <v>1</v>
      </c>
      <c r="X1014">
        <v>1</v>
      </c>
      <c r="Y1014">
        <v>1</v>
      </c>
      <c r="Z1014" t="s">
        <v>91</v>
      </c>
      <c r="AA1014" s="5" t="s">
        <v>91</v>
      </c>
      <c r="AB1014" s="5" t="s">
        <v>962</v>
      </c>
      <c r="AC1014" t="s">
        <v>91</v>
      </c>
      <c r="AD1014" t="s">
        <v>73</v>
      </c>
      <c r="AE1014" s="5" t="s">
        <v>73</v>
      </c>
      <c r="AF1014" t="s">
        <v>137</v>
      </c>
      <c r="AG1014" t="s">
        <v>287</v>
      </c>
      <c r="AH1014">
        <f t="shared" si="455"/>
        <v>9.1356670000000001E-2</v>
      </c>
      <c r="AI1014">
        <f>AJ1014</f>
        <v>9.1356670000000001E-2</v>
      </c>
      <c r="AJ1014">
        <f t="shared" si="433"/>
        <v>9.1356670000000001E-2</v>
      </c>
      <c r="AK1014">
        <v>9.1356670000000001E-2</v>
      </c>
      <c r="AL1014">
        <v>0.12738679999999999</v>
      </c>
      <c r="AM1014">
        <v>0.13052975999999999</v>
      </c>
      <c r="AN1014">
        <v>0.13517203999999999</v>
      </c>
      <c r="AO1014">
        <v>90.864333000000002</v>
      </c>
      <c r="AP1014">
        <v>87.261319999999998</v>
      </c>
      <c r="AQ1014">
        <v>86.947023999999999</v>
      </c>
      <c r="AR1014">
        <v>86.482795999999993</v>
      </c>
      <c r="AS1014" t="b">
        <v>1</v>
      </c>
      <c r="AT1014" t="b">
        <v>0</v>
      </c>
      <c r="AU1014" t="s">
        <v>77</v>
      </c>
      <c r="AV1014" t="s">
        <v>78</v>
      </c>
      <c r="AW1014" t="s">
        <v>783</v>
      </c>
      <c r="AX1014" t="s">
        <v>1277</v>
      </c>
      <c r="AY1014" t="s">
        <v>1546</v>
      </c>
      <c r="AZ1014" t="s">
        <v>109</v>
      </c>
      <c r="BA1014">
        <v>4</v>
      </c>
      <c r="BB1014">
        <v>0.35</v>
      </c>
      <c r="BC1014">
        <v>9.0659339999999995E-3</v>
      </c>
      <c r="BD1014">
        <v>2.76583658862385E-3</v>
      </c>
      <c r="BE1014">
        <v>1.1831770588623799E-2</v>
      </c>
      <c r="BF1014">
        <f>IF(AK1014&lt;BE1014,1,0)</f>
        <v>0</v>
      </c>
      <c r="BG1014">
        <f>IF(AK1014&lt;BC1014,1,0)</f>
        <v>0</v>
      </c>
      <c r="BH1014">
        <f>VLOOKUP($B1014,[1]Data_Peer_with_peerVars!$B$2:$Z$1050,20,FALSE)</f>
        <v>11</v>
      </c>
      <c r="BI1014">
        <f>VLOOKUP($B1014,[1]Data_Peer_with_peerVars!$B$2:$Z$1050,21,FALSE)</f>
        <v>5</v>
      </c>
      <c r="BJ1014">
        <f>VLOOKUP($B1014,[1]Data_Peer_with_peerVars!$B$2:$Z$1050,22,FALSE)</f>
        <v>0.45454545499999999</v>
      </c>
      <c r="BK1014">
        <f>VLOOKUP($B1014,[1]Data_Peer_with_peerVars!$B$2:$Z$1050,23,FALSE)</f>
        <v>83</v>
      </c>
      <c r="BL1014">
        <f>VLOOKUP($B1014,[1]Data_Peer_with_peerVars!$B$2:$Z$1050,24,FALSE)</f>
        <v>37</v>
      </c>
      <c r="BM1014">
        <f>VLOOKUP($B1014,[1]Data_Peer_with_peerVars!$B$2:$Z$1050,25,FALSE)</f>
        <v>0.445783133</v>
      </c>
    </row>
    <row r="1015" spans="1:65" x14ac:dyDescent="0.2">
      <c r="A1015">
        <v>1</v>
      </c>
      <c r="B1015" t="s">
        <v>1547</v>
      </c>
      <c r="C1015">
        <v>629</v>
      </c>
      <c r="D1015" t="s">
        <v>68</v>
      </c>
      <c r="E1015">
        <v>0</v>
      </c>
      <c r="F1015">
        <v>702</v>
      </c>
      <c r="G1015" t="s">
        <v>97</v>
      </c>
      <c r="H1015" s="1">
        <v>5.2</v>
      </c>
      <c r="I1015" t="s">
        <v>87</v>
      </c>
      <c r="J1015" t="s">
        <v>150</v>
      </c>
      <c r="K1015" t="s">
        <v>109</v>
      </c>
      <c r="L1015">
        <v>1</v>
      </c>
      <c r="M1015">
        <v>1</v>
      </c>
      <c r="N1015">
        <v>1</v>
      </c>
      <c r="O1015">
        <v>0</v>
      </c>
      <c r="P1015">
        <v>0</v>
      </c>
      <c r="Q1015">
        <v>7</v>
      </c>
      <c r="R1015">
        <v>0</v>
      </c>
      <c r="S1015">
        <v>0</v>
      </c>
      <c r="T1015">
        <v>0</v>
      </c>
      <c r="U1015">
        <v>0</v>
      </c>
      <c r="V1015">
        <f t="shared" si="432"/>
        <v>0</v>
      </c>
      <c r="W1015">
        <f t="shared" si="434"/>
        <v>1</v>
      </c>
      <c r="X1015">
        <v>1</v>
      </c>
      <c r="Y1015">
        <v>1</v>
      </c>
      <c r="Z1015" t="s">
        <v>76</v>
      </c>
      <c r="AA1015" s="5" t="s">
        <v>76</v>
      </c>
      <c r="AB1015" s="5" t="s">
        <v>76</v>
      </c>
      <c r="AC1015" t="s">
        <v>74</v>
      </c>
      <c r="AD1015" t="s">
        <v>76</v>
      </c>
      <c r="AE1015" s="5" t="s">
        <v>76</v>
      </c>
      <c r="AF1015" t="s">
        <v>102</v>
      </c>
      <c r="AG1015" t="s">
        <v>167</v>
      </c>
      <c r="AH1015">
        <f t="shared" si="455"/>
        <v>0.12861823999999999</v>
      </c>
      <c r="AI1015">
        <f>AJ1015</f>
        <v>0.12861823999999999</v>
      </c>
      <c r="AJ1015">
        <f>AL1015</f>
        <v>0.12861823999999999</v>
      </c>
      <c r="AK1015">
        <v>0.12328767</v>
      </c>
      <c r="AL1015">
        <v>0.12861823999999999</v>
      </c>
      <c r="AM1015">
        <v>0.14094873999999999</v>
      </c>
      <c r="AN1015">
        <v>0.14164383999999999</v>
      </c>
      <c r="AO1015">
        <v>87.671233000000001</v>
      </c>
      <c r="AP1015">
        <v>87.138176000000001</v>
      </c>
      <c r="AQ1015">
        <v>85.905125999999996</v>
      </c>
      <c r="AR1015">
        <v>85.835616000000002</v>
      </c>
      <c r="AS1015" t="b">
        <v>0</v>
      </c>
      <c r="AT1015" t="b">
        <v>1</v>
      </c>
      <c r="AU1015" t="s">
        <v>78</v>
      </c>
      <c r="AV1015" t="s">
        <v>78</v>
      </c>
      <c r="AW1015" t="s">
        <v>783</v>
      </c>
      <c r="AX1015" t="s">
        <v>1298</v>
      </c>
      <c r="AY1015" t="s">
        <v>1298</v>
      </c>
      <c r="AZ1015" t="s">
        <v>109</v>
      </c>
      <c r="BA1015">
        <v>7</v>
      </c>
      <c r="BB1015">
        <v>0.17499999999999899</v>
      </c>
      <c r="BC1015">
        <v>2.4738868000000001E-3</v>
      </c>
      <c r="BD1015">
        <v>1.4256942275279999E-4</v>
      </c>
      <c r="BE1015">
        <v>2.6164562227527998E-3</v>
      </c>
      <c r="BF1015">
        <f>IF(AK1015&lt;BE1015,1,0)</f>
        <v>0</v>
      </c>
      <c r="BG1015">
        <f>IF(AK1015&lt;BC1015,1,0)</f>
        <v>0</v>
      </c>
      <c r="BH1015">
        <f>VLOOKUP($B1015,[1]Data_Peer_with_peerVars!$B$2:$Z$1050,20,FALSE)</f>
        <v>1</v>
      </c>
      <c r="BI1015">
        <f>VLOOKUP($B1015,[1]Data_Peer_with_peerVars!$B$2:$Z$1050,21,FALSE)</f>
        <v>0</v>
      </c>
      <c r="BJ1015">
        <f>VLOOKUP($B1015,[1]Data_Peer_with_peerVars!$B$2:$Z$1050,22,FALSE)</f>
        <v>0</v>
      </c>
      <c r="BK1015">
        <f>VLOOKUP($B1015,[1]Data_Peer_with_peerVars!$B$2:$Z$1050,23,FALSE)</f>
        <v>31</v>
      </c>
      <c r="BL1015">
        <f>VLOOKUP($B1015,[1]Data_Peer_with_peerVars!$B$2:$Z$1050,24,FALSE)</f>
        <v>10</v>
      </c>
      <c r="BM1015">
        <f>VLOOKUP($B1015,[1]Data_Peer_with_peerVars!$B$2:$Z$1050,25,FALSE)</f>
        <v>0.322580645</v>
      </c>
    </row>
    <row r="1016" spans="1:65" x14ac:dyDescent="0.2">
      <c r="A1016">
        <v>1</v>
      </c>
      <c r="B1016" t="s">
        <v>1548</v>
      </c>
      <c r="C1016">
        <v>629</v>
      </c>
      <c r="D1016" t="s">
        <v>68</v>
      </c>
      <c r="E1016">
        <v>0</v>
      </c>
      <c r="F1016">
        <v>702</v>
      </c>
      <c r="G1016" t="s">
        <v>97</v>
      </c>
      <c r="H1016" s="1">
        <v>5.2</v>
      </c>
      <c r="I1016" t="s">
        <v>87</v>
      </c>
      <c r="J1016" t="s">
        <v>150</v>
      </c>
      <c r="K1016" t="s">
        <v>109</v>
      </c>
      <c r="L1016">
        <v>1</v>
      </c>
      <c r="M1016">
        <v>1</v>
      </c>
      <c r="N1016">
        <v>1</v>
      </c>
      <c r="O1016">
        <v>0</v>
      </c>
      <c r="P1016">
        <v>0</v>
      </c>
      <c r="Q1016">
        <v>7</v>
      </c>
      <c r="R1016">
        <v>0</v>
      </c>
      <c r="S1016">
        <v>0</v>
      </c>
      <c r="T1016">
        <v>0</v>
      </c>
      <c r="U1016">
        <v>0</v>
      </c>
      <c r="V1016">
        <f t="shared" si="432"/>
        <v>1</v>
      </c>
      <c r="W1016">
        <v>1</v>
      </c>
      <c r="X1016">
        <v>1</v>
      </c>
      <c r="Y1016">
        <v>1</v>
      </c>
      <c r="Z1016" t="s">
        <v>103</v>
      </c>
      <c r="AA1016" s="5" t="s">
        <v>103</v>
      </c>
      <c r="AB1016" s="5" t="s">
        <v>1549</v>
      </c>
      <c r="AC1016" t="s">
        <v>103</v>
      </c>
      <c r="AD1016" t="s">
        <v>101</v>
      </c>
      <c r="AE1016" s="5" t="s">
        <v>101</v>
      </c>
      <c r="AF1016" t="s">
        <v>99</v>
      </c>
      <c r="AG1016" t="s">
        <v>137</v>
      </c>
      <c r="AH1016">
        <f t="shared" si="455"/>
        <v>3.0303031000000001E-2</v>
      </c>
      <c r="AI1016">
        <f>AJ1016</f>
        <v>3.0303031000000001E-2</v>
      </c>
      <c r="AJ1016">
        <f t="shared" si="433"/>
        <v>3.0303031000000001E-2</v>
      </c>
      <c r="AK1016">
        <v>3.0303031000000001E-2</v>
      </c>
      <c r="AL1016">
        <v>7.1742710000000001E-2</v>
      </c>
      <c r="AM1016">
        <v>0.10463832000000001</v>
      </c>
      <c r="AN1016">
        <v>0.13183807</v>
      </c>
      <c r="AO1016">
        <v>96.969696900000002</v>
      </c>
      <c r="AP1016">
        <v>92.825728999999995</v>
      </c>
      <c r="AQ1016">
        <v>89.536168000000004</v>
      </c>
      <c r="AR1016">
        <v>86.816192999999998</v>
      </c>
      <c r="AS1016" t="b">
        <v>1</v>
      </c>
      <c r="AT1016" t="b">
        <v>0</v>
      </c>
      <c r="AU1016" t="s">
        <v>77</v>
      </c>
      <c r="AV1016" t="s">
        <v>77</v>
      </c>
      <c r="AW1016" t="s">
        <v>783</v>
      </c>
      <c r="AX1016" t="s">
        <v>1298</v>
      </c>
      <c r="AY1016" t="s">
        <v>1298</v>
      </c>
      <c r="AZ1016" t="s">
        <v>109</v>
      </c>
      <c r="BA1016">
        <v>10</v>
      </c>
      <c r="BB1016">
        <v>0.7</v>
      </c>
      <c r="BC1016">
        <v>1.8406593999999998E-2</v>
      </c>
      <c r="BD1016">
        <v>3.30705390234067E-4</v>
      </c>
      <c r="BE1016">
        <v>1.8737299390234101E-2</v>
      </c>
      <c r="BF1016">
        <f>IF(AK1016&lt;BE1016,1,0)</f>
        <v>0</v>
      </c>
      <c r="BG1016">
        <f>IF(AK1016&lt;BC1016,1,0)</f>
        <v>0</v>
      </c>
      <c r="BH1016">
        <f>VLOOKUP($B1016,[1]Data_Peer_with_peerVars!$B$2:$Z$1050,20,FALSE)</f>
        <v>1</v>
      </c>
      <c r="BI1016">
        <f>VLOOKUP($B1016,[1]Data_Peer_with_peerVars!$B$2:$Z$1050,21,FALSE)</f>
        <v>0</v>
      </c>
      <c r="BJ1016">
        <f>VLOOKUP($B1016,[1]Data_Peer_with_peerVars!$B$2:$Z$1050,22,FALSE)</f>
        <v>0</v>
      </c>
      <c r="BK1016">
        <f>VLOOKUP($B1016,[1]Data_Peer_with_peerVars!$B$2:$Z$1050,23,FALSE)</f>
        <v>31</v>
      </c>
      <c r="BL1016">
        <f>VLOOKUP($B1016,[1]Data_Peer_with_peerVars!$B$2:$Z$1050,24,FALSE)</f>
        <v>10</v>
      </c>
      <c r="BM1016">
        <f>VLOOKUP($B1016,[1]Data_Peer_with_peerVars!$B$2:$Z$1050,25,FALSE)</f>
        <v>0.322580645</v>
      </c>
    </row>
    <row r="1017" spans="1:65" x14ac:dyDescent="0.2">
      <c r="A1017">
        <v>1</v>
      </c>
      <c r="B1017" t="s">
        <v>1550</v>
      </c>
      <c r="C1017">
        <v>629</v>
      </c>
      <c r="D1017" t="s">
        <v>68</v>
      </c>
      <c r="E1017">
        <v>0</v>
      </c>
      <c r="F1017">
        <v>702</v>
      </c>
      <c r="G1017" t="s">
        <v>97</v>
      </c>
      <c r="H1017" s="1">
        <v>5.2</v>
      </c>
      <c r="I1017" t="s">
        <v>87</v>
      </c>
      <c r="J1017" t="s">
        <v>150</v>
      </c>
      <c r="K1017" t="s">
        <v>109</v>
      </c>
      <c r="L1017">
        <v>1</v>
      </c>
      <c r="M1017">
        <v>1</v>
      </c>
      <c r="N1017">
        <v>1</v>
      </c>
      <c r="O1017">
        <v>0</v>
      </c>
      <c r="P1017">
        <v>0</v>
      </c>
      <c r="Q1017">
        <v>7</v>
      </c>
      <c r="R1017">
        <v>0</v>
      </c>
      <c r="S1017">
        <v>0</v>
      </c>
      <c r="T1017">
        <v>0</v>
      </c>
      <c r="U1017">
        <v>0</v>
      </c>
      <c r="V1017">
        <f t="shared" si="432"/>
        <v>0</v>
      </c>
      <c r="W1017">
        <f t="shared" si="434"/>
        <v>0</v>
      </c>
      <c r="X1017">
        <f t="shared" si="435"/>
        <v>0</v>
      </c>
      <c r="Y1017">
        <f t="shared" si="436"/>
        <v>0</v>
      </c>
      <c r="Z1017" t="s">
        <v>89</v>
      </c>
      <c r="AA1017" s="5" t="s">
        <v>89</v>
      </c>
      <c r="AB1017" s="5" t="s">
        <v>798</v>
      </c>
      <c r="AC1017" t="s">
        <v>91</v>
      </c>
      <c r="AD1017" t="s">
        <v>75</v>
      </c>
      <c r="AE1017" s="5" t="s">
        <v>75</v>
      </c>
      <c r="AF1017" t="s">
        <v>137</v>
      </c>
      <c r="AG1017" t="s">
        <v>287</v>
      </c>
      <c r="AH1017">
        <f t="shared" ref="AH1017:AH1021" si="457">AI1017</f>
        <v>0.12992342000000001</v>
      </c>
      <c r="AI1017">
        <f t="shared" ref="AI1017:AI1021" si="458">AJ1017</f>
        <v>0.12992342000000001</v>
      </c>
      <c r="AJ1017">
        <f t="shared" si="433"/>
        <v>0.12992342000000001</v>
      </c>
      <c r="AK1017">
        <v>0.12992342000000001</v>
      </c>
      <c r="AL1017">
        <v>0.13519429999999999</v>
      </c>
      <c r="AM1017">
        <v>0.14117968</v>
      </c>
      <c r="AN1017">
        <v>0.14855270000000001</v>
      </c>
      <c r="AO1017">
        <v>87.007658000000006</v>
      </c>
      <c r="AP1017">
        <v>86.48057</v>
      </c>
      <c r="AQ1017">
        <v>85.882031999999995</v>
      </c>
      <c r="AR1017">
        <v>85.144729999999996</v>
      </c>
      <c r="AS1017" t="b">
        <v>0</v>
      </c>
      <c r="AT1017" t="b">
        <v>0</v>
      </c>
      <c r="AU1017" t="s">
        <v>92</v>
      </c>
      <c r="AV1017" t="s">
        <v>92</v>
      </c>
      <c r="AW1017" t="s">
        <v>783</v>
      </c>
      <c r="AX1017" t="s">
        <v>1298</v>
      </c>
      <c r="AY1017" t="s">
        <v>1298</v>
      </c>
      <c r="AZ1017" t="s">
        <v>109</v>
      </c>
      <c r="BA1017">
        <v>2</v>
      </c>
      <c r="BB1017">
        <v>1</v>
      </c>
      <c r="BC1017">
        <v>9.0659339999999995E-3</v>
      </c>
      <c r="BD1017">
        <v>2.76583658862385E-3</v>
      </c>
      <c r="BE1017">
        <v>1.1831770588623799E-2</v>
      </c>
      <c r="BF1017">
        <f>IF(AK1017&lt;BE1017,1,0)</f>
        <v>0</v>
      </c>
      <c r="BG1017">
        <f>IF(AK1017&lt;BC1017,1,0)</f>
        <v>0</v>
      </c>
      <c r="BH1017">
        <f>VLOOKUP($B1017,[1]Data_Peer_with_peerVars!$B$2:$Z$1050,20,FALSE)</f>
        <v>1</v>
      </c>
      <c r="BI1017">
        <f>VLOOKUP($B1017,[1]Data_Peer_with_peerVars!$B$2:$Z$1050,21,FALSE)</f>
        <v>0</v>
      </c>
      <c r="BJ1017">
        <f>VLOOKUP($B1017,[1]Data_Peer_with_peerVars!$B$2:$Z$1050,22,FALSE)</f>
        <v>0</v>
      </c>
      <c r="BK1017">
        <f>VLOOKUP($B1017,[1]Data_Peer_with_peerVars!$B$2:$Z$1050,23,FALSE)</f>
        <v>31</v>
      </c>
      <c r="BL1017">
        <f>VLOOKUP($B1017,[1]Data_Peer_with_peerVars!$B$2:$Z$1050,24,FALSE)</f>
        <v>10</v>
      </c>
      <c r="BM1017">
        <f>VLOOKUP($B1017,[1]Data_Peer_with_peerVars!$B$2:$Z$1050,25,FALSE)</f>
        <v>0.322580645</v>
      </c>
    </row>
    <row r="1018" spans="1:65" x14ac:dyDescent="0.2">
      <c r="A1018">
        <v>1</v>
      </c>
      <c r="B1018" t="s">
        <v>1551</v>
      </c>
      <c r="C1018">
        <v>630</v>
      </c>
      <c r="D1018" t="s">
        <v>68</v>
      </c>
      <c r="E1018">
        <v>0</v>
      </c>
      <c r="F1018">
        <v>716</v>
      </c>
      <c r="G1018" t="s">
        <v>97</v>
      </c>
      <c r="H1018" s="1">
        <v>6.5</v>
      </c>
      <c r="I1018" t="s">
        <v>87</v>
      </c>
      <c r="J1018" t="s">
        <v>150</v>
      </c>
      <c r="K1018" t="s">
        <v>109</v>
      </c>
      <c r="L1018">
        <v>1</v>
      </c>
      <c r="M1018">
        <v>0</v>
      </c>
      <c r="N1018">
        <v>1</v>
      </c>
      <c r="O1018">
        <v>0</v>
      </c>
      <c r="P1018">
        <v>0</v>
      </c>
      <c r="Q1018">
        <v>9</v>
      </c>
      <c r="R1018">
        <v>0</v>
      </c>
      <c r="S1018">
        <v>0</v>
      </c>
      <c r="T1018">
        <v>0</v>
      </c>
      <c r="U1018">
        <v>0</v>
      </c>
      <c r="V1018">
        <f t="shared" si="432"/>
        <v>0</v>
      </c>
      <c r="W1018">
        <f t="shared" si="434"/>
        <v>0</v>
      </c>
      <c r="X1018">
        <f t="shared" si="435"/>
        <v>0</v>
      </c>
      <c r="Y1018">
        <f t="shared" si="436"/>
        <v>0</v>
      </c>
      <c r="Z1018" t="s">
        <v>76</v>
      </c>
      <c r="AA1018" s="5" t="s">
        <v>76</v>
      </c>
      <c r="AB1018" s="5" t="s">
        <v>1552</v>
      </c>
      <c r="AC1018" t="s">
        <v>74</v>
      </c>
      <c r="AD1018" t="s">
        <v>101</v>
      </c>
      <c r="AE1018" s="5" t="s">
        <v>101</v>
      </c>
      <c r="AF1018" t="s">
        <v>99</v>
      </c>
      <c r="AG1018" t="s">
        <v>102</v>
      </c>
      <c r="AH1018">
        <f t="shared" si="457"/>
        <v>0.10553728</v>
      </c>
      <c r="AI1018">
        <f t="shared" si="458"/>
        <v>0.10553728</v>
      </c>
      <c r="AJ1018">
        <f t="shared" si="433"/>
        <v>0.10553728</v>
      </c>
      <c r="AK1018">
        <v>0.10553728</v>
      </c>
      <c r="AL1018">
        <v>0.11923077</v>
      </c>
      <c r="AM1018">
        <v>0.122724764</v>
      </c>
      <c r="AN1018">
        <v>0.12814207</v>
      </c>
      <c r="AO1018">
        <v>89.446271999999993</v>
      </c>
      <c r="AP1018">
        <v>88.076922999999994</v>
      </c>
      <c r="AQ1018">
        <v>87.727523599999998</v>
      </c>
      <c r="AR1018">
        <v>87.185793000000004</v>
      </c>
      <c r="AS1018" t="b">
        <v>0</v>
      </c>
      <c r="AT1018" t="b">
        <v>0</v>
      </c>
      <c r="AU1018" t="s">
        <v>78</v>
      </c>
      <c r="AV1018" t="s">
        <v>78</v>
      </c>
      <c r="AW1018" t="s">
        <v>783</v>
      </c>
      <c r="AX1018" t="s">
        <v>1298</v>
      </c>
      <c r="AY1018" t="s">
        <v>1298</v>
      </c>
      <c r="AZ1018" t="s">
        <v>109</v>
      </c>
      <c r="BA1018">
        <v>2</v>
      </c>
      <c r="BB1018">
        <v>1</v>
      </c>
      <c r="BC1018">
        <v>2.4738868000000001E-3</v>
      </c>
      <c r="BD1018">
        <v>1.4256942275279999E-4</v>
      </c>
      <c r="BE1018">
        <v>2.6164562227527998E-3</v>
      </c>
      <c r="BF1018">
        <f>IF(AK1018&lt;BE1018,1,0)</f>
        <v>0</v>
      </c>
      <c r="BG1018">
        <f>IF(AK1018&lt;BC1018,1,0)</f>
        <v>0</v>
      </c>
      <c r="BH1018">
        <f>VLOOKUP($B1018,[1]Data_Peer_with_peerVars!$B$2:$Z$1050,20,FALSE)</f>
        <v>3</v>
      </c>
      <c r="BI1018">
        <f>VLOOKUP($B1018,[1]Data_Peer_with_peerVars!$B$2:$Z$1050,21,FALSE)</f>
        <v>2</v>
      </c>
      <c r="BJ1018">
        <f>VLOOKUP($B1018,[1]Data_Peer_with_peerVars!$B$2:$Z$1050,22,FALSE)</f>
        <v>0.66666666699999999</v>
      </c>
      <c r="BK1018">
        <f>VLOOKUP($B1018,[1]Data_Peer_with_peerVars!$B$2:$Z$1050,23,FALSE)</f>
        <v>43</v>
      </c>
      <c r="BL1018">
        <f>VLOOKUP($B1018,[1]Data_Peer_with_peerVars!$B$2:$Z$1050,24,FALSE)</f>
        <v>15</v>
      </c>
      <c r="BM1018">
        <f>VLOOKUP($B1018,[1]Data_Peer_with_peerVars!$B$2:$Z$1050,25,FALSE)</f>
        <v>0.34883720899999998</v>
      </c>
    </row>
    <row r="1019" spans="1:65" x14ac:dyDescent="0.2">
      <c r="A1019">
        <v>1</v>
      </c>
      <c r="B1019" t="s">
        <v>1553</v>
      </c>
      <c r="C1019">
        <v>631</v>
      </c>
      <c r="D1019" t="s">
        <v>68</v>
      </c>
      <c r="E1019">
        <v>1</v>
      </c>
      <c r="F1019">
        <v>717</v>
      </c>
      <c r="G1019" t="s">
        <v>69</v>
      </c>
      <c r="H1019" s="1">
        <v>7</v>
      </c>
      <c r="I1019" t="s">
        <v>70</v>
      </c>
      <c r="J1019" t="s">
        <v>301</v>
      </c>
      <c r="K1019" t="s">
        <v>109</v>
      </c>
      <c r="L1019">
        <v>1</v>
      </c>
      <c r="M1019">
        <v>1</v>
      </c>
      <c r="N1019">
        <v>0</v>
      </c>
      <c r="O1019">
        <v>0</v>
      </c>
      <c r="P1019">
        <v>0</v>
      </c>
      <c r="Q1019">
        <v>8</v>
      </c>
      <c r="R1019">
        <v>0</v>
      </c>
      <c r="S1019">
        <v>0</v>
      </c>
      <c r="T1019">
        <v>0</v>
      </c>
      <c r="U1019">
        <v>0</v>
      </c>
      <c r="V1019">
        <f t="shared" si="432"/>
        <v>0</v>
      </c>
      <c r="W1019">
        <f t="shared" si="434"/>
        <v>1</v>
      </c>
      <c r="X1019">
        <v>1</v>
      </c>
      <c r="Y1019">
        <v>1</v>
      </c>
      <c r="Z1019" t="s">
        <v>76</v>
      </c>
      <c r="AA1019" s="5" t="s">
        <v>76</v>
      </c>
      <c r="AB1019" s="5" t="s">
        <v>409</v>
      </c>
      <c r="AC1019" t="s">
        <v>74</v>
      </c>
      <c r="AD1019" t="s">
        <v>76</v>
      </c>
      <c r="AE1019" s="5" t="s">
        <v>76</v>
      </c>
      <c r="AF1019" t="s">
        <v>120</v>
      </c>
      <c r="AG1019" t="s">
        <v>75</v>
      </c>
      <c r="AH1019">
        <f t="shared" si="457"/>
        <v>8.7206124999999995E-2</v>
      </c>
      <c r="AI1019">
        <f t="shared" si="458"/>
        <v>8.7206124999999995E-2</v>
      </c>
      <c r="AJ1019">
        <f>AL1019</f>
        <v>8.7206124999999995E-2</v>
      </c>
      <c r="AK1019">
        <v>8.3379044999999999E-2</v>
      </c>
      <c r="AL1019">
        <v>8.7206124999999995E-2</v>
      </c>
      <c r="AM1019">
        <v>0.11645708</v>
      </c>
      <c r="AN1019">
        <v>0.11746988</v>
      </c>
      <c r="AO1019">
        <v>91.662095500000007</v>
      </c>
      <c r="AP1019">
        <v>91.279387499999999</v>
      </c>
      <c r="AQ1019">
        <v>88.354292000000001</v>
      </c>
      <c r="AR1019">
        <v>88.253011999999998</v>
      </c>
      <c r="AS1019" t="b">
        <v>0</v>
      </c>
      <c r="AT1019" t="b">
        <v>1</v>
      </c>
      <c r="AU1019" t="s">
        <v>77</v>
      </c>
      <c r="AV1019" t="s">
        <v>77</v>
      </c>
      <c r="AW1019" t="s">
        <v>783</v>
      </c>
      <c r="AX1019" t="s">
        <v>1298</v>
      </c>
      <c r="AY1019" t="s">
        <v>1298</v>
      </c>
      <c r="AZ1019" t="s">
        <v>109</v>
      </c>
      <c r="BA1019">
        <v>3</v>
      </c>
      <c r="BB1019">
        <v>2</v>
      </c>
      <c r="BC1019">
        <v>2.4738868000000001E-3</v>
      </c>
      <c r="BD1019">
        <v>1.4256942275279999E-4</v>
      </c>
      <c r="BE1019">
        <v>2.6164562227527998E-3</v>
      </c>
      <c r="BF1019">
        <f>IF(AK1019&lt;BE1019,1,0)</f>
        <v>0</v>
      </c>
      <c r="BG1019">
        <f>IF(AK1019&lt;BC1019,1,0)</f>
        <v>0</v>
      </c>
      <c r="BH1019">
        <f>VLOOKUP($B1019,[1]Data_Peer_with_peerVars!$B$2:$Z$1050,20,FALSE)</f>
        <v>2</v>
      </c>
      <c r="BI1019">
        <f>VLOOKUP($B1019,[1]Data_Peer_with_peerVars!$B$2:$Z$1050,21,FALSE)</f>
        <v>0</v>
      </c>
      <c r="BJ1019">
        <f>VLOOKUP($B1019,[1]Data_Peer_with_peerVars!$B$2:$Z$1050,22,FALSE)</f>
        <v>0</v>
      </c>
      <c r="BK1019">
        <f>VLOOKUP($B1019,[1]Data_Peer_with_peerVars!$B$2:$Z$1050,23,FALSE)</f>
        <v>42</v>
      </c>
      <c r="BL1019">
        <f>VLOOKUP($B1019,[1]Data_Peer_with_peerVars!$B$2:$Z$1050,24,FALSE)</f>
        <v>13</v>
      </c>
      <c r="BM1019">
        <f>VLOOKUP($B1019,[1]Data_Peer_with_peerVars!$B$2:$Z$1050,25,FALSE)</f>
        <v>0.30952381000000001</v>
      </c>
    </row>
    <row r="1020" spans="1:65" x14ac:dyDescent="0.2">
      <c r="A1020">
        <v>1</v>
      </c>
      <c r="B1020" t="s">
        <v>1554</v>
      </c>
      <c r="C1020">
        <v>631</v>
      </c>
      <c r="D1020" t="s">
        <v>68</v>
      </c>
      <c r="E1020">
        <v>1</v>
      </c>
      <c r="F1020">
        <v>717</v>
      </c>
      <c r="G1020" t="s">
        <v>69</v>
      </c>
      <c r="H1020" s="1">
        <v>7</v>
      </c>
      <c r="I1020" t="s">
        <v>70</v>
      </c>
      <c r="J1020" t="s">
        <v>301</v>
      </c>
      <c r="K1020" t="s">
        <v>109</v>
      </c>
      <c r="L1020">
        <v>1</v>
      </c>
      <c r="M1020">
        <v>1</v>
      </c>
      <c r="N1020">
        <v>0</v>
      </c>
      <c r="O1020">
        <v>0</v>
      </c>
      <c r="P1020">
        <v>0</v>
      </c>
      <c r="Q1020">
        <v>8</v>
      </c>
      <c r="R1020">
        <v>0</v>
      </c>
      <c r="S1020">
        <v>0</v>
      </c>
      <c r="T1020">
        <v>0</v>
      </c>
      <c r="U1020">
        <v>0</v>
      </c>
      <c r="V1020">
        <f t="shared" si="432"/>
        <v>1</v>
      </c>
      <c r="W1020">
        <v>1</v>
      </c>
      <c r="X1020">
        <v>1</v>
      </c>
      <c r="Y1020">
        <v>1</v>
      </c>
      <c r="Z1020" t="s">
        <v>91</v>
      </c>
      <c r="AA1020" s="5" t="s">
        <v>91</v>
      </c>
      <c r="AB1020" s="5" t="s">
        <v>1395</v>
      </c>
      <c r="AC1020" t="s">
        <v>91</v>
      </c>
      <c r="AD1020" t="s">
        <v>287</v>
      </c>
      <c r="AE1020" s="5" t="s">
        <v>287</v>
      </c>
      <c r="AF1020" t="s">
        <v>137</v>
      </c>
      <c r="AG1020" t="s">
        <v>84</v>
      </c>
      <c r="AH1020">
        <f t="shared" si="457"/>
        <v>9.8522169999999999E-3</v>
      </c>
      <c r="AI1020">
        <f t="shared" si="458"/>
        <v>9.8522169999999999E-3</v>
      </c>
      <c r="AJ1020">
        <f t="shared" si="433"/>
        <v>9.8522169999999999E-3</v>
      </c>
      <c r="AK1020">
        <v>9.8522169999999999E-3</v>
      </c>
      <c r="AL1020">
        <v>0.11761488</v>
      </c>
      <c r="AM1020">
        <v>0.12848551999999999</v>
      </c>
      <c r="AN1020">
        <v>0.13421342</v>
      </c>
      <c r="AO1020">
        <v>99.014778300000003</v>
      </c>
      <c r="AP1020">
        <v>88.238512</v>
      </c>
      <c r="AQ1020">
        <v>87.151448000000002</v>
      </c>
      <c r="AR1020">
        <v>86.578658000000004</v>
      </c>
      <c r="AS1020" t="b">
        <v>1</v>
      </c>
      <c r="AT1020" t="b">
        <v>0</v>
      </c>
      <c r="AU1020" t="s">
        <v>77</v>
      </c>
      <c r="AV1020" t="s">
        <v>78</v>
      </c>
      <c r="AW1020" t="s">
        <v>783</v>
      </c>
      <c r="AX1020" t="s">
        <v>1298</v>
      </c>
      <c r="AY1020" t="s">
        <v>1298</v>
      </c>
      <c r="AZ1020" t="s">
        <v>82</v>
      </c>
      <c r="BA1020" t="s">
        <v>82</v>
      </c>
      <c r="BB1020">
        <v>1</v>
      </c>
      <c r="BC1020">
        <v>9.0659339999999995E-3</v>
      </c>
      <c r="BD1020">
        <v>2.76583658862385E-3</v>
      </c>
      <c r="BE1020">
        <v>1.1831770588623799E-2</v>
      </c>
      <c r="BF1020">
        <f>IF(AK1020&lt;BE1020,1,0)</f>
        <v>1</v>
      </c>
      <c r="BG1020">
        <f>IF(AK1020&lt;BC1020,1,0)</f>
        <v>0</v>
      </c>
      <c r="BH1020">
        <f>VLOOKUP($B1020,[1]Data_Peer_with_peerVars!$B$2:$Z$1050,20,FALSE)</f>
        <v>2</v>
      </c>
      <c r="BI1020">
        <f>VLOOKUP($B1020,[1]Data_Peer_with_peerVars!$B$2:$Z$1050,21,FALSE)</f>
        <v>0</v>
      </c>
      <c r="BJ1020">
        <f>VLOOKUP($B1020,[1]Data_Peer_with_peerVars!$B$2:$Z$1050,22,FALSE)</f>
        <v>0</v>
      </c>
      <c r="BK1020">
        <f>VLOOKUP($B1020,[1]Data_Peer_with_peerVars!$B$2:$Z$1050,23,FALSE)</f>
        <v>42</v>
      </c>
      <c r="BL1020">
        <f>VLOOKUP($B1020,[1]Data_Peer_with_peerVars!$B$2:$Z$1050,24,FALSE)</f>
        <v>13</v>
      </c>
      <c r="BM1020">
        <f>VLOOKUP($B1020,[1]Data_Peer_with_peerVars!$B$2:$Z$1050,25,FALSE)</f>
        <v>0.30952381000000001</v>
      </c>
    </row>
    <row r="1021" spans="1:65" x14ac:dyDescent="0.2">
      <c r="A1021">
        <v>1</v>
      </c>
      <c r="B1021" t="s">
        <v>1555</v>
      </c>
      <c r="C1021">
        <v>632</v>
      </c>
      <c r="D1021" t="s">
        <v>68</v>
      </c>
      <c r="E1021">
        <v>1</v>
      </c>
      <c r="F1021">
        <v>693</v>
      </c>
      <c r="G1021" t="s">
        <v>86</v>
      </c>
      <c r="H1021" s="1">
        <v>7</v>
      </c>
      <c r="I1021" t="s">
        <v>70</v>
      </c>
      <c r="J1021" t="s">
        <v>301</v>
      </c>
      <c r="K1021" t="s">
        <v>109</v>
      </c>
      <c r="L1021">
        <v>1</v>
      </c>
      <c r="M1021">
        <v>0</v>
      </c>
      <c r="N1021">
        <v>0</v>
      </c>
      <c r="O1021">
        <v>0</v>
      </c>
      <c r="P1021">
        <v>0</v>
      </c>
      <c r="Q1021">
        <v>3</v>
      </c>
      <c r="R1021">
        <v>0</v>
      </c>
      <c r="S1021">
        <v>0</v>
      </c>
      <c r="T1021">
        <v>0</v>
      </c>
      <c r="U1021">
        <v>0</v>
      </c>
      <c r="V1021">
        <f t="shared" si="432"/>
        <v>1</v>
      </c>
      <c r="W1021">
        <v>1</v>
      </c>
      <c r="X1021">
        <v>1</v>
      </c>
      <c r="Y1021">
        <v>1</v>
      </c>
      <c r="Z1021" t="s">
        <v>120</v>
      </c>
      <c r="AA1021" s="5" t="s">
        <v>120</v>
      </c>
      <c r="AB1021" s="5" t="s">
        <v>120</v>
      </c>
      <c r="AC1021" t="s">
        <v>120</v>
      </c>
      <c r="AD1021" t="s">
        <v>74</v>
      </c>
      <c r="AE1021" s="5" t="s">
        <v>1014</v>
      </c>
      <c r="AF1021" t="s">
        <v>75</v>
      </c>
      <c r="AG1021" t="s">
        <v>167</v>
      </c>
      <c r="AH1021">
        <f t="shared" si="457"/>
        <v>3.1147541000000001E-2</v>
      </c>
      <c r="AI1021">
        <f t="shared" si="458"/>
        <v>3.1147541000000001E-2</v>
      </c>
      <c r="AJ1021">
        <f t="shared" si="433"/>
        <v>3.1147541000000001E-2</v>
      </c>
      <c r="AK1021">
        <v>3.1147541000000001E-2</v>
      </c>
      <c r="AL1021">
        <v>8.8767126000000002E-2</v>
      </c>
      <c r="AM1021">
        <v>8.9168490000000003E-2</v>
      </c>
      <c r="AN1021">
        <v>0.102796055</v>
      </c>
      <c r="AO1021">
        <v>96.885245900000001</v>
      </c>
      <c r="AP1021">
        <v>91.123287399999995</v>
      </c>
      <c r="AQ1021">
        <v>91.083151000000001</v>
      </c>
      <c r="AR1021">
        <v>89.720394499999998</v>
      </c>
      <c r="AS1021" t="b">
        <v>1</v>
      </c>
      <c r="AT1021" t="b">
        <v>0</v>
      </c>
      <c r="AU1021" t="s">
        <v>77</v>
      </c>
      <c r="AV1021" t="s">
        <v>108</v>
      </c>
      <c r="AW1021" t="s">
        <v>783</v>
      </c>
      <c r="AX1021" t="s">
        <v>1298</v>
      </c>
      <c r="AY1021" t="s">
        <v>1362</v>
      </c>
      <c r="AZ1021" t="s">
        <v>109</v>
      </c>
      <c r="BA1021">
        <v>6</v>
      </c>
      <c r="BB1021">
        <v>0.7</v>
      </c>
      <c r="BC1021">
        <v>4.6849314000000003E-2</v>
      </c>
      <c r="BD1021">
        <v>4.5250577219970098E-3</v>
      </c>
      <c r="BE1021">
        <v>5.1374371721996999E-2</v>
      </c>
      <c r="BF1021">
        <f>IF(AK1021&lt;BE1021,1,0)</f>
        <v>1</v>
      </c>
      <c r="BG1021">
        <f>IF(AK1021&lt;BC1021,1,0)</f>
        <v>1</v>
      </c>
      <c r="BH1021">
        <f>VLOOKUP($B1021,[1]Data_Peer_with_peerVars!$B$2:$Z$1050,20,FALSE)</f>
        <v>4</v>
      </c>
      <c r="BI1021">
        <f>VLOOKUP($B1021,[1]Data_Peer_with_peerVars!$B$2:$Z$1050,21,FALSE)</f>
        <v>1</v>
      </c>
      <c r="BJ1021">
        <f>VLOOKUP($B1021,[1]Data_Peer_with_peerVars!$B$2:$Z$1050,22,FALSE)</f>
        <v>0.25</v>
      </c>
      <c r="BK1021">
        <f>VLOOKUP($B1021,[1]Data_Peer_with_peerVars!$B$2:$Z$1050,23,FALSE)</f>
        <v>26</v>
      </c>
      <c r="BL1021">
        <f>VLOOKUP($B1021,[1]Data_Peer_with_peerVars!$B$2:$Z$1050,24,FALSE)</f>
        <v>7</v>
      </c>
      <c r="BM1021">
        <f>VLOOKUP($B1021,[1]Data_Peer_with_peerVars!$B$2:$Z$1050,25,FALSE)</f>
        <v>0.26923076899999998</v>
      </c>
    </row>
    <row r="1022" spans="1:65" x14ac:dyDescent="0.2">
      <c r="A1022">
        <v>1</v>
      </c>
      <c r="B1022" t="s">
        <v>1556</v>
      </c>
      <c r="C1022">
        <v>632</v>
      </c>
      <c r="D1022" t="s">
        <v>68</v>
      </c>
      <c r="E1022">
        <v>1</v>
      </c>
      <c r="F1022">
        <v>693</v>
      </c>
      <c r="G1022" t="s">
        <v>86</v>
      </c>
      <c r="H1022" s="1">
        <v>7</v>
      </c>
      <c r="I1022" t="s">
        <v>70</v>
      </c>
      <c r="J1022" t="s">
        <v>301</v>
      </c>
      <c r="K1022" t="s">
        <v>109</v>
      </c>
      <c r="L1022">
        <v>1</v>
      </c>
      <c r="M1022">
        <v>0</v>
      </c>
      <c r="N1022">
        <v>0</v>
      </c>
      <c r="O1022">
        <v>0</v>
      </c>
      <c r="P1022">
        <v>0</v>
      </c>
      <c r="Q1022">
        <v>3</v>
      </c>
      <c r="R1022">
        <v>0</v>
      </c>
      <c r="S1022">
        <v>0</v>
      </c>
      <c r="T1022">
        <v>1</v>
      </c>
      <c r="U1022">
        <v>1</v>
      </c>
      <c r="V1022">
        <f t="shared" si="432"/>
        <v>0</v>
      </c>
      <c r="W1022">
        <f t="shared" si="434"/>
        <v>0</v>
      </c>
      <c r="X1022">
        <f t="shared" si="435"/>
        <v>0</v>
      </c>
      <c r="Y1022">
        <f t="shared" si="436"/>
        <v>0</v>
      </c>
      <c r="Z1022" t="s">
        <v>91</v>
      </c>
      <c r="AA1022" s="5" t="s">
        <v>91</v>
      </c>
      <c r="AB1022" s="5" t="s">
        <v>1557</v>
      </c>
      <c r="AC1022" t="s">
        <v>73</v>
      </c>
      <c r="AD1022" t="s">
        <v>94</v>
      </c>
      <c r="AE1022" s="5" t="s">
        <v>106</v>
      </c>
      <c r="AF1022" t="s">
        <v>107</v>
      </c>
      <c r="AG1022" t="s">
        <v>95</v>
      </c>
      <c r="AH1022">
        <f>AI1022</f>
        <v>4.0916529999999998E-3</v>
      </c>
      <c r="AI1022">
        <f>AJ1022</f>
        <v>4.0916529999999998E-3</v>
      </c>
      <c r="AJ1022">
        <f t="shared" si="433"/>
        <v>4.0916529999999998E-3</v>
      </c>
      <c r="AK1022">
        <v>4.0916529999999998E-3</v>
      </c>
      <c r="AL1022">
        <v>0.13203936999999999</v>
      </c>
      <c r="AM1022">
        <v>0.13658803999999999</v>
      </c>
      <c r="AN1022">
        <v>0.13902571999999999</v>
      </c>
      <c r="AO1022">
        <v>99.590834700000002</v>
      </c>
      <c r="AP1022">
        <v>86.796063000000004</v>
      </c>
      <c r="AQ1022">
        <v>86.341195999999997</v>
      </c>
      <c r="AR1022">
        <v>86.097427999999994</v>
      </c>
      <c r="AS1022" t="b">
        <v>0</v>
      </c>
      <c r="AT1022" t="b">
        <v>0</v>
      </c>
      <c r="AU1022" t="s">
        <v>77</v>
      </c>
      <c r="AV1022" t="s">
        <v>108</v>
      </c>
      <c r="AW1022" t="s">
        <v>783</v>
      </c>
      <c r="AX1022" t="s">
        <v>1298</v>
      </c>
      <c r="AY1022" t="s">
        <v>1362</v>
      </c>
      <c r="AZ1022" t="s">
        <v>109</v>
      </c>
      <c r="BA1022">
        <v>2</v>
      </c>
      <c r="BB1022">
        <v>0.5</v>
      </c>
      <c r="BC1022">
        <v>4.1163553999999996E-3</v>
      </c>
      <c r="BD1022">
        <v>1.4279989108178799E-4</v>
      </c>
      <c r="BE1022">
        <v>4.2591552910817903E-3</v>
      </c>
      <c r="BF1022">
        <f>IF(AK1022&lt;BE1022,1,0)</f>
        <v>1</v>
      </c>
      <c r="BG1022">
        <f>IF(AK1022&lt;BC1022,1,0)</f>
        <v>1</v>
      </c>
      <c r="BH1022">
        <f>VLOOKUP($B1022,[1]Data_Peer_with_peerVars!$B$2:$Z$1050,20,FALSE)</f>
        <v>4</v>
      </c>
      <c r="BI1022">
        <f>VLOOKUP($B1022,[1]Data_Peer_with_peerVars!$B$2:$Z$1050,21,FALSE)</f>
        <v>1</v>
      </c>
      <c r="BJ1022">
        <f>VLOOKUP($B1022,[1]Data_Peer_with_peerVars!$B$2:$Z$1050,22,FALSE)</f>
        <v>0.25</v>
      </c>
      <c r="BK1022">
        <f>VLOOKUP($B1022,[1]Data_Peer_with_peerVars!$B$2:$Z$1050,23,FALSE)</f>
        <v>26</v>
      </c>
      <c r="BL1022">
        <f>VLOOKUP($B1022,[1]Data_Peer_with_peerVars!$B$2:$Z$1050,24,FALSE)</f>
        <v>7</v>
      </c>
      <c r="BM1022">
        <f>VLOOKUP($B1022,[1]Data_Peer_with_peerVars!$B$2:$Z$1050,25,FALSE)</f>
        <v>0.26923076899999998</v>
      </c>
    </row>
    <row r="1023" spans="1:65" x14ac:dyDescent="0.2">
      <c r="A1023">
        <v>1</v>
      </c>
      <c r="B1023" t="s">
        <v>1558</v>
      </c>
      <c r="C1023">
        <v>633</v>
      </c>
      <c r="D1023" t="s">
        <v>68</v>
      </c>
      <c r="E1023">
        <v>1</v>
      </c>
      <c r="F1023">
        <v>694</v>
      </c>
      <c r="G1023" t="s">
        <v>69</v>
      </c>
      <c r="H1023" s="1">
        <v>7</v>
      </c>
      <c r="I1023" t="s">
        <v>87</v>
      </c>
      <c r="J1023" t="s">
        <v>111</v>
      </c>
      <c r="K1023" t="s">
        <v>109</v>
      </c>
      <c r="L1023">
        <v>1</v>
      </c>
      <c r="M1023">
        <v>0</v>
      </c>
      <c r="N1023">
        <v>1</v>
      </c>
      <c r="O1023">
        <v>0</v>
      </c>
      <c r="P1023">
        <v>0</v>
      </c>
      <c r="Q1023">
        <v>6</v>
      </c>
      <c r="R1023">
        <v>0</v>
      </c>
      <c r="S1023">
        <v>0</v>
      </c>
      <c r="T1023">
        <v>0</v>
      </c>
      <c r="U1023">
        <v>0</v>
      </c>
      <c r="V1023">
        <f t="shared" si="432"/>
        <v>1</v>
      </c>
      <c r="W1023">
        <v>1</v>
      </c>
      <c r="X1023">
        <v>1</v>
      </c>
      <c r="Y1023">
        <v>1</v>
      </c>
      <c r="Z1023" t="s">
        <v>73</v>
      </c>
      <c r="AA1023" s="5" t="s">
        <v>73</v>
      </c>
      <c r="AB1023" s="5" t="s">
        <v>73</v>
      </c>
      <c r="AC1023" t="s">
        <v>73</v>
      </c>
      <c r="AD1023" t="s">
        <v>94</v>
      </c>
      <c r="AE1023" s="5" t="s">
        <v>106</v>
      </c>
      <c r="AF1023" t="s">
        <v>75</v>
      </c>
      <c r="AG1023" t="s">
        <v>95</v>
      </c>
      <c r="AH1023">
        <f>AI1023</f>
        <v>2.3718647999999998E-2</v>
      </c>
      <c r="AI1023">
        <f>AJ1023</f>
        <v>2.3718647999999998E-2</v>
      </c>
      <c r="AJ1023">
        <f t="shared" si="433"/>
        <v>2.3718647999999998E-2</v>
      </c>
      <c r="AK1023">
        <v>2.3718647999999998E-2</v>
      </c>
      <c r="AL1023">
        <v>0.13353358000000001</v>
      </c>
      <c r="AM1023">
        <v>0.13738368000000001</v>
      </c>
      <c r="AN1023">
        <v>0.1440678</v>
      </c>
      <c r="AO1023">
        <v>97.628135200000003</v>
      </c>
      <c r="AP1023">
        <v>86.646642</v>
      </c>
      <c r="AQ1023">
        <v>86.261632000000006</v>
      </c>
      <c r="AR1023">
        <v>85.593220000000002</v>
      </c>
      <c r="AS1023" t="b">
        <v>1</v>
      </c>
      <c r="AT1023" t="b">
        <v>0</v>
      </c>
      <c r="AU1023" t="s">
        <v>77</v>
      </c>
      <c r="AV1023" t="s">
        <v>108</v>
      </c>
      <c r="AW1023" t="s">
        <v>783</v>
      </c>
      <c r="AX1023" t="s">
        <v>1298</v>
      </c>
      <c r="AY1023" t="s">
        <v>1559</v>
      </c>
      <c r="AZ1023" t="s">
        <v>109</v>
      </c>
      <c r="BA1023">
        <v>2</v>
      </c>
      <c r="BB1023">
        <v>0.7</v>
      </c>
      <c r="BC1023">
        <v>4.1163553999999996E-3</v>
      </c>
      <c r="BD1023">
        <v>1.4279989108178799E-4</v>
      </c>
      <c r="BE1023">
        <v>4.2591552910817903E-3</v>
      </c>
      <c r="BF1023">
        <f>IF(AK1023&lt;BE1023,1,0)</f>
        <v>0</v>
      </c>
      <c r="BG1023">
        <f>IF(AK1023&lt;BC1023,1,0)</f>
        <v>0</v>
      </c>
      <c r="BH1023">
        <f>VLOOKUP($B1023,[1]Data_Peer_with_peerVars!$B$2:$Z$1050,20,FALSE)</f>
        <v>4</v>
      </c>
      <c r="BI1023">
        <f>VLOOKUP($B1023,[1]Data_Peer_with_peerVars!$B$2:$Z$1050,21,FALSE)</f>
        <v>1</v>
      </c>
      <c r="BJ1023">
        <f>VLOOKUP($B1023,[1]Data_Peer_with_peerVars!$B$2:$Z$1050,22,FALSE)</f>
        <v>0.25</v>
      </c>
      <c r="BK1023">
        <f>VLOOKUP($B1023,[1]Data_Peer_with_peerVars!$B$2:$Z$1050,23,FALSE)</f>
        <v>26</v>
      </c>
      <c r="BL1023">
        <f>VLOOKUP($B1023,[1]Data_Peer_with_peerVars!$B$2:$Z$1050,24,FALSE)</f>
        <v>7</v>
      </c>
      <c r="BM1023">
        <f>VLOOKUP($B1023,[1]Data_Peer_with_peerVars!$B$2:$Z$1050,25,FALSE)</f>
        <v>0.26923076899999998</v>
      </c>
    </row>
    <row r="1024" spans="1:65" x14ac:dyDescent="0.2">
      <c r="A1024">
        <v>1</v>
      </c>
      <c r="B1024" t="s">
        <v>1560</v>
      </c>
      <c r="C1024">
        <v>633</v>
      </c>
      <c r="D1024" t="s">
        <v>68</v>
      </c>
      <c r="E1024">
        <v>1</v>
      </c>
      <c r="F1024">
        <v>694</v>
      </c>
      <c r="G1024" t="s">
        <v>69</v>
      </c>
      <c r="H1024" s="1">
        <v>7</v>
      </c>
      <c r="I1024" t="s">
        <v>87</v>
      </c>
      <c r="J1024" t="s">
        <v>111</v>
      </c>
      <c r="K1024" t="s">
        <v>109</v>
      </c>
      <c r="L1024">
        <v>1</v>
      </c>
      <c r="M1024">
        <v>0</v>
      </c>
      <c r="N1024">
        <v>1</v>
      </c>
      <c r="O1024">
        <v>0</v>
      </c>
      <c r="P1024">
        <v>0</v>
      </c>
      <c r="Q1024">
        <v>6</v>
      </c>
      <c r="R1024">
        <v>1</v>
      </c>
      <c r="S1024">
        <v>1</v>
      </c>
      <c r="T1024">
        <v>1</v>
      </c>
      <c r="U1024">
        <v>1</v>
      </c>
      <c r="V1024">
        <f t="shared" si="432"/>
        <v>0</v>
      </c>
      <c r="W1024">
        <f t="shared" si="434"/>
        <v>0</v>
      </c>
      <c r="X1024">
        <f t="shared" si="435"/>
        <v>0</v>
      </c>
      <c r="Y1024">
        <f t="shared" si="436"/>
        <v>0</v>
      </c>
      <c r="Z1024" t="s">
        <v>177</v>
      </c>
      <c r="AA1024" s="5" t="s">
        <v>170</v>
      </c>
      <c r="AB1024" s="5" t="s">
        <v>1561</v>
      </c>
      <c r="AC1024" t="s">
        <v>107</v>
      </c>
      <c r="AD1024" t="s">
        <v>95</v>
      </c>
      <c r="AE1024" s="5" t="s">
        <v>95</v>
      </c>
      <c r="AF1024" t="s">
        <v>173</v>
      </c>
      <c r="AG1024" t="s">
        <v>174</v>
      </c>
      <c r="AH1024">
        <f t="shared" ref="AH1024:AH1025" si="459">AI1024</f>
        <v>9.0361439999999994E-3</v>
      </c>
      <c r="AI1024">
        <f t="shared" ref="AI1024:AI1027" si="460">AJ1024</f>
        <v>9.0361439999999994E-3</v>
      </c>
      <c r="AJ1024">
        <f t="shared" si="433"/>
        <v>9.0361439999999994E-3</v>
      </c>
      <c r="AK1024">
        <v>9.0361439999999994E-3</v>
      </c>
      <c r="AL1024">
        <v>7.7260270000000006E-2</v>
      </c>
      <c r="AM1024">
        <v>9.3767084000000001E-2</v>
      </c>
      <c r="AN1024">
        <v>9.7808220000000001E-2</v>
      </c>
      <c r="AO1024">
        <v>99.096385600000005</v>
      </c>
      <c r="AP1024">
        <v>92.273972999999998</v>
      </c>
      <c r="AQ1024">
        <v>90.623291600000002</v>
      </c>
      <c r="AR1024">
        <v>90.219177999999999</v>
      </c>
      <c r="AS1024" t="b">
        <v>0</v>
      </c>
      <c r="AT1024" t="b">
        <v>0</v>
      </c>
      <c r="AU1024" t="s">
        <v>92</v>
      </c>
      <c r="AV1024" t="s">
        <v>92</v>
      </c>
      <c r="AW1024" t="s">
        <v>783</v>
      </c>
      <c r="AX1024" t="s">
        <v>1298</v>
      </c>
      <c r="AY1024" t="s">
        <v>1559</v>
      </c>
      <c r="AZ1024" t="s">
        <v>109</v>
      </c>
      <c r="BA1024">
        <v>2</v>
      </c>
      <c r="BB1024">
        <v>0.7</v>
      </c>
      <c r="BC1024">
        <v>2.6475456000000001E-2</v>
      </c>
      <c r="BD1024">
        <v>8.8330364056477401E-3</v>
      </c>
      <c r="BE1024">
        <v>3.53084924056477E-2</v>
      </c>
      <c r="BF1024">
        <f>IF(AK1024&lt;BE1024,1,0)</f>
        <v>1</v>
      </c>
      <c r="BG1024">
        <f>IF(AK1024&lt;BC1024,1,0)</f>
        <v>1</v>
      </c>
      <c r="BH1024">
        <f>VLOOKUP($B1024,[1]Data_Peer_with_peerVars!$B$2:$Z$1050,20,FALSE)</f>
        <v>4</v>
      </c>
      <c r="BI1024">
        <f>VLOOKUP($B1024,[1]Data_Peer_with_peerVars!$B$2:$Z$1050,21,FALSE)</f>
        <v>1</v>
      </c>
      <c r="BJ1024">
        <f>VLOOKUP($B1024,[1]Data_Peer_with_peerVars!$B$2:$Z$1050,22,FALSE)</f>
        <v>0.25</v>
      </c>
      <c r="BK1024">
        <f>VLOOKUP($B1024,[1]Data_Peer_with_peerVars!$B$2:$Z$1050,23,FALSE)</f>
        <v>26</v>
      </c>
      <c r="BL1024">
        <f>VLOOKUP($B1024,[1]Data_Peer_with_peerVars!$B$2:$Z$1050,24,FALSE)</f>
        <v>7</v>
      </c>
      <c r="BM1024">
        <f>VLOOKUP($B1024,[1]Data_Peer_with_peerVars!$B$2:$Z$1050,25,FALSE)</f>
        <v>0.26923076899999998</v>
      </c>
    </row>
    <row r="1025" spans="1:65" x14ac:dyDescent="0.2">
      <c r="A1025">
        <v>1</v>
      </c>
      <c r="B1025" t="s">
        <v>1562</v>
      </c>
      <c r="C1025">
        <v>634</v>
      </c>
      <c r="D1025" t="s">
        <v>68</v>
      </c>
      <c r="E1025">
        <v>1</v>
      </c>
      <c r="F1025">
        <v>720</v>
      </c>
      <c r="G1025" t="s">
        <v>69</v>
      </c>
      <c r="H1025" s="1">
        <v>6</v>
      </c>
      <c r="I1025" t="s">
        <v>87</v>
      </c>
      <c r="J1025" t="s">
        <v>124</v>
      </c>
      <c r="K1025" t="s">
        <v>109</v>
      </c>
      <c r="L1025">
        <v>2</v>
      </c>
      <c r="M1025">
        <v>0</v>
      </c>
      <c r="N1025">
        <v>1</v>
      </c>
      <c r="O1025">
        <v>0</v>
      </c>
      <c r="P1025">
        <v>0</v>
      </c>
      <c r="Q1025">
        <v>4</v>
      </c>
      <c r="R1025">
        <v>1</v>
      </c>
      <c r="S1025">
        <v>1</v>
      </c>
      <c r="T1025">
        <v>1</v>
      </c>
      <c r="U1025">
        <v>1</v>
      </c>
      <c r="V1025">
        <f t="shared" si="432"/>
        <v>0</v>
      </c>
      <c r="W1025">
        <f t="shared" si="434"/>
        <v>0</v>
      </c>
      <c r="X1025">
        <f t="shared" si="435"/>
        <v>0</v>
      </c>
      <c r="Y1025">
        <f t="shared" si="436"/>
        <v>0</v>
      </c>
      <c r="Z1025" t="s">
        <v>177</v>
      </c>
      <c r="AA1025" s="5" t="s">
        <v>177</v>
      </c>
      <c r="AB1025" s="5" t="s">
        <v>1563</v>
      </c>
      <c r="AC1025" t="s">
        <v>196</v>
      </c>
      <c r="AD1025" t="s">
        <v>95</v>
      </c>
      <c r="AE1025" s="5" t="s">
        <v>1564</v>
      </c>
      <c r="AF1025" t="s">
        <v>173</v>
      </c>
      <c r="AG1025" t="s">
        <v>198</v>
      </c>
      <c r="AH1025">
        <f t="shared" si="459"/>
        <v>0.11397260400000001</v>
      </c>
      <c r="AI1025">
        <f t="shared" si="460"/>
        <v>0.11397260400000001</v>
      </c>
      <c r="AJ1025">
        <f t="shared" si="433"/>
        <v>0.11397260400000001</v>
      </c>
      <c r="AK1025">
        <v>0.11397260400000001</v>
      </c>
      <c r="AL1025">
        <v>0.11502732</v>
      </c>
      <c r="AM1025">
        <v>0.11620294</v>
      </c>
      <c r="AN1025">
        <v>0.116228074</v>
      </c>
      <c r="AO1025">
        <v>88.602739600000007</v>
      </c>
      <c r="AP1025">
        <v>88.497268000000005</v>
      </c>
      <c r="AQ1025">
        <v>88.379705999999999</v>
      </c>
      <c r="AR1025">
        <v>88.377192600000001</v>
      </c>
      <c r="AS1025" t="b">
        <v>0</v>
      </c>
      <c r="AT1025" t="b">
        <v>0</v>
      </c>
      <c r="AU1025" t="s">
        <v>92</v>
      </c>
      <c r="AV1025" t="s">
        <v>92</v>
      </c>
      <c r="AW1025" t="s">
        <v>783</v>
      </c>
      <c r="AX1025" t="s">
        <v>1298</v>
      </c>
      <c r="AY1025" t="s">
        <v>1362</v>
      </c>
      <c r="AZ1025" t="s">
        <v>109</v>
      </c>
      <c r="BA1025">
        <v>2</v>
      </c>
      <c r="BB1025">
        <v>0.14000000000000001</v>
      </c>
      <c r="BC1025">
        <v>2.6736494E-2</v>
      </c>
      <c r="BD1025">
        <v>2.13125818054995E-3</v>
      </c>
      <c r="BE1025">
        <v>2.8867752180549901E-2</v>
      </c>
      <c r="BF1025">
        <f>IF(AK1025&lt;BE1025,1,0)</f>
        <v>0</v>
      </c>
      <c r="BG1025">
        <f>IF(AK1025&lt;BC1025,1,0)</f>
        <v>0</v>
      </c>
      <c r="BH1025">
        <f>VLOOKUP($B1025,[1]Data_Peer_with_peerVars!$B$2:$Z$1050,20,FALSE)</f>
        <v>7</v>
      </c>
      <c r="BI1025">
        <f>VLOOKUP($B1025,[1]Data_Peer_with_peerVars!$B$2:$Z$1050,21,FALSE)</f>
        <v>5</v>
      </c>
      <c r="BJ1025">
        <f>VLOOKUP($B1025,[1]Data_Peer_with_peerVars!$B$2:$Z$1050,22,FALSE)</f>
        <v>0.71428571399999996</v>
      </c>
      <c r="BK1025">
        <f>VLOOKUP($B1025,[1]Data_Peer_with_peerVars!$B$2:$Z$1050,23,FALSE)</f>
        <v>77</v>
      </c>
      <c r="BL1025">
        <f>VLOOKUP($B1025,[1]Data_Peer_with_peerVars!$B$2:$Z$1050,24,FALSE)</f>
        <v>36</v>
      </c>
      <c r="BM1025">
        <f>VLOOKUP($B1025,[1]Data_Peer_with_peerVars!$B$2:$Z$1050,25,FALSE)</f>
        <v>0.46753246799999998</v>
      </c>
    </row>
    <row r="1026" spans="1:65" x14ac:dyDescent="0.2">
      <c r="A1026">
        <v>1</v>
      </c>
      <c r="B1026" t="s">
        <v>1565</v>
      </c>
      <c r="C1026">
        <v>635</v>
      </c>
      <c r="D1026" t="s">
        <v>68</v>
      </c>
      <c r="E1026">
        <v>1</v>
      </c>
      <c r="F1026">
        <v>734</v>
      </c>
      <c r="G1026" t="s">
        <v>86</v>
      </c>
      <c r="H1026" s="1">
        <v>7</v>
      </c>
      <c r="I1026" t="s">
        <v>87</v>
      </c>
      <c r="J1026" t="s">
        <v>111</v>
      </c>
      <c r="K1026" t="s">
        <v>109</v>
      </c>
      <c r="L1026">
        <v>2</v>
      </c>
      <c r="M1026">
        <v>0</v>
      </c>
      <c r="N1026">
        <v>1</v>
      </c>
      <c r="O1026">
        <v>0</v>
      </c>
      <c r="P1026">
        <v>0</v>
      </c>
      <c r="Q1026">
        <v>4</v>
      </c>
      <c r="R1026">
        <v>0</v>
      </c>
      <c r="S1026">
        <v>0</v>
      </c>
      <c r="T1026">
        <v>0</v>
      </c>
      <c r="U1026">
        <v>0</v>
      </c>
      <c r="V1026">
        <f t="shared" si="432"/>
        <v>0</v>
      </c>
      <c r="W1026">
        <f t="shared" si="434"/>
        <v>0</v>
      </c>
      <c r="X1026">
        <f t="shared" si="435"/>
        <v>0</v>
      </c>
      <c r="Y1026">
        <f t="shared" si="436"/>
        <v>1</v>
      </c>
      <c r="Z1026" t="s">
        <v>76</v>
      </c>
      <c r="AA1026" s="5" t="s">
        <v>76</v>
      </c>
      <c r="AB1026" s="5" t="s">
        <v>76</v>
      </c>
      <c r="AC1026" t="s">
        <v>99</v>
      </c>
      <c r="AD1026" t="s">
        <v>101</v>
      </c>
      <c r="AE1026" s="5" t="s">
        <v>1085</v>
      </c>
      <c r="AF1026" t="s">
        <v>103</v>
      </c>
      <c r="AG1026" t="s">
        <v>76</v>
      </c>
      <c r="AH1026">
        <f>AN1026</f>
        <v>0.13797814</v>
      </c>
      <c r="AI1026">
        <f t="shared" si="460"/>
        <v>0.12927232999999999</v>
      </c>
      <c r="AJ1026">
        <f t="shared" si="433"/>
        <v>0.12927232999999999</v>
      </c>
      <c r="AK1026">
        <v>0.12927232999999999</v>
      </c>
      <c r="AL1026">
        <v>0.12994505000000001</v>
      </c>
      <c r="AM1026">
        <v>0.13738987</v>
      </c>
      <c r="AN1026">
        <v>0.13797814</v>
      </c>
      <c r="AO1026">
        <v>87.072766999999999</v>
      </c>
      <c r="AP1026">
        <v>87.005494999999996</v>
      </c>
      <c r="AQ1026">
        <v>86.261013000000005</v>
      </c>
      <c r="AR1026">
        <v>86.202185999999998</v>
      </c>
      <c r="AS1026" t="b">
        <v>0</v>
      </c>
      <c r="AT1026" t="b">
        <v>0</v>
      </c>
      <c r="AU1026" t="s">
        <v>108</v>
      </c>
      <c r="AV1026" t="s">
        <v>108</v>
      </c>
      <c r="AW1026" t="s">
        <v>783</v>
      </c>
      <c r="AX1026" t="s">
        <v>1298</v>
      </c>
      <c r="AY1026" t="s">
        <v>1566</v>
      </c>
      <c r="AZ1026" t="s">
        <v>109</v>
      </c>
      <c r="BA1026">
        <v>5</v>
      </c>
      <c r="BB1026">
        <v>0.35</v>
      </c>
      <c r="BC1026">
        <v>2.4711695999999998E-2</v>
      </c>
      <c r="BD1026">
        <v>1.72884756304863E-3</v>
      </c>
      <c r="BE1026">
        <v>2.6440543563048601E-2</v>
      </c>
      <c r="BF1026">
        <f>IF(AK1026&lt;BE1026,1,0)</f>
        <v>0</v>
      </c>
      <c r="BG1026">
        <f>IF(AK1026&lt;BC1026,1,0)</f>
        <v>0</v>
      </c>
      <c r="BH1026">
        <f>VLOOKUP($B1026,[1]Data_Peer_with_peerVars!$B$2:$Z$1050,20,FALSE)</f>
        <v>4</v>
      </c>
      <c r="BI1026">
        <f>VLOOKUP($B1026,[1]Data_Peer_with_peerVars!$B$2:$Z$1050,21,FALSE)</f>
        <v>2</v>
      </c>
      <c r="BJ1026">
        <f>VLOOKUP($B1026,[1]Data_Peer_with_peerVars!$B$2:$Z$1050,22,FALSE)</f>
        <v>0.5</v>
      </c>
      <c r="BK1026">
        <f>VLOOKUP($B1026,[1]Data_Peer_with_peerVars!$B$2:$Z$1050,23,FALSE)</f>
        <v>40</v>
      </c>
      <c r="BL1026">
        <f>VLOOKUP($B1026,[1]Data_Peer_with_peerVars!$B$2:$Z$1050,24,FALSE)</f>
        <v>15</v>
      </c>
      <c r="BM1026">
        <f>VLOOKUP($B1026,[1]Data_Peer_with_peerVars!$B$2:$Z$1050,25,FALSE)</f>
        <v>0.375</v>
      </c>
    </row>
    <row r="1027" spans="1:65" x14ac:dyDescent="0.2">
      <c r="A1027">
        <v>1</v>
      </c>
      <c r="B1027" t="s">
        <v>1567</v>
      </c>
      <c r="C1027">
        <v>635</v>
      </c>
      <c r="D1027" t="s">
        <v>68</v>
      </c>
      <c r="E1027">
        <v>1</v>
      </c>
      <c r="F1027">
        <v>734</v>
      </c>
      <c r="G1027" t="s">
        <v>86</v>
      </c>
      <c r="H1027" s="1">
        <v>7</v>
      </c>
      <c r="I1027" t="s">
        <v>87</v>
      </c>
      <c r="J1027" t="s">
        <v>111</v>
      </c>
      <c r="K1027" t="s">
        <v>109</v>
      </c>
      <c r="L1027">
        <v>2</v>
      </c>
      <c r="M1027">
        <v>0</v>
      </c>
      <c r="N1027">
        <v>1</v>
      </c>
      <c r="O1027">
        <v>0</v>
      </c>
      <c r="P1027">
        <v>0</v>
      </c>
      <c r="Q1027">
        <v>4</v>
      </c>
      <c r="R1027">
        <v>0</v>
      </c>
      <c r="S1027">
        <v>0</v>
      </c>
      <c r="T1027">
        <v>0</v>
      </c>
      <c r="U1027">
        <v>0</v>
      </c>
      <c r="V1027">
        <f t="shared" ref="V1027:V1090" si="461">IF(Z1027=AC1027,1,0)</f>
        <v>0</v>
      </c>
      <c r="W1027">
        <f t="shared" ref="W1027:W1090" si="462">IF(Z1027=AD1027,1,0)</f>
        <v>0</v>
      </c>
      <c r="X1027">
        <f t="shared" si="435"/>
        <v>0</v>
      </c>
      <c r="Y1027">
        <f t="shared" ref="Y1027:Y1090" si="463">IF(Z1027=AG1027,1,0)</f>
        <v>0</v>
      </c>
      <c r="Z1027" t="s">
        <v>91</v>
      </c>
      <c r="AA1027" s="5" t="s">
        <v>91</v>
      </c>
      <c r="AB1027" s="5" t="s">
        <v>1568</v>
      </c>
      <c r="AC1027" t="s">
        <v>73</v>
      </c>
      <c r="AD1027" t="s">
        <v>75</v>
      </c>
      <c r="AE1027" s="5" t="s">
        <v>75</v>
      </c>
      <c r="AF1027" t="s">
        <v>94</v>
      </c>
      <c r="AG1027" t="s">
        <v>74</v>
      </c>
      <c r="AH1027">
        <f>AI1027</f>
        <v>6.2159213999999997E-2</v>
      </c>
      <c r="AI1027">
        <f t="shared" si="460"/>
        <v>6.2159213999999997E-2</v>
      </c>
      <c r="AJ1027">
        <f t="shared" ref="AJ1027:AJ1090" si="464">AK1027</f>
        <v>6.2159213999999997E-2</v>
      </c>
      <c r="AK1027">
        <v>6.2159213999999997E-2</v>
      </c>
      <c r="AL1027">
        <v>0.12561575999999999</v>
      </c>
      <c r="AM1027">
        <v>0.13817586000000001</v>
      </c>
      <c r="AN1027">
        <v>0.13925439000000001</v>
      </c>
      <c r="AO1027">
        <v>93.784078600000001</v>
      </c>
      <c r="AP1027">
        <v>87.438423999999998</v>
      </c>
      <c r="AQ1027">
        <v>86.182413999999994</v>
      </c>
      <c r="AR1027">
        <v>86.074561000000003</v>
      </c>
      <c r="AS1027" t="b">
        <v>0</v>
      </c>
      <c r="AT1027" t="b">
        <v>0</v>
      </c>
      <c r="AU1027" t="s">
        <v>77</v>
      </c>
      <c r="AV1027" t="s">
        <v>78</v>
      </c>
      <c r="AW1027" t="s">
        <v>783</v>
      </c>
      <c r="AX1027" t="s">
        <v>1298</v>
      </c>
      <c r="AY1027" t="s">
        <v>1566</v>
      </c>
      <c r="AZ1027" t="s">
        <v>109</v>
      </c>
      <c r="BA1027">
        <v>2</v>
      </c>
      <c r="BB1027">
        <v>0.35</v>
      </c>
      <c r="BC1027">
        <v>4.1163553999999996E-3</v>
      </c>
      <c r="BD1027">
        <v>1.4279989108178799E-4</v>
      </c>
      <c r="BE1027">
        <v>4.2591552910817903E-3</v>
      </c>
      <c r="BF1027">
        <f>IF(AK1027&lt;BE1027,1,0)</f>
        <v>0</v>
      </c>
      <c r="BG1027">
        <f>IF(AK1027&lt;BC1027,1,0)</f>
        <v>0</v>
      </c>
      <c r="BH1027">
        <f>VLOOKUP($B1027,[1]Data_Peer_with_peerVars!$B$2:$Z$1050,20,FALSE)</f>
        <v>4</v>
      </c>
      <c r="BI1027">
        <f>VLOOKUP($B1027,[1]Data_Peer_with_peerVars!$B$2:$Z$1050,21,FALSE)</f>
        <v>2</v>
      </c>
      <c r="BJ1027">
        <f>VLOOKUP($B1027,[1]Data_Peer_with_peerVars!$B$2:$Z$1050,22,FALSE)</f>
        <v>0.5</v>
      </c>
      <c r="BK1027">
        <f>VLOOKUP($B1027,[1]Data_Peer_with_peerVars!$B$2:$Z$1050,23,FALSE)</f>
        <v>40</v>
      </c>
      <c r="BL1027">
        <f>VLOOKUP($B1027,[1]Data_Peer_with_peerVars!$B$2:$Z$1050,24,FALSE)</f>
        <v>15</v>
      </c>
      <c r="BM1027">
        <f>VLOOKUP($B1027,[1]Data_Peer_with_peerVars!$B$2:$Z$1050,25,FALSE)</f>
        <v>0.375</v>
      </c>
    </row>
    <row r="1028" spans="1:65" x14ac:dyDescent="0.2">
      <c r="A1028">
        <v>1</v>
      </c>
      <c r="B1028" t="s">
        <v>1569</v>
      </c>
      <c r="C1028">
        <v>636</v>
      </c>
      <c r="D1028" t="s">
        <v>68</v>
      </c>
      <c r="E1028">
        <v>1</v>
      </c>
      <c r="F1028">
        <v>735</v>
      </c>
      <c r="G1028" t="s">
        <v>86</v>
      </c>
      <c r="H1028" s="1">
        <v>5</v>
      </c>
      <c r="I1028" t="s">
        <v>87</v>
      </c>
      <c r="J1028" t="s">
        <v>111</v>
      </c>
      <c r="K1028" t="s">
        <v>109</v>
      </c>
      <c r="L1028">
        <v>1</v>
      </c>
      <c r="M1028">
        <v>0</v>
      </c>
      <c r="N1028">
        <v>0</v>
      </c>
      <c r="O1028">
        <v>0</v>
      </c>
      <c r="P1028">
        <v>0</v>
      </c>
      <c r="Q1028">
        <v>0</v>
      </c>
      <c r="R1028">
        <v>0</v>
      </c>
      <c r="S1028">
        <v>0</v>
      </c>
      <c r="T1028">
        <v>1</v>
      </c>
      <c r="U1028">
        <v>1</v>
      </c>
      <c r="V1028">
        <f t="shared" si="461"/>
        <v>1</v>
      </c>
      <c r="W1028">
        <v>1</v>
      </c>
      <c r="X1028">
        <v>1</v>
      </c>
      <c r="Y1028">
        <v>1</v>
      </c>
      <c r="Z1028" t="s">
        <v>73</v>
      </c>
      <c r="AA1028" s="5" t="s">
        <v>73</v>
      </c>
      <c r="AB1028" s="5" t="s">
        <v>1570</v>
      </c>
      <c r="AC1028" t="s">
        <v>73</v>
      </c>
      <c r="AD1028" t="s">
        <v>94</v>
      </c>
      <c r="AE1028" s="5" t="s">
        <v>106</v>
      </c>
      <c r="AF1028" t="s">
        <v>107</v>
      </c>
      <c r="AG1028" t="s">
        <v>95</v>
      </c>
      <c r="AH1028">
        <f>AI1028</f>
        <v>4.0983603999999998E-3</v>
      </c>
      <c r="AI1028">
        <f>AJ1028</f>
        <v>4.0983603999999998E-3</v>
      </c>
      <c r="AJ1028">
        <f t="shared" si="464"/>
        <v>4.0983603999999998E-3</v>
      </c>
      <c r="AK1028">
        <v>4.0983603999999998E-3</v>
      </c>
      <c r="AL1028">
        <v>0.13170865000000001</v>
      </c>
      <c r="AM1028">
        <v>0.13666300000000001</v>
      </c>
      <c r="AN1028">
        <v>0.13882804000000001</v>
      </c>
      <c r="AO1028">
        <v>99.590163959999998</v>
      </c>
      <c r="AP1028">
        <v>86.829134999999994</v>
      </c>
      <c r="AQ1028">
        <v>86.333699999999993</v>
      </c>
      <c r="AR1028">
        <v>86.117196000000007</v>
      </c>
      <c r="AS1028" t="b">
        <v>1</v>
      </c>
      <c r="AT1028" t="b">
        <v>0</v>
      </c>
      <c r="AU1028" t="s">
        <v>77</v>
      </c>
      <c r="AV1028" t="s">
        <v>108</v>
      </c>
      <c r="AW1028" t="s">
        <v>783</v>
      </c>
      <c r="AX1028" t="s">
        <v>1298</v>
      </c>
      <c r="AY1028" t="s">
        <v>1362</v>
      </c>
      <c r="AZ1028" t="s">
        <v>109</v>
      </c>
      <c r="BA1028">
        <v>2</v>
      </c>
      <c r="BB1028">
        <v>0.35</v>
      </c>
      <c r="BC1028">
        <v>4.1163553999999996E-3</v>
      </c>
      <c r="BD1028">
        <v>1.4279989108178799E-4</v>
      </c>
      <c r="BE1028">
        <v>4.2591552910817903E-3</v>
      </c>
      <c r="BF1028">
        <f>IF(AK1028&lt;BE1028,1,0)</f>
        <v>1</v>
      </c>
      <c r="BG1028">
        <f>IF(AK1028&lt;BC1028,1,0)</f>
        <v>1</v>
      </c>
      <c r="BH1028">
        <f>VLOOKUP($B1028,[1]Data_Peer_with_peerVars!$B$2:$Z$1050,20,FALSE)</f>
        <v>13</v>
      </c>
      <c r="BI1028">
        <f>VLOOKUP($B1028,[1]Data_Peer_with_peerVars!$B$2:$Z$1050,21,FALSE)</f>
        <v>4</v>
      </c>
      <c r="BJ1028">
        <f>VLOOKUP($B1028,[1]Data_Peer_with_peerVars!$B$2:$Z$1050,22,FALSE)</f>
        <v>0.30769230800000003</v>
      </c>
      <c r="BK1028">
        <f>VLOOKUP($B1028,[1]Data_Peer_with_peerVars!$B$2:$Z$1050,23,FALSE)</f>
        <v>38</v>
      </c>
      <c r="BL1028">
        <f>VLOOKUP($B1028,[1]Data_Peer_with_peerVars!$B$2:$Z$1050,24,FALSE)</f>
        <v>14</v>
      </c>
      <c r="BM1028">
        <f>VLOOKUP($B1028,[1]Data_Peer_with_peerVars!$B$2:$Z$1050,25,FALSE)</f>
        <v>0.368421053</v>
      </c>
    </row>
    <row r="1029" spans="1:65" x14ac:dyDescent="0.2">
      <c r="A1029">
        <v>1</v>
      </c>
      <c r="B1029" t="s">
        <v>1571</v>
      </c>
      <c r="C1029">
        <v>636</v>
      </c>
      <c r="D1029" t="s">
        <v>68</v>
      </c>
      <c r="E1029">
        <v>1</v>
      </c>
      <c r="F1029">
        <v>735</v>
      </c>
      <c r="G1029" t="s">
        <v>86</v>
      </c>
      <c r="H1029" s="1">
        <v>5</v>
      </c>
      <c r="I1029" t="s">
        <v>87</v>
      </c>
      <c r="J1029" t="s">
        <v>111</v>
      </c>
      <c r="K1029" t="s">
        <v>109</v>
      </c>
      <c r="L1029">
        <v>1</v>
      </c>
      <c r="M1029">
        <v>0</v>
      </c>
      <c r="N1029">
        <v>0</v>
      </c>
      <c r="O1029">
        <v>0</v>
      </c>
      <c r="P1029">
        <v>0</v>
      </c>
      <c r="Q1029">
        <v>0</v>
      </c>
      <c r="R1029">
        <v>0</v>
      </c>
      <c r="S1029">
        <v>0</v>
      </c>
      <c r="T1029">
        <v>0</v>
      </c>
      <c r="U1029">
        <v>0</v>
      </c>
      <c r="V1029">
        <f t="shared" si="461"/>
        <v>0</v>
      </c>
      <c r="W1029">
        <f t="shared" si="462"/>
        <v>0</v>
      </c>
      <c r="X1029">
        <f t="shared" ref="X1029:X1091" si="465">IF(Z1029=AF1029,1,0)</f>
        <v>0</v>
      </c>
      <c r="Y1029">
        <f t="shared" si="463"/>
        <v>0</v>
      </c>
      <c r="Z1029" t="s">
        <v>73</v>
      </c>
      <c r="AA1029" s="5" t="s">
        <v>73</v>
      </c>
      <c r="AB1029" s="5" t="s">
        <v>1572</v>
      </c>
      <c r="AC1029" t="s">
        <v>84</v>
      </c>
      <c r="AD1029" t="s">
        <v>74</v>
      </c>
      <c r="AE1029" s="5" t="s">
        <v>565</v>
      </c>
      <c r="AF1029" t="s">
        <v>113</v>
      </c>
      <c r="AG1029" t="s">
        <v>76</v>
      </c>
      <c r="AH1029">
        <f>AI1029</f>
        <v>8.2462889999999997E-2</v>
      </c>
      <c r="AI1029">
        <f t="shared" ref="AI1029:AI1036" si="466">AJ1029</f>
        <v>8.2462889999999997E-2</v>
      </c>
      <c r="AJ1029">
        <f t="shared" si="464"/>
        <v>8.2462889999999997E-2</v>
      </c>
      <c r="AK1029">
        <v>8.2462889999999997E-2</v>
      </c>
      <c r="AL1029">
        <v>8.2692310000000005E-2</v>
      </c>
      <c r="AM1029">
        <v>9.2235683999999998E-2</v>
      </c>
      <c r="AN1029">
        <v>0.10158817000000001</v>
      </c>
      <c r="AO1029">
        <v>91.753710999999996</v>
      </c>
      <c r="AP1029">
        <v>91.730768999999995</v>
      </c>
      <c r="AQ1029">
        <v>90.776431599999995</v>
      </c>
      <c r="AR1029">
        <v>89.841183000000001</v>
      </c>
      <c r="AS1029" t="b">
        <v>0</v>
      </c>
      <c r="AT1029" t="b">
        <v>0</v>
      </c>
      <c r="AU1029" t="s">
        <v>108</v>
      </c>
      <c r="AV1029" t="s">
        <v>108</v>
      </c>
      <c r="AW1029" t="s">
        <v>783</v>
      </c>
      <c r="AX1029" t="s">
        <v>1298</v>
      </c>
      <c r="AY1029" t="s">
        <v>1362</v>
      </c>
      <c r="AZ1029" t="s">
        <v>109</v>
      </c>
      <c r="BA1029">
        <v>2</v>
      </c>
      <c r="BB1029">
        <v>0.35</v>
      </c>
      <c r="BC1029">
        <v>4.6780407000000003E-2</v>
      </c>
      <c r="BD1029">
        <v>6.0749635341231199E-3</v>
      </c>
      <c r="BE1029">
        <v>5.2855370534123099E-2</v>
      </c>
      <c r="BF1029">
        <f>IF(AK1029&lt;BE1029,1,0)</f>
        <v>0</v>
      </c>
      <c r="BG1029">
        <f>IF(AK1029&lt;BC1029,1,0)</f>
        <v>0</v>
      </c>
      <c r="BH1029">
        <f>VLOOKUP($B1029,[1]Data_Peer_with_peerVars!$B$2:$Z$1050,20,FALSE)</f>
        <v>13</v>
      </c>
      <c r="BI1029">
        <f>VLOOKUP($B1029,[1]Data_Peer_with_peerVars!$B$2:$Z$1050,21,FALSE)</f>
        <v>4</v>
      </c>
      <c r="BJ1029">
        <f>VLOOKUP($B1029,[1]Data_Peer_with_peerVars!$B$2:$Z$1050,22,FALSE)</f>
        <v>0.30769230800000003</v>
      </c>
      <c r="BK1029">
        <f>VLOOKUP($B1029,[1]Data_Peer_with_peerVars!$B$2:$Z$1050,23,FALSE)</f>
        <v>38</v>
      </c>
      <c r="BL1029">
        <f>VLOOKUP($B1029,[1]Data_Peer_with_peerVars!$B$2:$Z$1050,24,FALSE)</f>
        <v>14</v>
      </c>
      <c r="BM1029">
        <f>VLOOKUP($B1029,[1]Data_Peer_with_peerVars!$B$2:$Z$1050,25,FALSE)</f>
        <v>0.368421053</v>
      </c>
    </row>
    <row r="1030" spans="1:65" x14ac:dyDescent="0.2">
      <c r="A1030">
        <v>1</v>
      </c>
      <c r="B1030" t="s">
        <v>1573</v>
      </c>
      <c r="C1030">
        <v>637</v>
      </c>
      <c r="D1030" t="s">
        <v>68</v>
      </c>
      <c r="E1030">
        <v>1</v>
      </c>
      <c r="F1030">
        <v>409</v>
      </c>
      <c r="G1030" t="s">
        <v>86</v>
      </c>
      <c r="H1030" s="1">
        <v>7</v>
      </c>
      <c r="I1030" t="s">
        <v>87</v>
      </c>
      <c r="J1030" t="s">
        <v>150</v>
      </c>
      <c r="K1030" t="s">
        <v>109</v>
      </c>
      <c r="L1030">
        <v>1</v>
      </c>
      <c r="M1030">
        <v>0</v>
      </c>
      <c r="N1030">
        <v>1</v>
      </c>
      <c r="O1030">
        <v>0</v>
      </c>
      <c r="P1030">
        <v>0</v>
      </c>
      <c r="Q1030">
        <v>0</v>
      </c>
      <c r="R1030">
        <v>0</v>
      </c>
      <c r="S1030">
        <v>0</v>
      </c>
      <c r="T1030">
        <v>0</v>
      </c>
      <c r="U1030">
        <v>0</v>
      </c>
      <c r="V1030">
        <f t="shared" si="461"/>
        <v>0</v>
      </c>
      <c r="W1030">
        <f t="shared" si="462"/>
        <v>0</v>
      </c>
      <c r="X1030">
        <f t="shared" si="465"/>
        <v>0</v>
      </c>
      <c r="Y1030">
        <f t="shared" si="463"/>
        <v>1</v>
      </c>
      <c r="Z1030" t="s">
        <v>76</v>
      </c>
      <c r="AA1030" s="5" t="s">
        <v>76</v>
      </c>
      <c r="AB1030" s="5" t="s">
        <v>76</v>
      </c>
      <c r="AC1030" t="s">
        <v>74</v>
      </c>
      <c r="AD1030" t="s">
        <v>75</v>
      </c>
      <c r="AE1030" s="5" t="s">
        <v>75</v>
      </c>
      <c r="AF1030" t="s">
        <v>120</v>
      </c>
      <c r="AG1030" t="s">
        <v>76</v>
      </c>
      <c r="AH1030">
        <f>AN1030</f>
        <v>9.1182910000000006E-2</v>
      </c>
      <c r="AI1030">
        <f t="shared" si="466"/>
        <v>9.0410960000000002E-3</v>
      </c>
      <c r="AJ1030">
        <f t="shared" si="464"/>
        <v>9.0410960000000002E-3</v>
      </c>
      <c r="AK1030">
        <v>9.0410960000000002E-3</v>
      </c>
      <c r="AL1030">
        <v>8.7897039999999996E-2</v>
      </c>
      <c r="AM1030">
        <v>9.0759980000000004E-2</v>
      </c>
      <c r="AN1030">
        <v>9.1182910000000006E-2</v>
      </c>
      <c r="AO1030">
        <v>99.095890400000002</v>
      </c>
      <c r="AP1030">
        <v>91.210296</v>
      </c>
      <c r="AQ1030">
        <v>90.924002000000002</v>
      </c>
      <c r="AR1030">
        <v>90.881709000000001</v>
      </c>
      <c r="AS1030" t="b">
        <v>0</v>
      </c>
      <c r="AT1030" t="b">
        <v>0</v>
      </c>
      <c r="AU1030" t="s">
        <v>77</v>
      </c>
      <c r="AV1030" t="s">
        <v>77</v>
      </c>
      <c r="AW1030" t="s">
        <v>783</v>
      </c>
      <c r="AX1030" t="s">
        <v>1277</v>
      </c>
      <c r="AY1030" t="s">
        <v>1574</v>
      </c>
      <c r="AZ1030" t="s">
        <v>109</v>
      </c>
      <c r="BA1030">
        <v>3</v>
      </c>
      <c r="BB1030">
        <v>1.4</v>
      </c>
      <c r="BC1030">
        <v>2.4738868000000001E-3</v>
      </c>
      <c r="BD1030">
        <v>1.4256942275279999E-4</v>
      </c>
      <c r="BE1030">
        <v>2.6164562227527998E-3</v>
      </c>
      <c r="BF1030">
        <f>IF(AK1030&lt;BE1030,1,0)</f>
        <v>0</v>
      </c>
      <c r="BG1030">
        <f>IF(AK1030&lt;BC1030,1,0)</f>
        <v>0</v>
      </c>
      <c r="BH1030">
        <f>VLOOKUP($B1030,[1]Data_Peer_with_peerVars!$B$2:$Z$1050,20,FALSE)</f>
        <v>0</v>
      </c>
      <c r="BI1030">
        <f>VLOOKUP($B1030,[1]Data_Peer_with_peerVars!$B$2:$Z$1050,21,FALSE)</f>
        <v>0</v>
      </c>
      <c r="BJ1030">
        <v>0</v>
      </c>
      <c r="BK1030">
        <f>VLOOKUP($B1030,[1]Data_Peer_with_peerVars!$B$2:$Z$1050,23,FALSE)</f>
        <v>6</v>
      </c>
      <c r="BL1030">
        <f>VLOOKUP($B1030,[1]Data_Peer_with_peerVars!$B$2:$Z$1050,24,FALSE)</f>
        <v>1</v>
      </c>
      <c r="BM1030">
        <f>VLOOKUP($B1030,[1]Data_Peer_with_peerVars!$B$2:$Z$1050,25,FALSE)</f>
        <v>0.16666666699999999</v>
      </c>
    </row>
    <row r="1031" spans="1:65" x14ac:dyDescent="0.2">
      <c r="A1031">
        <v>1</v>
      </c>
      <c r="B1031" t="s">
        <v>1575</v>
      </c>
      <c r="C1031">
        <v>637</v>
      </c>
      <c r="D1031" t="s">
        <v>68</v>
      </c>
      <c r="E1031">
        <v>1</v>
      </c>
      <c r="F1031">
        <v>409</v>
      </c>
      <c r="G1031" t="s">
        <v>86</v>
      </c>
      <c r="H1031" s="1">
        <v>7</v>
      </c>
      <c r="I1031" t="s">
        <v>87</v>
      </c>
      <c r="J1031" t="s">
        <v>150</v>
      </c>
      <c r="K1031" t="s">
        <v>109</v>
      </c>
      <c r="L1031">
        <v>1</v>
      </c>
      <c r="M1031">
        <v>0</v>
      </c>
      <c r="N1031">
        <v>1</v>
      </c>
      <c r="O1031">
        <v>0</v>
      </c>
      <c r="P1031">
        <v>0</v>
      </c>
      <c r="Q1031">
        <v>0</v>
      </c>
      <c r="R1031">
        <v>0</v>
      </c>
      <c r="S1031">
        <v>0</v>
      </c>
      <c r="T1031">
        <v>1</v>
      </c>
      <c r="U1031">
        <v>1</v>
      </c>
      <c r="V1031">
        <f t="shared" si="461"/>
        <v>1</v>
      </c>
      <c r="W1031">
        <v>1</v>
      </c>
      <c r="X1031">
        <v>1</v>
      </c>
      <c r="Y1031">
        <v>1</v>
      </c>
      <c r="Z1031" t="s">
        <v>73</v>
      </c>
      <c r="AA1031" s="5" t="s">
        <v>73</v>
      </c>
      <c r="AB1031" s="5" t="s">
        <v>73</v>
      </c>
      <c r="AC1031" t="s">
        <v>73</v>
      </c>
      <c r="AD1031" t="s">
        <v>94</v>
      </c>
      <c r="AE1031" s="5" t="s">
        <v>106</v>
      </c>
      <c r="AF1031" t="s">
        <v>107</v>
      </c>
      <c r="AG1031" t="s">
        <v>95</v>
      </c>
      <c r="AH1031">
        <f t="shared" ref="AH1031:AH1036" si="467">AI1031</f>
        <v>3.8167940000000001E-3</v>
      </c>
      <c r="AI1031">
        <f t="shared" si="466"/>
        <v>3.8167940000000001E-3</v>
      </c>
      <c r="AJ1031">
        <f t="shared" si="464"/>
        <v>3.8167940000000001E-3</v>
      </c>
      <c r="AK1031">
        <v>3.8167940000000001E-3</v>
      </c>
      <c r="AL1031">
        <v>0.13169399000000001</v>
      </c>
      <c r="AM1031">
        <v>0.13623904000000001</v>
      </c>
      <c r="AN1031">
        <v>0.13867615</v>
      </c>
      <c r="AO1031">
        <v>99.618320600000004</v>
      </c>
      <c r="AP1031">
        <v>86.830601000000001</v>
      </c>
      <c r="AQ1031">
        <v>86.376096000000004</v>
      </c>
      <c r="AR1031">
        <v>86.132384999999999</v>
      </c>
      <c r="AS1031" t="b">
        <v>1</v>
      </c>
      <c r="AT1031" t="b">
        <v>0</v>
      </c>
      <c r="AU1031" t="s">
        <v>77</v>
      </c>
      <c r="AV1031" t="s">
        <v>108</v>
      </c>
      <c r="AW1031" t="s">
        <v>783</v>
      </c>
      <c r="AX1031" t="s">
        <v>1277</v>
      </c>
      <c r="AY1031" t="s">
        <v>1574</v>
      </c>
      <c r="AZ1031" t="s">
        <v>72</v>
      </c>
      <c r="BA1031" t="s">
        <v>82</v>
      </c>
      <c r="BB1031">
        <v>0.7</v>
      </c>
      <c r="BC1031">
        <v>4.1163553999999996E-3</v>
      </c>
      <c r="BD1031">
        <v>1.4279989108178799E-4</v>
      </c>
      <c r="BE1031">
        <v>4.2591552910817903E-3</v>
      </c>
      <c r="BF1031">
        <f>IF(AK1031&lt;BE1031,1,0)</f>
        <v>1</v>
      </c>
      <c r="BG1031">
        <f>IF(AK1031&lt;BC1031,1,0)</f>
        <v>1</v>
      </c>
      <c r="BH1031">
        <f>VLOOKUP($B1031,[1]Data_Peer_with_peerVars!$B$2:$Z$1050,20,FALSE)</f>
        <v>0</v>
      </c>
      <c r="BI1031">
        <f>VLOOKUP($B1031,[1]Data_Peer_with_peerVars!$B$2:$Z$1050,21,FALSE)</f>
        <v>0</v>
      </c>
      <c r="BJ1031">
        <v>0</v>
      </c>
      <c r="BK1031">
        <f>VLOOKUP($B1031,[1]Data_Peer_with_peerVars!$B$2:$Z$1050,23,FALSE)</f>
        <v>6</v>
      </c>
      <c r="BL1031">
        <f>VLOOKUP($B1031,[1]Data_Peer_with_peerVars!$B$2:$Z$1050,24,FALSE)</f>
        <v>1</v>
      </c>
      <c r="BM1031">
        <f>VLOOKUP($B1031,[1]Data_Peer_with_peerVars!$B$2:$Z$1050,25,FALSE)</f>
        <v>0.16666666699999999</v>
      </c>
    </row>
    <row r="1032" spans="1:65" x14ac:dyDescent="0.2">
      <c r="A1032">
        <v>1</v>
      </c>
      <c r="B1032" t="s">
        <v>1576</v>
      </c>
      <c r="C1032">
        <v>638</v>
      </c>
      <c r="D1032" t="s">
        <v>68</v>
      </c>
      <c r="E1032">
        <v>1</v>
      </c>
      <c r="F1032">
        <v>480</v>
      </c>
      <c r="G1032" t="s">
        <v>69</v>
      </c>
      <c r="H1032" s="1">
        <v>6</v>
      </c>
      <c r="I1032" t="s">
        <v>87</v>
      </c>
      <c r="J1032" t="s">
        <v>150</v>
      </c>
      <c r="K1032" t="s">
        <v>109</v>
      </c>
      <c r="L1032">
        <v>2</v>
      </c>
      <c r="M1032">
        <v>1</v>
      </c>
      <c r="N1032">
        <v>0</v>
      </c>
      <c r="O1032">
        <v>0</v>
      </c>
      <c r="P1032">
        <v>1</v>
      </c>
      <c r="Q1032">
        <v>9</v>
      </c>
      <c r="R1032">
        <v>0</v>
      </c>
      <c r="S1032">
        <v>0</v>
      </c>
      <c r="T1032">
        <v>0</v>
      </c>
      <c r="U1032">
        <v>0</v>
      </c>
      <c r="V1032">
        <f t="shared" si="461"/>
        <v>1</v>
      </c>
      <c r="W1032">
        <v>1</v>
      </c>
      <c r="X1032">
        <v>1</v>
      </c>
      <c r="Y1032">
        <v>1</v>
      </c>
      <c r="Z1032" t="s">
        <v>73</v>
      </c>
      <c r="AA1032" s="5" t="s">
        <v>73</v>
      </c>
      <c r="AB1032" s="5" t="s">
        <v>1577</v>
      </c>
      <c r="AC1032" t="s">
        <v>73</v>
      </c>
      <c r="AD1032" t="s">
        <v>287</v>
      </c>
      <c r="AE1032" s="5" t="s">
        <v>287</v>
      </c>
      <c r="AF1032" t="s">
        <v>137</v>
      </c>
      <c r="AG1032" t="s">
        <v>113</v>
      </c>
      <c r="AH1032">
        <f t="shared" si="467"/>
        <v>8.8331510000000002E-2</v>
      </c>
      <c r="AI1032">
        <f t="shared" si="466"/>
        <v>8.8331510000000002E-2</v>
      </c>
      <c r="AJ1032">
        <f t="shared" si="464"/>
        <v>8.8331510000000002E-2</v>
      </c>
      <c r="AK1032">
        <v>8.8331510000000002E-2</v>
      </c>
      <c r="AL1032">
        <v>0.10507642</v>
      </c>
      <c r="AM1032">
        <v>0.13073143000000001</v>
      </c>
      <c r="AN1032">
        <v>0.13866007</v>
      </c>
      <c r="AO1032">
        <v>91.166848999999999</v>
      </c>
      <c r="AP1032">
        <v>89.492357999999996</v>
      </c>
      <c r="AQ1032">
        <v>86.926856999999998</v>
      </c>
      <c r="AR1032">
        <v>86.133993000000004</v>
      </c>
      <c r="AS1032" t="b">
        <v>1</v>
      </c>
      <c r="AT1032" t="b">
        <v>0</v>
      </c>
      <c r="AU1032" t="s">
        <v>77</v>
      </c>
      <c r="AV1032" t="s">
        <v>78</v>
      </c>
      <c r="AW1032" t="s">
        <v>783</v>
      </c>
      <c r="AX1032" t="s">
        <v>1277</v>
      </c>
      <c r="AY1032" t="s">
        <v>1423</v>
      </c>
      <c r="AZ1032" t="s">
        <v>109</v>
      </c>
      <c r="BA1032">
        <v>2</v>
      </c>
      <c r="BB1032">
        <v>1.05</v>
      </c>
      <c r="BC1032">
        <v>4.1163553999999996E-3</v>
      </c>
      <c r="BD1032">
        <v>1.4279989108178799E-4</v>
      </c>
      <c r="BE1032">
        <v>4.2591552910817903E-3</v>
      </c>
      <c r="BF1032">
        <f>IF(AK1032&lt;BE1032,1,0)</f>
        <v>0</v>
      </c>
      <c r="BG1032">
        <f>IF(AK1032&lt;BC1032,1,0)</f>
        <v>0</v>
      </c>
      <c r="BH1032">
        <f>VLOOKUP($B1032,[1]Data_Peer_with_peerVars!$B$2:$Z$1050,20,FALSE)</f>
        <v>6</v>
      </c>
      <c r="BI1032">
        <f>VLOOKUP($B1032,[1]Data_Peer_with_peerVars!$B$2:$Z$1050,21,FALSE)</f>
        <v>6</v>
      </c>
      <c r="BJ1032">
        <f>VLOOKUP($B1032,[1]Data_Peer_with_peerVars!$B$2:$Z$1050,22,FALSE)</f>
        <v>1</v>
      </c>
      <c r="BK1032">
        <f>VLOOKUP($B1032,[1]Data_Peer_with_peerVars!$B$2:$Z$1050,23,FALSE)</f>
        <v>62</v>
      </c>
      <c r="BL1032">
        <f>VLOOKUP($B1032,[1]Data_Peer_with_peerVars!$B$2:$Z$1050,24,FALSE)</f>
        <v>31</v>
      </c>
      <c r="BM1032">
        <f>VLOOKUP($B1032,[1]Data_Peer_with_peerVars!$B$2:$Z$1050,25,FALSE)</f>
        <v>0.5</v>
      </c>
    </row>
    <row r="1033" spans="1:65" x14ac:dyDescent="0.2">
      <c r="A1033">
        <v>1</v>
      </c>
      <c r="B1033" t="s">
        <v>1578</v>
      </c>
      <c r="C1033">
        <v>639</v>
      </c>
      <c r="D1033" t="s">
        <v>68</v>
      </c>
      <c r="E1033">
        <v>1</v>
      </c>
      <c r="F1033">
        <v>565</v>
      </c>
      <c r="G1033" t="s">
        <v>69</v>
      </c>
      <c r="H1033" s="1">
        <v>7</v>
      </c>
      <c r="I1033" t="s">
        <v>87</v>
      </c>
      <c r="J1033" t="s">
        <v>150</v>
      </c>
      <c r="K1033" t="s">
        <v>109</v>
      </c>
      <c r="L1033">
        <v>1</v>
      </c>
      <c r="M1033">
        <v>0</v>
      </c>
      <c r="N1033">
        <v>1</v>
      </c>
      <c r="O1033">
        <v>0</v>
      </c>
      <c r="P1033">
        <v>0</v>
      </c>
      <c r="Q1033">
        <v>9</v>
      </c>
      <c r="R1033">
        <v>0</v>
      </c>
      <c r="S1033">
        <v>0</v>
      </c>
      <c r="T1033">
        <v>0</v>
      </c>
      <c r="U1033">
        <v>0</v>
      </c>
      <c r="V1033">
        <f t="shared" si="461"/>
        <v>1</v>
      </c>
      <c r="W1033">
        <v>1</v>
      </c>
      <c r="X1033">
        <v>1</v>
      </c>
      <c r="Y1033">
        <v>1</v>
      </c>
      <c r="Z1033" t="s">
        <v>76</v>
      </c>
      <c r="AA1033" s="5" t="s">
        <v>76</v>
      </c>
      <c r="AB1033" s="5" t="s">
        <v>76</v>
      </c>
      <c r="AC1033" t="s">
        <v>76</v>
      </c>
      <c r="AD1033" t="s">
        <v>74</v>
      </c>
      <c r="AE1033" s="5" t="s">
        <v>74</v>
      </c>
      <c r="AF1033" t="s">
        <v>120</v>
      </c>
      <c r="AG1033" t="s">
        <v>75</v>
      </c>
      <c r="AH1033">
        <f t="shared" si="467"/>
        <v>7.5914800000000004E-2</v>
      </c>
      <c r="AI1033">
        <f t="shared" si="466"/>
        <v>7.5914800000000004E-2</v>
      </c>
      <c r="AJ1033">
        <f t="shared" si="464"/>
        <v>7.5914800000000004E-2</v>
      </c>
      <c r="AK1033">
        <v>7.5914800000000004E-2</v>
      </c>
      <c r="AL1033">
        <v>9.3972600000000003E-2</v>
      </c>
      <c r="AM1033">
        <v>0.1215183</v>
      </c>
      <c r="AN1033">
        <v>0.12527352999999999</v>
      </c>
      <c r="AO1033">
        <v>92.408519999999996</v>
      </c>
      <c r="AP1033">
        <v>90.602739999999997</v>
      </c>
      <c r="AQ1033">
        <v>87.848169999999996</v>
      </c>
      <c r="AR1033">
        <v>87.472646999999995</v>
      </c>
      <c r="AS1033" t="b">
        <v>1</v>
      </c>
      <c r="AT1033" t="b">
        <v>0</v>
      </c>
      <c r="AU1033" t="s">
        <v>77</v>
      </c>
      <c r="AV1033" t="s">
        <v>77</v>
      </c>
      <c r="AW1033" t="s">
        <v>783</v>
      </c>
      <c r="AX1033" t="s">
        <v>1277</v>
      </c>
      <c r="AY1033" t="s">
        <v>1579</v>
      </c>
      <c r="AZ1033" t="s">
        <v>109</v>
      </c>
      <c r="BA1033">
        <v>3</v>
      </c>
      <c r="BB1033">
        <v>1.5</v>
      </c>
      <c r="BC1033">
        <v>7.7070764999999999E-2</v>
      </c>
      <c r="BD1033">
        <v>1.90190515067399E-3</v>
      </c>
      <c r="BE1033">
        <v>7.8972670150673996E-2</v>
      </c>
      <c r="BF1033">
        <f>IF(AK1033&lt;BE1033,1,0)</f>
        <v>1</v>
      </c>
      <c r="BG1033">
        <f>IF(AK1033&lt;BC1033,1,0)</f>
        <v>1</v>
      </c>
      <c r="BH1033">
        <f>VLOOKUP($B1033,[1]Data_Peer_with_peerVars!$B$2:$Z$1050,20,FALSE)</f>
        <v>2</v>
      </c>
      <c r="BI1033">
        <f>VLOOKUP($B1033,[1]Data_Peer_with_peerVars!$B$2:$Z$1050,21,FALSE)</f>
        <v>2</v>
      </c>
      <c r="BJ1033">
        <f>VLOOKUP($B1033,[1]Data_Peer_with_peerVars!$B$2:$Z$1050,22,FALSE)</f>
        <v>1</v>
      </c>
      <c r="BK1033">
        <f>VLOOKUP($B1033,[1]Data_Peer_with_peerVars!$B$2:$Z$1050,23,FALSE)</f>
        <v>29</v>
      </c>
      <c r="BL1033">
        <f>VLOOKUP($B1033,[1]Data_Peer_with_peerVars!$B$2:$Z$1050,24,FALSE)</f>
        <v>18</v>
      </c>
      <c r="BM1033">
        <f>VLOOKUP($B1033,[1]Data_Peer_with_peerVars!$B$2:$Z$1050,25,FALSE)</f>
        <v>0.62068965499999995</v>
      </c>
    </row>
    <row r="1034" spans="1:65" x14ac:dyDescent="0.2">
      <c r="A1034">
        <v>1</v>
      </c>
      <c r="B1034" t="s">
        <v>1580</v>
      </c>
      <c r="C1034">
        <v>640</v>
      </c>
      <c r="D1034" t="s">
        <v>68</v>
      </c>
      <c r="E1034">
        <v>0</v>
      </c>
      <c r="F1034">
        <v>583</v>
      </c>
      <c r="G1034" t="s">
        <v>119</v>
      </c>
      <c r="H1034" s="1">
        <v>7</v>
      </c>
      <c r="I1034" t="s">
        <v>87</v>
      </c>
      <c r="J1034" t="s">
        <v>111</v>
      </c>
      <c r="K1034" t="s">
        <v>109</v>
      </c>
      <c r="L1034">
        <v>1</v>
      </c>
      <c r="M1034">
        <v>0</v>
      </c>
      <c r="N1034">
        <v>0</v>
      </c>
      <c r="O1034">
        <v>1</v>
      </c>
      <c r="P1034">
        <v>1</v>
      </c>
      <c r="Q1034">
        <v>6</v>
      </c>
      <c r="R1034">
        <v>0</v>
      </c>
      <c r="S1034">
        <v>0</v>
      </c>
      <c r="T1034">
        <v>0</v>
      </c>
      <c r="U1034">
        <v>0</v>
      </c>
      <c r="V1034">
        <f t="shared" si="461"/>
        <v>1</v>
      </c>
      <c r="W1034">
        <v>1</v>
      </c>
      <c r="X1034">
        <v>1</v>
      </c>
      <c r="Y1034">
        <v>1</v>
      </c>
      <c r="Z1034" t="s">
        <v>73</v>
      </c>
      <c r="AA1034" s="5" t="s">
        <v>73</v>
      </c>
      <c r="AB1034" s="5" t="s">
        <v>73</v>
      </c>
      <c r="AC1034" t="s">
        <v>73</v>
      </c>
      <c r="AD1034" t="s">
        <v>94</v>
      </c>
      <c r="AE1034" s="5" t="s">
        <v>94</v>
      </c>
      <c r="AF1034" t="s">
        <v>75</v>
      </c>
      <c r="AG1034" t="s">
        <v>95</v>
      </c>
      <c r="AH1034">
        <f t="shared" si="467"/>
        <v>6.1068702000000002E-2</v>
      </c>
      <c r="AI1034">
        <f t="shared" si="466"/>
        <v>6.1068702000000002E-2</v>
      </c>
      <c r="AJ1034">
        <f t="shared" si="464"/>
        <v>6.1068702000000002E-2</v>
      </c>
      <c r="AK1034">
        <v>6.1068702000000002E-2</v>
      </c>
      <c r="AL1034">
        <v>0.118176855</v>
      </c>
      <c r="AM1034">
        <v>0.13047044999999999</v>
      </c>
      <c r="AN1034">
        <v>0.14234972000000001</v>
      </c>
      <c r="AO1034">
        <v>93.893129799999997</v>
      </c>
      <c r="AP1034">
        <v>88.182314500000004</v>
      </c>
      <c r="AQ1034">
        <v>86.952955000000003</v>
      </c>
      <c r="AR1034">
        <v>85.765028000000001</v>
      </c>
      <c r="AS1034" t="b">
        <v>1</v>
      </c>
      <c r="AT1034" t="b">
        <v>0</v>
      </c>
      <c r="AU1034" t="s">
        <v>77</v>
      </c>
      <c r="AV1034" t="s">
        <v>78</v>
      </c>
      <c r="AW1034" t="s">
        <v>783</v>
      </c>
      <c r="AX1034" t="s">
        <v>1277</v>
      </c>
      <c r="AY1034" t="s">
        <v>1423</v>
      </c>
      <c r="AZ1034" t="s">
        <v>109</v>
      </c>
      <c r="BA1034">
        <v>3</v>
      </c>
      <c r="BB1034">
        <v>1.7</v>
      </c>
      <c r="BC1034">
        <v>4.1163553999999996E-3</v>
      </c>
      <c r="BD1034">
        <v>1.4279989108178799E-4</v>
      </c>
      <c r="BE1034">
        <v>4.2591552910817903E-3</v>
      </c>
      <c r="BF1034">
        <f>IF(AK1034&lt;BE1034,1,0)</f>
        <v>0</v>
      </c>
      <c r="BG1034">
        <f>IF(AK1034&lt;BC1034,1,0)</f>
        <v>0</v>
      </c>
      <c r="BH1034">
        <f>VLOOKUP($B1034,[1]Data_Peer_with_peerVars!$B$2:$Z$1050,20,FALSE)</f>
        <v>6</v>
      </c>
      <c r="BI1034">
        <f>VLOOKUP($B1034,[1]Data_Peer_with_peerVars!$B$2:$Z$1050,21,FALSE)</f>
        <v>6</v>
      </c>
      <c r="BJ1034">
        <f>VLOOKUP($B1034,[1]Data_Peer_with_peerVars!$B$2:$Z$1050,22,FALSE)</f>
        <v>1</v>
      </c>
      <c r="BK1034">
        <f>VLOOKUP($B1034,[1]Data_Peer_with_peerVars!$B$2:$Z$1050,23,FALSE)</f>
        <v>57</v>
      </c>
      <c r="BL1034">
        <f>VLOOKUP($B1034,[1]Data_Peer_with_peerVars!$B$2:$Z$1050,24,FALSE)</f>
        <v>29</v>
      </c>
      <c r="BM1034">
        <f>VLOOKUP($B1034,[1]Data_Peer_with_peerVars!$B$2:$Z$1050,25,FALSE)</f>
        <v>0.50877192999999998</v>
      </c>
    </row>
    <row r="1035" spans="1:65" x14ac:dyDescent="0.2">
      <c r="A1035">
        <v>1</v>
      </c>
      <c r="B1035" t="s">
        <v>1581</v>
      </c>
      <c r="C1035">
        <v>641</v>
      </c>
      <c r="D1035" t="s">
        <v>68</v>
      </c>
      <c r="E1035">
        <v>0</v>
      </c>
      <c r="F1035">
        <v>470</v>
      </c>
      <c r="G1035" t="s">
        <v>119</v>
      </c>
      <c r="H1035" s="1">
        <v>7</v>
      </c>
      <c r="I1035" t="s">
        <v>87</v>
      </c>
      <c r="J1035" t="s">
        <v>124</v>
      </c>
      <c r="K1035" t="s">
        <v>109</v>
      </c>
      <c r="L1035">
        <v>1</v>
      </c>
      <c r="M1035">
        <v>0</v>
      </c>
      <c r="N1035">
        <v>0</v>
      </c>
      <c r="O1035">
        <v>0</v>
      </c>
      <c r="P1035">
        <v>0</v>
      </c>
      <c r="Q1035">
        <v>6</v>
      </c>
      <c r="R1035">
        <v>0</v>
      </c>
      <c r="S1035">
        <v>0</v>
      </c>
      <c r="T1035">
        <v>1</v>
      </c>
      <c r="U1035">
        <v>1</v>
      </c>
      <c r="V1035">
        <f t="shared" si="461"/>
        <v>1</v>
      </c>
      <c r="W1035">
        <v>1</v>
      </c>
      <c r="X1035">
        <v>1</v>
      </c>
      <c r="Y1035">
        <v>1</v>
      </c>
      <c r="Z1035" t="s">
        <v>73</v>
      </c>
      <c r="AA1035" s="5" t="s">
        <v>73</v>
      </c>
      <c r="AB1035" s="5" t="s">
        <v>73</v>
      </c>
      <c r="AC1035" t="s">
        <v>73</v>
      </c>
      <c r="AD1035" t="s">
        <v>94</v>
      </c>
      <c r="AE1035" s="5" t="s">
        <v>106</v>
      </c>
      <c r="AF1035" t="s">
        <v>107</v>
      </c>
      <c r="AG1035" t="s">
        <v>75</v>
      </c>
      <c r="AH1035">
        <f t="shared" si="467"/>
        <v>1.0905125E-2</v>
      </c>
      <c r="AI1035">
        <f t="shared" si="466"/>
        <v>1.0905125E-2</v>
      </c>
      <c r="AJ1035">
        <f t="shared" si="464"/>
        <v>1.0905125E-2</v>
      </c>
      <c r="AK1035">
        <v>1.0905125E-2</v>
      </c>
      <c r="AL1035">
        <v>0.12998361999999999</v>
      </c>
      <c r="AM1035">
        <v>0.13643835000000001</v>
      </c>
      <c r="AN1035">
        <v>0.13656267999999999</v>
      </c>
      <c r="AO1035">
        <v>98.909487499999997</v>
      </c>
      <c r="AP1035">
        <v>87.001638</v>
      </c>
      <c r="AQ1035">
        <v>86.356165000000004</v>
      </c>
      <c r="AR1035">
        <v>86.343732000000003</v>
      </c>
      <c r="AS1035" t="b">
        <v>1</v>
      </c>
      <c r="AT1035" t="b">
        <v>0</v>
      </c>
      <c r="AU1035" t="s">
        <v>77</v>
      </c>
      <c r="AV1035" t="s">
        <v>108</v>
      </c>
      <c r="AW1035" t="s">
        <v>783</v>
      </c>
      <c r="AX1035" t="s">
        <v>1277</v>
      </c>
      <c r="AY1035" t="s">
        <v>1419</v>
      </c>
      <c r="AZ1035" t="s">
        <v>109</v>
      </c>
      <c r="BA1035">
        <v>2</v>
      </c>
      <c r="BB1035">
        <v>1.05</v>
      </c>
      <c r="BC1035">
        <v>4.1163553999999996E-3</v>
      </c>
      <c r="BD1035">
        <v>1.4279989108178799E-4</v>
      </c>
      <c r="BE1035">
        <v>4.2591552910817903E-3</v>
      </c>
      <c r="BF1035">
        <f>IF(AK1035&lt;BE1035,1,0)</f>
        <v>0</v>
      </c>
      <c r="BG1035">
        <f>IF(AK1035&lt;BC1035,1,0)</f>
        <v>0</v>
      </c>
      <c r="BH1035">
        <f>VLOOKUP($B1035,[1]Data_Peer_with_peerVars!$B$2:$Z$1050,20,FALSE)</f>
        <v>7</v>
      </c>
      <c r="BI1035">
        <f>VLOOKUP($B1035,[1]Data_Peer_with_peerVars!$B$2:$Z$1050,21,FALSE)</f>
        <v>4</v>
      </c>
      <c r="BJ1035">
        <f>VLOOKUP($B1035,[1]Data_Peer_with_peerVars!$B$2:$Z$1050,22,FALSE)</f>
        <v>0.571428571</v>
      </c>
      <c r="BK1035">
        <f>VLOOKUP($B1035,[1]Data_Peer_with_peerVars!$B$2:$Z$1050,23,FALSE)</f>
        <v>77</v>
      </c>
      <c r="BL1035">
        <f>VLOOKUP($B1035,[1]Data_Peer_with_peerVars!$B$2:$Z$1050,24,FALSE)</f>
        <v>35</v>
      </c>
      <c r="BM1035">
        <f>VLOOKUP($B1035,[1]Data_Peer_with_peerVars!$B$2:$Z$1050,25,FALSE)</f>
        <v>0.45454545499999999</v>
      </c>
    </row>
    <row r="1036" spans="1:65" x14ac:dyDescent="0.2">
      <c r="A1036">
        <v>1</v>
      </c>
      <c r="B1036" t="s">
        <v>1582</v>
      </c>
      <c r="C1036">
        <v>642</v>
      </c>
      <c r="D1036" t="s">
        <v>68</v>
      </c>
      <c r="E1036">
        <v>0</v>
      </c>
      <c r="F1036">
        <v>471</v>
      </c>
      <c r="G1036" t="s">
        <v>119</v>
      </c>
      <c r="H1036" s="1">
        <v>7</v>
      </c>
      <c r="I1036" t="s">
        <v>70</v>
      </c>
      <c r="J1036" t="s">
        <v>436</v>
      </c>
      <c r="K1036" t="s">
        <v>109</v>
      </c>
      <c r="L1036">
        <v>2</v>
      </c>
      <c r="M1036">
        <v>0</v>
      </c>
      <c r="N1036">
        <v>0</v>
      </c>
      <c r="O1036">
        <v>0</v>
      </c>
      <c r="P1036">
        <v>0</v>
      </c>
      <c r="Q1036">
        <v>3</v>
      </c>
      <c r="R1036">
        <v>0</v>
      </c>
      <c r="S1036">
        <v>0</v>
      </c>
      <c r="T1036">
        <v>0</v>
      </c>
      <c r="U1036">
        <v>0</v>
      </c>
      <c r="V1036">
        <f t="shared" si="461"/>
        <v>1</v>
      </c>
      <c r="W1036">
        <v>1</v>
      </c>
      <c r="X1036">
        <v>1</v>
      </c>
      <c r="Y1036">
        <v>1</v>
      </c>
      <c r="Z1036" t="s">
        <v>73</v>
      </c>
      <c r="AA1036" s="5" t="s">
        <v>73</v>
      </c>
      <c r="AB1036" s="5" t="s">
        <v>73</v>
      </c>
      <c r="AC1036" t="s">
        <v>73</v>
      </c>
      <c r="AD1036" t="s">
        <v>91</v>
      </c>
      <c r="AE1036" s="5" t="s">
        <v>91</v>
      </c>
      <c r="AF1036" t="s">
        <v>94</v>
      </c>
      <c r="AG1036" t="s">
        <v>75</v>
      </c>
      <c r="AH1036">
        <f t="shared" si="467"/>
        <v>0.10632497</v>
      </c>
      <c r="AI1036">
        <f t="shared" si="466"/>
        <v>0.10632497</v>
      </c>
      <c r="AJ1036">
        <f t="shared" si="464"/>
        <v>0.10632497</v>
      </c>
      <c r="AK1036">
        <v>0.10632497</v>
      </c>
      <c r="AL1036">
        <v>0.110989615</v>
      </c>
      <c r="AM1036">
        <v>0.13673581000000001</v>
      </c>
      <c r="AN1036">
        <v>0.14113785000000001</v>
      </c>
      <c r="AO1036">
        <v>89.367502999999999</v>
      </c>
      <c r="AP1036">
        <v>88.901038499999999</v>
      </c>
      <c r="AQ1036">
        <v>86.326419000000001</v>
      </c>
      <c r="AR1036">
        <v>85.886215000000007</v>
      </c>
      <c r="AS1036" t="b">
        <v>1</v>
      </c>
      <c r="AT1036" t="b">
        <v>0</v>
      </c>
      <c r="AU1036" t="s">
        <v>78</v>
      </c>
      <c r="AV1036" t="s">
        <v>78</v>
      </c>
      <c r="AW1036" t="s">
        <v>783</v>
      </c>
      <c r="AX1036" t="s">
        <v>1277</v>
      </c>
      <c r="AY1036" t="s">
        <v>1437</v>
      </c>
      <c r="AZ1036" t="s">
        <v>109</v>
      </c>
      <c r="BA1036">
        <v>2</v>
      </c>
      <c r="BB1036">
        <v>1.05</v>
      </c>
      <c r="BC1036">
        <v>4.1163553999999996E-3</v>
      </c>
      <c r="BD1036">
        <v>1.4279989108178799E-4</v>
      </c>
      <c r="BE1036">
        <v>4.2591552910817903E-3</v>
      </c>
      <c r="BF1036">
        <f>IF(AK1036&lt;BE1036,1,0)</f>
        <v>0</v>
      </c>
      <c r="BG1036">
        <f>IF(AK1036&lt;BC1036,1,0)</f>
        <v>0</v>
      </c>
      <c r="BH1036">
        <f>VLOOKUP($B1036,[1]Data_Peer_with_peerVars!$B$2:$Z$1050,20,FALSE)</f>
        <v>6</v>
      </c>
      <c r="BI1036">
        <f>VLOOKUP($B1036,[1]Data_Peer_with_peerVars!$B$2:$Z$1050,21,FALSE)</f>
        <v>6</v>
      </c>
      <c r="BJ1036">
        <f>VLOOKUP($B1036,[1]Data_Peer_with_peerVars!$B$2:$Z$1050,22,FALSE)</f>
        <v>1</v>
      </c>
      <c r="BK1036">
        <f>VLOOKUP($B1036,[1]Data_Peer_with_peerVars!$B$2:$Z$1050,23,FALSE)</f>
        <v>62</v>
      </c>
      <c r="BL1036">
        <f>VLOOKUP($B1036,[1]Data_Peer_with_peerVars!$B$2:$Z$1050,24,FALSE)</f>
        <v>31</v>
      </c>
      <c r="BM1036">
        <f>VLOOKUP($B1036,[1]Data_Peer_with_peerVars!$B$2:$Z$1050,25,FALSE)</f>
        <v>0.5</v>
      </c>
    </row>
    <row r="1037" spans="1:65" x14ac:dyDescent="0.2">
      <c r="A1037">
        <v>1</v>
      </c>
      <c r="B1037" t="s">
        <v>1583</v>
      </c>
      <c r="C1037">
        <v>643</v>
      </c>
      <c r="D1037" t="s">
        <v>68</v>
      </c>
      <c r="E1037">
        <v>0</v>
      </c>
      <c r="F1037">
        <v>481</v>
      </c>
      <c r="G1037" t="s">
        <v>119</v>
      </c>
      <c r="H1037" s="1">
        <v>7</v>
      </c>
      <c r="I1037" t="s">
        <v>87</v>
      </c>
      <c r="J1037" t="s">
        <v>88</v>
      </c>
      <c r="K1037" t="s">
        <v>109</v>
      </c>
      <c r="L1037">
        <v>1</v>
      </c>
      <c r="M1037">
        <v>0</v>
      </c>
      <c r="N1037">
        <v>0</v>
      </c>
      <c r="O1037">
        <v>0</v>
      </c>
      <c r="P1037">
        <v>0</v>
      </c>
      <c r="Q1037">
        <v>6</v>
      </c>
      <c r="R1037">
        <v>0</v>
      </c>
      <c r="S1037">
        <v>0</v>
      </c>
      <c r="T1037">
        <v>0</v>
      </c>
      <c r="U1037">
        <v>0</v>
      </c>
      <c r="V1037">
        <f t="shared" si="461"/>
        <v>0</v>
      </c>
      <c r="W1037">
        <f t="shared" si="462"/>
        <v>0</v>
      </c>
      <c r="X1037">
        <f t="shared" si="465"/>
        <v>0</v>
      </c>
      <c r="Y1037">
        <f t="shared" si="463"/>
        <v>0</v>
      </c>
      <c r="Z1037" t="s">
        <v>287</v>
      </c>
      <c r="AA1037" s="5" t="s">
        <v>287</v>
      </c>
      <c r="AB1037" s="5" t="s">
        <v>287</v>
      </c>
      <c r="AC1037" t="s">
        <v>74</v>
      </c>
      <c r="AD1037" t="s">
        <v>75</v>
      </c>
      <c r="AE1037" s="5" t="s">
        <v>75</v>
      </c>
      <c r="AF1037" t="s">
        <v>120</v>
      </c>
      <c r="AG1037" t="s">
        <v>167</v>
      </c>
      <c r="AH1037">
        <f t="shared" ref="AH1037:AH1038" si="468">AI1037</f>
        <v>6.0547943999999999E-2</v>
      </c>
      <c r="AI1037">
        <f t="shared" ref="AI1037:AI1038" si="469">AJ1037</f>
        <v>6.0547943999999999E-2</v>
      </c>
      <c r="AJ1037">
        <f t="shared" si="464"/>
        <v>6.0547943999999999E-2</v>
      </c>
      <c r="AK1037">
        <v>6.0547943999999999E-2</v>
      </c>
      <c r="AL1037">
        <v>8.424508E-2</v>
      </c>
      <c r="AM1037">
        <v>8.9295470000000002E-2</v>
      </c>
      <c r="AN1037">
        <v>0.10109588999999999</v>
      </c>
      <c r="AO1037">
        <v>93.945205599999994</v>
      </c>
      <c r="AP1037">
        <v>91.575491999999997</v>
      </c>
      <c r="AQ1037">
        <v>91.070453000000001</v>
      </c>
      <c r="AR1037">
        <v>89.890411</v>
      </c>
      <c r="AS1037" t="b">
        <v>0</v>
      </c>
      <c r="AT1037" t="b">
        <v>0</v>
      </c>
      <c r="AU1037" t="s">
        <v>77</v>
      </c>
      <c r="AV1037" t="s">
        <v>77</v>
      </c>
      <c r="AW1037" t="s">
        <v>783</v>
      </c>
      <c r="AX1037" t="s">
        <v>1277</v>
      </c>
      <c r="AY1037" t="s">
        <v>1423</v>
      </c>
      <c r="AZ1037" t="s">
        <v>109</v>
      </c>
      <c r="BA1037">
        <v>2</v>
      </c>
      <c r="BB1037">
        <v>1</v>
      </c>
      <c r="BC1037">
        <v>2.4738868000000001E-3</v>
      </c>
      <c r="BD1037">
        <v>1.4256942275279999E-4</v>
      </c>
      <c r="BE1037">
        <v>2.6164562227527998E-3</v>
      </c>
      <c r="BF1037">
        <f>IF(AK1037&lt;BE1037,1,0)</f>
        <v>0</v>
      </c>
      <c r="BG1037">
        <f>IF(AK1037&lt;BC1037,1,0)</f>
        <v>0</v>
      </c>
      <c r="BH1037">
        <f>VLOOKUP($B1037,[1]Data_Peer_with_peerVars!$B$2:$Z$1050,20,FALSE)</f>
        <v>2</v>
      </c>
      <c r="BI1037">
        <f>VLOOKUP($B1037,[1]Data_Peer_with_peerVars!$B$2:$Z$1050,21,FALSE)</f>
        <v>0</v>
      </c>
      <c r="BJ1037">
        <f>VLOOKUP($B1037,[1]Data_Peer_with_peerVars!$B$2:$Z$1050,22,FALSE)</f>
        <v>0</v>
      </c>
      <c r="BK1037">
        <f>VLOOKUP($B1037,[1]Data_Peer_with_peerVars!$B$2:$Z$1050,23,FALSE)</f>
        <v>24</v>
      </c>
      <c r="BL1037">
        <f>VLOOKUP($B1037,[1]Data_Peer_with_peerVars!$B$2:$Z$1050,24,FALSE)</f>
        <v>16</v>
      </c>
      <c r="BM1037">
        <f>VLOOKUP($B1037,[1]Data_Peer_with_peerVars!$B$2:$Z$1050,25,FALSE)</f>
        <v>0.66666666699999999</v>
      </c>
    </row>
    <row r="1038" spans="1:65" x14ac:dyDescent="0.2">
      <c r="A1038">
        <v>1</v>
      </c>
      <c r="B1038" t="s">
        <v>1584</v>
      </c>
      <c r="C1038">
        <v>643</v>
      </c>
      <c r="D1038" t="s">
        <v>68</v>
      </c>
      <c r="E1038">
        <v>0</v>
      </c>
      <c r="F1038">
        <v>481</v>
      </c>
      <c r="G1038" t="s">
        <v>119</v>
      </c>
      <c r="H1038" s="1">
        <v>7</v>
      </c>
      <c r="I1038" t="s">
        <v>87</v>
      </c>
      <c r="J1038" t="s">
        <v>88</v>
      </c>
      <c r="K1038" t="s">
        <v>109</v>
      </c>
      <c r="L1038">
        <v>1</v>
      </c>
      <c r="M1038">
        <v>0</v>
      </c>
      <c r="N1038">
        <v>0</v>
      </c>
      <c r="O1038">
        <v>0</v>
      </c>
      <c r="P1038">
        <v>0</v>
      </c>
      <c r="Q1038">
        <v>6</v>
      </c>
      <c r="R1038">
        <v>0</v>
      </c>
      <c r="S1038">
        <v>0</v>
      </c>
      <c r="T1038">
        <v>0</v>
      </c>
      <c r="U1038">
        <v>0</v>
      </c>
      <c r="V1038">
        <f t="shared" si="461"/>
        <v>0</v>
      </c>
      <c r="W1038">
        <f t="shared" si="462"/>
        <v>0</v>
      </c>
      <c r="X1038">
        <f t="shared" si="465"/>
        <v>0</v>
      </c>
      <c r="Y1038">
        <f t="shared" si="463"/>
        <v>0</v>
      </c>
      <c r="Z1038" t="s">
        <v>76</v>
      </c>
      <c r="AA1038" s="5" t="s">
        <v>76</v>
      </c>
      <c r="AB1038" s="5" t="s">
        <v>76</v>
      </c>
      <c r="AC1038" t="s">
        <v>91</v>
      </c>
      <c r="AD1038" t="s">
        <v>137</v>
      </c>
      <c r="AE1038" s="5" t="s">
        <v>137</v>
      </c>
      <c r="AF1038" t="s">
        <v>103</v>
      </c>
      <c r="AG1038" t="s">
        <v>113</v>
      </c>
      <c r="AH1038">
        <f t="shared" si="468"/>
        <v>8.3971550000000006E-2</v>
      </c>
      <c r="AI1038">
        <f t="shared" si="469"/>
        <v>8.3971550000000006E-2</v>
      </c>
      <c r="AJ1038">
        <f t="shared" si="464"/>
        <v>8.3971550000000006E-2</v>
      </c>
      <c r="AK1038">
        <v>8.3971550000000006E-2</v>
      </c>
      <c r="AL1038">
        <v>0.10704532999999999</v>
      </c>
      <c r="AM1038">
        <v>0.12410567</v>
      </c>
      <c r="AN1038">
        <v>0.12575509000000001</v>
      </c>
      <c r="AO1038">
        <v>91.602845000000002</v>
      </c>
      <c r="AP1038">
        <v>89.295467000000002</v>
      </c>
      <c r="AQ1038">
        <v>87.589433</v>
      </c>
      <c r="AR1038">
        <v>87.424491000000003</v>
      </c>
      <c r="AS1038" t="b">
        <v>0</v>
      </c>
      <c r="AT1038" t="b">
        <v>0</v>
      </c>
      <c r="AU1038" t="s">
        <v>77</v>
      </c>
      <c r="AV1038" t="s">
        <v>78</v>
      </c>
      <c r="AW1038" t="s">
        <v>783</v>
      </c>
      <c r="AX1038" t="s">
        <v>1277</v>
      </c>
      <c r="AY1038" t="s">
        <v>1423</v>
      </c>
      <c r="AZ1038" t="s">
        <v>72</v>
      </c>
      <c r="BA1038" t="s">
        <v>82</v>
      </c>
      <c r="BB1038">
        <v>1</v>
      </c>
      <c r="BC1038">
        <v>9.0659339999999995E-3</v>
      </c>
      <c r="BD1038">
        <v>2.76583658862385E-3</v>
      </c>
      <c r="BE1038">
        <v>1.1831770588623799E-2</v>
      </c>
      <c r="BF1038">
        <f>IF(AK1038&lt;BE1038,1,0)</f>
        <v>0</v>
      </c>
      <c r="BG1038">
        <f>IF(AK1038&lt;BC1038,1,0)</f>
        <v>0</v>
      </c>
      <c r="BH1038">
        <f>VLOOKUP($B1038,[1]Data_Peer_with_peerVars!$B$2:$Z$1050,20,FALSE)</f>
        <v>2</v>
      </c>
      <c r="BI1038">
        <f>VLOOKUP($B1038,[1]Data_Peer_with_peerVars!$B$2:$Z$1050,21,FALSE)</f>
        <v>0</v>
      </c>
      <c r="BJ1038">
        <f>VLOOKUP($B1038,[1]Data_Peer_with_peerVars!$B$2:$Z$1050,22,FALSE)</f>
        <v>0</v>
      </c>
      <c r="BK1038">
        <f>VLOOKUP($B1038,[1]Data_Peer_with_peerVars!$B$2:$Z$1050,23,FALSE)</f>
        <v>24</v>
      </c>
      <c r="BL1038">
        <f>VLOOKUP($B1038,[1]Data_Peer_with_peerVars!$B$2:$Z$1050,24,FALSE)</f>
        <v>16</v>
      </c>
      <c r="BM1038">
        <f>VLOOKUP($B1038,[1]Data_Peer_with_peerVars!$B$2:$Z$1050,25,FALSE)</f>
        <v>0.66666666699999999</v>
      </c>
    </row>
    <row r="1039" spans="1:65" x14ac:dyDescent="0.2">
      <c r="A1039">
        <v>1</v>
      </c>
      <c r="B1039" t="s">
        <v>1585</v>
      </c>
      <c r="C1039">
        <v>644</v>
      </c>
      <c r="D1039" t="s">
        <v>68</v>
      </c>
      <c r="E1039">
        <v>0</v>
      </c>
      <c r="F1039">
        <v>566</v>
      </c>
      <c r="G1039" t="s">
        <v>119</v>
      </c>
      <c r="H1039" s="1">
        <v>7</v>
      </c>
      <c r="I1039" t="s">
        <v>87</v>
      </c>
      <c r="J1039" t="s">
        <v>111</v>
      </c>
      <c r="K1039" t="s">
        <v>109</v>
      </c>
      <c r="L1039">
        <v>2</v>
      </c>
      <c r="M1039">
        <v>1</v>
      </c>
      <c r="N1039">
        <v>0</v>
      </c>
      <c r="O1039">
        <v>0</v>
      </c>
      <c r="P1039">
        <v>0</v>
      </c>
      <c r="Q1039">
        <v>5</v>
      </c>
      <c r="R1039">
        <v>0</v>
      </c>
      <c r="S1039">
        <v>0</v>
      </c>
      <c r="T1039">
        <v>0</v>
      </c>
      <c r="U1039">
        <v>0</v>
      </c>
      <c r="V1039">
        <f t="shared" si="461"/>
        <v>1</v>
      </c>
      <c r="W1039">
        <v>1</v>
      </c>
      <c r="X1039">
        <v>1</v>
      </c>
      <c r="Y1039">
        <v>1</v>
      </c>
      <c r="Z1039" t="s">
        <v>75</v>
      </c>
      <c r="AA1039" s="5" t="s">
        <v>75</v>
      </c>
      <c r="AB1039" s="5" t="s">
        <v>75</v>
      </c>
      <c r="AC1039" t="s">
        <v>75</v>
      </c>
      <c r="AD1039" t="s">
        <v>91</v>
      </c>
      <c r="AE1039" s="5" t="s">
        <v>91</v>
      </c>
      <c r="AF1039" t="s">
        <v>74</v>
      </c>
      <c r="AG1039" t="s">
        <v>120</v>
      </c>
      <c r="AH1039">
        <f>AI1039</f>
        <v>8.2922824000000006E-2</v>
      </c>
      <c r="AI1039">
        <f>AJ1039</f>
        <v>8.2922824000000006E-2</v>
      </c>
      <c r="AJ1039">
        <f t="shared" si="464"/>
        <v>8.2922824000000006E-2</v>
      </c>
      <c r="AK1039">
        <v>8.2922824000000006E-2</v>
      </c>
      <c r="AL1039">
        <v>9.0536099999999994E-2</v>
      </c>
      <c r="AM1039">
        <v>0.1225329</v>
      </c>
      <c r="AN1039">
        <v>0.12677595</v>
      </c>
      <c r="AO1039">
        <v>91.707717599999995</v>
      </c>
      <c r="AP1039">
        <v>90.946389999999994</v>
      </c>
      <c r="AQ1039">
        <v>87.746709999999993</v>
      </c>
      <c r="AR1039">
        <v>87.322405000000003</v>
      </c>
      <c r="AS1039" t="b">
        <v>1</v>
      </c>
      <c r="AT1039" t="b">
        <v>0</v>
      </c>
      <c r="AU1039" t="s">
        <v>77</v>
      </c>
      <c r="AV1039" t="s">
        <v>77</v>
      </c>
      <c r="AW1039" t="s">
        <v>783</v>
      </c>
      <c r="AX1039" t="s">
        <v>1277</v>
      </c>
      <c r="AY1039" t="s">
        <v>1423</v>
      </c>
      <c r="AZ1039" t="s">
        <v>109</v>
      </c>
      <c r="BA1039">
        <v>2</v>
      </c>
      <c r="BB1039">
        <v>0.35</v>
      </c>
      <c r="BC1039">
        <v>2.3038946000000001E-2</v>
      </c>
      <c r="BD1039">
        <v>2.6184719377746E-3</v>
      </c>
      <c r="BE1039">
        <v>2.5657417937774599E-2</v>
      </c>
      <c r="BF1039">
        <f>IF(AK1039&lt;BE1039,1,0)</f>
        <v>0</v>
      </c>
      <c r="BG1039">
        <f>IF(AK1039&lt;BC1039,1,0)</f>
        <v>0</v>
      </c>
      <c r="BH1039">
        <f>VLOOKUP($B1039,[1]Data_Peer_with_peerVars!$B$2:$Z$1050,20,FALSE)</f>
        <v>6</v>
      </c>
      <c r="BI1039">
        <f>VLOOKUP($B1039,[1]Data_Peer_with_peerVars!$B$2:$Z$1050,21,FALSE)</f>
        <v>6</v>
      </c>
      <c r="BJ1039">
        <f>VLOOKUP($B1039,[1]Data_Peer_with_peerVars!$B$2:$Z$1050,22,FALSE)</f>
        <v>1</v>
      </c>
      <c r="BK1039">
        <f>VLOOKUP($B1039,[1]Data_Peer_with_peerVars!$B$2:$Z$1050,23,FALSE)</f>
        <v>57</v>
      </c>
      <c r="BL1039">
        <f>VLOOKUP($B1039,[1]Data_Peer_with_peerVars!$B$2:$Z$1050,24,FALSE)</f>
        <v>29</v>
      </c>
      <c r="BM1039">
        <f>VLOOKUP($B1039,[1]Data_Peer_with_peerVars!$B$2:$Z$1050,25,FALSE)</f>
        <v>0.50877192999999998</v>
      </c>
    </row>
    <row r="1040" spans="1:65" x14ac:dyDescent="0.2">
      <c r="A1040">
        <v>1</v>
      </c>
      <c r="B1040" t="s">
        <v>1586</v>
      </c>
      <c r="C1040">
        <v>645</v>
      </c>
      <c r="D1040" t="s">
        <v>68</v>
      </c>
      <c r="E1040">
        <v>0</v>
      </c>
      <c r="F1040">
        <v>568</v>
      </c>
      <c r="G1040" t="s">
        <v>119</v>
      </c>
      <c r="H1040" s="1">
        <v>4</v>
      </c>
      <c r="I1040" t="s">
        <v>87</v>
      </c>
      <c r="J1040" t="s">
        <v>111</v>
      </c>
      <c r="K1040" t="s">
        <v>109</v>
      </c>
      <c r="L1040">
        <v>1</v>
      </c>
      <c r="M1040">
        <v>0</v>
      </c>
      <c r="N1040">
        <v>0</v>
      </c>
      <c r="O1040">
        <v>0</v>
      </c>
      <c r="P1040">
        <v>0</v>
      </c>
      <c r="Q1040">
        <v>6</v>
      </c>
      <c r="R1040">
        <v>0</v>
      </c>
      <c r="S1040">
        <v>0</v>
      </c>
      <c r="T1040">
        <v>1</v>
      </c>
      <c r="U1040">
        <v>1</v>
      </c>
      <c r="V1040">
        <f t="shared" si="461"/>
        <v>0</v>
      </c>
      <c r="W1040">
        <f t="shared" si="462"/>
        <v>0</v>
      </c>
      <c r="X1040">
        <f t="shared" si="465"/>
        <v>0</v>
      </c>
      <c r="Y1040">
        <f t="shared" si="463"/>
        <v>0</v>
      </c>
      <c r="Z1040" t="s">
        <v>76</v>
      </c>
      <c r="AA1040" s="5" t="s">
        <v>76</v>
      </c>
      <c r="AB1040" s="5" t="s">
        <v>409</v>
      </c>
      <c r="AC1040" t="s">
        <v>73</v>
      </c>
      <c r="AD1040" t="s">
        <v>94</v>
      </c>
      <c r="AE1040" s="5" t="s">
        <v>106</v>
      </c>
      <c r="AF1040" t="s">
        <v>107</v>
      </c>
      <c r="AG1040" t="s">
        <v>95</v>
      </c>
      <c r="AH1040">
        <f t="shared" ref="AH1040:AH1041" si="470">AI1040</f>
        <v>3.8167940000000001E-3</v>
      </c>
      <c r="AI1040">
        <f t="shared" ref="AI1040:AI1041" si="471">AJ1040</f>
        <v>3.8167940000000001E-3</v>
      </c>
      <c r="AJ1040">
        <f t="shared" si="464"/>
        <v>3.8167940000000001E-3</v>
      </c>
      <c r="AK1040">
        <v>3.8167940000000001E-3</v>
      </c>
      <c r="AL1040">
        <v>0.13169399000000001</v>
      </c>
      <c r="AM1040">
        <v>0.13623904000000001</v>
      </c>
      <c r="AN1040">
        <v>0.13867615</v>
      </c>
      <c r="AO1040">
        <v>99.618320600000004</v>
      </c>
      <c r="AP1040">
        <v>86.830601000000001</v>
      </c>
      <c r="AQ1040">
        <v>86.376096000000004</v>
      </c>
      <c r="AR1040">
        <v>86.132384999999999</v>
      </c>
      <c r="AS1040" t="b">
        <v>0</v>
      </c>
      <c r="AT1040" t="b">
        <v>0</v>
      </c>
      <c r="AU1040" t="s">
        <v>77</v>
      </c>
      <c r="AV1040" t="s">
        <v>108</v>
      </c>
      <c r="AW1040" t="s">
        <v>783</v>
      </c>
      <c r="AX1040" t="s">
        <v>1277</v>
      </c>
      <c r="AY1040" t="s">
        <v>1419</v>
      </c>
      <c r="AZ1040" t="s">
        <v>109</v>
      </c>
      <c r="BA1040">
        <v>3</v>
      </c>
      <c r="BB1040">
        <v>0.5</v>
      </c>
      <c r="BC1040">
        <v>4.1163553999999996E-3</v>
      </c>
      <c r="BD1040">
        <v>1.4279989108178799E-4</v>
      </c>
      <c r="BE1040">
        <v>4.2591552910817903E-3</v>
      </c>
      <c r="BF1040">
        <f>IF(AK1040&lt;BE1040,1,0)</f>
        <v>1</v>
      </c>
      <c r="BG1040">
        <f>IF(AK1040&lt;BC1040,1,0)</f>
        <v>1</v>
      </c>
      <c r="BH1040">
        <f>VLOOKUP($B1040,[1]Data_Peer_with_peerVars!$B$2:$Z$1050,20,FALSE)</f>
        <v>13</v>
      </c>
      <c r="BI1040">
        <f>VLOOKUP($B1040,[1]Data_Peer_with_peerVars!$B$2:$Z$1050,21,FALSE)</f>
        <v>4</v>
      </c>
      <c r="BJ1040">
        <f>VLOOKUP($B1040,[1]Data_Peer_with_peerVars!$B$2:$Z$1050,22,FALSE)</f>
        <v>0.30769230800000003</v>
      </c>
      <c r="BK1040">
        <f>VLOOKUP($B1040,[1]Data_Peer_with_peerVars!$B$2:$Z$1050,23,FALSE)</f>
        <v>66</v>
      </c>
      <c r="BL1040">
        <f>VLOOKUP($B1040,[1]Data_Peer_with_peerVars!$B$2:$Z$1050,24,FALSE)</f>
        <v>35</v>
      </c>
      <c r="BM1040">
        <f>VLOOKUP($B1040,[1]Data_Peer_with_peerVars!$B$2:$Z$1050,25,FALSE)</f>
        <v>0.53030303000000001</v>
      </c>
    </row>
    <row r="1041" spans="1:65" x14ac:dyDescent="0.2">
      <c r="A1041">
        <v>1</v>
      </c>
      <c r="B1041" t="s">
        <v>1587</v>
      </c>
      <c r="C1041">
        <v>645</v>
      </c>
      <c r="D1041" t="s">
        <v>68</v>
      </c>
      <c r="E1041">
        <v>0</v>
      </c>
      <c r="F1041">
        <v>568</v>
      </c>
      <c r="G1041" t="s">
        <v>119</v>
      </c>
      <c r="H1041" s="1">
        <v>4</v>
      </c>
      <c r="I1041" t="s">
        <v>87</v>
      </c>
      <c r="J1041" t="s">
        <v>111</v>
      </c>
      <c r="K1041" t="s">
        <v>109</v>
      </c>
      <c r="L1041">
        <v>1</v>
      </c>
      <c r="M1041">
        <v>0</v>
      </c>
      <c r="N1041">
        <v>0</v>
      </c>
      <c r="O1041">
        <v>0</v>
      </c>
      <c r="P1041">
        <v>0</v>
      </c>
      <c r="Q1041">
        <v>6</v>
      </c>
      <c r="R1041">
        <v>0</v>
      </c>
      <c r="S1041">
        <v>0</v>
      </c>
      <c r="T1041">
        <v>0</v>
      </c>
      <c r="U1041">
        <v>0</v>
      </c>
      <c r="V1041">
        <f t="shared" si="461"/>
        <v>0</v>
      </c>
      <c r="W1041">
        <f t="shared" si="462"/>
        <v>0</v>
      </c>
      <c r="X1041">
        <f t="shared" si="465"/>
        <v>0</v>
      </c>
      <c r="Y1041">
        <f t="shared" si="463"/>
        <v>0</v>
      </c>
      <c r="Z1041" t="s">
        <v>73</v>
      </c>
      <c r="AA1041" s="5" t="s">
        <v>73</v>
      </c>
      <c r="AB1041" s="5" t="s">
        <v>73</v>
      </c>
      <c r="AC1041" t="s">
        <v>74</v>
      </c>
      <c r="AD1041" t="s">
        <v>101</v>
      </c>
      <c r="AE1041" s="5" t="s">
        <v>101</v>
      </c>
      <c r="AF1041" t="s">
        <v>103</v>
      </c>
      <c r="AG1041" t="s">
        <v>99</v>
      </c>
      <c r="AH1041">
        <f t="shared" si="470"/>
        <v>0.123903506</v>
      </c>
      <c r="AI1041">
        <f t="shared" si="471"/>
        <v>0.123903506</v>
      </c>
      <c r="AJ1041">
        <f t="shared" si="464"/>
        <v>0.123903506</v>
      </c>
      <c r="AK1041">
        <v>0.123903506</v>
      </c>
      <c r="AL1041">
        <v>0.12925357000000001</v>
      </c>
      <c r="AM1041">
        <v>0.13208586</v>
      </c>
      <c r="AN1041">
        <v>0.13864388</v>
      </c>
      <c r="AO1041">
        <v>87.609649399999995</v>
      </c>
      <c r="AP1041">
        <v>87.074642999999995</v>
      </c>
      <c r="AQ1041">
        <v>86.791414000000003</v>
      </c>
      <c r="AR1041">
        <v>86.135611999999995</v>
      </c>
      <c r="AS1041" t="b">
        <v>0</v>
      </c>
      <c r="AT1041" t="b">
        <v>0</v>
      </c>
      <c r="AU1041" t="s">
        <v>78</v>
      </c>
      <c r="AV1041" t="s">
        <v>78</v>
      </c>
      <c r="AW1041" t="s">
        <v>783</v>
      </c>
      <c r="AX1041" t="s">
        <v>1277</v>
      </c>
      <c r="AY1041" t="s">
        <v>1419</v>
      </c>
      <c r="AZ1041" t="s">
        <v>82</v>
      </c>
      <c r="BA1041" t="s">
        <v>82</v>
      </c>
      <c r="BB1041">
        <v>1.5</v>
      </c>
      <c r="BC1041">
        <v>2.4738868000000001E-3</v>
      </c>
      <c r="BD1041">
        <v>1.4256942275279999E-4</v>
      </c>
      <c r="BE1041">
        <v>2.6164562227527998E-3</v>
      </c>
      <c r="BF1041">
        <f>IF(AK1041&lt;BE1041,1,0)</f>
        <v>0</v>
      </c>
      <c r="BG1041">
        <f>IF(AK1041&lt;BC1041,1,0)</f>
        <v>0</v>
      </c>
      <c r="BH1041">
        <f>VLOOKUP($B1041,[1]Data_Peer_with_peerVars!$B$2:$Z$1050,20,FALSE)</f>
        <v>13</v>
      </c>
      <c r="BI1041">
        <f>VLOOKUP($B1041,[1]Data_Peer_with_peerVars!$B$2:$Z$1050,21,FALSE)</f>
        <v>4</v>
      </c>
      <c r="BJ1041">
        <f>VLOOKUP($B1041,[1]Data_Peer_with_peerVars!$B$2:$Z$1050,22,FALSE)</f>
        <v>0.30769230800000003</v>
      </c>
      <c r="BK1041">
        <f>VLOOKUP($B1041,[1]Data_Peer_with_peerVars!$B$2:$Z$1050,23,FALSE)</f>
        <v>66</v>
      </c>
      <c r="BL1041">
        <f>VLOOKUP($B1041,[1]Data_Peer_with_peerVars!$B$2:$Z$1050,24,FALSE)</f>
        <v>35</v>
      </c>
      <c r="BM1041">
        <f>VLOOKUP($B1041,[1]Data_Peer_with_peerVars!$B$2:$Z$1050,25,FALSE)</f>
        <v>0.53030303000000001</v>
      </c>
    </row>
    <row r="1042" spans="1:65" x14ac:dyDescent="0.2">
      <c r="A1042">
        <v>1</v>
      </c>
      <c r="B1042" t="s">
        <v>1588</v>
      </c>
      <c r="C1042">
        <v>646</v>
      </c>
      <c r="D1042" t="s">
        <v>68</v>
      </c>
      <c r="E1042">
        <v>0</v>
      </c>
      <c r="F1042">
        <v>655</v>
      </c>
      <c r="G1042" t="s">
        <v>119</v>
      </c>
      <c r="H1042" s="1">
        <v>7</v>
      </c>
      <c r="I1042" t="s">
        <v>87</v>
      </c>
      <c r="J1042" t="s">
        <v>111</v>
      </c>
      <c r="K1042" t="s">
        <v>109</v>
      </c>
      <c r="L1042">
        <v>1</v>
      </c>
      <c r="M1042">
        <v>1</v>
      </c>
      <c r="N1042">
        <v>0</v>
      </c>
      <c r="O1042">
        <v>0</v>
      </c>
      <c r="P1042">
        <v>0</v>
      </c>
      <c r="Q1042">
        <v>12</v>
      </c>
      <c r="R1042">
        <v>0</v>
      </c>
      <c r="S1042">
        <v>0</v>
      </c>
      <c r="T1042">
        <v>0</v>
      </c>
      <c r="U1042">
        <v>0</v>
      </c>
      <c r="V1042">
        <f t="shared" si="461"/>
        <v>1</v>
      </c>
      <c r="W1042">
        <v>1</v>
      </c>
      <c r="X1042">
        <v>1</v>
      </c>
      <c r="Y1042">
        <v>1</v>
      </c>
      <c r="Z1042" t="s">
        <v>73</v>
      </c>
      <c r="AA1042" s="5" t="s">
        <v>73</v>
      </c>
      <c r="AB1042" s="5" t="s">
        <v>73</v>
      </c>
      <c r="AC1042" t="s">
        <v>73</v>
      </c>
      <c r="AD1042" t="s">
        <v>287</v>
      </c>
      <c r="AE1042" s="5" t="s">
        <v>287</v>
      </c>
      <c r="AF1042" t="s">
        <v>137</v>
      </c>
      <c r="AG1042" t="s">
        <v>113</v>
      </c>
      <c r="AH1042">
        <f>AI1042</f>
        <v>8.2924164999999994E-2</v>
      </c>
      <c r="AI1042">
        <f>AJ1042</f>
        <v>8.2924164999999994E-2</v>
      </c>
      <c r="AJ1042">
        <f t="shared" si="464"/>
        <v>8.2924164999999994E-2</v>
      </c>
      <c r="AK1042">
        <v>8.2924164999999994E-2</v>
      </c>
      <c r="AL1042">
        <v>0.109716155</v>
      </c>
      <c r="AM1042">
        <v>0.12752594</v>
      </c>
      <c r="AN1042">
        <v>0.13956045</v>
      </c>
      <c r="AO1042">
        <v>91.707583499999998</v>
      </c>
      <c r="AP1042">
        <v>89.028384500000001</v>
      </c>
      <c r="AQ1042">
        <v>87.247405999999998</v>
      </c>
      <c r="AR1042">
        <v>86.043954999999997</v>
      </c>
      <c r="AS1042" t="b">
        <v>1</v>
      </c>
      <c r="AT1042" t="b">
        <v>0</v>
      </c>
      <c r="AU1042" t="s">
        <v>77</v>
      </c>
      <c r="AV1042" t="s">
        <v>78</v>
      </c>
      <c r="AW1042" t="s">
        <v>783</v>
      </c>
      <c r="AX1042" t="s">
        <v>1277</v>
      </c>
      <c r="AY1042" t="s">
        <v>1437</v>
      </c>
      <c r="AZ1042" t="s">
        <v>109</v>
      </c>
      <c r="BA1042">
        <v>4</v>
      </c>
      <c r="BB1042">
        <v>1.7</v>
      </c>
      <c r="BC1042">
        <v>4.1163553999999996E-3</v>
      </c>
      <c r="BD1042">
        <v>1.4279989108178799E-4</v>
      </c>
      <c r="BE1042">
        <v>4.2591552910817903E-3</v>
      </c>
      <c r="BF1042">
        <f>IF(AK1042&lt;BE1042,1,0)</f>
        <v>0</v>
      </c>
      <c r="BG1042">
        <f>IF(AK1042&lt;BC1042,1,0)</f>
        <v>0</v>
      </c>
      <c r="BH1042">
        <f>VLOOKUP($B1042,[1]Data_Peer_with_peerVars!$B$2:$Z$1050,20,FALSE)</f>
        <v>6</v>
      </c>
      <c r="BI1042">
        <f>VLOOKUP($B1042,[1]Data_Peer_with_peerVars!$B$2:$Z$1050,21,FALSE)</f>
        <v>6</v>
      </c>
      <c r="BJ1042">
        <f>VLOOKUP($B1042,[1]Data_Peer_with_peerVars!$B$2:$Z$1050,22,FALSE)</f>
        <v>1</v>
      </c>
      <c r="BK1042">
        <f>VLOOKUP($B1042,[1]Data_Peer_with_peerVars!$B$2:$Z$1050,23,FALSE)</f>
        <v>57</v>
      </c>
      <c r="BL1042">
        <f>VLOOKUP($B1042,[1]Data_Peer_with_peerVars!$B$2:$Z$1050,24,FALSE)</f>
        <v>29</v>
      </c>
      <c r="BM1042">
        <f>VLOOKUP($B1042,[1]Data_Peer_with_peerVars!$B$2:$Z$1050,25,FALSE)</f>
        <v>0.50877192999999998</v>
      </c>
    </row>
    <row r="1043" spans="1:65" x14ac:dyDescent="0.2">
      <c r="A1043">
        <v>1</v>
      </c>
      <c r="B1043" t="s">
        <v>1589</v>
      </c>
      <c r="C1043">
        <v>647</v>
      </c>
      <c r="D1043" t="s">
        <v>68</v>
      </c>
      <c r="E1043">
        <v>1</v>
      </c>
      <c r="F1043">
        <v>730</v>
      </c>
      <c r="G1043" t="s">
        <v>86</v>
      </c>
      <c r="H1043" s="1">
        <v>6</v>
      </c>
      <c r="I1043" t="s">
        <v>87</v>
      </c>
      <c r="J1043" t="s">
        <v>124</v>
      </c>
      <c r="K1043" t="s">
        <v>72</v>
      </c>
      <c r="L1043">
        <v>2</v>
      </c>
      <c r="M1043">
        <v>0</v>
      </c>
      <c r="N1043">
        <v>0</v>
      </c>
      <c r="O1043">
        <v>0</v>
      </c>
      <c r="P1043">
        <v>0</v>
      </c>
      <c r="Q1043">
        <v>6</v>
      </c>
      <c r="R1043">
        <v>0</v>
      </c>
      <c r="S1043">
        <v>0</v>
      </c>
      <c r="T1043">
        <v>0</v>
      </c>
      <c r="U1043">
        <v>0</v>
      </c>
      <c r="V1043">
        <f t="shared" si="461"/>
        <v>0</v>
      </c>
      <c r="W1043">
        <f t="shared" si="462"/>
        <v>0</v>
      </c>
      <c r="X1043">
        <f t="shared" si="465"/>
        <v>0</v>
      </c>
      <c r="Y1043">
        <f t="shared" si="463"/>
        <v>0</v>
      </c>
      <c r="Z1043" t="s">
        <v>170</v>
      </c>
      <c r="AA1043" s="5" t="s">
        <v>170</v>
      </c>
      <c r="AB1043" s="5" t="s">
        <v>1590</v>
      </c>
      <c r="AC1043" t="s">
        <v>101</v>
      </c>
      <c r="AD1043" t="s">
        <v>99</v>
      </c>
      <c r="AE1043" s="5" t="s">
        <v>99</v>
      </c>
      <c r="AF1043" t="s">
        <v>103</v>
      </c>
      <c r="AG1043" t="s">
        <v>102</v>
      </c>
      <c r="AH1043">
        <f>AI1043</f>
        <v>9.1808684000000002E-2</v>
      </c>
      <c r="AI1043">
        <f t="shared" ref="AI1043:AI1044" si="472">AJ1043</f>
        <v>9.1808684000000002E-2</v>
      </c>
      <c r="AJ1043">
        <f t="shared" si="464"/>
        <v>9.1808684000000002E-2</v>
      </c>
      <c r="AK1043">
        <v>9.1808684000000002E-2</v>
      </c>
      <c r="AL1043">
        <v>9.8012150000000006E-2</v>
      </c>
      <c r="AM1043">
        <v>0.11797133</v>
      </c>
      <c r="AN1043">
        <v>0.12657189999999999</v>
      </c>
      <c r="AO1043">
        <v>90.819131600000006</v>
      </c>
      <c r="AP1043">
        <v>90.198785000000001</v>
      </c>
      <c r="AQ1043">
        <v>88.202866999999998</v>
      </c>
      <c r="AR1043">
        <v>87.34281</v>
      </c>
      <c r="AS1043" t="b">
        <v>0</v>
      </c>
      <c r="AT1043" t="b">
        <v>0</v>
      </c>
      <c r="AU1043" t="s">
        <v>92</v>
      </c>
      <c r="AV1043" t="s">
        <v>92</v>
      </c>
      <c r="AW1043" t="s">
        <v>783</v>
      </c>
      <c r="AX1043" t="s">
        <v>1298</v>
      </c>
      <c r="AY1043" t="s">
        <v>1591</v>
      </c>
      <c r="AZ1043" t="s">
        <v>72</v>
      </c>
      <c r="BA1043" t="s">
        <v>82</v>
      </c>
      <c r="BB1043">
        <v>0.21</v>
      </c>
      <c r="BC1043">
        <v>1.4096186E-2</v>
      </c>
      <c r="BD1043">
        <v>1.55088650053763E-3</v>
      </c>
      <c r="BE1043">
        <v>1.5647072500537599E-2</v>
      </c>
      <c r="BF1043">
        <f>IF(AK1043&lt;BE1043,1,0)</f>
        <v>0</v>
      </c>
      <c r="BG1043">
        <f>IF(AK1043&lt;BC1043,1,0)</f>
        <v>0</v>
      </c>
      <c r="BH1043">
        <f>VLOOKUP($B1043,[1]Data_Peer_with_peerVars!$B$2:$Z$1050,20,FALSE)</f>
        <v>8</v>
      </c>
      <c r="BI1043">
        <f>VLOOKUP($B1043,[1]Data_Peer_with_peerVars!$B$2:$Z$1050,21,FALSE)</f>
        <v>3</v>
      </c>
      <c r="BJ1043">
        <f>VLOOKUP($B1043,[1]Data_Peer_with_peerVars!$B$2:$Z$1050,22,FALSE)</f>
        <v>0.375</v>
      </c>
      <c r="BK1043">
        <f>VLOOKUP($B1043,[1]Data_Peer_with_peerVars!$B$2:$Z$1050,23,FALSE)</f>
        <v>15</v>
      </c>
      <c r="BL1043">
        <f>VLOOKUP($B1043,[1]Data_Peer_with_peerVars!$B$2:$Z$1050,24,FALSE)</f>
        <v>6</v>
      </c>
      <c r="BM1043">
        <f>VLOOKUP($B1043,[1]Data_Peer_with_peerVars!$B$2:$Z$1050,25,FALSE)</f>
        <v>0.4</v>
      </c>
    </row>
    <row r="1044" spans="1:65" x14ac:dyDescent="0.2">
      <c r="A1044">
        <v>1</v>
      </c>
      <c r="B1044" t="s">
        <v>1592</v>
      </c>
      <c r="C1044">
        <v>647</v>
      </c>
      <c r="D1044" t="s">
        <v>68</v>
      </c>
      <c r="E1044">
        <v>1</v>
      </c>
      <c r="F1044">
        <v>730</v>
      </c>
      <c r="G1044" t="s">
        <v>86</v>
      </c>
      <c r="H1044" s="1">
        <v>6</v>
      </c>
      <c r="I1044" t="s">
        <v>87</v>
      </c>
      <c r="J1044" t="s">
        <v>124</v>
      </c>
      <c r="K1044" t="s">
        <v>72</v>
      </c>
      <c r="L1044">
        <v>2</v>
      </c>
      <c r="M1044">
        <v>0</v>
      </c>
      <c r="N1044">
        <v>0</v>
      </c>
      <c r="O1044">
        <v>0</v>
      </c>
      <c r="P1044">
        <v>0</v>
      </c>
      <c r="Q1044">
        <v>6</v>
      </c>
      <c r="R1044">
        <v>0</v>
      </c>
      <c r="S1044">
        <v>0</v>
      </c>
      <c r="T1044">
        <v>0</v>
      </c>
      <c r="U1044">
        <v>0</v>
      </c>
      <c r="V1044">
        <f t="shared" si="461"/>
        <v>0</v>
      </c>
      <c r="W1044">
        <f t="shared" si="462"/>
        <v>0</v>
      </c>
      <c r="X1044">
        <f t="shared" si="465"/>
        <v>0</v>
      </c>
      <c r="Y1044">
        <f t="shared" si="463"/>
        <v>1</v>
      </c>
      <c r="Z1044" t="s">
        <v>103</v>
      </c>
      <c r="AA1044" s="5" t="s">
        <v>103</v>
      </c>
      <c r="AB1044" s="5" t="s">
        <v>1593</v>
      </c>
      <c r="AC1044" t="s">
        <v>74</v>
      </c>
      <c r="AD1044" t="s">
        <v>101</v>
      </c>
      <c r="AE1044" s="5" t="s">
        <v>101</v>
      </c>
      <c r="AF1044" t="s">
        <v>167</v>
      </c>
      <c r="AG1044" t="s">
        <v>103</v>
      </c>
      <c r="AH1044">
        <f>AN1044</f>
        <v>0.14124449</v>
      </c>
      <c r="AI1044">
        <f t="shared" si="472"/>
        <v>0.10931507</v>
      </c>
      <c r="AJ1044">
        <f t="shared" si="464"/>
        <v>0.10931507</v>
      </c>
      <c r="AK1044">
        <v>0.10931507</v>
      </c>
      <c r="AL1044">
        <v>0.13618891</v>
      </c>
      <c r="AM1044">
        <v>0.13952850999999999</v>
      </c>
      <c r="AN1044">
        <v>0.14124449</v>
      </c>
      <c r="AO1044">
        <v>89.068493000000004</v>
      </c>
      <c r="AP1044">
        <v>86.381108999999995</v>
      </c>
      <c r="AQ1044">
        <v>86.047149000000005</v>
      </c>
      <c r="AR1044">
        <v>85.875551000000002</v>
      </c>
      <c r="AS1044" t="b">
        <v>0</v>
      </c>
      <c r="AT1044" t="b">
        <v>0</v>
      </c>
      <c r="AU1044" t="s">
        <v>78</v>
      </c>
      <c r="AV1044" t="s">
        <v>78</v>
      </c>
      <c r="AW1044" t="s">
        <v>783</v>
      </c>
      <c r="AX1044" t="s">
        <v>1298</v>
      </c>
      <c r="AY1044" t="s">
        <v>1591</v>
      </c>
      <c r="AZ1044" t="s">
        <v>109</v>
      </c>
      <c r="BA1044">
        <v>3</v>
      </c>
      <c r="BB1044">
        <v>0.14000000000000001</v>
      </c>
      <c r="BC1044">
        <v>2.4738868000000001E-3</v>
      </c>
      <c r="BD1044">
        <v>1.4256942275279999E-4</v>
      </c>
      <c r="BE1044">
        <v>2.6164562227527998E-3</v>
      </c>
      <c r="BF1044">
        <f>IF(AK1044&lt;BE1044,1,0)</f>
        <v>0</v>
      </c>
      <c r="BG1044">
        <f>IF(AK1044&lt;BC1044,1,0)</f>
        <v>0</v>
      </c>
      <c r="BH1044">
        <f>VLOOKUP($B1044,[1]Data_Peer_with_peerVars!$B$2:$Z$1050,20,FALSE)</f>
        <v>8</v>
      </c>
      <c r="BI1044">
        <f>VLOOKUP($B1044,[1]Data_Peer_with_peerVars!$B$2:$Z$1050,21,FALSE)</f>
        <v>3</v>
      </c>
      <c r="BJ1044">
        <f>VLOOKUP($B1044,[1]Data_Peer_with_peerVars!$B$2:$Z$1050,22,FALSE)</f>
        <v>0.375</v>
      </c>
      <c r="BK1044">
        <f>VLOOKUP($B1044,[1]Data_Peer_with_peerVars!$B$2:$Z$1050,23,FALSE)</f>
        <v>15</v>
      </c>
      <c r="BL1044">
        <f>VLOOKUP($B1044,[1]Data_Peer_with_peerVars!$B$2:$Z$1050,24,FALSE)</f>
        <v>6</v>
      </c>
      <c r="BM1044">
        <f>VLOOKUP($B1044,[1]Data_Peer_with_peerVars!$B$2:$Z$1050,25,FALSE)</f>
        <v>0.4</v>
      </c>
    </row>
    <row r="1045" spans="1:65" x14ac:dyDescent="0.2">
      <c r="A1045">
        <v>1</v>
      </c>
      <c r="B1045" t="s">
        <v>1594</v>
      </c>
      <c r="C1045">
        <v>648</v>
      </c>
      <c r="D1045" t="s">
        <v>68</v>
      </c>
      <c r="E1045">
        <v>1</v>
      </c>
      <c r="F1045">
        <v>391</v>
      </c>
      <c r="G1045" t="s">
        <v>86</v>
      </c>
      <c r="H1045" s="1">
        <v>7</v>
      </c>
      <c r="I1045" t="s">
        <v>87</v>
      </c>
      <c r="J1045" t="s">
        <v>150</v>
      </c>
      <c r="K1045" t="s">
        <v>72</v>
      </c>
      <c r="L1045">
        <v>1</v>
      </c>
      <c r="M1045">
        <v>0</v>
      </c>
      <c r="N1045">
        <v>0</v>
      </c>
      <c r="O1045">
        <v>0</v>
      </c>
      <c r="P1045">
        <v>0</v>
      </c>
      <c r="Q1045">
        <v>11</v>
      </c>
      <c r="R1045">
        <v>0</v>
      </c>
      <c r="S1045">
        <v>0</v>
      </c>
      <c r="T1045">
        <v>0</v>
      </c>
      <c r="U1045">
        <v>0</v>
      </c>
      <c r="V1045">
        <f t="shared" si="461"/>
        <v>1</v>
      </c>
      <c r="W1045">
        <v>1</v>
      </c>
      <c r="X1045">
        <v>1</v>
      </c>
      <c r="Y1045">
        <v>1</v>
      </c>
      <c r="Z1045" t="s">
        <v>91</v>
      </c>
      <c r="AA1045" s="5" t="s">
        <v>91</v>
      </c>
      <c r="AB1045" s="5" t="s">
        <v>1568</v>
      </c>
      <c r="AC1045" t="s">
        <v>91</v>
      </c>
      <c r="AD1045" t="s">
        <v>287</v>
      </c>
      <c r="AE1045" s="5" t="s">
        <v>287</v>
      </c>
      <c r="AF1045" t="s">
        <v>137</v>
      </c>
      <c r="AG1045" t="s">
        <v>84</v>
      </c>
      <c r="AH1045">
        <f>AI1045</f>
        <v>3.280481E-3</v>
      </c>
      <c r="AI1045">
        <f>AJ1045</f>
        <v>3.280481E-3</v>
      </c>
      <c r="AJ1045">
        <f t="shared" si="464"/>
        <v>3.280481E-3</v>
      </c>
      <c r="AK1045">
        <v>3.280481E-3</v>
      </c>
      <c r="AL1045">
        <v>0.120010935</v>
      </c>
      <c r="AM1045">
        <v>0.12841530000000001</v>
      </c>
      <c r="AN1045">
        <v>0.13386476</v>
      </c>
      <c r="AO1045">
        <v>99.671951899999996</v>
      </c>
      <c r="AP1045">
        <v>87.998906500000004</v>
      </c>
      <c r="AQ1045">
        <v>87.158469999999994</v>
      </c>
      <c r="AR1045">
        <v>86.613523999999998</v>
      </c>
      <c r="AS1045" t="b">
        <v>1</v>
      </c>
      <c r="AT1045" t="b">
        <v>0</v>
      </c>
      <c r="AU1045" t="s">
        <v>77</v>
      </c>
      <c r="AV1045" t="s">
        <v>78</v>
      </c>
      <c r="AW1045" t="s">
        <v>783</v>
      </c>
      <c r="AX1045" t="s">
        <v>1298</v>
      </c>
      <c r="AY1045" t="s">
        <v>1591</v>
      </c>
      <c r="AZ1045" t="s">
        <v>72</v>
      </c>
      <c r="BA1045" t="s">
        <v>82</v>
      </c>
      <c r="BB1045">
        <v>1.05</v>
      </c>
      <c r="BC1045">
        <v>9.0659339999999995E-3</v>
      </c>
      <c r="BD1045">
        <v>2.76583658862385E-3</v>
      </c>
      <c r="BE1045">
        <v>1.1831770588623799E-2</v>
      </c>
      <c r="BF1045">
        <f>IF(AK1045&lt;BE1045,1,0)</f>
        <v>1</v>
      </c>
      <c r="BG1045">
        <f>IF(AK1045&lt;BC1045,1,0)</f>
        <v>1</v>
      </c>
      <c r="BH1045">
        <f>VLOOKUP($B1045,[1]Data_Peer_with_peerVars!$B$2:$Z$1050,20,FALSE)</f>
        <v>6</v>
      </c>
      <c r="BI1045">
        <f>VLOOKUP($B1045,[1]Data_Peer_with_peerVars!$B$2:$Z$1050,21,FALSE)</f>
        <v>1</v>
      </c>
      <c r="BJ1045">
        <f>VLOOKUP($B1045,[1]Data_Peer_with_peerVars!$B$2:$Z$1050,22,FALSE)</f>
        <v>0.16666666699999999</v>
      </c>
      <c r="BK1045">
        <f>VLOOKUP($B1045,[1]Data_Peer_with_peerVars!$B$2:$Z$1050,23,FALSE)</f>
        <v>14</v>
      </c>
      <c r="BL1045">
        <f>VLOOKUP($B1045,[1]Data_Peer_with_peerVars!$B$2:$Z$1050,24,FALSE)</f>
        <v>5</v>
      </c>
      <c r="BM1045">
        <f>VLOOKUP($B1045,[1]Data_Peer_with_peerVars!$B$2:$Z$1050,25,FALSE)</f>
        <v>0.35714285699999998</v>
      </c>
    </row>
    <row r="1046" spans="1:65" x14ac:dyDescent="0.2">
      <c r="A1046">
        <v>1</v>
      </c>
      <c r="B1046" t="s">
        <v>1595</v>
      </c>
      <c r="C1046">
        <v>648</v>
      </c>
      <c r="D1046" t="s">
        <v>68</v>
      </c>
      <c r="E1046">
        <v>1</v>
      </c>
      <c r="F1046">
        <v>391</v>
      </c>
      <c r="G1046" t="s">
        <v>86</v>
      </c>
      <c r="H1046" s="1">
        <v>7</v>
      </c>
      <c r="I1046" t="s">
        <v>87</v>
      </c>
      <c r="J1046" t="s">
        <v>150</v>
      </c>
      <c r="K1046" t="s">
        <v>72</v>
      </c>
      <c r="L1046">
        <v>1</v>
      </c>
      <c r="M1046">
        <v>0</v>
      </c>
      <c r="N1046">
        <v>0</v>
      </c>
      <c r="O1046">
        <v>0</v>
      </c>
      <c r="P1046">
        <v>0</v>
      </c>
      <c r="Q1046">
        <v>11</v>
      </c>
      <c r="R1046">
        <v>0</v>
      </c>
      <c r="S1046">
        <v>0</v>
      </c>
      <c r="T1046">
        <v>0</v>
      </c>
      <c r="U1046">
        <v>0</v>
      </c>
      <c r="V1046">
        <f t="shared" si="461"/>
        <v>0</v>
      </c>
      <c r="W1046">
        <f t="shared" si="462"/>
        <v>0</v>
      </c>
      <c r="X1046">
        <f t="shared" si="465"/>
        <v>0</v>
      </c>
      <c r="Y1046">
        <f t="shared" si="463"/>
        <v>0</v>
      </c>
      <c r="Z1046" t="s">
        <v>170</v>
      </c>
      <c r="AA1046" s="5" t="s">
        <v>170</v>
      </c>
      <c r="AB1046" s="5" t="s">
        <v>1590</v>
      </c>
      <c r="AC1046" t="s">
        <v>74</v>
      </c>
      <c r="AD1046" t="s">
        <v>101</v>
      </c>
      <c r="AE1046" s="5" t="s">
        <v>101</v>
      </c>
      <c r="AF1046" t="s">
        <v>102</v>
      </c>
      <c r="AG1046" t="s">
        <v>99</v>
      </c>
      <c r="AH1046">
        <f t="shared" ref="AH1046:AH1047" si="473">AI1046</f>
        <v>8.9041099999999998E-2</v>
      </c>
      <c r="AI1046">
        <f t="shared" ref="AI1046:AI1047" si="474">AJ1046</f>
        <v>8.9041099999999998E-2</v>
      </c>
      <c r="AJ1046">
        <f t="shared" si="464"/>
        <v>8.9041099999999998E-2</v>
      </c>
      <c r="AK1046">
        <v>8.9041099999999998E-2</v>
      </c>
      <c r="AL1046">
        <v>0.11202635599999999</v>
      </c>
      <c r="AM1046">
        <v>0.11920349</v>
      </c>
      <c r="AN1046">
        <v>0.1193495</v>
      </c>
      <c r="AO1046">
        <v>91.095889999999997</v>
      </c>
      <c r="AP1046">
        <v>88.797364400000006</v>
      </c>
      <c r="AQ1046">
        <v>88.079650999999998</v>
      </c>
      <c r="AR1046">
        <v>88.065049999999999</v>
      </c>
      <c r="AS1046" t="b">
        <v>0</v>
      </c>
      <c r="AT1046" t="b">
        <v>0</v>
      </c>
      <c r="AU1046" t="s">
        <v>92</v>
      </c>
      <c r="AV1046" t="s">
        <v>92</v>
      </c>
      <c r="AW1046" t="s">
        <v>783</v>
      </c>
      <c r="AX1046" t="s">
        <v>1298</v>
      </c>
      <c r="AY1046" t="s">
        <v>1591</v>
      </c>
      <c r="AZ1046" t="s">
        <v>72</v>
      </c>
      <c r="BA1046" t="s">
        <v>82</v>
      </c>
      <c r="BB1046">
        <v>3.4</v>
      </c>
      <c r="BC1046">
        <v>2.4738868000000001E-3</v>
      </c>
      <c r="BD1046">
        <v>1.4256942275279999E-4</v>
      </c>
      <c r="BE1046">
        <v>2.6164562227527998E-3</v>
      </c>
      <c r="BF1046">
        <f>IF(AK1046&lt;BE1046,1,0)</f>
        <v>0</v>
      </c>
      <c r="BG1046">
        <f>IF(AK1046&lt;BC1046,1,0)</f>
        <v>0</v>
      </c>
      <c r="BH1046">
        <f>VLOOKUP($B1046,[1]Data_Peer_with_peerVars!$B$2:$Z$1050,20,FALSE)</f>
        <v>6</v>
      </c>
      <c r="BI1046">
        <f>VLOOKUP($B1046,[1]Data_Peer_with_peerVars!$B$2:$Z$1050,21,FALSE)</f>
        <v>1</v>
      </c>
      <c r="BJ1046">
        <f>VLOOKUP($B1046,[1]Data_Peer_with_peerVars!$B$2:$Z$1050,22,FALSE)</f>
        <v>0.16666666699999999</v>
      </c>
      <c r="BK1046">
        <f>VLOOKUP($B1046,[1]Data_Peer_with_peerVars!$B$2:$Z$1050,23,FALSE)</f>
        <v>14</v>
      </c>
      <c r="BL1046">
        <f>VLOOKUP($B1046,[1]Data_Peer_with_peerVars!$B$2:$Z$1050,24,FALSE)</f>
        <v>5</v>
      </c>
      <c r="BM1046">
        <f>VLOOKUP($B1046,[1]Data_Peer_with_peerVars!$B$2:$Z$1050,25,FALSE)</f>
        <v>0.35714285699999998</v>
      </c>
    </row>
    <row r="1047" spans="1:65" x14ac:dyDescent="0.2">
      <c r="A1047">
        <v>1</v>
      </c>
      <c r="B1047" t="s">
        <v>1596</v>
      </c>
      <c r="C1047">
        <v>649</v>
      </c>
      <c r="D1047" t="s">
        <v>68</v>
      </c>
      <c r="E1047">
        <v>1</v>
      </c>
      <c r="F1047">
        <v>730</v>
      </c>
      <c r="G1047" t="s">
        <v>86</v>
      </c>
      <c r="H1047" s="1">
        <v>7</v>
      </c>
      <c r="I1047" t="s">
        <v>70</v>
      </c>
      <c r="J1047" t="s">
        <v>301</v>
      </c>
      <c r="K1047" t="s">
        <v>109</v>
      </c>
      <c r="L1047">
        <v>1</v>
      </c>
      <c r="M1047">
        <v>0</v>
      </c>
      <c r="N1047">
        <v>1</v>
      </c>
      <c r="O1047">
        <v>0</v>
      </c>
      <c r="P1047">
        <v>0</v>
      </c>
      <c r="Q1047">
        <v>6</v>
      </c>
      <c r="R1047">
        <v>0</v>
      </c>
      <c r="S1047">
        <v>0</v>
      </c>
      <c r="T1047">
        <v>0</v>
      </c>
      <c r="U1047">
        <v>0</v>
      </c>
      <c r="V1047">
        <f t="shared" si="461"/>
        <v>0</v>
      </c>
      <c r="W1047">
        <f t="shared" si="462"/>
        <v>0</v>
      </c>
      <c r="X1047">
        <f t="shared" si="465"/>
        <v>0</v>
      </c>
      <c r="Y1047">
        <f t="shared" si="463"/>
        <v>0</v>
      </c>
      <c r="Z1047" t="s">
        <v>76</v>
      </c>
      <c r="AA1047" s="5" t="s">
        <v>76</v>
      </c>
      <c r="AB1047" s="5" t="s">
        <v>76</v>
      </c>
      <c r="AC1047" t="s">
        <v>102</v>
      </c>
      <c r="AD1047" t="s">
        <v>167</v>
      </c>
      <c r="AE1047" s="5" t="s">
        <v>167</v>
      </c>
      <c r="AF1047" t="s">
        <v>91</v>
      </c>
      <c r="AG1047" t="s">
        <v>99</v>
      </c>
      <c r="AH1047">
        <f t="shared" si="473"/>
        <v>0.11919080999999999</v>
      </c>
      <c r="AI1047">
        <f t="shared" si="474"/>
        <v>0.11919080999999999</v>
      </c>
      <c r="AJ1047">
        <f t="shared" si="464"/>
        <v>0.11919080999999999</v>
      </c>
      <c r="AK1047">
        <v>0.11919080999999999</v>
      </c>
      <c r="AL1047">
        <v>0.12712794999999999</v>
      </c>
      <c r="AM1047">
        <v>0.13541666999999999</v>
      </c>
      <c r="AN1047">
        <v>0.14072846999999999</v>
      </c>
      <c r="AO1047">
        <v>88.080918999999994</v>
      </c>
      <c r="AP1047">
        <v>87.287205</v>
      </c>
      <c r="AQ1047">
        <v>86.458332999999996</v>
      </c>
      <c r="AR1047">
        <v>85.927153000000004</v>
      </c>
      <c r="AS1047" t="b">
        <v>0</v>
      </c>
      <c r="AT1047" t="b">
        <v>0</v>
      </c>
      <c r="AU1047" t="s">
        <v>78</v>
      </c>
      <c r="AV1047" t="s">
        <v>78</v>
      </c>
      <c r="AW1047" t="s">
        <v>783</v>
      </c>
      <c r="AX1047" t="s">
        <v>1298</v>
      </c>
      <c r="AY1047" t="s">
        <v>1591</v>
      </c>
      <c r="AZ1047" t="s">
        <v>109</v>
      </c>
      <c r="BA1047">
        <v>5</v>
      </c>
      <c r="BB1047">
        <v>2.8</v>
      </c>
      <c r="BC1047">
        <v>3.0153507999999998E-3</v>
      </c>
      <c r="BD1047">
        <v>1.41556405228766E-4</v>
      </c>
      <c r="BE1047">
        <v>3.1569072052287702E-3</v>
      </c>
      <c r="BF1047">
        <f>IF(AK1047&lt;BE1047,1,0)</f>
        <v>0</v>
      </c>
      <c r="BG1047">
        <f>IF(AK1047&lt;BC1047,1,0)</f>
        <v>0</v>
      </c>
      <c r="BH1047">
        <f>VLOOKUP($B1047,[1]Data_Peer_with_peerVars!$B$2:$Z$1050,20,FALSE)</f>
        <v>4</v>
      </c>
      <c r="BI1047">
        <f>VLOOKUP($B1047,[1]Data_Peer_with_peerVars!$B$2:$Z$1050,21,FALSE)</f>
        <v>1</v>
      </c>
      <c r="BJ1047">
        <f>VLOOKUP($B1047,[1]Data_Peer_with_peerVars!$B$2:$Z$1050,22,FALSE)</f>
        <v>0.25</v>
      </c>
      <c r="BK1047">
        <f>VLOOKUP($B1047,[1]Data_Peer_with_peerVars!$B$2:$Z$1050,23,FALSE)</f>
        <v>14</v>
      </c>
      <c r="BL1047">
        <f>VLOOKUP($B1047,[1]Data_Peer_with_peerVars!$B$2:$Z$1050,24,FALSE)</f>
        <v>5</v>
      </c>
      <c r="BM1047">
        <f>VLOOKUP($B1047,[1]Data_Peer_with_peerVars!$B$2:$Z$1050,25,FALSE)</f>
        <v>0.35714285699999998</v>
      </c>
    </row>
    <row r="1048" spans="1:65" x14ac:dyDescent="0.2">
      <c r="A1048">
        <v>1</v>
      </c>
      <c r="B1048" t="s">
        <v>1597</v>
      </c>
      <c r="C1048">
        <v>649</v>
      </c>
      <c r="D1048" t="s">
        <v>68</v>
      </c>
      <c r="E1048">
        <v>1</v>
      </c>
      <c r="F1048">
        <v>730</v>
      </c>
      <c r="G1048" t="s">
        <v>86</v>
      </c>
      <c r="H1048" s="1">
        <v>7</v>
      </c>
      <c r="I1048" t="s">
        <v>70</v>
      </c>
      <c r="J1048" t="s">
        <v>301</v>
      </c>
      <c r="K1048" t="s">
        <v>109</v>
      </c>
      <c r="L1048">
        <v>1</v>
      </c>
      <c r="M1048">
        <v>0</v>
      </c>
      <c r="N1048">
        <v>1</v>
      </c>
      <c r="O1048">
        <v>0</v>
      </c>
      <c r="P1048">
        <v>0</v>
      </c>
      <c r="Q1048">
        <v>6</v>
      </c>
      <c r="R1048">
        <v>0</v>
      </c>
      <c r="S1048">
        <v>0</v>
      </c>
      <c r="T1048">
        <v>0</v>
      </c>
      <c r="U1048">
        <v>0</v>
      </c>
      <c r="V1048">
        <f t="shared" si="461"/>
        <v>1</v>
      </c>
      <c r="W1048">
        <v>1</v>
      </c>
      <c r="X1048">
        <v>1</v>
      </c>
      <c r="Y1048">
        <v>1</v>
      </c>
      <c r="Z1048" t="s">
        <v>91</v>
      </c>
      <c r="AA1048" s="5" t="s">
        <v>91</v>
      </c>
      <c r="AB1048" s="5" t="s">
        <v>1395</v>
      </c>
      <c r="AC1048" t="s">
        <v>91</v>
      </c>
      <c r="AD1048" t="s">
        <v>287</v>
      </c>
      <c r="AE1048" s="5" t="s">
        <v>287</v>
      </c>
      <c r="AF1048" t="s">
        <v>137</v>
      </c>
      <c r="AG1048" t="s">
        <v>113</v>
      </c>
      <c r="AH1048">
        <f t="shared" ref="AH1048:AI1050" si="475">AI1048</f>
        <v>6.2875890000000004E-2</v>
      </c>
      <c r="AI1048">
        <f t="shared" si="475"/>
        <v>6.2875890000000004E-2</v>
      </c>
      <c r="AJ1048">
        <f t="shared" si="464"/>
        <v>6.2875890000000004E-2</v>
      </c>
      <c r="AK1048">
        <v>6.2875890000000004E-2</v>
      </c>
      <c r="AL1048">
        <v>0.11441835</v>
      </c>
      <c r="AM1048">
        <v>0.11708515</v>
      </c>
      <c r="AN1048">
        <v>0.12802199</v>
      </c>
      <c r="AO1048">
        <v>93.712411000000003</v>
      </c>
      <c r="AP1048">
        <v>88.558165000000002</v>
      </c>
      <c r="AQ1048">
        <v>88.291484999999994</v>
      </c>
      <c r="AR1048">
        <v>87.197800999999998</v>
      </c>
      <c r="AS1048" t="b">
        <v>1</v>
      </c>
      <c r="AT1048" t="b">
        <v>0</v>
      </c>
      <c r="AU1048" t="s">
        <v>77</v>
      </c>
      <c r="AV1048" t="s">
        <v>78</v>
      </c>
      <c r="AW1048" t="s">
        <v>783</v>
      </c>
      <c r="AX1048" t="s">
        <v>1298</v>
      </c>
      <c r="AY1048" t="s">
        <v>1591</v>
      </c>
      <c r="AZ1048" t="s">
        <v>109</v>
      </c>
      <c r="BA1048">
        <v>5</v>
      </c>
      <c r="BB1048">
        <v>9</v>
      </c>
      <c r="BC1048">
        <v>9.0659339999999995E-3</v>
      </c>
      <c r="BD1048">
        <v>2.76583658862385E-3</v>
      </c>
      <c r="BE1048">
        <v>1.1831770588623799E-2</v>
      </c>
      <c r="BF1048">
        <f>IF(AK1048&lt;BE1048,1,0)</f>
        <v>0</v>
      </c>
      <c r="BG1048">
        <f>IF(AK1048&lt;BC1048,1,0)</f>
        <v>0</v>
      </c>
      <c r="BH1048">
        <f>VLOOKUP($B1048,[1]Data_Peer_with_peerVars!$B$2:$Z$1050,20,FALSE)</f>
        <v>4</v>
      </c>
      <c r="BI1048">
        <f>VLOOKUP($B1048,[1]Data_Peer_with_peerVars!$B$2:$Z$1050,21,FALSE)</f>
        <v>1</v>
      </c>
      <c r="BJ1048">
        <f>VLOOKUP($B1048,[1]Data_Peer_with_peerVars!$B$2:$Z$1050,22,FALSE)</f>
        <v>0.25</v>
      </c>
      <c r="BK1048">
        <f>VLOOKUP($B1048,[1]Data_Peer_with_peerVars!$B$2:$Z$1050,23,FALSE)</f>
        <v>14</v>
      </c>
      <c r="BL1048">
        <f>VLOOKUP($B1048,[1]Data_Peer_with_peerVars!$B$2:$Z$1050,24,FALSE)</f>
        <v>5</v>
      </c>
      <c r="BM1048">
        <f>VLOOKUP($B1048,[1]Data_Peer_with_peerVars!$B$2:$Z$1050,25,FALSE)</f>
        <v>0.35714285699999998</v>
      </c>
    </row>
    <row r="1049" spans="1:65" x14ac:dyDescent="0.2">
      <c r="A1049">
        <v>1</v>
      </c>
      <c r="B1049" t="s">
        <v>1598</v>
      </c>
      <c r="C1049">
        <v>650</v>
      </c>
      <c r="D1049" t="s">
        <v>68</v>
      </c>
      <c r="E1049">
        <v>1</v>
      </c>
      <c r="F1049">
        <v>460</v>
      </c>
      <c r="G1049" t="s">
        <v>86</v>
      </c>
      <c r="H1049" s="1">
        <v>2.6666666666666701</v>
      </c>
      <c r="J1049" t="s">
        <v>82</v>
      </c>
      <c r="L1049">
        <v>1</v>
      </c>
      <c r="M1049">
        <v>0</v>
      </c>
      <c r="N1049">
        <v>1</v>
      </c>
      <c r="O1049">
        <v>0</v>
      </c>
      <c r="P1049">
        <v>0</v>
      </c>
      <c r="Q1049">
        <v>3</v>
      </c>
      <c r="R1049">
        <v>0</v>
      </c>
      <c r="S1049">
        <v>1</v>
      </c>
      <c r="T1049">
        <v>1</v>
      </c>
      <c r="U1049">
        <v>1</v>
      </c>
      <c r="V1049">
        <f t="shared" si="461"/>
        <v>0</v>
      </c>
      <c r="W1049">
        <f t="shared" si="462"/>
        <v>0</v>
      </c>
      <c r="X1049">
        <f t="shared" si="465"/>
        <v>0</v>
      </c>
      <c r="Y1049">
        <f t="shared" si="463"/>
        <v>0</v>
      </c>
      <c r="Z1049" t="s">
        <v>177</v>
      </c>
      <c r="AA1049" s="5" t="s">
        <v>1599</v>
      </c>
      <c r="AB1049" s="5" t="s">
        <v>1599</v>
      </c>
      <c r="AC1049" t="s">
        <v>95</v>
      </c>
      <c r="AD1049" t="s">
        <v>173</v>
      </c>
      <c r="AE1049" s="5" t="s">
        <v>1189</v>
      </c>
      <c r="AF1049" t="s">
        <v>174</v>
      </c>
      <c r="AG1049" t="s">
        <v>198</v>
      </c>
      <c r="AH1049">
        <f t="shared" si="475"/>
        <v>7.9278299999999996E-2</v>
      </c>
      <c r="AI1049">
        <f t="shared" si="475"/>
        <v>7.9278299999999996E-2</v>
      </c>
      <c r="AJ1049">
        <f t="shared" si="464"/>
        <v>7.9278299999999996E-2</v>
      </c>
      <c r="AK1049">
        <v>7.9278299999999996E-2</v>
      </c>
      <c r="AL1049">
        <v>9.2572360000000006E-2</v>
      </c>
      <c r="AM1049">
        <v>9.4091910000000001E-2</v>
      </c>
      <c r="AN1049">
        <v>9.7366980000000006E-2</v>
      </c>
      <c r="AO1049">
        <v>92.07217</v>
      </c>
      <c r="AP1049">
        <v>90.742763999999994</v>
      </c>
      <c r="AQ1049">
        <v>90.590808999999993</v>
      </c>
      <c r="AR1049">
        <v>90.263301999999996</v>
      </c>
      <c r="AS1049" t="s">
        <v>82</v>
      </c>
      <c r="AT1049" t="s">
        <v>82</v>
      </c>
      <c r="AU1049" t="s">
        <v>77</v>
      </c>
      <c r="AV1049" t="s">
        <v>108</v>
      </c>
      <c r="AW1049" t="s">
        <v>783</v>
      </c>
      <c r="AX1049" t="s">
        <v>1298</v>
      </c>
      <c r="AY1049" t="s">
        <v>1591</v>
      </c>
      <c r="AZ1049" t="s">
        <v>82</v>
      </c>
      <c r="BA1049" t="s">
        <v>82</v>
      </c>
      <c r="BB1049" t="s">
        <v>82</v>
      </c>
      <c r="BC1049">
        <v>4.2676209999999999E-2</v>
      </c>
      <c r="BD1049">
        <v>1.50718657428557E-3</v>
      </c>
      <c r="BE1049">
        <v>4.4183396574285598E-2</v>
      </c>
      <c r="BF1049">
        <f>IF(AK1049&lt;BE1049,1,0)</f>
        <v>0</v>
      </c>
      <c r="BG1049">
        <f>IF(AK1049&lt;BC1049,1,0)</f>
        <v>0</v>
      </c>
    </row>
    <row r="1050" spans="1:65" x14ac:dyDescent="0.2">
      <c r="A1050">
        <v>1</v>
      </c>
      <c r="B1050" t="s">
        <v>1600</v>
      </c>
      <c r="C1050">
        <v>650</v>
      </c>
      <c r="D1050" t="s">
        <v>68</v>
      </c>
      <c r="E1050">
        <v>1</v>
      </c>
      <c r="F1050">
        <v>460</v>
      </c>
      <c r="G1050" t="s">
        <v>86</v>
      </c>
      <c r="H1050" s="1">
        <v>2.6666666666666701</v>
      </c>
      <c r="J1050" t="s">
        <v>82</v>
      </c>
      <c r="L1050">
        <v>1</v>
      </c>
      <c r="M1050">
        <v>0</v>
      </c>
      <c r="N1050">
        <v>1</v>
      </c>
      <c r="O1050">
        <v>0</v>
      </c>
      <c r="P1050">
        <v>0</v>
      </c>
      <c r="Q1050">
        <v>3</v>
      </c>
      <c r="R1050">
        <v>0</v>
      </c>
      <c r="S1050">
        <v>0</v>
      </c>
      <c r="T1050">
        <v>0</v>
      </c>
      <c r="U1050">
        <v>0</v>
      </c>
      <c r="V1050">
        <f t="shared" si="461"/>
        <v>1</v>
      </c>
      <c r="W1050">
        <v>1</v>
      </c>
      <c r="X1050">
        <v>1</v>
      </c>
      <c r="Y1050">
        <v>1</v>
      </c>
      <c r="Z1050" t="s">
        <v>103</v>
      </c>
      <c r="AA1050" s="5" t="s">
        <v>103</v>
      </c>
      <c r="AB1050" s="5" t="s">
        <v>1601</v>
      </c>
      <c r="AC1050" t="s">
        <v>103</v>
      </c>
      <c r="AD1050" t="s">
        <v>101</v>
      </c>
      <c r="AE1050" s="5" t="s">
        <v>101</v>
      </c>
      <c r="AF1050" t="s">
        <v>99</v>
      </c>
      <c r="AG1050" t="s">
        <v>137</v>
      </c>
      <c r="AH1050">
        <f t="shared" si="475"/>
        <v>3.3608816999999999E-2</v>
      </c>
      <c r="AI1050">
        <f t="shared" si="475"/>
        <v>3.3608816999999999E-2</v>
      </c>
      <c r="AJ1050">
        <f t="shared" si="464"/>
        <v>3.3608816999999999E-2</v>
      </c>
      <c r="AK1050">
        <v>3.3608816999999999E-2</v>
      </c>
      <c r="AL1050">
        <v>6.7969180000000004E-2</v>
      </c>
      <c r="AM1050">
        <v>0.10176991000000001</v>
      </c>
      <c r="AN1050">
        <v>0.13526835000000001</v>
      </c>
      <c r="AO1050">
        <v>96.639118300000007</v>
      </c>
      <c r="AP1050">
        <v>93.203081999999995</v>
      </c>
      <c r="AQ1050">
        <v>89.823008999999999</v>
      </c>
      <c r="AR1050">
        <v>86.473164999999995</v>
      </c>
      <c r="AS1050" t="b">
        <v>1</v>
      </c>
      <c r="AT1050" t="b">
        <v>0</v>
      </c>
      <c r="AU1050" t="s">
        <v>77</v>
      </c>
      <c r="AV1050" t="s">
        <v>77</v>
      </c>
      <c r="AW1050" t="s">
        <v>783</v>
      </c>
      <c r="AX1050" t="s">
        <v>1298</v>
      </c>
      <c r="AY1050" t="s">
        <v>1591</v>
      </c>
      <c r="AZ1050" t="s">
        <v>109</v>
      </c>
      <c r="BA1050">
        <v>3</v>
      </c>
      <c r="BB1050">
        <v>7.0000000000000007E-2</v>
      </c>
      <c r="BC1050">
        <v>1.8406593999999998E-2</v>
      </c>
      <c r="BD1050">
        <v>3.30705390234067E-4</v>
      </c>
      <c r="BE1050">
        <v>1.8737299390234101E-2</v>
      </c>
      <c r="BF1050">
        <f>IF(AK1050&lt;BE1050,1,0)</f>
        <v>0</v>
      </c>
      <c r="BG1050">
        <f>IF(AK1050&lt;BC1050,1,0)</f>
        <v>0</v>
      </c>
      <c r="BH1050">
        <f>VLOOKUP($B1050,[1]Data_Peer_with_peerVars!$B$2:$Z$1050,20,FALSE)</f>
        <v>5</v>
      </c>
      <c r="BI1050">
        <f>VLOOKUP($B1050,[1]Data_Peer_with_peerVars!$B$2:$Z$1050,21,FALSE)</f>
        <v>1</v>
      </c>
      <c r="BJ1050">
        <f>VLOOKUP($B1050,[1]Data_Peer_with_peerVars!$B$2:$Z$1050,22,FALSE)</f>
        <v>0.2</v>
      </c>
      <c r="BK1050">
        <f>VLOOKUP($B1050,[1]Data_Peer_with_peerVars!$B$2:$Z$1050,23,FALSE)</f>
        <v>25</v>
      </c>
      <c r="BL1050">
        <f>VLOOKUP($B1050,[1]Data_Peer_with_peerVars!$B$2:$Z$1050,24,FALSE)</f>
        <v>9</v>
      </c>
      <c r="BM1050">
        <f>VLOOKUP($B1050,[1]Data_Peer_with_peerVars!$B$2:$Z$1050,25,FALSE)</f>
        <v>0.36</v>
      </c>
    </row>
    <row r="1051" spans="1:65" x14ac:dyDescent="0.2">
      <c r="A1051">
        <v>1</v>
      </c>
      <c r="B1051" t="s">
        <v>1602</v>
      </c>
      <c r="C1051">
        <v>651</v>
      </c>
      <c r="D1051" t="s">
        <v>68</v>
      </c>
      <c r="E1051">
        <v>0</v>
      </c>
      <c r="F1051">
        <v>721</v>
      </c>
      <c r="G1051" t="s">
        <v>97</v>
      </c>
      <c r="H1051" s="1">
        <v>4.5</v>
      </c>
      <c r="I1051" t="s">
        <v>70</v>
      </c>
      <c r="J1051" t="s">
        <v>301</v>
      </c>
      <c r="K1051" t="s">
        <v>109</v>
      </c>
      <c r="L1051">
        <v>1</v>
      </c>
      <c r="M1051">
        <v>0</v>
      </c>
      <c r="N1051">
        <v>0</v>
      </c>
      <c r="O1051">
        <v>0</v>
      </c>
      <c r="P1051">
        <v>0</v>
      </c>
      <c r="Q1051">
        <v>12</v>
      </c>
      <c r="R1051">
        <v>0</v>
      </c>
      <c r="S1051">
        <v>0</v>
      </c>
      <c r="T1051">
        <v>1</v>
      </c>
      <c r="U1051">
        <v>1</v>
      </c>
      <c r="V1051">
        <f t="shared" si="461"/>
        <v>0</v>
      </c>
      <c r="W1051">
        <f t="shared" si="462"/>
        <v>0</v>
      </c>
      <c r="X1051">
        <f t="shared" si="465"/>
        <v>0</v>
      </c>
      <c r="Y1051">
        <f t="shared" si="463"/>
        <v>0</v>
      </c>
      <c r="Z1051" t="s">
        <v>75</v>
      </c>
      <c r="AA1051" s="5" t="s">
        <v>75</v>
      </c>
      <c r="AB1051" s="5" t="s">
        <v>75</v>
      </c>
      <c r="AC1051" t="s">
        <v>73</v>
      </c>
      <c r="AD1051" t="s">
        <v>94</v>
      </c>
      <c r="AE1051" s="5" t="s">
        <v>106</v>
      </c>
      <c r="AF1051" t="s">
        <v>107</v>
      </c>
      <c r="AG1051" t="s">
        <v>95</v>
      </c>
      <c r="AH1051">
        <f t="shared" ref="AH1051:AH1052" si="476">AI1051</f>
        <v>4.0916529999999998E-3</v>
      </c>
      <c r="AI1051">
        <f t="shared" ref="AI1051:AI1052" si="477">AJ1051</f>
        <v>4.0916529999999998E-3</v>
      </c>
      <c r="AJ1051">
        <f t="shared" si="464"/>
        <v>4.0916529999999998E-3</v>
      </c>
      <c r="AK1051">
        <v>4.0916529999999998E-3</v>
      </c>
      <c r="AL1051">
        <v>0.13203936999999999</v>
      </c>
      <c r="AM1051">
        <v>0.13623904000000001</v>
      </c>
      <c r="AN1051">
        <v>0.13875206000000001</v>
      </c>
      <c r="AO1051">
        <v>99.590834700000002</v>
      </c>
      <c r="AP1051">
        <v>86.796063000000004</v>
      </c>
      <c r="AQ1051">
        <v>86.376096000000004</v>
      </c>
      <c r="AR1051">
        <v>86.124793999999994</v>
      </c>
      <c r="AS1051" t="b">
        <v>0</v>
      </c>
      <c r="AT1051" t="b">
        <v>0</v>
      </c>
      <c r="AU1051" t="s">
        <v>77</v>
      </c>
      <c r="AV1051" t="s">
        <v>108</v>
      </c>
      <c r="AW1051" t="s">
        <v>783</v>
      </c>
      <c r="AX1051" t="s">
        <v>1298</v>
      </c>
      <c r="AY1051" t="s">
        <v>1591</v>
      </c>
      <c r="AZ1051" t="s">
        <v>109</v>
      </c>
      <c r="BA1051">
        <v>2</v>
      </c>
      <c r="BB1051">
        <v>0.5</v>
      </c>
      <c r="BC1051">
        <v>4.1163553999999996E-3</v>
      </c>
      <c r="BD1051">
        <v>1.4279989108178799E-4</v>
      </c>
      <c r="BE1051">
        <v>4.2591552910817903E-3</v>
      </c>
      <c r="BF1051">
        <f>IF(AK1051&lt;BE1051,1,0)</f>
        <v>1</v>
      </c>
      <c r="BG1051">
        <f>IF(AK1051&lt;BC1051,1,0)</f>
        <v>1</v>
      </c>
      <c r="BH1051">
        <f>VLOOKUP($B1051,[1]Data_Peer_with_peerVars!$B$2:$Z$1050,20,FALSE)</f>
        <v>4</v>
      </c>
      <c r="BI1051">
        <f>VLOOKUP($B1051,[1]Data_Peer_with_peerVars!$B$2:$Z$1050,21,FALSE)</f>
        <v>2</v>
      </c>
      <c r="BJ1051">
        <f>VLOOKUP($B1051,[1]Data_Peer_with_peerVars!$B$2:$Z$1050,22,FALSE)</f>
        <v>0.5</v>
      </c>
      <c r="BK1051">
        <f>VLOOKUP($B1051,[1]Data_Peer_with_peerVars!$B$2:$Z$1050,23,FALSE)</f>
        <v>21</v>
      </c>
      <c r="BL1051">
        <f>VLOOKUP($B1051,[1]Data_Peer_with_peerVars!$B$2:$Z$1050,24,FALSE)</f>
        <v>9</v>
      </c>
      <c r="BM1051">
        <f>VLOOKUP($B1051,[1]Data_Peer_with_peerVars!$B$2:$Z$1050,25,FALSE)</f>
        <v>0.428571429</v>
      </c>
    </row>
    <row r="1052" spans="1:65" x14ac:dyDescent="0.2">
      <c r="A1052">
        <v>1</v>
      </c>
      <c r="B1052" t="s">
        <v>1603</v>
      </c>
      <c r="C1052">
        <v>651</v>
      </c>
      <c r="D1052" t="s">
        <v>68</v>
      </c>
      <c r="E1052">
        <v>0</v>
      </c>
      <c r="F1052">
        <v>721</v>
      </c>
      <c r="G1052" t="s">
        <v>97</v>
      </c>
      <c r="H1052" s="1">
        <v>4.5</v>
      </c>
      <c r="I1052" t="s">
        <v>70</v>
      </c>
      <c r="J1052" t="s">
        <v>301</v>
      </c>
      <c r="K1052" t="s">
        <v>109</v>
      </c>
      <c r="L1052">
        <v>1</v>
      </c>
      <c r="M1052">
        <v>0</v>
      </c>
      <c r="N1052">
        <v>0</v>
      </c>
      <c r="O1052">
        <v>0</v>
      </c>
      <c r="P1052">
        <v>0</v>
      </c>
      <c r="Q1052">
        <v>12</v>
      </c>
      <c r="R1052">
        <v>0</v>
      </c>
      <c r="S1052">
        <v>0</v>
      </c>
      <c r="T1052">
        <v>0</v>
      </c>
      <c r="U1052">
        <v>0</v>
      </c>
      <c r="V1052">
        <f t="shared" si="461"/>
        <v>0</v>
      </c>
      <c r="W1052">
        <f t="shared" si="462"/>
        <v>0</v>
      </c>
      <c r="X1052">
        <f t="shared" si="465"/>
        <v>0</v>
      </c>
      <c r="Y1052">
        <f t="shared" si="463"/>
        <v>0</v>
      </c>
      <c r="Z1052" t="s">
        <v>91</v>
      </c>
      <c r="AA1052" s="5" t="s">
        <v>91</v>
      </c>
      <c r="AB1052" s="5" t="s">
        <v>1568</v>
      </c>
      <c r="AC1052" t="s">
        <v>74</v>
      </c>
      <c r="AD1052" t="s">
        <v>120</v>
      </c>
      <c r="AE1052" s="5" t="s">
        <v>120</v>
      </c>
      <c r="AF1052" t="s">
        <v>167</v>
      </c>
      <c r="AG1052" t="s">
        <v>102</v>
      </c>
      <c r="AH1052">
        <f t="shared" si="476"/>
        <v>0.10465753</v>
      </c>
      <c r="AI1052">
        <f t="shared" si="477"/>
        <v>0.10465753</v>
      </c>
      <c r="AJ1052">
        <f t="shared" si="464"/>
        <v>0.10465753</v>
      </c>
      <c r="AK1052">
        <v>0.10465753</v>
      </c>
      <c r="AL1052">
        <v>0.1136612</v>
      </c>
      <c r="AM1052">
        <v>0.12637060999999999</v>
      </c>
      <c r="AN1052">
        <v>0.12684124999999999</v>
      </c>
      <c r="AO1052">
        <v>89.534246999999993</v>
      </c>
      <c r="AP1052">
        <v>88.633880000000005</v>
      </c>
      <c r="AQ1052">
        <v>87.362938999999997</v>
      </c>
      <c r="AR1052">
        <v>87.315875000000005</v>
      </c>
      <c r="AS1052" t="b">
        <v>0</v>
      </c>
      <c r="AT1052" t="b">
        <v>0</v>
      </c>
      <c r="AU1052" t="s">
        <v>78</v>
      </c>
      <c r="AV1052" t="s">
        <v>78</v>
      </c>
      <c r="AW1052" t="s">
        <v>783</v>
      </c>
      <c r="AX1052" t="s">
        <v>1298</v>
      </c>
      <c r="AY1052" t="s">
        <v>1591</v>
      </c>
      <c r="AZ1052" t="s">
        <v>109</v>
      </c>
      <c r="BA1052">
        <v>2</v>
      </c>
      <c r="BB1052">
        <v>0.5</v>
      </c>
      <c r="BC1052">
        <v>2.4738868000000001E-3</v>
      </c>
      <c r="BD1052">
        <v>1.4256942275279999E-4</v>
      </c>
      <c r="BE1052">
        <v>2.6164562227527998E-3</v>
      </c>
      <c r="BF1052">
        <f>IF(AK1052&lt;BE1052,1,0)</f>
        <v>0</v>
      </c>
      <c r="BG1052">
        <f>IF(AK1052&lt;BC1052,1,0)</f>
        <v>0</v>
      </c>
      <c r="BH1052">
        <f>VLOOKUP($B1052,[1]Data_Peer_with_peerVars!$B$2:$Z$1050,20,FALSE)</f>
        <v>4</v>
      </c>
      <c r="BI1052">
        <f>VLOOKUP($B1052,[1]Data_Peer_with_peerVars!$B$2:$Z$1050,21,FALSE)</f>
        <v>2</v>
      </c>
      <c r="BJ1052">
        <f>VLOOKUP($B1052,[1]Data_Peer_with_peerVars!$B$2:$Z$1050,22,FALSE)</f>
        <v>0.5</v>
      </c>
      <c r="BK1052">
        <f>VLOOKUP($B1052,[1]Data_Peer_with_peerVars!$B$2:$Z$1050,23,FALSE)</f>
        <v>21</v>
      </c>
      <c r="BL1052">
        <f>VLOOKUP($B1052,[1]Data_Peer_with_peerVars!$B$2:$Z$1050,24,FALSE)</f>
        <v>9</v>
      </c>
      <c r="BM1052">
        <f>VLOOKUP($B1052,[1]Data_Peer_with_peerVars!$B$2:$Z$1050,25,FALSE)</f>
        <v>0.428571429</v>
      </c>
    </row>
    <row r="1053" spans="1:65" x14ac:dyDescent="0.2">
      <c r="A1053">
        <v>1</v>
      </c>
      <c r="B1053" t="s">
        <v>1604</v>
      </c>
      <c r="C1053">
        <v>652</v>
      </c>
      <c r="D1053" t="s">
        <v>68</v>
      </c>
      <c r="E1053">
        <v>1</v>
      </c>
      <c r="F1053">
        <v>731</v>
      </c>
      <c r="G1053" t="s">
        <v>69</v>
      </c>
      <c r="H1053" s="1">
        <v>7</v>
      </c>
      <c r="I1053" t="s">
        <v>70</v>
      </c>
      <c r="J1053" t="s">
        <v>301</v>
      </c>
      <c r="K1053" t="s">
        <v>72</v>
      </c>
      <c r="L1053">
        <v>1</v>
      </c>
      <c r="M1053">
        <v>0</v>
      </c>
      <c r="N1053">
        <v>1</v>
      </c>
      <c r="O1053">
        <v>0</v>
      </c>
      <c r="P1053">
        <v>0</v>
      </c>
      <c r="Q1053">
        <v>2</v>
      </c>
      <c r="R1053">
        <v>0</v>
      </c>
      <c r="S1053">
        <v>0</v>
      </c>
      <c r="T1053">
        <v>0</v>
      </c>
      <c r="U1053">
        <v>0</v>
      </c>
      <c r="V1053">
        <f t="shared" si="461"/>
        <v>1</v>
      </c>
      <c r="W1053">
        <v>1</v>
      </c>
      <c r="X1053">
        <v>1</v>
      </c>
      <c r="Y1053">
        <v>1</v>
      </c>
      <c r="Z1053" t="s">
        <v>287</v>
      </c>
      <c r="AA1053" s="5" t="s">
        <v>287</v>
      </c>
      <c r="AB1053" s="5" t="s">
        <v>287</v>
      </c>
      <c r="AC1053" t="s">
        <v>287</v>
      </c>
      <c r="AD1053" t="s">
        <v>137</v>
      </c>
      <c r="AE1053" s="5" t="s">
        <v>305</v>
      </c>
      <c r="AF1053" t="s">
        <v>91</v>
      </c>
      <c r="AG1053" t="s">
        <v>113</v>
      </c>
      <c r="AH1053">
        <f>AI1053</f>
        <v>4.1507374E-2</v>
      </c>
      <c r="AI1053">
        <f>AJ1053</f>
        <v>4.1507374E-2</v>
      </c>
      <c r="AJ1053">
        <f t="shared" si="464"/>
        <v>4.1507374E-2</v>
      </c>
      <c r="AK1053">
        <v>4.1507374E-2</v>
      </c>
      <c r="AL1053">
        <v>0.10922993</v>
      </c>
      <c r="AM1053">
        <v>0.12117068</v>
      </c>
      <c r="AN1053">
        <v>0.125</v>
      </c>
      <c r="AO1053">
        <v>95.849262600000003</v>
      </c>
      <c r="AP1053">
        <v>89.077006999999995</v>
      </c>
      <c r="AQ1053">
        <v>87.882931999999997</v>
      </c>
      <c r="AR1053">
        <v>87.5</v>
      </c>
      <c r="AS1053" t="b">
        <v>1</v>
      </c>
      <c r="AT1053" t="b">
        <v>0</v>
      </c>
      <c r="AU1053" t="s">
        <v>77</v>
      </c>
      <c r="AV1053" t="s">
        <v>108</v>
      </c>
      <c r="AW1053" t="s">
        <v>783</v>
      </c>
      <c r="AX1053" t="s">
        <v>1298</v>
      </c>
      <c r="AY1053" t="s">
        <v>1591</v>
      </c>
      <c r="AZ1053" t="s">
        <v>72</v>
      </c>
      <c r="BA1053" t="s">
        <v>82</v>
      </c>
      <c r="BB1053">
        <v>2</v>
      </c>
      <c r="BC1053">
        <v>5.5106750000000003E-2</v>
      </c>
      <c r="BD1053">
        <v>2.4361461616194298E-3</v>
      </c>
      <c r="BE1053">
        <v>5.7542896161619402E-2</v>
      </c>
      <c r="BF1053">
        <f>IF(AK1053&lt;BE1053,1,0)</f>
        <v>1</v>
      </c>
      <c r="BG1053">
        <f>IF(AK1053&lt;BC1053,1,0)</f>
        <v>1</v>
      </c>
      <c r="BH1053">
        <f>VLOOKUP($B1053,[1]Data_Peer_with_peerVars!$B$2:$Z$1050,20,FALSE)</f>
        <v>5</v>
      </c>
      <c r="BI1053">
        <f>VLOOKUP($B1053,[1]Data_Peer_with_peerVars!$B$2:$Z$1050,21,FALSE)</f>
        <v>1</v>
      </c>
      <c r="BJ1053">
        <f>VLOOKUP($B1053,[1]Data_Peer_with_peerVars!$B$2:$Z$1050,22,FALSE)</f>
        <v>0.2</v>
      </c>
      <c r="BK1053">
        <f>VLOOKUP($B1053,[1]Data_Peer_with_peerVars!$B$2:$Z$1050,23,FALSE)</f>
        <v>25</v>
      </c>
      <c r="BL1053">
        <f>VLOOKUP($B1053,[1]Data_Peer_with_peerVars!$B$2:$Z$1050,24,FALSE)</f>
        <v>9</v>
      </c>
      <c r="BM1053">
        <f>VLOOKUP($B1053,[1]Data_Peer_with_peerVars!$B$2:$Z$1050,25,FALSE)</f>
        <v>0.36</v>
      </c>
    </row>
    <row r="1054" spans="1:65" x14ac:dyDescent="0.2">
      <c r="A1054">
        <v>1</v>
      </c>
      <c r="B1054" t="s">
        <v>1605</v>
      </c>
      <c r="C1054">
        <v>653</v>
      </c>
      <c r="D1054" t="s">
        <v>68</v>
      </c>
      <c r="E1054">
        <v>0</v>
      </c>
      <c r="F1054">
        <v>736</v>
      </c>
      <c r="G1054" t="s">
        <v>97</v>
      </c>
      <c r="H1054" s="1">
        <v>7</v>
      </c>
      <c r="I1054" t="s">
        <v>87</v>
      </c>
      <c r="J1054" t="s">
        <v>150</v>
      </c>
      <c r="K1054" t="s">
        <v>72</v>
      </c>
      <c r="L1054">
        <v>1</v>
      </c>
      <c r="M1054">
        <v>0</v>
      </c>
      <c r="N1054">
        <v>1</v>
      </c>
      <c r="O1054">
        <v>0</v>
      </c>
      <c r="P1054">
        <v>0</v>
      </c>
      <c r="Q1054">
        <v>4</v>
      </c>
      <c r="R1054">
        <v>0</v>
      </c>
      <c r="S1054">
        <v>0</v>
      </c>
      <c r="T1054">
        <v>0</v>
      </c>
      <c r="U1054">
        <v>0</v>
      </c>
      <c r="V1054">
        <f t="shared" si="461"/>
        <v>0</v>
      </c>
      <c r="W1054">
        <f t="shared" si="462"/>
        <v>0</v>
      </c>
      <c r="X1054">
        <f t="shared" si="465"/>
        <v>0</v>
      </c>
      <c r="Y1054">
        <f t="shared" si="463"/>
        <v>0</v>
      </c>
      <c r="Z1054" t="s">
        <v>89</v>
      </c>
      <c r="AA1054" s="5" t="s">
        <v>89</v>
      </c>
      <c r="AB1054" s="5" t="s">
        <v>1606</v>
      </c>
      <c r="AC1054" t="s">
        <v>75</v>
      </c>
      <c r="AD1054" t="s">
        <v>74</v>
      </c>
      <c r="AE1054" s="5" t="s">
        <v>817</v>
      </c>
      <c r="AF1054" t="s">
        <v>120</v>
      </c>
      <c r="AG1054" t="s">
        <v>167</v>
      </c>
      <c r="AH1054">
        <f t="shared" ref="AH1054:AH1057" si="478">AI1054</f>
        <v>2.8188286E-2</v>
      </c>
      <c r="AI1054">
        <f t="shared" ref="AI1054:AI1057" si="479">AJ1054</f>
        <v>2.8188286E-2</v>
      </c>
      <c r="AJ1054">
        <f t="shared" si="464"/>
        <v>2.8188286E-2</v>
      </c>
      <c r="AK1054">
        <v>2.8188286E-2</v>
      </c>
      <c r="AL1054">
        <v>9.4572365000000005E-2</v>
      </c>
      <c r="AM1054">
        <v>0.100054674</v>
      </c>
      <c r="AN1054">
        <v>0.10998354</v>
      </c>
      <c r="AO1054">
        <v>97.181171399999997</v>
      </c>
      <c r="AP1054">
        <v>90.542763500000007</v>
      </c>
      <c r="AQ1054">
        <v>89.994532599999999</v>
      </c>
      <c r="AR1054">
        <v>89.001645999999994</v>
      </c>
      <c r="AS1054" t="b">
        <v>0</v>
      </c>
      <c r="AT1054" t="b">
        <v>0</v>
      </c>
      <c r="AU1054" t="s">
        <v>92</v>
      </c>
      <c r="AV1054" t="s">
        <v>92</v>
      </c>
      <c r="AW1054" t="s">
        <v>783</v>
      </c>
      <c r="AX1054" t="s">
        <v>1298</v>
      </c>
      <c r="AY1054" t="s">
        <v>1591</v>
      </c>
      <c r="AZ1054" t="s">
        <v>72</v>
      </c>
      <c r="BA1054" t="s">
        <v>82</v>
      </c>
      <c r="BB1054">
        <v>0.17499999999999899</v>
      </c>
      <c r="BC1054">
        <v>2.3038946000000001E-2</v>
      </c>
      <c r="BD1054">
        <v>2.6184719377746E-3</v>
      </c>
      <c r="BE1054">
        <v>2.5657417937774599E-2</v>
      </c>
      <c r="BF1054">
        <f>IF(AK1054&lt;BE1054,1,0)</f>
        <v>0</v>
      </c>
      <c r="BG1054">
        <f>IF(AK1054&lt;BC1054,1,0)</f>
        <v>0</v>
      </c>
      <c r="BH1054">
        <f>VLOOKUP($B1054,[1]Data_Peer_with_peerVars!$B$2:$Z$1050,20,FALSE)</f>
        <v>6</v>
      </c>
      <c r="BI1054">
        <f>VLOOKUP($B1054,[1]Data_Peer_with_peerVars!$B$2:$Z$1050,21,FALSE)</f>
        <v>2</v>
      </c>
      <c r="BJ1054">
        <f>VLOOKUP($B1054,[1]Data_Peer_with_peerVars!$B$2:$Z$1050,22,FALSE)</f>
        <v>0.33333333300000001</v>
      </c>
      <c r="BK1054">
        <f>VLOOKUP($B1054,[1]Data_Peer_with_peerVars!$B$2:$Z$1050,23,FALSE)</f>
        <v>14</v>
      </c>
      <c r="BL1054">
        <f>VLOOKUP($B1054,[1]Data_Peer_with_peerVars!$B$2:$Z$1050,24,FALSE)</f>
        <v>6</v>
      </c>
      <c r="BM1054">
        <f>VLOOKUP($B1054,[1]Data_Peer_with_peerVars!$B$2:$Z$1050,25,FALSE)</f>
        <v>0.428571429</v>
      </c>
    </row>
    <row r="1055" spans="1:65" x14ac:dyDescent="0.2">
      <c r="A1055">
        <v>1</v>
      </c>
      <c r="B1055" t="s">
        <v>1607</v>
      </c>
      <c r="C1055">
        <v>653</v>
      </c>
      <c r="D1055" t="s">
        <v>68</v>
      </c>
      <c r="E1055">
        <v>0</v>
      </c>
      <c r="F1055">
        <v>736</v>
      </c>
      <c r="G1055" t="s">
        <v>97</v>
      </c>
      <c r="H1055" s="1">
        <v>7</v>
      </c>
      <c r="I1055" t="s">
        <v>87</v>
      </c>
      <c r="J1055" t="s">
        <v>150</v>
      </c>
      <c r="K1055" t="s">
        <v>72</v>
      </c>
      <c r="L1055">
        <v>1</v>
      </c>
      <c r="M1055">
        <v>0</v>
      </c>
      <c r="N1055">
        <v>1</v>
      </c>
      <c r="O1055">
        <v>0</v>
      </c>
      <c r="P1055">
        <v>0</v>
      </c>
      <c r="Q1055">
        <v>4</v>
      </c>
      <c r="R1055">
        <v>0</v>
      </c>
      <c r="S1055">
        <v>0</v>
      </c>
      <c r="T1055">
        <v>0</v>
      </c>
      <c r="U1055">
        <v>0</v>
      </c>
      <c r="V1055">
        <f t="shared" si="461"/>
        <v>0</v>
      </c>
      <c r="W1055">
        <f t="shared" si="462"/>
        <v>0</v>
      </c>
      <c r="X1055">
        <f t="shared" si="465"/>
        <v>0</v>
      </c>
      <c r="Y1055">
        <f t="shared" si="463"/>
        <v>0</v>
      </c>
      <c r="Z1055" t="s">
        <v>76</v>
      </c>
      <c r="AA1055" s="5" t="s">
        <v>76</v>
      </c>
      <c r="AB1055" s="5" t="s">
        <v>76</v>
      </c>
      <c r="AC1055" t="s">
        <v>101</v>
      </c>
      <c r="AD1055" t="s">
        <v>99</v>
      </c>
      <c r="AE1055" s="5" t="s">
        <v>99</v>
      </c>
      <c r="AF1055" t="s">
        <v>103</v>
      </c>
      <c r="AG1055" t="s">
        <v>102</v>
      </c>
      <c r="AH1055">
        <f t="shared" si="478"/>
        <v>0.10472787</v>
      </c>
      <c r="AI1055">
        <f t="shared" si="479"/>
        <v>0.10472787</v>
      </c>
      <c r="AJ1055">
        <f t="shared" si="464"/>
        <v>0.10472787</v>
      </c>
      <c r="AK1055">
        <v>0.10472787</v>
      </c>
      <c r="AL1055">
        <v>0.116445914</v>
      </c>
      <c r="AM1055">
        <v>0.13450936999999999</v>
      </c>
      <c r="AN1055">
        <v>0.13778019999999999</v>
      </c>
      <c r="AO1055">
        <v>89.527213000000003</v>
      </c>
      <c r="AP1055">
        <v>88.355408600000004</v>
      </c>
      <c r="AQ1055">
        <v>86.549063000000004</v>
      </c>
      <c r="AR1055">
        <v>86.221980000000002</v>
      </c>
      <c r="AS1055" t="b">
        <v>0</v>
      </c>
      <c r="AT1055" t="b">
        <v>0</v>
      </c>
      <c r="AU1055" t="s">
        <v>78</v>
      </c>
      <c r="AV1055" t="s">
        <v>78</v>
      </c>
      <c r="AW1055" t="s">
        <v>783</v>
      </c>
      <c r="AX1055" t="s">
        <v>1298</v>
      </c>
      <c r="AY1055" t="s">
        <v>1591</v>
      </c>
      <c r="AZ1055" t="s">
        <v>109</v>
      </c>
      <c r="BA1055">
        <v>4</v>
      </c>
      <c r="BB1055">
        <v>2.1</v>
      </c>
      <c r="BC1055">
        <v>1.4096186E-2</v>
      </c>
      <c r="BD1055">
        <v>1.55088650053763E-3</v>
      </c>
      <c r="BE1055">
        <v>1.5647072500537599E-2</v>
      </c>
      <c r="BF1055">
        <f>IF(AK1055&lt;BE1055,1,0)</f>
        <v>0</v>
      </c>
      <c r="BG1055">
        <f>IF(AK1055&lt;BC1055,1,0)</f>
        <v>0</v>
      </c>
      <c r="BH1055">
        <f>VLOOKUP($B1055,[1]Data_Peer_with_peerVars!$B$2:$Z$1050,20,FALSE)</f>
        <v>6</v>
      </c>
      <c r="BI1055">
        <f>VLOOKUP($B1055,[1]Data_Peer_with_peerVars!$B$2:$Z$1050,21,FALSE)</f>
        <v>2</v>
      </c>
      <c r="BJ1055">
        <f>VLOOKUP($B1055,[1]Data_Peer_with_peerVars!$B$2:$Z$1050,22,FALSE)</f>
        <v>0.33333333300000001</v>
      </c>
      <c r="BK1055">
        <f>VLOOKUP($B1055,[1]Data_Peer_with_peerVars!$B$2:$Z$1050,23,FALSE)</f>
        <v>14</v>
      </c>
      <c r="BL1055">
        <f>VLOOKUP($B1055,[1]Data_Peer_with_peerVars!$B$2:$Z$1050,24,FALSE)</f>
        <v>6</v>
      </c>
      <c r="BM1055">
        <f>VLOOKUP($B1055,[1]Data_Peer_with_peerVars!$B$2:$Z$1050,25,FALSE)</f>
        <v>0.428571429</v>
      </c>
    </row>
    <row r="1056" spans="1:65" x14ac:dyDescent="0.2">
      <c r="A1056">
        <v>1</v>
      </c>
      <c r="B1056" t="s">
        <v>1608</v>
      </c>
      <c r="C1056">
        <v>654</v>
      </c>
      <c r="D1056" t="s">
        <v>68</v>
      </c>
      <c r="E1056">
        <v>0</v>
      </c>
      <c r="F1056">
        <v>753</v>
      </c>
      <c r="G1056" t="s">
        <v>119</v>
      </c>
      <c r="H1056" s="1">
        <v>7</v>
      </c>
      <c r="J1056" t="s">
        <v>82</v>
      </c>
      <c r="L1056">
        <v>1</v>
      </c>
      <c r="M1056">
        <v>0</v>
      </c>
      <c r="N1056">
        <v>0</v>
      </c>
      <c r="O1056">
        <v>0</v>
      </c>
      <c r="P1056">
        <v>1</v>
      </c>
      <c r="Q1056">
        <v>11</v>
      </c>
      <c r="R1056">
        <v>0</v>
      </c>
      <c r="S1056">
        <v>0</v>
      </c>
      <c r="T1056">
        <v>0</v>
      </c>
      <c r="U1056">
        <v>0</v>
      </c>
      <c r="V1056">
        <f t="shared" si="461"/>
        <v>1</v>
      </c>
      <c r="W1056">
        <v>1</v>
      </c>
      <c r="X1056">
        <v>1</v>
      </c>
      <c r="Y1056">
        <v>1</v>
      </c>
      <c r="Z1056" t="s">
        <v>120</v>
      </c>
      <c r="AA1056" s="5" t="s">
        <v>120</v>
      </c>
      <c r="AB1056" s="5" t="s">
        <v>120</v>
      </c>
      <c r="AC1056" t="s">
        <v>120</v>
      </c>
      <c r="AD1056" t="s">
        <v>74</v>
      </c>
      <c r="AE1056" s="5" t="s">
        <v>1014</v>
      </c>
      <c r="AF1056" t="s">
        <v>75</v>
      </c>
      <c r="AG1056" t="s">
        <v>167</v>
      </c>
      <c r="AH1056">
        <f t="shared" si="478"/>
        <v>3.1147541000000001E-2</v>
      </c>
      <c r="AI1056">
        <f t="shared" si="479"/>
        <v>3.1147541000000001E-2</v>
      </c>
      <c r="AJ1056">
        <f t="shared" si="464"/>
        <v>3.1147541000000001E-2</v>
      </c>
      <c r="AK1056">
        <v>3.1147541000000001E-2</v>
      </c>
      <c r="AL1056">
        <v>8.9638159999999995E-2</v>
      </c>
      <c r="AM1056">
        <v>9.0585659999999998E-2</v>
      </c>
      <c r="AN1056">
        <v>0.102796055</v>
      </c>
      <c r="AO1056">
        <v>96.885245900000001</v>
      </c>
      <c r="AP1056">
        <v>91.036184000000006</v>
      </c>
      <c r="AQ1056">
        <v>90.941434000000001</v>
      </c>
      <c r="AR1056">
        <v>89.720394499999998</v>
      </c>
      <c r="AS1056" t="b">
        <v>0</v>
      </c>
      <c r="AT1056" t="b">
        <v>0</v>
      </c>
      <c r="AU1056" t="s">
        <v>92</v>
      </c>
      <c r="AV1056" t="s">
        <v>92</v>
      </c>
      <c r="AW1056" t="s">
        <v>783</v>
      </c>
      <c r="AX1056" t="s">
        <v>1298</v>
      </c>
      <c r="AY1056" t="s">
        <v>1609</v>
      </c>
      <c r="AZ1056" t="s">
        <v>82</v>
      </c>
      <c r="BA1056" t="s">
        <v>82</v>
      </c>
      <c r="BB1056">
        <v>1</v>
      </c>
      <c r="BC1056">
        <v>4.6849314000000003E-2</v>
      </c>
      <c r="BD1056">
        <v>4.5250577219970098E-3</v>
      </c>
      <c r="BE1056">
        <v>5.1374371721996999E-2</v>
      </c>
      <c r="BF1056">
        <f>IF(AK1056&lt;BE1056,1,0)</f>
        <v>1</v>
      </c>
      <c r="BG1056">
        <f>IF(AK1056&lt;BC1056,1,0)</f>
        <v>1</v>
      </c>
      <c r="BH1056">
        <f>VLOOKUP($B1056,[1]Data_Peer_with_peerVars!$B$2:$Z$1050,20,FALSE)</f>
        <v>0</v>
      </c>
      <c r="BI1056">
        <f>VLOOKUP($B1056,[1]Data_Peer_with_peerVars!$B$2:$Z$1050,21,FALSE)</f>
        <v>0</v>
      </c>
      <c r="BJ1056">
        <v>0</v>
      </c>
      <c r="BK1056">
        <f>VLOOKUP($B1056,[1]Data_Peer_with_peerVars!$B$2:$Z$1050,23,FALSE)</f>
        <v>13</v>
      </c>
      <c r="BL1056">
        <f>VLOOKUP($B1056,[1]Data_Peer_with_peerVars!$B$2:$Z$1050,24,FALSE)</f>
        <v>5</v>
      </c>
      <c r="BM1056">
        <f>VLOOKUP($B1056,[1]Data_Peer_with_peerVars!$B$2:$Z$1050,25,FALSE)</f>
        <v>0.38461538499999998</v>
      </c>
    </row>
    <row r="1057" spans="1:65" x14ac:dyDescent="0.2">
      <c r="A1057">
        <v>1</v>
      </c>
      <c r="B1057" t="s">
        <v>1610</v>
      </c>
      <c r="C1057">
        <v>654</v>
      </c>
      <c r="D1057" t="s">
        <v>68</v>
      </c>
      <c r="E1057">
        <v>0</v>
      </c>
      <c r="F1057">
        <v>753</v>
      </c>
      <c r="G1057" t="s">
        <v>119</v>
      </c>
      <c r="H1057" s="1">
        <v>7</v>
      </c>
      <c r="J1057" t="s">
        <v>82</v>
      </c>
      <c r="L1057">
        <v>1</v>
      </c>
      <c r="M1057">
        <v>0</v>
      </c>
      <c r="N1057">
        <v>0</v>
      </c>
      <c r="O1057">
        <v>0</v>
      </c>
      <c r="P1057">
        <v>1</v>
      </c>
      <c r="Q1057">
        <v>11</v>
      </c>
      <c r="R1057">
        <v>0</v>
      </c>
      <c r="S1057">
        <v>0</v>
      </c>
      <c r="T1057">
        <v>1</v>
      </c>
      <c r="U1057">
        <v>1</v>
      </c>
      <c r="V1057">
        <f t="shared" si="461"/>
        <v>1</v>
      </c>
      <c r="W1057">
        <v>1</v>
      </c>
      <c r="X1057">
        <v>1</v>
      </c>
      <c r="Y1057">
        <v>1</v>
      </c>
      <c r="Z1057" t="s">
        <v>73</v>
      </c>
      <c r="AA1057" s="5" t="s">
        <v>73</v>
      </c>
      <c r="AB1057" s="5" t="s">
        <v>1577</v>
      </c>
      <c r="AC1057" t="s">
        <v>73</v>
      </c>
      <c r="AD1057" t="s">
        <v>94</v>
      </c>
      <c r="AE1057" s="5" t="s">
        <v>106</v>
      </c>
      <c r="AF1057" t="s">
        <v>107</v>
      </c>
      <c r="AG1057" t="s">
        <v>95</v>
      </c>
      <c r="AH1057">
        <f t="shared" si="478"/>
        <v>3.8230475000000002E-3</v>
      </c>
      <c r="AI1057">
        <f t="shared" si="479"/>
        <v>3.8230475000000002E-3</v>
      </c>
      <c r="AJ1057">
        <f t="shared" si="464"/>
        <v>3.8230475000000002E-3</v>
      </c>
      <c r="AK1057">
        <v>3.8230475000000002E-3</v>
      </c>
      <c r="AL1057">
        <v>0.13136289000000001</v>
      </c>
      <c r="AM1057">
        <v>0.13638858000000001</v>
      </c>
      <c r="AN1057">
        <v>0.13855422000000001</v>
      </c>
      <c r="AO1057">
        <v>99.617695249999997</v>
      </c>
      <c r="AP1057">
        <v>86.863710999999995</v>
      </c>
      <c r="AQ1057">
        <v>86.361142000000001</v>
      </c>
      <c r="AR1057">
        <v>86.144577999999996</v>
      </c>
      <c r="AS1057" t="b">
        <v>1</v>
      </c>
      <c r="AT1057" t="b">
        <v>0</v>
      </c>
      <c r="AU1057" t="s">
        <v>77</v>
      </c>
      <c r="AV1057" t="s">
        <v>108</v>
      </c>
      <c r="AW1057" t="s">
        <v>783</v>
      </c>
      <c r="AX1057" t="s">
        <v>1298</v>
      </c>
      <c r="AY1057" t="s">
        <v>1609</v>
      </c>
      <c r="AZ1057" t="s">
        <v>109</v>
      </c>
      <c r="BA1057">
        <v>2</v>
      </c>
      <c r="BB1057">
        <v>1</v>
      </c>
      <c r="BC1057">
        <v>4.1163553999999996E-3</v>
      </c>
      <c r="BD1057">
        <v>1.4279989108178799E-4</v>
      </c>
      <c r="BE1057">
        <v>4.2591552910817903E-3</v>
      </c>
      <c r="BF1057">
        <f>IF(AK1057&lt;BE1057,1,0)</f>
        <v>1</v>
      </c>
      <c r="BG1057">
        <f>IF(AK1057&lt;BC1057,1,0)</f>
        <v>1</v>
      </c>
      <c r="BH1057">
        <f>VLOOKUP($B1057,[1]Data_Peer_with_peerVars!$B$2:$Z$1050,20,FALSE)</f>
        <v>0</v>
      </c>
      <c r="BI1057">
        <f>VLOOKUP($B1057,[1]Data_Peer_with_peerVars!$B$2:$Z$1050,21,FALSE)</f>
        <v>0</v>
      </c>
      <c r="BJ1057">
        <v>0</v>
      </c>
      <c r="BK1057">
        <f>VLOOKUP($B1057,[1]Data_Peer_with_peerVars!$B$2:$Z$1050,23,FALSE)</f>
        <v>13</v>
      </c>
      <c r="BL1057">
        <f>VLOOKUP($B1057,[1]Data_Peer_with_peerVars!$B$2:$Z$1050,24,FALSE)</f>
        <v>5</v>
      </c>
      <c r="BM1057">
        <f>VLOOKUP($B1057,[1]Data_Peer_with_peerVars!$B$2:$Z$1050,25,FALSE)</f>
        <v>0.38461538499999998</v>
      </c>
    </row>
    <row r="1058" spans="1:65" x14ac:dyDescent="0.2">
      <c r="A1058">
        <v>1</v>
      </c>
      <c r="B1058" t="s">
        <v>1611</v>
      </c>
      <c r="C1058">
        <v>655</v>
      </c>
      <c r="D1058" t="s">
        <v>68</v>
      </c>
      <c r="E1058">
        <v>1</v>
      </c>
      <c r="F1058">
        <v>394</v>
      </c>
      <c r="G1058" t="s">
        <v>86</v>
      </c>
      <c r="H1058" s="1">
        <v>0</v>
      </c>
      <c r="I1058" t="s">
        <v>87</v>
      </c>
      <c r="J1058" t="s">
        <v>111</v>
      </c>
      <c r="K1058" t="s">
        <v>109</v>
      </c>
      <c r="L1058">
        <v>1</v>
      </c>
      <c r="M1058">
        <v>1</v>
      </c>
      <c r="N1058">
        <v>1</v>
      </c>
      <c r="O1058">
        <v>0</v>
      </c>
      <c r="P1058">
        <v>1</v>
      </c>
      <c r="Q1058">
        <v>4</v>
      </c>
      <c r="R1058">
        <v>1</v>
      </c>
      <c r="S1058">
        <v>1</v>
      </c>
      <c r="T1058">
        <v>1</v>
      </c>
      <c r="U1058">
        <v>1</v>
      </c>
      <c r="V1058">
        <f t="shared" si="461"/>
        <v>0</v>
      </c>
      <c r="W1058">
        <f t="shared" si="462"/>
        <v>0</v>
      </c>
      <c r="X1058">
        <f t="shared" si="465"/>
        <v>0</v>
      </c>
      <c r="Y1058">
        <f t="shared" si="463"/>
        <v>0</v>
      </c>
      <c r="Z1058" t="s">
        <v>76</v>
      </c>
      <c r="AA1058" s="5" t="s">
        <v>76</v>
      </c>
      <c r="AB1058" s="5" t="s">
        <v>409</v>
      </c>
      <c r="AC1058" t="s">
        <v>107</v>
      </c>
      <c r="AD1058" t="s">
        <v>95</v>
      </c>
      <c r="AE1058" s="5" t="s">
        <v>95</v>
      </c>
      <c r="AF1058" t="s">
        <v>173</v>
      </c>
      <c r="AG1058" t="s">
        <v>174</v>
      </c>
      <c r="AH1058">
        <f t="shared" ref="AH1058:AH1064" si="480">AI1058</f>
        <v>8.7623219999999995E-3</v>
      </c>
      <c r="AI1058">
        <f t="shared" ref="AI1058:AI1060" si="481">AJ1058</f>
        <v>8.7623219999999995E-3</v>
      </c>
      <c r="AJ1058">
        <f t="shared" si="464"/>
        <v>8.7623219999999995E-3</v>
      </c>
      <c r="AK1058">
        <v>8.7623219999999995E-3</v>
      </c>
      <c r="AL1058">
        <v>7.667032E-2</v>
      </c>
      <c r="AM1058">
        <v>9.3220339999999999E-2</v>
      </c>
      <c r="AN1058">
        <v>9.7207009999999996E-2</v>
      </c>
      <c r="AO1058">
        <v>99.123767799999996</v>
      </c>
      <c r="AP1058">
        <v>92.332967999999994</v>
      </c>
      <c r="AQ1058">
        <v>90.677965999999998</v>
      </c>
      <c r="AR1058">
        <v>90.279298999999995</v>
      </c>
      <c r="AS1058" t="b">
        <v>0</v>
      </c>
      <c r="AT1058" t="b">
        <v>0</v>
      </c>
      <c r="AU1058" t="s">
        <v>77</v>
      </c>
      <c r="AV1058" t="s">
        <v>77</v>
      </c>
      <c r="AW1058" t="s">
        <v>783</v>
      </c>
      <c r="AX1058" t="s">
        <v>1277</v>
      </c>
      <c r="AY1058" t="s">
        <v>1612</v>
      </c>
      <c r="AZ1058" t="s">
        <v>109</v>
      </c>
      <c r="BA1058">
        <v>3</v>
      </c>
      <c r="BB1058">
        <v>0.7</v>
      </c>
      <c r="BC1058">
        <v>2.6475456000000001E-2</v>
      </c>
      <c r="BD1058">
        <v>8.8330364056477401E-3</v>
      </c>
      <c r="BE1058">
        <v>3.53084924056477E-2</v>
      </c>
      <c r="BF1058">
        <f>IF(AK1058&lt;BE1058,1,0)</f>
        <v>1</v>
      </c>
      <c r="BG1058">
        <f>IF(AK1058&lt;BC1058,1,0)</f>
        <v>1</v>
      </c>
      <c r="BH1058">
        <f>VLOOKUP($B1058,[1]Data_Peer_with_peerVars!$B$2:$Z$1050,20,FALSE)</f>
        <v>0</v>
      </c>
      <c r="BI1058">
        <f>VLOOKUP($B1058,[1]Data_Peer_with_peerVars!$B$2:$Z$1050,21,FALSE)</f>
        <v>0</v>
      </c>
      <c r="BJ1058">
        <v>0</v>
      </c>
      <c r="BK1058">
        <f>VLOOKUP($B1058,[1]Data_Peer_with_peerVars!$B$2:$Z$1050,23,FALSE)</f>
        <v>62</v>
      </c>
      <c r="BL1058">
        <f>VLOOKUP($B1058,[1]Data_Peer_with_peerVars!$B$2:$Z$1050,24,FALSE)</f>
        <v>31</v>
      </c>
      <c r="BM1058">
        <f>VLOOKUP($B1058,[1]Data_Peer_with_peerVars!$B$2:$Z$1050,25,FALSE)</f>
        <v>0.5</v>
      </c>
    </row>
    <row r="1059" spans="1:65" x14ac:dyDescent="0.2">
      <c r="A1059">
        <v>1</v>
      </c>
      <c r="B1059" t="s">
        <v>1613</v>
      </c>
      <c r="C1059">
        <v>655</v>
      </c>
      <c r="D1059" t="s">
        <v>68</v>
      </c>
      <c r="E1059">
        <v>1</v>
      </c>
      <c r="F1059">
        <v>394</v>
      </c>
      <c r="G1059" t="s">
        <v>86</v>
      </c>
      <c r="H1059" s="1">
        <v>0</v>
      </c>
      <c r="I1059" t="s">
        <v>87</v>
      </c>
      <c r="J1059" t="s">
        <v>111</v>
      </c>
      <c r="K1059" t="s">
        <v>109</v>
      </c>
      <c r="L1059">
        <v>1</v>
      </c>
      <c r="M1059">
        <v>1</v>
      </c>
      <c r="N1059">
        <v>1</v>
      </c>
      <c r="O1059">
        <v>0</v>
      </c>
      <c r="P1059">
        <v>1</v>
      </c>
      <c r="Q1059">
        <v>4</v>
      </c>
      <c r="R1059">
        <v>0</v>
      </c>
      <c r="S1059">
        <v>0</v>
      </c>
      <c r="T1059">
        <v>0</v>
      </c>
      <c r="U1059">
        <v>0</v>
      </c>
      <c r="V1059">
        <f t="shared" si="461"/>
        <v>0</v>
      </c>
      <c r="W1059">
        <f t="shared" si="462"/>
        <v>0</v>
      </c>
      <c r="X1059">
        <f t="shared" si="465"/>
        <v>0</v>
      </c>
      <c r="Y1059">
        <f t="shared" si="463"/>
        <v>0</v>
      </c>
      <c r="Z1059" t="s">
        <v>177</v>
      </c>
      <c r="AA1059" s="5" t="s">
        <v>177</v>
      </c>
      <c r="AB1059" s="5" t="s">
        <v>1614</v>
      </c>
      <c r="AC1059" t="s">
        <v>74</v>
      </c>
      <c r="AD1059" t="s">
        <v>76</v>
      </c>
      <c r="AE1059" s="5" t="s">
        <v>1615</v>
      </c>
      <c r="AF1059" t="s">
        <v>120</v>
      </c>
      <c r="AG1059" t="s">
        <v>167</v>
      </c>
      <c r="AH1059">
        <f t="shared" si="480"/>
        <v>0.12260011</v>
      </c>
      <c r="AI1059">
        <f t="shared" si="481"/>
        <v>0.12260011</v>
      </c>
      <c r="AJ1059">
        <f t="shared" si="464"/>
        <v>0.12260011</v>
      </c>
      <c r="AK1059">
        <v>0.12260011</v>
      </c>
      <c r="AL1059">
        <v>0.12657189999999999</v>
      </c>
      <c r="AM1059">
        <v>0.12930563</v>
      </c>
      <c r="AN1059">
        <v>0.13823368</v>
      </c>
      <c r="AO1059">
        <v>87.739988999999994</v>
      </c>
      <c r="AP1059">
        <v>87.34281</v>
      </c>
      <c r="AQ1059">
        <v>87.069436999999994</v>
      </c>
      <c r="AR1059">
        <v>86.176631999999998</v>
      </c>
      <c r="AS1059" t="b">
        <v>0</v>
      </c>
      <c r="AT1059" t="b">
        <v>0</v>
      </c>
      <c r="AU1059" t="s">
        <v>92</v>
      </c>
      <c r="AV1059" t="s">
        <v>92</v>
      </c>
      <c r="AW1059" t="s">
        <v>783</v>
      </c>
      <c r="AX1059" t="s">
        <v>1277</v>
      </c>
      <c r="AY1059" t="s">
        <v>1612</v>
      </c>
      <c r="AZ1059" t="s">
        <v>109</v>
      </c>
      <c r="BA1059">
        <v>1</v>
      </c>
      <c r="BB1059">
        <v>0.14000000000000001</v>
      </c>
      <c r="BC1059">
        <v>2.4738868000000001E-3</v>
      </c>
      <c r="BD1059">
        <v>1.4256942275279999E-4</v>
      </c>
      <c r="BE1059">
        <v>2.6164562227527998E-3</v>
      </c>
      <c r="BF1059">
        <f>IF(AK1059&lt;BE1059,1,0)</f>
        <v>0</v>
      </c>
      <c r="BG1059">
        <f>IF(AK1059&lt;BC1059,1,0)</f>
        <v>0</v>
      </c>
      <c r="BH1059">
        <f>VLOOKUP($B1059,[1]Data_Peer_with_peerVars!$B$2:$Z$1050,20,FALSE)</f>
        <v>0</v>
      </c>
      <c r="BI1059">
        <f>VLOOKUP($B1059,[1]Data_Peer_with_peerVars!$B$2:$Z$1050,21,FALSE)</f>
        <v>0</v>
      </c>
      <c r="BJ1059">
        <v>0</v>
      </c>
      <c r="BK1059">
        <f>VLOOKUP($B1059,[1]Data_Peer_with_peerVars!$B$2:$Z$1050,23,FALSE)</f>
        <v>62</v>
      </c>
      <c r="BL1059">
        <f>VLOOKUP($B1059,[1]Data_Peer_with_peerVars!$B$2:$Z$1050,24,FALSE)</f>
        <v>31</v>
      </c>
      <c r="BM1059">
        <f>VLOOKUP($B1059,[1]Data_Peer_with_peerVars!$B$2:$Z$1050,25,FALSE)</f>
        <v>0.5</v>
      </c>
    </row>
    <row r="1060" spans="1:65" x14ac:dyDescent="0.2">
      <c r="A1060">
        <v>1</v>
      </c>
      <c r="B1060" t="s">
        <v>1616</v>
      </c>
      <c r="C1060">
        <v>656</v>
      </c>
      <c r="D1060" t="s">
        <v>68</v>
      </c>
      <c r="E1060">
        <v>1</v>
      </c>
      <c r="F1060">
        <v>450</v>
      </c>
      <c r="G1060" t="s">
        <v>86</v>
      </c>
      <c r="H1060" s="1">
        <v>6</v>
      </c>
      <c r="I1060" t="s">
        <v>87</v>
      </c>
      <c r="J1060" t="s">
        <v>150</v>
      </c>
      <c r="K1060" t="s">
        <v>72</v>
      </c>
      <c r="L1060">
        <v>1</v>
      </c>
      <c r="M1060">
        <v>1</v>
      </c>
      <c r="N1060">
        <v>1</v>
      </c>
      <c r="O1060">
        <v>0</v>
      </c>
      <c r="P1060">
        <v>0</v>
      </c>
      <c r="Q1060">
        <v>5</v>
      </c>
      <c r="R1060">
        <v>0</v>
      </c>
      <c r="S1060">
        <v>0</v>
      </c>
      <c r="T1060">
        <v>0</v>
      </c>
      <c r="U1060">
        <v>0</v>
      </c>
      <c r="V1060">
        <f t="shared" si="461"/>
        <v>0</v>
      </c>
      <c r="W1060">
        <f t="shared" si="462"/>
        <v>0</v>
      </c>
      <c r="X1060">
        <f t="shared" si="465"/>
        <v>0</v>
      </c>
      <c r="Y1060">
        <f t="shared" si="463"/>
        <v>0</v>
      </c>
      <c r="Z1060" t="s">
        <v>170</v>
      </c>
      <c r="AA1060" s="5" t="s">
        <v>170</v>
      </c>
      <c r="AB1060" s="5" t="s">
        <v>1617</v>
      </c>
      <c r="AC1060" t="s">
        <v>101</v>
      </c>
      <c r="AD1060" t="s">
        <v>99</v>
      </c>
      <c r="AE1060" s="5" t="s">
        <v>99</v>
      </c>
      <c r="AF1060" t="s">
        <v>103</v>
      </c>
      <c r="AG1060" t="s">
        <v>102</v>
      </c>
      <c r="AH1060">
        <f t="shared" si="480"/>
        <v>7.6331679999999999E-2</v>
      </c>
      <c r="AI1060">
        <f t="shared" si="481"/>
        <v>7.6331679999999999E-2</v>
      </c>
      <c r="AJ1060">
        <f t="shared" si="464"/>
        <v>7.6331679999999999E-2</v>
      </c>
      <c r="AK1060">
        <v>7.6331679999999999E-2</v>
      </c>
      <c r="AL1060">
        <v>9.7682119999999997E-2</v>
      </c>
      <c r="AM1060">
        <v>0.11349861999999999</v>
      </c>
      <c r="AN1060">
        <v>0.13790278</v>
      </c>
      <c r="AO1060">
        <v>92.366832000000002</v>
      </c>
      <c r="AP1060">
        <v>90.231787999999995</v>
      </c>
      <c r="AQ1060">
        <v>88.650137999999998</v>
      </c>
      <c r="AR1060">
        <v>86.209721999999999</v>
      </c>
      <c r="AS1060" t="b">
        <v>0</v>
      </c>
      <c r="AT1060" t="b">
        <v>0</v>
      </c>
      <c r="AU1060" t="s">
        <v>92</v>
      </c>
      <c r="AV1060" t="s">
        <v>92</v>
      </c>
      <c r="AW1060" t="s">
        <v>783</v>
      </c>
      <c r="AX1060" t="s">
        <v>1277</v>
      </c>
      <c r="AY1060" t="s">
        <v>1612</v>
      </c>
      <c r="AZ1060" t="s">
        <v>72</v>
      </c>
      <c r="BA1060" t="s">
        <v>82</v>
      </c>
      <c r="BB1060">
        <v>7.0000000000000007E-2</v>
      </c>
      <c r="BC1060">
        <v>1.4096186E-2</v>
      </c>
      <c r="BD1060">
        <v>1.55088650053763E-3</v>
      </c>
      <c r="BE1060">
        <v>1.5647072500537599E-2</v>
      </c>
      <c r="BF1060">
        <f>IF(AK1060&lt;BE1060,1,0)</f>
        <v>0</v>
      </c>
      <c r="BG1060">
        <f>IF(AK1060&lt;BC1060,1,0)</f>
        <v>0</v>
      </c>
      <c r="BH1060">
        <f>VLOOKUP($B1060,[1]Data_Peer_with_peerVars!$B$2:$Z$1050,20,FALSE)</f>
        <v>5</v>
      </c>
      <c r="BI1060">
        <f>VLOOKUP($B1060,[1]Data_Peer_with_peerVars!$B$2:$Z$1050,21,FALSE)</f>
        <v>1</v>
      </c>
      <c r="BJ1060">
        <f>VLOOKUP($B1060,[1]Data_Peer_with_peerVars!$B$2:$Z$1050,22,FALSE)</f>
        <v>0.2</v>
      </c>
      <c r="BK1060">
        <f>VLOOKUP($B1060,[1]Data_Peer_with_peerVars!$B$2:$Z$1050,23,FALSE)</f>
        <v>62</v>
      </c>
      <c r="BL1060">
        <f>VLOOKUP($B1060,[1]Data_Peer_with_peerVars!$B$2:$Z$1050,24,FALSE)</f>
        <v>28</v>
      </c>
      <c r="BM1060">
        <f>VLOOKUP($B1060,[1]Data_Peer_with_peerVars!$B$2:$Z$1050,25,FALSE)</f>
        <v>0.45161290300000001</v>
      </c>
    </row>
    <row r="1061" spans="1:65" x14ac:dyDescent="0.2">
      <c r="A1061">
        <v>1</v>
      </c>
      <c r="B1061" t="s">
        <v>1618</v>
      </c>
      <c r="C1061">
        <v>656</v>
      </c>
      <c r="D1061" t="s">
        <v>68</v>
      </c>
      <c r="E1061">
        <v>1</v>
      </c>
      <c r="F1061">
        <v>450</v>
      </c>
      <c r="G1061" t="s">
        <v>86</v>
      </c>
      <c r="H1061" s="1">
        <v>6</v>
      </c>
      <c r="I1061" t="s">
        <v>87</v>
      </c>
      <c r="J1061" t="s">
        <v>150</v>
      </c>
      <c r="K1061" t="s">
        <v>72</v>
      </c>
      <c r="L1061">
        <v>1</v>
      </c>
      <c r="M1061">
        <v>1</v>
      </c>
      <c r="N1061">
        <v>1</v>
      </c>
      <c r="O1061">
        <v>0</v>
      </c>
      <c r="P1061">
        <v>0</v>
      </c>
      <c r="Q1061">
        <v>5</v>
      </c>
      <c r="R1061">
        <v>0</v>
      </c>
      <c r="S1061">
        <v>0</v>
      </c>
      <c r="T1061">
        <v>0</v>
      </c>
      <c r="U1061">
        <v>0</v>
      </c>
      <c r="V1061">
        <f t="shared" si="461"/>
        <v>0</v>
      </c>
      <c r="W1061">
        <f t="shared" si="462"/>
        <v>0</v>
      </c>
      <c r="X1061">
        <f t="shared" si="465"/>
        <v>1</v>
      </c>
      <c r="Y1061">
        <v>1</v>
      </c>
      <c r="Z1061" t="s">
        <v>76</v>
      </c>
      <c r="AA1061" s="5" t="s">
        <v>76</v>
      </c>
      <c r="AB1061" s="5" t="s">
        <v>409</v>
      </c>
      <c r="AC1061" t="s">
        <v>74</v>
      </c>
      <c r="AD1061" t="s">
        <v>101</v>
      </c>
      <c r="AE1061" s="5" t="s">
        <v>1619</v>
      </c>
      <c r="AF1061" t="s">
        <v>76</v>
      </c>
      <c r="AG1061" t="s">
        <v>102</v>
      </c>
      <c r="AH1061">
        <f t="shared" si="480"/>
        <v>0.12821214</v>
      </c>
      <c r="AI1061">
        <f>AM1061</f>
        <v>0.12821214</v>
      </c>
      <c r="AJ1061">
        <f t="shared" si="464"/>
        <v>0.10394953</v>
      </c>
      <c r="AK1061">
        <v>0.10394953</v>
      </c>
      <c r="AL1061">
        <v>0.12802199</v>
      </c>
      <c r="AM1061">
        <v>0.12821214</v>
      </c>
      <c r="AN1061">
        <v>0.13073143000000001</v>
      </c>
      <c r="AO1061">
        <v>89.605046999999999</v>
      </c>
      <c r="AP1061">
        <v>87.197800999999998</v>
      </c>
      <c r="AQ1061">
        <v>87.178786000000002</v>
      </c>
      <c r="AR1061">
        <v>86.926856999999998</v>
      </c>
      <c r="AS1061" t="b">
        <v>0</v>
      </c>
      <c r="AT1061" t="b">
        <v>0</v>
      </c>
      <c r="AU1061" t="s">
        <v>78</v>
      </c>
      <c r="AV1061" t="s">
        <v>108</v>
      </c>
      <c r="AW1061" t="s">
        <v>783</v>
      </c>
      <c r="AX1061" t="s">
        <v>1277</v>
      </c>
      <c r="AY1061" t="s">
        <v>1612</v>
      </c>
      <c r="AZ1061" t="s">
        <v>109</v>
      </c>
      <c r="BA1061">
        <v>15</v>
      </c>
      <c r="BB1061">
        <v>0.7</v>
      </c>
      <c r="BC1061">
        <v>2.4738868000000001E-3</v>
      </c>
      <c r="BD1061">
        <v>1.4256942275279999E-4</v>
      </c>
      <c r="BE1061">
        <v>2.6164562227527998E-3</v>
      </c>
      <c r="BF1061">
        <f>IF(AK1061&lt;BE1061,1,0)</f>
        <v>0</v>
      </c>
      <c r="BG1061">
        <f>IF(AK1061&lt;BC1061,1,0)</f>
        <v>0</v>
      </c>
      <c r="BH1061">
        <f>VLOOKUP($B1061,[1]Data_Peer_with_peerVars!$B$2:$Z$1050,20,FALSE)</f>
        <v>5</v>
      </c>
      <c r="BI1061">
        <f>VLOOKUP($B1061,[1]Data_Peer_with_peerVars!$B$2:$Z$1050,21,FALSE)</f>
        <v>1</v>
      </c>
      <c r="BJ1061">
        <f>VLOOKUP($B1061,[1]Data_Peer_with_peerVars!$B$2:$Z$1050,22,FALSE)</f>
        <v>0.2</v>
      </c>
      <c r="BK1061">
        <f>VLOOKUP($B1061,[1]Data_Peer_with_peerVars!$B$2:$Z$1050,23,FALSE)</f>
        <v>62</v>
      </c>
      <c r="BL1061">
        <f>VLOOKUP($B1061,[1]Data_Peer_with_peerVars!$B$2:$Z$1050,24,FALSE)</f>
        <v>28</v>
      </c>
      <c r="BM1061">
        <f>VLOOKUP($B1061,[1]Data_Peer_with_peerVars!$B$2:$Z$1050,25,FALSE)</f>
        <v>0.45161290300000001</v>
      </c>
    </row>
    <row r="1062" spans="1:65" x14ac:dyDescent="0.2">
      <c r="A1062">
        <v>1</v>
      </c>
      <c r="B1062" t="s">
        <v>1620</v>
      </c>
      <c r="C1062">
        <v>656</v>
      </c>
      <c r="D1062" t="s">
        <v>68</v>
      </c>
      <c r="E1062">
        <v>1</v>
      </c>
      <c r="F1062">
        <v>450</v>
      </c>
      <c r="G1062" t="s">
        <v>86</v>
      </c>
      <c r="H1062" s="1">
        <v>6</v>
      </c>
      <c r="I1062" t="s">
        <v>87</v>
      </c>
      <c r="J1062" t="s">
        <v>150</v>
      </c>
      <c r="K1062" t="s">
        <v>72</v>
      </c>
      <c r="L1062">
        <v>1</v>
      </c>
      <c r="M1062">
        <v>1</v>
      </c>
      <c r="N1062">
        <v>1</v>
      </c>
      <c r="O1062">
        <v>0</v>
      </c>
      <c r="P1062">
        <v>0</v>
      </c>
      <c r="Q1062">
        <v>5</v>
      </c>
      <c r="R1062">
        <v>0</v>
      </c>
      <c r="S1062">
        <v>0</v>
      </c>
      <c r="T1062">
        <v>1</v>
      </c>
      <c r="U1062">
        <v>1</v>
      </c>
      <c r="V1062">
        <f t="shared" si="461"/>
        <v>1</v>
      </c>
      <c r="W1062">
        <v>1</v>
      </c>
      <c r="X1062">
        <v>1</v>
      </c>
      <c r="Y1062">
        <v>1</v>
      </c>
      <c r="Z1062" t="s">
        <v>73</v>
      </c>
      <c r="AA1062" s="5" t="s">
        <v>73</v>
      </c>
      <c r="AB1062" s="5" t="s">
        <v>73</v>
      </c>
      <c r="AC1062" t="s">
        <v>73</v>
      </c>
      <c r="AD1062" t="s">
        <v>94</v>
      </c>
      <c r="AE1062" s="5" t="s">
        <v>106</v>
      </c>
      <c r="AF1062" t="s">
        <v>107</v>
      </c>
      <c r="AG1062" t="s">
        <v>95</v>
      </c>
      <c r="AH1062">
        <f t="shared" si="480"/>
        <v>4.0961225000000004E-3</v>
      </c>
      <c r="AI1062">
        <f t="shared" ref="AI1062:AI1064" si="482">AJ1062</f>
        <v>4.0961225000000004E-3</v>
      </c>
      <c r="AJ1062">
        <f t="shared" si="464"/>
        <v>4.0961225000000004E-3</v>
      </c>
      <c r="AK1062">
        <v>4.0961225000000004E-3</v>
      </c>
      <c r="AL1062">
        <v>0.13218390999999999</v>
      </c>
      <c r="AM1062">
        <v>0.13638858000000001</v>
      </c>
      <c r="AN1062">
        <v>0.13870615</v>
      </c>
      <c r="AO1062">
        <v>99.590387750000005</v>
      </c>
      <c r="AP1062">
        <v>86.781609000000003</v>
      </c>
      <c r="AQ1062">
        <v>86.361142000000001</v>
      </c>
      <c r="AR1062">
        <v>86.129384999999999</v>
      </c>
      <c r="AS1062" t="b">
        <v>1</v>
      </c>
      <c r="AT1062" t="b">
        <v>0</v>
      </c>
      <c r="AU1062" t="s">
        <v>77</v>
      </c>
      <c r="AV1062" t="s">
        <v>108</v>
      </c>
      <c r="AW1062" t="s">
        <v>783</v>
      </c>
      <c r="AX1062" t="s">
        <v>1277</v>
      </c>
      <c r="AY1062" t="s">
        <v>1612</v>
      </c>
      <c r="AZ1062" t="s">
        <v>72</v>
      </c>
      <c r="BA1062" t="s">
        <v>82</v>
      </c>
      <c r="BB1062">
        <v>1.05</v>
      </c>
      <c r="BC1062">
        <v>4.1163553999999996E-3</v>
      </c>
      <c r="BD1062">
        <v>1.4279989108178799E-4</v>
      </c>
      <c r="BE1062">
        <v>4.2591552910817903E-3</v>
      </c>
      <c r="BF1062">
        <f>IF(AK1062&lt;BE1062,1,0)</f>
        <v>1</v>
      </c>
      <c r="BG1062">
        <f>IF(AK1062&lt;BC1062,1,0)</f>
        <v>1</v>
      </c>
      <c r="BH1062">
        <f>VLOOKUP($B1062,[1]Data_Peer_with_peerVars!$B$2:$Z$1050,20,FALSE)</f>
        <v>5</v>
      </c>
      <c r="BI1062">
        <f>VLOOKUP($B1062,[1]Data_Peer_with_peerVars!$B$2:$Z$1050,21,FALSE)</f>
        <v>1</v>
      </c>
      <c r="BJ1062">
        <f>VLOOKUP($B1062,[1]Data_Peer_with_peerVars!$B$2:$Z$1050,22,FALSE)</f>
        <v>0.2</v>
      </c>
      <c r="BK1062">
        <f>VLOOKUP($B1062,[1]Data_Peer_with_peerVars!$B$2:$Z$1050,23,FALSE)</f>
        <v>62</v>
      </c>
      <c r="BL1062">
        <f>VLOOKUP($B1062,[1]Data_Peer_with_peerVars!$B$2:$Z$1050,24,FALSE)</f>
        <v>28</v>
      </c>
      <c r="BM1062">
        <f>VLOOKUP($B1062,[1]Data_Peer_with_peerVars!$B$2:$Z$1050,25,FALSE)</f>
        <v>0.45161290300000001</v>
      </c>
    </row>
    <row r="1063" spans="1:65" x14ac:dyDescent="0.2">
      <c r="A1063">
        <v>1</v>
      </c>
      <c r="B1063" t="s">
        <v>1621</v>
      </c>
      <c r="C1063">
        <v>656</v>
      </c>
      <c r="D1063" t="s">
        <v>68</v>
      </c>
      <c r="E1063">
        <v>1</v>
      </c>
      <c r="F1063">
        <v>450</v>
      </c>
      <c r="G1063" t="s">
        <v>86</v>
      </c>
      <c r="H1063" s="1">
        <v>6</v>
      </c>
      <c r="I1063" t="s">
        <v>87</v>
      </c>
      <c r="J1063" t="s">
        <v>150</v>
      </c>
      <c r="K1063" t="s">
        <v>72</v>
      </c>
      <c r="L1063">
        <v>1</v>
      </c>
      <c r="M1063">
        <v>1</v>
      </c>
      <c r="N1063">
        <v>1</v>
      </c>
      <c r="O1063">
        <v>0</v>
      </c>
      <c r="P1063">
        <v>0</v>
      </c>
      <c r="Q1063">
        <v>5</v>
      </c>
      <c r="R1063">
        <v>0</v>
      </c>
      <c r="S1063">
        <v>0</v>
      </c>
      <c r="T1063">
        <v>0</v>
      </c>
      <c r="U1063">
        <v>0</v>
      </c>
      <c r="V1063">
        <f t="shared" si="461"/>
        <v>1</v>
      </c>
      <c r="W1063">
        <v>1</v>
      </c>
      <c r="X1063">
        <v>1</v>
      </c>
      <c r="Y1063">
        <v>1</v>
      </c>
      <c r="Z1063" t="s">
        <v>91</v>
      </c>
      <c r="AA1063" s="5" t="s">
        <v>91</v>
      </c>
      <c r="AB1063" s="5" t="s">
        <v>1568</v>
      </c>
      <c r="AC1063" t="s">
        <v>91</v>
      </c>
      <c r="AD1063" t="s">
        <v>287</v>
      </c>
      <c r="AE1063" s="5" t="s">
        <v>287</v>
      </c>
      <c r="AF1063" t="s">
        <v>137</v>
      </c>
      <c r="AG1063" t="s">
        <v>113</v>
      </c>
      <c r="AH1063">
        <f t="shared" si="480"/>
        <v>6.3969380000000006E-2</v>
      </c>
      <c r="AI1063">
        <f t="shared" si="482"/>
        <v>6.3969380000000006E-2</v>
      </c>
      <c r="AJ1063">
        <f t="shared" si="464"/>
        <v>6.3969380000000006E-2</v>
      </c>
      <c r="AK1063">
        <v>6.3969380000000006E-2</v>
      </c>
      <c r="AL1063">
        <v>0.11523758000000001</v>
      </c>
      <c r="AM1063">
        <v>0.12124522</v>
      </c>
      <c r="AN1063">
        <v>0.13042285000000001</v>
      </c>
      <c r="AO1063">
        <v>93.603061999999994</v>
      </c>
      <c r="AP1063">
        <v>88.476241999999999</v>
      </c>
      <c r="AQ1063">
        <v>87.875478000000001</v>
      </c>
      <c r="AR1063">
        <v>86.957714999999993</v>
      </c>
      <c r="AS1063" t="b">
        <v>1</v>
      </c>
      <c r="AT1063" t="b">
        <v>0</v>
      </c>
      <c r="AU1063" t="s">
        <v>77</v>
      </c>
      <c r="AV1063" t="s">
        <v>78</v>
      </c>
      <c r="AW1063" t="s">
        <v>783</v>
      </c>
      <c r="AX1063" t="s">
        <v>1277</v>
      </c>
      <c r="AY1063" t="s">
        <v>1612</v>
      </c>
      <c r="AZ1063" t="s">
        <v>109</v>
      </c>
      <c r="BA1063">
        <v>20</v>
      </c>
      <c r="BB1063">
        <v>0.35</v>
      </c>
      <c r="BC1063">
        <v>9.0659339999999995E-3</v>
      </c>
      <c r="BD1063">
        <v>2.76583658862385E-3</v>
      </c>
      <c r="BE1063">
        <v>1.1831770588623799E-2</v>
      </c>
      <c r="BF1063">
        <f>IF(AK1063&lt;BE1063,1,0)</f>
        <v>0</v>
      </c>
      <c r="BG1063">
        <f>IF(AK1063&lt;BC1063,1,0)</f>
        <v>0</v>
      </c>
      <c r="BH1063">
        <f>VLOOKUP($B1063,[1]Data_Peer_with_peerVars!$B$2:$Z$1050,20,FALSE)</f>
        <v>5</v>
      </c>
      <c r="BI1063">
        <f>VLOOKUP($B1063,[1]Data_Peer_with_peerVars!$B$2:$Z$1050,21,FALSE)</f>
        <v>1</v>
      </c>
      <c r="BJ1063">
        <f>VLOOKUP($B1063,[1]Data_Peer_with_peerVars!$B$2:$Z$1050,22,FALSE)</f>
        <v>0.2</v>
      </c>
      <c r="BK1063">
        <f>VLOOKUP($B1063,[1]Data_Peer_with_peerVars!$B$2:$Z$1050,23,FALSE)</f>
        <v>62</v>
      </c>
      <c r="BL1063">
        <f>VLOOKUP($B1063,[1]Data_Peer_with_peerVars!$B$2:$Z$1050,24,FALSE)</f>
        <v>28</v>
      </c>
      <c r="BM1063">
        <f>VLOOKUP($B1063,[1]Data_Peer_with_peerVars!$B$2:$Z$1050,25,FALSE)</f>
        <v>0.45161290300000001</v>
      </c>
    </row>
    <row r="1064" spans="1:65" x14ac:dyDescent="0.2">
      <c r="A1064">
        <v>1</v>
      </c>
      <c r="B1064" t="s">
        <v>1622</v>
      </c>
      <c r="C1064">
        <v>657</v>
      </c>
      <c r="D1064" t="s">
        <v>68</v>
      </c>
      <c r="E1064">
        <v>1</v>
      </c>
      <c r="F1064">
        <v>457</v>
      </c>
      <c r="G1064" t="s">
        <v>86</v>
      </c>
      <c r="H1064" s="1">
        <v>7</v>
      </c>
      <c r="I1064" t="s">
        <v>87</v>
      </c>
      <c r="J1064" t="s">
        <v>124</v>
      </c>
      <c r="K1064" t="s">
        <v>72</v>
      </c>
      <c r="L1064">
        <v>1</v>
      </c>
      <c r="M1064">
        <v>0</v>
      </c>
      <c r="N1064">
        <v>1</v>
      </c>
      <c r="O1064">
        <v>0</v>
      </c>
      <c r="P1064">
        <v>0</v>
      </c>
      <c r="Q1064">
        <v>6</v>
      </c>
      <c r="R1064">
        <v>0</v>
      </c>
      <c r="S1064">
        <v>0</v>
      </c>
      <c r="T1064">
        <v>1</v>
      </c>
      <c r="U1064">
        <v>1</v>
      </c>
      <c r="V1064">
        <f t="shared" si="461"/>
        <v>1</v>
      </c>
      <c r="W1064">
        <v>1</v>
      </c>
      <c r="X1064">
        <v>1</v>
      </c>
      <c r="Y1064">
        <v>1</v>
      </c>
      <c r="Z1064" t="s">
        <v>73</v>
      </c>
      <c r="AA1064" s="5" t="s">
        <v>73</v>
      </c>
      <c r="AB1064" s="5" t="s">
        <v>73</v>
      </c>
      <c r="AC1064" t="s">
        <v>73</v>
      </c>
      <c r="AD1064" t="s">
        <v>94</v>
      </c>
      <c r="AE1064" s="5" t="s">
        <v>106</v>
      </c>
      <c r="AF1064" t="s">
        <v>107</v>
      </c>
      <c r="AG1064" t="s">
        <v>95</v>
      </c>
      <c r="AH1064">
        <f t="shared" si="480"/>
        <v>4.0916529999999998E-3</v>
      </c>
      <c r="AI1064">
        <f t="shared" si="482"/>
        <v>4.0916529999999998E-3</v>
      </c>
      <c r="AJ1064">
        <f t="shared" si="464"/>
        <v>4.0916529999999998E-3</v>
      </c>
      <c r="AK1064">
        <v>4.0916529999999998E-3</v>
      </c>
      <c r="AL1064">
        <v>0.13203936999999999</v>
      </c>
      <c r="AM1064">
        <v>0.13651315999999999</v>
      </c>
      <c r="AN1064">
        <v>0.13894967999999999</v>
      </c>
      <c r="AO1064">
        <v>99.590834700000002</v>
      </c>
      <c r="AP1064">
        <v>86.796063000000004</v>
      </c>
      <c r="AQ1064">
        <v>86.348684000000006</v>
      </c>
      <c r="AR1064">
        <v>86.105031999999994</v>
      </c>
      <c r="AS1064" t="b">
        <v>1</v>
      </c>
      <c r="AT1064" t="b">
        <v>0</v>
      </c>
      <c r="AU1064" t="s">
        <v>77</v>
      </c>
      <c r="AV1064" t="s">
        <v>108</v>
      </c>
      <c r="AW1064" t="s">
        <v>783</v>
      </c>
      <c r="AX1064" t="s">
        <v>1277</v>
      </c>
      <c r="AY1064" t="s">
        <v>1623</v>
      </c>
      <c r="AZ1064" t="s">
        <v>72</v>
      </c>
      <c r="BA1064" t="s">
        <v>82</v>
      </c>
      <c r="BB1064">
        <v>0.35</v>
      </c>
      <c r="BC1064">
        <v>4.1163553999999996E-3</v>
      </c>
      <c r="BD1064">
        <v>1.4279989108178799E-4</v>
      </c>
      <c r="BE1064">
        <v>4.2591552910817903E-3</v>
      </c>
      <c r="BF1064">
        <f>IF(AK1064&lt;BE1064,1,0)</f>
        <v>1</v>
      </c>
      <c r="BG1064">
        <f>IF(AK1064&lt;BC1064,1,0)</f>
        <v>1</v>
      </c>
      <c r="BH1064">
        <f>VLOOKUP($B1064,[1]Data_Peer_with_peerVars!$B$2:$Z$1050,20,FALSE)</f>
        <v>7</v>
      </c>
      <c r="BI1064">
        <f>VLOOKUP($B1064,[1]Data_Peer_with_peerVars!$B$2:$Z$1050,21,FALSE)</f>
        <v>2</v>
      </c>
      <c r="BJ1064">
        <f>VLOOKUP($B1064,[1]Data_Peer_with_peerVars!$B$2:$Z$1050,22,FALSE)</f>
        <v>0.28571428599999998</v>
      </c>
      <c r="BK1064">
        <f>VLOOKUP($B1064,[1]Data_Peer_with_peerVars!$B$2:$Z$1050,23,FALSE)</f>
        <v>64</v>
      </c>
      <c r="BL1064">
        <f>VLOOKUP($B1064,[1]Data_Peer_with_peerVars!$B$2:$Z$1050,24,FALSE)</f>
        <v>29</v>
      </c>
      <c r="BM1064">
        <f>VLOOKUP($B1064,[1]Data_Peer_with_peerVars!$B$2:$Z$1050,25,FALSE)</f>
        <v>0.453125</v>
      </c>
    </row>
    <row r="1065" spans="1:65" x14ac:dyDescent="0.2">
      <c r="A1065">
        <v>1</v>
      </c>
      <c r="B1065" t="s">
        <v>1624</v>
      </c>
      <c r="C1065">
        <v>657</v>
      </c>
      <c r="D1065" t="s">
        <v>68</v>
      </c>
      <c r="E1065">
        <v>1</v>
      </c>
      <c r="F1065">
        <v>457</v>
      </c>
      <c r="G1065" t="s">
        <v>86</v>
      </c>
      <c r="H1065" s="1">
        <v>7</v>
      </c>
      <c r="I1065" t="s">
        <v>87</v>
      </c>
      <c r="J1065" t="s">
        <v>124</v>
      </c>
      <c r="K1065" t="s">
        <v>72</v>
      </c>
      <c r="L1065">
        <v>1</v>
      </c>
      <c r="M1065">
        <v>0</v>
      </c>
      <c r="N1065">
        <v>1</v>
      </c>
      <c r="O1065">
        <v>0</v>
      </c>
      <c r="P1065">
        <v>0</v>
      </c>
      <c r="Q1065">
        <v>6</v>
      </c>
      <c r="R1065">
        <v>0</v>
      </c>
      <c r="S1065">
        <v>0</v>
      </c>
      <c r="T1065">
        <v>0</v>
      </c>
      <c r="U1065">
        <v>0</v>
      </c>
      <c r="V1065">
        <f t="shared" si="461"/>
        <v>0</v>
      </c>
      <c r="W1065">
        <f t="shared" si="462"/>
        <v>0</v>
      </c>
      <c r="X1065">
        <f t="shared" si="465"/>
        <v>0</v>
      </c>
      <c r="Y1065">
        <f t="shared" si="463"/>
        <v>1</v>
      </c>
      <c r="Z1065" t="s">
        <v>76</v>
      </c>
      <c r="AA1065" s="5" t="s">
        <v>76</v>
      </c>
      <c r="AB1065" s="5" t="s">
        <v>76</v>
      </c>
      <c r="AC1065" t="s">
        <v>74</v>
      </c>
      <c r="AD1065" t="s">
        <v>75</v>
      </c>
      <c r="AE1065" s="5" t="s">
        <v>75</v>
      </c>
      <c r="AF1065" t="s">
        <v>120</v>
      </c>
      <c r="AG1065" t="s">
        <v>76</v>
      </c>
      <c r="AH1065">
        <f>AN1065</f>
        <v>9.0635270000000004E-2</v>
      </c>
      <c r="AI1065">
        <f>AJ1065</f>
        <v>8.7671229999999999E-3</v>
      </c>
      <c r="AJ1065">
        <f t="shared" si="464"/>
        <v>8.7671229999999999E-3</v>
      </c>
      <c r="AK1065">
        <v>8.7671229999999999E-3</v>
      </c>
      <c r="AL1065">
        <v>8.5980280000000006E-2</v>
      </c>
      <c r="AM1065">
        <v>8.8846359999999999E-2</v>
      </c>
      <c r="AN1065">
        <v>9.0635270000000004E-2</v>
      </c>
      <c r="AO1065">
        <v>99.123287700000006</v>
      </c>
      <c r="AP1065">
        <v>91.401972000000001</v>
      </c>
      <c r="AQ1065">
        <v>91.115364</v>
      </c>
      <c r="AR1065">
        <v>90.936473000000007</v>
      </c>
      <c r="AS1065" t="b">
        <v>0</v>
      </c>
      <c r="AT1065" t="b">
        <v>0</v>
      </c>
      <c r="AU1065" t="s">
        <v>77</v>
      </c>
      <c r="AV1065" t="s">
        <v>77</v>
      </c>
      <c r="AW1065" t="s">
        <v>783</v>
      </c>
      <c r="AX1065" t="s">
        <v>1277</v>
      </c>
      <c r="AY1065" t="s">
        <v>1623</v>
      </c>
      <c r="AZ1065" t="s">
        <v>109</v>
      </c>
      <c r="BA1065">
        <v>10</v>
      </c>
      <c r="BB1065">
        <v>0.35</v>
      </c>
      <c r="BC1065">
        <v>2.4738868000000001E-3</v>
      </c>
      <c r="BD1065">
        <v>1.4256942275279999E-4</v>
      </c>
      <c r="BE1065">
        <v>2.6164562227527998E-3</v>
      </c>
      <c r="BF1065">
        <f>IF(AK1065&lt;BE1065,1,0)</f>
        <v>0</v>
      </c>
      <c r="BG1065">
        <f>IF(AK1065&lt;BC1065,1,0)</f>
        <v>0</v>
      </c>
      <c r="BH1065">
        <f>VLOOKUP($B1065,[1]Data_Peer_with_peerVars!$B$2:$Z$1050,20,FALSE)</f>
        <v>7</v>
      </c>
      <c r="BI1065">
        <f>VLOOKUP($B1065,[1]Data_Peer_with_peerVars!$B$2:$Z$1050,21,FALSE)</f>
        <v>2</v>
      </c>
      <c r="BJ1065">
        <f>VLOOKUP($B1065,[1]Data_Peer_with_peerVars!$B$2:$Z$1050,22,FALSE)</f>
        <v>0.28571428599999998</v>
      </c>
      <c r="BK1065">
        <f>VLOOKUP($B1065,[1]Data_Peer_with_peerVars!$B$2:$Z$1050,23,FALSE)</f>
        <v>64</v>
      </c>
      <c r="BL1065">
        <f>VLOOKUP($B1065,[1]Data_Peer_with_peerVars!$B$2:$Z$1050,24,FALSE)</f>
        <v>29</v>
      </c>
      <c r="BM1065">
        <f>VLOOKUP($B1065,[1]Data_Peer_with_peerVars!$B$2:$Z$1050,25,FALSE)</f>
        <v>0.453125</v>
      </c>
    </row>
    <row r="1066" spans="1:65" x14ac:dyDescent="0.2">
      <c r="A1066">
        <v>1</v>
      </c>
      <c r="B1066" t="s">
        <v>1625</v>
      </c>
      <c r="C1066">
        <v>658</v>
      </c>
      <c r="D1066" t="s">
        <v>68</v>
      </c>
      <c r="E1066">
        <v>0</v>
      </c>
      <c r="F1066">
        <v>390</v>
      </c>
      <c r="G1066" t="s">
        <v>119</v>
      </c>
      <c r="H1066" s="1">
        <v>7</v>
      </c>
      <c r="I1066" t="s">
        <v>87</v>
      </c>
      <c r="J1066" t="s">
        <v>150</v>
      </c>
      <c r="K1066" t="s">
        <v>72</v>
      </c>
      <c r="L1066">
        <v>1</v>
      </c>
      <c r="M1066">
        <v>0</v>
      </c>
      <c r="N1066">
        <v>0</v>
      </c>
      <c r="O1066">
        <v>0</v>
      </c>
      <c r="P1066">
        <v>0</v>
      </c>
      <c r="Q1066">
        <v>6</v>
      </c>
      <c r="R1066">
        <v>0</v>
      </c>
      <c r="S1066">
        <v>0</v>
      </c>
      <c r="T1066">
        <v>0</v>
      </c>
      <c r="U1066">
        <v>0</v>
      </c>
      <c r="V1066">
        <f t="shared" si="461"/>
        <v>1</v>
      </c>
      <c r="W1066">
        <v>1</v>
      </c>
      <c r="X1066">
        <v>1</v>
      </c>
      <c r="Y1066">
        <v>1</v>
      </c>
      <c r="Z1066" t="s">
        <v>73</v>
      </c>
      <c r="AA1066" s="5" t="s">
        <v>73</v>
      </c>
      <c r="AB1066" s="5" t="s">
        <v>73</v>
      </c>
      <c r="AC1066" t="s">
        <v>73</v>
      </c>
      <c r="AD1066" t="s">
        <v>94</v>
      </c>
      <c r="AE1066" s="5" t="s">
        <v>94</v>
      </c>
      <c r="AF1066" t="s">
        <v>75</v>
      </c>
      <c r="AG1066" t="s">
        <v>95</v>
      </c>
      <c r="AH1066">
        <f>AI1066</f>
        <v>6.7884410000000006E-2</v>
      </c>
      <c r="AI1066">
        <f>AJ1066</f>
        <v>6.7884410000000006E-2</v>
      </c>
      <c r="AJ1066">
        <f t="shared" si="464"/>
        <v>6.7884410000000006E-2</v>
      </c>
      <c r="AK1066">
        <v>6.7884410000000006E-2</v>
      </c>
      <c r="AL1066">
        <v>0.117631</v>
      </c>
      <c r="AM1066">
        <v>0.12828228</v>
      </c>
      <c r="AN1066">
        <v>0.14098361000000001</v>
      </c>
      <c r="AO1066">
        <v>93.211558999999994</v>
      </c>
      <c r="AP1066">
        <v>88.236900000000006</v>
      </c>
      <c r="AQ1066">
        <v>87.171772000000004</v>
      </c>
      <c r="AR1066">
        <v>85.901639000000003</v>
      </c>
      <c r="AS1066" t="b">
        <v>1</v>
      </c>
      <c r="AT1066" t="b">
        <v>0</v>
      </c>
      <c r="AU1066" t="s">
        <v>77</v>
      </c>
      <c r="AV1066" t="s">
        <v>78</v>
      </c>
      <c r="AW1066" t="s">
        <v>783</v>
      </c>
      <c r="AX1066" t="s">
        <v>1277</v>
      </c>
      <c r="AY1066" t="s">
        <v>1518</v>
      </c>
      <c r="AZ1066" t="s">
        <v>72</v>
      </c>
      <c r="BA1066" t="s">
        <v>82</v>
      </c>
      <c r="BB1066">
        <v>0.5</v>
      </c>
      <c r="BC1066">
        <v>4.1163553999999996E-3</v>
      </c>
      <c r="BD1066">
        <v>1.4279989108178799E-4</v>
      </c>
      <c r="BE1066">
        <v>4.2591552910817903E-3</v>
      </c>
      <c r="BF1066">
        <f>IF(AK1066&lt;BE1066,1,0)</f>
        <v>0</v>
      </c>
      <c r="BG1066">
        <f>IF(AK1066&lt;BC1066,1,0)</f>
        <v>0</v>
      </c>
      <c r="BH1066">
        <f>VLOOKUP($B1066,[1]Data_Peer_with_peerVars!$B$2:$Z$1050,20,FALSE)</f>
        <v>3</v>
      </c>
      <c r="BI1066">
        <f>VLOOKUP($B1066,[1]Data_Peer_with_peerVars!$B$2:$Z$1050,21,FALSE)</f>
        <v>2</v>
      </c>
      <c r="BJ1066">
        <f>VLOOKUP($B1066,[1]Data_Peer_with_peerVars!$B$2:$Z$1050,22,FALSE)</f>
        <v>0.66666666699999999</v>
      </c>
      <c r="BK1066">
        <f>VLOOKUP($B1066,[1]Data_Peer_with_peerVars!$B$2:$Z$1050,23,FALSE)</f>
        <v>3</v>
      </c>
      <c r="BL1066">
        <f>VLOOKUP($B1066,[1]Data_Peer_with_peerVars!$B$2:$Z$1050,24,FALSE)</f>
        <v>2</v>
      </c>
      <c r="BM1066">
        <f>VLOOKUP($B1066,[1]Data_Peer_with_peerVars!$B$2:$Z$1050,25,FALSE)</f>
        <v>0.66666666699999999</v>
      </c>
    </row>
    <row r="1067" spans="1:65" x14ac:dyDescent="0.2">
      <c r="A1067">
        <v>1</v>
      </c>
      <c r="B1067" t="s">
        <v>1626</v>
      </c>
      <c r="C1067">
        <v>659</v>
      </c>
      <c r="D1067" t="s">
        <v>68</v>
      </c>
      <c r="E1067">
        <v>1</v>
      </c>
      <c r="F1067">
        <v>404</v>
      </c>
      <c r="G1067" t="s">
        <v>86</v>
      </c>
      <c r="H1067" s="1">
        <v>7</v>
      </c>
      <c r="I1067" t="s">
        <v>87</v>
      </c>
      <c r="J1067" t="s">
        <v>111</v>
      </c>
      <c r="K1067" t="s">
        <v>109</v>
      </c>
      <c r="L1067">
        <v>1</v>
      </c>
      <c r="M1067">
        <v>0</v>
      </c>
      <c r="N1067">
        <v>0</v>
      </c>
      <c r="O1067">
        <v>0</v>
      </c>
      <c r="P1067">
        <v>0</v>
      </c>
      <c r="Q1067">
        <v>0</v>
      </c>
      <c r="R1067">
        <v>0</v>
      </c>
      <c r="S1067">
        <v>0</v>
      </c>
      <c r="T1067">
        <v>0</v>
      </c>
      <c r="U1067">
        <v>0</v>
      </c>
      <c r="V1067">
        <f t="shared" si="461"/>
        <v>0</v>
      </c>
      <c r="W1067">
        <f t="shared" si="462"/>
        <v>0</v>
      </c>
      <c r="X1067">
        <f t="shared" si="465"/>
        <v>0</v>
      </c>
      <c r="Y1067">
        <f t="shared" si="463"/>
        <v>0</v>
      </c>
      <c r="Z1067" t="s">
        <v>91</v>
      </c>
      <c r="AA1067" s="5" t="s">
        <v>91</v>
      </c>
      <c r="AB1067" s="5" t="s">
        <v>1627</v>
      </c>
      <c r="AC1067" t="s">
        <v>101</v>
      </c>
      <c r="AD1067" t="s">
        <v>74</v>
      </c>
      <c r="AE1067" s="5" t="s">
        <v>74</v>
      </c>
      <c r="AF1067" t="s">
        <v>102</v>
      </c>
      <c r="AG1067" t="s">
        <v>167</v>
      </c>
      <c r="AH1067">
        <f t="shared" ref="AH1067:AH1072" si="483">AI1067</f>
        <v>0.11772777</v>
      </c>
      <c r="AI1067">
        <f t="shared" ref="AI1067:AI1071" si="484">AJ1067</f>
        <v>0.11772777</v>
      </c>
      <c r="AJ1067">
        <f t="shared" si="464"/>
        <v>0.11772777</v>
      </c>
      <c r="AK1067">
        <v>0.11772777</v>
      </c>
      <c r="AL1067">
        <v>0.12328767</v>
      </c>
      <c r="AM1067">
        <v>0.12704471000000001</v>
      </c>
      <c r="AN1067">
        <v>0.12739724999999999</v>
      </c>
      <c r="AO1067">
        <v>88.227222999999995</v>
      </c>
      <c r="AP1067">
        <v>87.671233000000001</v>
      </c>
      <c r="AQ1067">
        <v>87.295529000000002</v>
      </c>
      <c r="AR1067">
        <v>87.260274999999993</v>
      </c>
      <c r="AS1067" t="b">
        <v>0</v>
      </c>
      <c r="AT1067" t="b">
        <v>0</v>
      </c>
      <c r="AU1067" t="s">
        <v>78</v>
      </c>
      <c r="AV1067" t="s">
        <v>78</v>
      </c>
      <c r="AW1067" t="s">
        <v>783</v>
      </c>
      <c r="AX1067" t="s">
        <v>1277</v>
      </c>
      <c r="AY1067" t="s">
        <v>1518</v>
      </c>
      <c r="AZ1067" t="s">
        <v>109</v>
      </c>
      <c r="BA1067">
        <v>10</v>
      </c>
      <c r="BB1067">
        <v>0.7</v>
      </c>
      <c r="BC1067">
        <v>1.4096186E-2</v>
      </c>
      <c r="BD1067">
        <v>1.55088650053763E-3</v>
      </c>
      <c r="BE1067">
        <v>1.5647072500537599E-2</v>
      </c>
      <c r="BF1067">
        <f>IF(AK1067&lt;BE1067,1,0)</f>
        <v>0</v>
      </c>
      <c r="BG1067">
        <f>IF(AK1067&lt;BC1067,1,0)</f>
        <v>0</v>
      </c>
      <c r="BH1067">
        <f>VLOOKUP($B1067,[1]Data_Peer_with_peerVars!$B$2:$Z$1050,20,FALSE)</f>
        <v>9</v>
      </c>
      <c r="BI1067">
        <f>VLOOKUP($B1067,[1]Data_Peer_with_peerVars!$B$2:$Z$1050,21,FALSE)</f>
        <v>2</v>
      </c>
      <c r="BJ1067">
        <f>VLOOKUP($B1067,[1]Data_Peer_with_peerVars!$B$2:$Z$1050,22,FALSE)</f>
        <v>0.222222222</v>
      </c>
      <c r="BK1067">
        <f>VLOOKUP($B1067,[1]Data_Peer_with_peerVars!$B$2:$Z$1050,23,FALSE)</f>
        <v>73</v>
      </c>
      <c r="BL1067">
        <f>VLOOKUP($B1067,[1]Data_Peer_with_peerVars!$B$2:$Z$1050,24,FALSE)</f>
        <v>40</v>
      </c>
      <c r="BM1067">
        <f>VLOOKUP($B1067,[1]Data_Peer_with_peerVars!$B$2:$Z$1050,25,FALSE)</f>
        <v>0.54794520499999999</v>
      </c>
    </row>
    <row r="1068" spans="1:65" x14ac:dyDescent="0.2">
      <c r="A1068">
        <v>1</v>
      </c>
      <c r="B1068" t="s">
        <v>1628</v>
      </c>
      <c r="C1068">
        <v>659</v>
      </c>
      <c r="D1068" t="s">
        <v>68</v>
      </c>
      <c r="E1068">
        <v>1</v>
      </c>
      <c r="F1068">
        <v>404</v>
      </c>
      <c r="G1068" t="s">
        <v>86</v>
      </c>
      <c r="H1068" s="1">
        <v>7</v>
      </c>
      <c r="I1068" t="s">
        <v>87</v>
      </c>
      <c r="J1068" t="s">
        <v>111</v>
      </c>
      <c r="K1068" t="s">
        <v>109</v>
      </c>
      <c r="L1068">
        <v>1</v>
      </c>
      <c r="M1068">
        <v>0</v>
      </c>
      <c r="N1068">
        <v>0</v>
      </c>
      <c r="O1068">
        <v>0</v>
      </c>
      <c r="P1068">
        <v>0</v>
      </c>
      <c r="Q1068">
        <v>0</v>
      </c>
      <c r="R1068">
        <v>0</v>
      </c>
      <c r="S1068">
        <v>0</v>
      </c>
      <c r="T1068">
        <v>0</v>
      </c>
      <c r="U1068">
        <v>0</v>
      </c>
      <c r="V1068">
        <f t="shared" si="461"/>
        <v>0</v>
      </c>
      <c r="W1068">
        <f t="shared" si="462"/>
        <v>0</v>
      </c>
      <c r="X1068">
        <f t="shared" si="465"/>
        <v>0</v>
      </c>
      <c r="Y1068">
        <f t="shared" si="463"/>
        <v>0</v>
      </c>
      <c r="Z1068" t="s">
        <v>76</v>
      </c>
      <c r="AA1068" s="5" t="s">
        <v>76</v>
      </c>
      <c r="AB1068" s="5" t="s">
        <v>76</v>
      </c>
      <c r="AC1068" t="s">
        <v>91</v>
      </c>
      <c r="AD1068" t="s">
        <v>287</v>
      </c>
      <c r="AE1068" s="5" t="s">
        <v>919</v>
      </c>
      <c r="AF1068" t="s">
        <v>137</v>
      </c>
      <c r="AG1068" t="s">
        <v>113</v>
      </c>
      <c r="AH1068">
        <f t="shared" si="483"/>
        <v>0.11548988</v>
      </c>
      <c r="AI1068">
        <f t="shared" si="484"/>
        <v>0.11548988</v>
      </c>
      <c r="AJ1068">
        <f t="shared" si="464"/>
        <v>0.11548988</v>
      </c>
      <c r="AK1068">
        <v>0.11548988</v>
      </c>
      <c r="AL1068">
        <v>0.1204918</v>
      </c>
      <c r="AM1068">
        <v>0.1273224</v>
      </c>
      <c r="AN1068">
        <v>0.13963716000000001</v>
      </c>
      <c r="AO1068">
        <v>88.451012000000006</v>
      </c>
      <c r="AP1068">
        <v>87.950819999999993</v>
      </c>
      <c r="AQ1068">
        <v>87.267759999999996</v>
      </c>
      <c r="AR1068">
        <v>86.036283999999995</v>
      </c>
      <c r="AS1068" t="b">
        <v>0</v>
      </c>
      <c r="AT1068" t="b">
        <v>0</v>
      </c>
      <c r="AU1068" t="s">
        <v>108</v>
      </c>
      <c r="AV1068" t="s">
        <v>108</v>
      </c>
      <c r="AW1068" t="s">
        <v>783</v>
      </c>
      <c r="AX1068" t="s">
        <v>1277</v>
      </c>
      <c r="AY1068" t="s">
        <v>1518</v>
      </c>
      <c r="AZ1068" t="s">
        <v>109</v>
      </c>
      <c r="BA1068">
        <v>3</v>
      </c>
      <c r="BB1068">
        <v>0.35</v>
      </c>
      <c r="BC1068">
        <v>9.0659339999999995E-3</v>
      </c>
      <c r="BD1068">
        <v>2.76583658862385E-3</v>
      </c>
      <c r="BE1068">
        <v>1.1831770588623799E-2</v>
      </c>
      <c r="BF1068">
        <f>IF(AK1068&lt;BE1068,1,0)</f>
        <v>0</v>
      </c>
      <c r="BG1068">
        <f>IF(AK1068&lt;BC1068,1,0)</f>
        <v>0</v>
      </c>
      <c r="BH1068">
        <f>VLOOKUP($B1068,[1]Data_Peer_with_peerVars!$B$2:$Z$1050,20,FALSE)</f>
        <v>9</v>
      </c>
      <c r="BI1068">
        <f>VLOOKUP($B1068,[1]Data_Peer_with_peerVars!$B$2:$Z$1050,21,FALSE)</f>
        <v>2</v>
      </c>
      <c r="BJ1068">
        <f>VLOOKUP($B1068,[1]Data_Peer_with_peerVars!$B$2:$Z$1050,22,FALSE)</f>
        <v>0.222222222</v>
      </c>
      <c r="BK1068">
        <f>VLOOKUP($B1068,[1]Data_Peer_with_peerVars!$B$2:$Z$1050,23,FALSE)</f>
        <v>73</v>
      </c>
      <c r="BL1068">
        <f>VLOOKUP($B1068,[1]Data_Peer_with_peerVars!$B$2:$Z$1050,24,FALSE)</f>
        <v>40</v>
      </c>
      <c r="BM1068">
        <f>VLOOKUP($B1068,[1]Data_Peer_with_peerVars!$B$2:$Z$1050,25,FALSE)</f>
        <v>0.54794520499999999</v>
      </c>
    </row>
    <row r="1069" spans="1:65" x14ac:dyDescent="0.2">
      <c r="A1069">
        <v>1</v>
      </c>
      <c r="B1069" t="s">
        <v>1629</v>
      </c>
      <c r="C1069">
        <v>660</v>
      </c>
      <c r="D1069" t="s">
        <v>68</v>
      </c>
      <c r="E1069">
        <v>0</v>
      </c>
      <c r="F1069">
        <v>468</v>
      </c>
      <c r="G1069" t="s">
        <v>119</v>
      </c>
      <c r="H1069" s="1">
        <v>7</v>
      </c>
      <c r="I1069" t="s">
        <v>87</v>
      </c>
      <c r="J1069" t="s">
        <v>150</v>
      </c>
      <c r="K1069" t="s">
        <v>109</v>
      </c>
      <c r="L1069">
        <v>1</v>
      </c>
      <c r="M1069">
        <v>0</v>
      </c>
      <c r="N1069">
        <v>0</v>
      </c>
      <c r="O1069">
        <v>0</v>
      </c>
      <c r="P1069">
        <v>0</v>
      </c>
      <c r="Q1069">
        <v>8</v>
      </c>
      <c r="R1069">
        <v>0</v>
      </c>
      <c r="S1069">
        <v>0</v>
      </c>
      <c r="T1069">
        <v>0</v>
      </c>
      <c r="U1069">
        <v>0</v>
      </c>
      <c r="V1069">
        <f t="shared" si="461"/>
        <v>0</v>
      </c>
      <c r="W1069">
        <f t="shared" si="462"/>
        <v>0</v>
      </c>
      <c r="X1069">
        <f t="shared" si="465"/>
        <v>0</v>
      </c>
      <c r="Y1069">
        <f t="shared" si="463"/>
        <v>0</v>
      </c>
      <c r="Z1069" t="s">
        <v>98</v>
      </c>
      <c r="AA1069" s="5" t="s">
        <v>362</v>
      </c>
      <c r="AB1069" s="5" t="s">
        <v>362</v>
      </c>
      <c r="AC1069" t="s">
        <v>113</v>
      </c>
      <c r="AD1069" t="s">
        <v>137</v>
      </c>
      <c r="AE1069" s="5" t="s">
        <v>137</v>
      </c>
      <c r="AF1069" t="s">
        <v>84</v>
      </c>
      <c r="AG1069" t="s">
        <v>103</v>
      </c>
      <c r="AH1069">
        <f t="shared" si="483"/>
        <v>2.4711695999999998E-2</v>
      </c>
      <c r="AI1069">
        <f t="shared" si="484"/>
        <v>2.4711695999999998E-2</v>
      </c>
      <c r="AJ1069">
        <f t="shared" si="464"/>
        <v>2.4711695999999998E-2</v>
      </c>
      <c r="AK1069">
        <v>2.4711695999999998E-2</v>
      </c>
      <c r="AL1069">
        <v>0.109956235</v>
      </c>
      <c r="AM1069">
        <v>0.12527473</v>
      </c>
      <c r="AN1069">
        <v>0.12789416000000001</v>
      </c>
      <c r="AO1069">
        <v>97.528830400000004</v>
      </c>
      <c r="AP1069">
        <v>89.004376500000006</v>
      </c>
      <c r="AQ1069">
        <v>87.472526999999999</v>
      </c>
      <c r="AR1069">
        <v>87.210583999999997</v>
      </c>
      <c r="AS1069" t="b">
        <v>0</v>
      </c>
      <c r="AT1069" t="b">
        <v>0</v>
      </c>
      <c r="AU1069" t="s">
        <v>77</v>
      </c>
      <c r="AV1069" t="s">
        <v>78</v>
      </c>
      <c r="AW1069" t="s">
        <v>783</v>
      </c>
      <c r="AX1069" t="s">
        <v>1277</v>
      </c>
      <c r="AY1069" t="s">
        <v>1518</v>
      </c>
      <c r="AZ1069" t="s">
        <v>109</v>
      </c>
      <c r="BA1069">
        <v>3</v>
      </c>
      <c r="BB1069">
        <v>0.2</v>
      </c>
      <c r="BC1069">
        <v>4.9945115999999998E-2</v>
      </c>
      <c r="BD1069">
        <v>7.0553271253887603E-3</v>
      </c>
      <c r="BE1069">
        <v>5.7000443125388801E-2</v>
      </c>
      <c r="BF1069">
        <f>IF(AK1069&lt;BE1069,1,0)</f>
        <v>1</v>
      </c>
      <c r="BG1069">
        <f>IF(AK1069&lt;BC1069,1,0)</f>
        <v>1</v>
      </c>
      <c r="BH1069">
        <f>VLOOKUP($B1069,[1]Data_Peer_with_peerVars!$B$2:$Z$1050,20,FALSE)</f>
        <v>1</v>
      </c>
      <c r="BI1069">
        <f>VLOOKUP($B1069,[1]Data_Peer_with_peerVars!$B$2:$Z$1050,21,FALSE)</f>
        <v>1</v>
      </c>
      <c r="BJ1069">
        <f>VLOOKUP($B1069,[1]Data_Peer_with_peerVars!$B$2:$Z$1050,22,FALSE)</f>
        <v>1</v>
      </c>
      <c r="BK1069">
        <f>VLOOKUP($B1069,[1]Data_Peer_with_peerVars!$B$2:$Z$1050,23,FALSE)</f>
        <v>1</v>
      </c>
      <c r="BL1069">
        <f>VLOOKUP($B1069,[1]Data_Peer_with_peerVars!$B$2:$Z$1050,24,FALSE)</f>
        <v>1</v>
      </c>
      <c r="BM1069">
        <f>VLOOKUP($B1069,[1]Data_Peer_with_peerVars!$B$2:$Z$1050,25,FALSE)</f>
        <v>1</v>
      </c>
    </row>
    <row r="1070" spans="1:65" x14ac:dyDescent="0.2">
      <c r="A1070">
        <v>1</v>
      </c>
      <c r="B1070" t="s">
        <v>1630</v>
      </c>
      <c r="C1070">
        <v>660</v>
      </c>
      <c r="D1070" t="s">
        <v>68</v>
      </c>
      <c r="E1070">
        <v>0</v>
      </c>
      <c r="F1070">
        <v>468</v>
      </c>
      <c r="G1070" t="s">
        <v>119</v>
      </c>
      <c r="H1070" s="1">
        <v>7</v>
      </c>
      <c r="I1070" t="s">
        <v>87</v>
      </c>
      <c r="J1070" t="s">
        <v>150</v>
      </c>
      <c r="K1070" t="s">
        <v>109</v>
      </c>
      <c r="L1070">
        <v>1</v>
      </c>
      <c r="M1070">
        <v>0</v>
      </c>
      <c r="N1070">
        <v>0</v>
      </c>
      <c r="O1070">
        <v>0</v>
      </c>
      <c r="P1070">
        <v>0</v>
      </c>
      <c r="Q1070">
        <v>8</v>
      </c>
      <c r="R1070">
        <v>0</v>
      </c>
      <c r="S1070">
        <v>0</v>
      </c>
      <c r="T1070">
        <v>0</v>
      </c>
      <c r="U1070">
        <v>0</v>
      </c>
      <c r="V1070">
        <f t="shared" si="461"/>
        <v>1</v>
      </c>
      <c r="W1070">
        <v>1</v>
      </c>
      <c r="X1070">
        <v>1</v>
      </c>
      <c r="Y1070">
        <v>1</v>
      </c>
      <c r="Z1070" t="s">
        <v>287</v>
      </c>
      <c r="AA1070" s="5" t="s">
        <v>287</v>
      </c>
      <c r="AB1070" s="5" t="s">
        <v>287</v>
      </c>
      <c r="AC1070" t="s">
        <v>287</v>
      </c>
      <c r="AD1070" t="s">
        <v>91</v>
      </c>
      <c r="AE1070" s="5" t="s">
        <v>91</v>
      </c>
      <c r="AF1070" t="s">
        <v>137</v>
      </c>
      <c r="AG1070" t="s">
        <v>113</v>
      </c>
      <c r="AH1070">
        <f t="shared" si="483"/>
        <v>5.0273224999999998E-2</v>
      </c>
      <c r="AI1070">
        <f t="shared" si="484"/>
        <v>5.0273224999999998E-2</v>
      </c>
      <c r="AJ1070">
        <f t="shared" si="464"/>
        <v>5.0273224999999998E-2</v>
      </c>
      <c r="AK1070">
        <v>5.0273224999999998E-2</v>
      </c>
      <c r="AL1070">
        <v>0.11302682</v>
      </c>
      <c r="AM1070">
        <v>0.12213114999999999</v>
      </c>
      <c r="AN1070">
        <v>0.13434066</v>
      </c>
      <c r="AO1070">
        <v>94.972677500000003</v>
      </c>
      <c r="AP1070">
        <v>88.697317999999996</v>
      </c>
      <c r="AQ1070">
        <v>87.786884999999998</v>
      </c>
      <c r="AR1070">
        <v>86.565933999999999</v>
      </c>
      <c r="AS1070" t="b">
        <v>1</v>
      </c>
      <c r="AT1070" t="b">
        <v>0</v>
      </c>
      <c r="AU1070" t="s">
        <v>77</v>
      </c>
      <c r="AV1070" t="s">
        <v>78</v>
      </c>
      <c r="AW1070" t="s">
        <v>783</v>
      </c>
      <c r="AX1070" t="s">
        <v>1277</v>
      </c>
      <c r="AY1070" t="s">
        <v>1518</v>
      </c>
      <c r="AZ1070" t="s">
        <v>109</v>
      </c>
      <c r="BA1070">
        <v>10</v>
      </c>
      <c r="BB1070">
        <v>1</v>
      </c>
      <c r="BC1070">
        <v>5.5106750000000003E-2</v>
      </c>
      <c r="BD1070">
        <v>2.4361461616194298E-3</v>
      </c>
      <c r="BE1070">
        <v>5.7542896161619402E-2</v>
      </c>
      <c r="BF1070">
        <f>IF(AK1070&lt;BE1070,1,0)</f>
        <v>1</v>
      </c>
      <c r="BG1070">
        <f>IF(AK1070&lt;BC1070,1,0)</f>
        <v>1</v>
      </c>
      <c r="BH1070">
        <f>VLOOKUP($B1070,[1]Data_Peer_with_peerVars!$B$2:$Z$1050,20,FALSE)</f>
        <v>1</v>
      </c>
      <c r="BI1070">
        <f>VLOOKUP($B1070,[1]Data_Peer_with_peerVars!$B$2:$Z$1050,21,FALSE)</f>
        <v>1</v>
      </c>
      <c r="BJ1070">
        <f>VLOOKUP($B1070,[1]Data_Peer_with_peerVars!$B$2:$Z$1050,22,FALSE)</f>
        <v>1</v>
      </c>
      <c r="BK1070">
        <f>VLOOKUP($B1070,[1]Data_Peer_with_peerVars!$B$2:$Z$1050,23,FALSE)</f>
        <v>1</v>
      </c>
      <c r="BL1070">
        <f>VLOOKUP($B1070,[1]Data_Peer_with_peerVars!$B$2:$Z$1050,24,FALSE)</f>
        <v>1</v>
      </c>
      <c r="BM1070">
        <f>VLOOKUP($B1070,[1]Data_Peer_with_peerVars!$B$2:$Z$1050,25,FALSE)</f>
        <v>1</v>
      </c>
    </row>
    <row r="1071" spans="1:65" x14ac:dyDescent="0.2">
      <c r="A1071">
        <v>1</v>
      </c>
      <c r="B1071" t="s">
        <v>1631</v>
      </c>
      <c r="C1071">
        <v>660</v>
      </c>
      <c r="D1071" t="s">
        <v>68</v>
      </c>
      <c r="E1071">
        <v>0</v>
      </c>
      <c r="F1071">
        <v>468</v>
      </c>
      <c r="G1071" t="s">
        <v>119</v>
      </c>
      <c r="H1071" s="1">
        <v>7</v>
      </c>
      <c r="I1071" t="s">
        <v>87</v>
      </c>
      <c r="J1071" t="s">
        <v>150</v>
      </c>
      <c r="K1071" t="s">
        <v>109</v>
      </c>
      <c r="L1071">
        <v>1</v>
      </c>
      <c r="M1071">
        <v>0</v>
      </c>
      <c r="N1071">
        <v>0</v>
      </c>
      <c r="O1071">
        <v>0</v>
      </c>
      <c r="P1071">
        <v>0</v>
      </c>
      <c r="Q1071">
        <v>8</v>
      </c>
      <c r="R1071">
        <v>0</v>
      </c>
      <c r="S1071">
        <v>0</v>
      </c>
      <c r="T1071">
        <v>0</v>
      </c>
      <c r="U1071">
        <v>0</v>
      </c>
      <c r="V1071">
        <f t="shared" si="461"/>
        <v>1</v>
      </c>
      <c r="W1071">
        <v>1</v>
      </c>
      <c r="X1071">
        <v>1</v>
      </c>
      <c r="Y1071">
        <v>1</v>
      </c>
      <c r="Z1071" t="s">
        <v>120</v>
      </c>
      <c r="AA1071" s="5" t="s">
        <v>120</v>
      </c>
      <c r="AB1071" s="5" t="s">
        <v>120</v>
      </c>
      <c r="AC1071" t="s">
        <v>120</v>
      </c>
      <c r="AD1071" t="s">
        <v>75</v>
      </c>
      <c r="AE1071" s="5" t="s">
        <v>75</v>
      </c>
      <c r="AF1071" t="s">
        <v>74</v>
      </c>
      <c r="AG1071" t="s">
        <v>167</v>
      </c>
      <c r="AH1071">
        <f t="shared" si="483"/>
        <v>2.6775956E-2</v>
      </c>
      <c r="AI1071">
        <f t="shared" si="484"/>
        <v>2.6775956E-2</v>
      </c>
      <c r="AJ1071">
        <f t="shared" si="464"/>
        <v>2.6775956E-2</v>
      </c>
      <c r="AK1071">
        <v>2.6775956E-2</v>
      </c>
      <c r="AL1071">
        <v>8.045977E-2</v>
      </c>
      <c r="AM1071">
        <v>8.77193E-2</v>
      </c>
      <c r="AN1071">
        <v>0.100328945</v>
      </c>
      <c r="AO1071">
        <v>97.322404399999996</v>
      </c>
      <c r="AP1071">
        <v>91.954023000000007</v>
      </c>
      <c r="AQ1071">
        <v>91.228070000000002</v>
      </c>
      <c r="AR1071">
        <v>89.967105500000002</v>
      </c>
      <c r="AS1071" t="b">
        <v>1</v>
      </c>
      <c r="AT1071" t="b">
        <v>0</v>
      </c>
      <c r="AU1071" t="s">
        <v>77</v>
      </c>
      <c r="AV1071" t="s">
        <v>77</v>
      </c>
      <c r="AW1071" t="s">
        <v>783</v>
      </c>
      <c r="AX1071" t="s">
        <v>1277</v>
      </c>
      <c r="AY1071" t="s">
        <v>1518</v>
      </c>
      <c r="AZ1071" t="s">
        <v>109</v>
      </c>
      <c r="BA1071">
        <v>4</v>
      </c>
      <c r="BB1071">
        <v>1</v>
      </c>
      <c r="BC1071">
        <v>4.6849314000000003E-2</v>
      </c>
      <c r="BD1071">
        <v>4.5250577219970098E-3</v>
      </c>
      <c r="BE1071">
        <v>5.1374371721996999E-2</v>
      </c>
      <c r="BF1071">
        <f>IF(AK1071&lt;BE1071,1,0)</f>
        <v>1</v>
      </c>
      <c r="BG1071">
        <f>IF(AK1071&lt;BC1071,1,0)</f>
        <v>1</v>
      </c>
      <c r="BH1071">
        <f>VLOOKUP($B1071,[1]Data_Peer_with_peerVars!$B$2:$Z$1050,20,FALSE)</f>
        <v>1</v>
      </c>
      <c r="BI1071">
        <f>VLOOKUP($B1071,[1]Data_Peer_with_peerVars!$B$2:$Z$1050,21,FALSE)</f>
        <v>1</v>
      </c>
      <c r="BJ1071">
        <f>VLOOKUP($B1071,[1]Data_Peer_with_peerVars!$B$2:$Z$1050,22,FALSE)</f>
        <v>1</v>
      </c>
      <c r="BK1071">
        <f>VLOOKUP($B1071,[1]Data_Peer_with_peerVars!$B$2:$Z$1050,23,FALSE)</f>
        <v>1</v>
      </c>
      <c r="BL1071">
        <f>VLOOKUP($B1071,[1]Data_Peer_with_peerVars!$B$2:$Z$1050,24,FALSE)</f>
        <v>1</v>
      </c>
      <c r="BM1071">
        <f>VLOOKUP($B1071,[1]Data_Peer_with_peerVars!$B$2:$Z$1050,25,FALSE)</f>
        <v>1</v>
      </c>
    </row>
    <row r="1072" spans="1:65" x14ac:dyDescent="0.2">
      <c r="A1072">
        <v>1</v>
      </c>
      <c r="B1072" t="s">
        <v>1632</v>
      </c>
      <c r="C1072">
        <v>661</v>
      </c>
      <c r="D1072" t="s">
        <v>68</v>
      </c>
      <c r="E1072">
        <v>0</v>
      </c>
      <c r="F1072">
        <v>582</v>
      </c>
      <c r="G1072" t="s">
        <v>119</v>
      </c>
      <c r="H1072" s="1">
        <v>7</v>
      </c>
      <c r="I1072" t="s">
        <v>70</v>
      </c>
      <c r="J1072" t="s">
        <v>301</v>
      </c>
      <c r="K1072" t="s">
        <v>72</v>
      </c>
      <c r="L1072">
        <v>1</v>
      </c>
      <c r="M1072">
        <v>0</v>
      </c>
      <c r="N1072">
        <v>0</v>
      </c>
      <c r="O1072">
        <v>0</v>
      </c>
      <c r="P1072">
        <v>0</v>
      </c>
      <c r="Q1072">
        <v>2</v>
      </c>
      <c r="R1072">
        <v>0</v>
      </c>
      <c r="S1072">
        <v>0</v>
      </c>
      <c r="T1072">
        <v>0</v>
      </c>
      <c r="U1072">
        <v>0</v>
      </c>
      <c r="V1072">
        <f t="shared" si="461"/>
        <v>0</v>
      </c>
      <c r="W1072">
        <f t="shared" si="462"/>
        <v>1</v>
      </c>
      <c r="X1072">
        <v>1</v>
      </c>
      <c r="Y1072">
        <v>1</v>
      </c>
      <c r="Z1072" t="s">
        <v>75</v>
      </c>
      <c r="AA1072" s="5" t="s">
        <v>75</v>
      </c>
      <c r="AB1072" s="5" t="s">
        <v>1633</v>
      </c>
      <c r="AC1072" t="s">
        <v>120</v>
      </c>
      <c r="AD1072" t="s">
        <v>75</v>
      </c>
      <c r="AE1072" s="5" t="s">
        <v>1247</v>
      </c>
      <c r="AF1072" t="s">
        <v>74</v>
      </c>
      <c r="AG1072" t="s">
        <v>167</v>
      </c>
      <c r="AH1072">
        <f t="shared" si="483"/>
        <v>8.8943620000000001E-2</v>
      </c>
      <c r="AI1072">
        <f t="shared" ref="AI1072:AI1074" si="485">AJ1072</f>
        <v>8.8943620000000001E-2</v>
      </c>
      <c r="AJ1072">
        <f>AL1072</f>
        <v>8.8943620000000001E-2</v>
      </c>
      <c r="AK1072">
        <v>3.0054646000000001E-2</v>
      </c>
      <c r="AL1072">
        <v>8.8943620000000001E-2</v>
      </c>
      <c r="AM1072">
        <v>8.9364040000000006E-2</v>
      </c>
      <c r="AN1072">
        <v>0.100603074</v>
      </c>
      <c r="AO1072">
        <v>96.994535400000004</v>
      </c>
      <c r="AP1072">
        <v>91.105637999999999</v>
      </c>
      <c r="AQ1072">
        <v>91.063596000000004</v>
      </c>
      <c r="AR1072">
        <v>89.939692600000001</v>
      </c>
      <c r="AS1072" t="b">
        <v>0</v>
      </c>
      <c r="AT1072" t="b">
        <v>0</v>
      </c>
      <c r="AU1072" t="s">
        <v>77</v>
      </c>
      <c r="AV1072" t="s">
        <v>108</v>
      </c>
      <c r="AW1072" t="s">
        <v>783</v>
      </c>
      <c r="AX1072" t="s">
        <v>1277</v>
      </c>
      <c r="AY1072" t="s">
        <v>1518</v>
      </c>
      <c r="AZ1072" t="s">
        <v>72</v>
      </c>
      <c r="BA1072" t="s">
        <v>82</v>
      </c>
      <c r="BB1072">
        <v>0.7</v>
      </c>
      <c r="BC1072">
        <v>4.6849314000000003E-2</v>
      </c>
      <c r="BD1072">
        <v>4.5250577219970098E-3</v>
      </c>
      <c r="BE1072">
        <v>5.1374371721996999E-2</v>
      </c>
      <c r="BF1072">
        <f>IF(AK1072&lt;BE1072,1,0)</f>
        <v>1</v>
      </c>
      <c r="BG1072">
        <f>IF(AK1072&lt;BC1072,1,0)</f>
        <v>1</v>
      </c>
      <c r="BH1072">
        <f>VLOOKUP($B1072,[1]Data_Peer_with_peerVars!$B$2:$Z$1050,20,FALSE)</f>
        <v>14</v>
      </c>
      <c r="BI1072">
        <f>VLOOKUP($B1072,[1]Data_Peer_with_peerVars!$B$2:$Z$1050,21,FALSE)</f>
        <v>3</v>
      </c>
      <c r="BJ1072">
        <f>VLOOKUP($B1072,[1]Data_Peer_with_peerVars!$B$2:$Z$1050,22,FALSE)</f>
        <v>0.21428571399999999</v>
      </c>
      <c r="BK1072">
        <f>VLOOKUP($B1072,[1]Data_Peer_with_peerVars!$B$2:$Z$1050,23,FALSE)</f>
        <v>81</v>
      </c>
      <c r="BL1072">
        <f>VLOOKUP($B1072,[1]Data_Peer_with_peerVars!$B$2:$Z$1050,24,FALSE)</f>
        <v>41</v>
      </c>
      <c r="BM1072">
        <f>VLOOKUP($B1072,[1]Data_Peer_with_peerVars!$B$2:$Z$1050,25,FALSE)</f>
        <v>0.50617283999999996</v>
      </c>
    </row>
    <row r="1073" spans="1:65" x14ac:dyDescent="0.2">
      <c r="A1073">
        <v>1</v>
      </c>
      <c r="B1073" t="s">
        <v>1634</v>
      </c>
      <c r="C1073">
        <v>661</v>
      </c>
      <c r="D1073" t="s">
        <v>68</v>
      </c>
      <c r="E1073">
        <v>0</v>
      </c>
      <c r="F1073">
        <v>582</v>
      </c>
      <c r="G1073" t="s">
        <v>119</v>
      </c>
      <c r="H1073" s="1">
        <v>7</v>
      </c>
      <c r="I1073" t="s">
        <v>70</v>
      </c>
      <c r="J1073" t="s">
        <v>301</v>
      </c>
      <c r="K1073" t="s">
        <v>72</v>
      </c>
      <c r="L1073">
        <v>1</v>
      </c>
      <c r="M1073">
        <v>0</v>
      </c>
      <c r="N1073">
        <v>0</v>
      </c>
      <c r="O1073">
        <v>0</v>
      </c>
      <c r="P1073">
        <v>0</v>
      </c>
      <c r="Q1073">
        <v>2</v>
      </c>
      <c r="R1073">
        <v>0</v>
      </c>
      <c r="S1073">
        <v>0</v>
      </c>
      <c r="T1073">
        <v>0</v>
      </c>
      <c r="U1073">
        <v>0</v>
      </c>
      <c r="V1073">
        <f t="shared" si="461"/>
        <v>0</v>
      </c>
      <c r="W1073">
        <f t="shared" si="462"/>
        <v>0</v>
      </c>
      <c r="X1073">
        <f t="shared" si="465"/>
        <v>0</v>
      </c>
      <c r="Y1073">
        <f t="shared" si="463"/>
        <v>0</v>
      </c>
      <c r="Z1073" t="s">
        <v>91</v>
      </c>
      <c r="AA1073" s="5" t="s">
        <v>91</v>
      </c>
      <c r="AB1073" s="5" t="s">
        <v>1568</v>
      </c>
      <c r="AC1073" t="s">
        <v>75</v>
      </c>
      <c r="AD1073" t="s">
        <v>120</v>
      </c>
      <c r="AE1073" s="5" t="s">
        <v>810</v>
      </c>
      <c r="AF1073" t="s">
        <v>74</v>
      </c>
      <c r="AG1073" t="s">
        <v>167</v>
      </c>
      <c r="AH1073">
        <f t="shared" ref="AH1073:AH1074" si="486">AI1073</f>
        <v>4.1324575000000002E-2</v>
      </c>
      <c r="AI1073">
        <f t="shared" si="485"/>
        <v>4.1324575000000002E-2</v>
      </c>
      <c r="AJ1073">
        <f t="shared" si="464"/>
        <v>4.1324575000000002E-2</v>
      </c>
      <c r="AK1073">
        <v>4.1324575000000002E-2</v>
      </c>
      <c r="AL1073">
        <v>0.1012035</v>
      </c>
      <c r="AM1073">
        <v>0.10285244</v>
      </c>
      <c r="AN1073">
        <v>0.11745335</v>
      </c>
      <c r="AO1073">
        <v>95.867542499999999</v>
      </c>
      <c r="AP1073">
        <v>89.879649999999998</v>
      </c>
      <c r="AQ1073">
        <v>89.714755999999994</v>
      </c>
      <c r="AR1073">
        <v>88.254665000000003</v>
      </c>
      <c r="AS1073" t="b">
        <v>0</v>
      </c>
      <c r="AT1073" t="b">
        <v>0</v>
      </c>
      <c r="AU1073" t="s">
        <v>77</v>
      </c>
      <c r="AV1073" t="s">
        <v>108</v>
      </c>
      <c r="AW1073" t="s">
        <v>783</v>
      </c>
      <c r="AX1073" t="s">
        <v>1277</v>
      </c>
      <c r="AY1073" t="s">
        <v>1518</v>
      </c>
      <c r="AZ1073" t="s">
        <v>72</v>
      </c>
      <c r="BA1073" t="s">
        <v>82</v>
      </c>
      <c r="BB1073">
        <v>0.5</v>
      </c>
      <c r="BC1073">
        <v>2.3038946000000001E-2</v>
      </c>
      <c r="BD1073">
        <v>2.6184719377746E-3</v>
      </c>
      <c r="BE1073">
        <v>2.5657417937774599E-2</v>
      </c>
      <c r="BF1073">
        <f>IF(AK1073&lt;BE1073,1,0)</f>
        <v>0</v>
      </c>
      <c r="BG1073">
        <f>IF(AK1073&lt;BC1073,1,0)</f>
        <v>0</v>
      </c>
      <c r="BH1073">
        <f>VLOOKUP($B1073,[1]Data_Peer_with_peerVars!$B$2:$Z$1050,20,FALSE)</f>
        <v>14</v>
      </c>
      <c r="BI1073">
        <f>VLOOKUP($B1073,[1]Data_Peer_with_peerVars!$B$2:$Z$1050,21,FALSE)</f>
        <v>3</v>
      </c>
      <c r="BJ1073">
        <f>VLOOKUP($B1073,[1]Data_Peer_with_peerVars!$B$2:$Z$1050,22,FALSE)</f>
        <v>0.21428571399999999</v>
      </c>
      <c r="BK1073">
        <f>VLOOKUP($B1073,[1]Data_Peer_with_peerVars!$B$2:$Z$1050,23,FALSE)</f>
        <v>81</v>
      </c>
      <c r="BL1073">
        <f>VLOOKUP($B1073,[1]Data_Peer_with_peerVars!$B$2:$Z$1050,24,FALSE)</f>
        <v>41</v>
      </c>
      <c r="BM1073">
        <f>VLOOKUP($B1073,[1]Data_Peer_with_peerVars!$B$2:$Z$1050,25,FALSE)</f>
        <v>0.50617283999999996</v>
      </c>
    </row>
    <row r="1074" spans="1:65" x14ac:dyDescent="0.2">
      <c r="A1074">
        <v>1</v>
      </c>
      <c r="B1074" t="s">
        <v>1635</v>
      </c>
      <c r="C1074">
        <v>662</v>
      </c>
      <c r="D1074" t="s">
        <v>68</v>
      </c>
      <c r="E1074">
        <v>0</v>
      </c>
      <c r="F1074">
        <v>588</v>
      </c>
      <c r="G1074" t="s">
        <v>119</v>
      </c>
      <c r="H1074" s="1">
        <v>6</v>
      </c>
      <c r="I1074" t="s">
        <v>70</v>
      </c>
      <c r="J1074" t="s">
        <v>436</v>
      </c>
      <c r="K1074" t="s">
        <v>109</v>
      </c>
      <c r="L1074">
        <v>2</v>
      </c>
      <c r="M1074">
        <v>0</v>
      </c>
      <c r="N1074">
        <v>0</v>
      </c>
      <c r="O1074">
        <v>0</v>
      </c>
      <c r="P1074">
        <v>0</v>
      </c>
      <c r="Q1074">
        <v>5</v>
      </c>
      <c r="R1074">
        <v>0</v>
      </c>
      <c r="S1074">
        <v>0</v>
      </c>
      <c r="T1074">
        <v>0</v>
      </c>
      <c r="U1074">
        <v>0</v>
      </c>
      <c r="V1074">
        <f t="shared" si="461"/>
        <v>0</v>
      </c>
      <c r="W1074">
        <f t="shared" si="462"/>
        <v>0</v>
      </c>
      <c r="X1074">
        <f t="shared" si="465"/>
        <v>0</v>
      </c>
      <c r="Y1074">
        <f t="shared" si="463"/>
        <v>0</v>
      </c>
      <c r="Z1074" t="s">
        <v>76</v>
      </c>
      <c r="AA1074" s="5" t="s">
        <v>76</v>
      </c>
      <c r="AB1074" s="5" t="s">
        <v>76</v>
      </c>
      <c r="AC1074" t="s">
        <v>102</v>
      </c>
      <c r="AD1074" t="s">
        <v>167</v>
      </c>
      <c r="AE1074" s="5" t="s">
        <v>167</v>
      </c>
      <c r="AF1074" t="s">
        <v>101</v>
      </c>
      <c r="AG1074" t="s">
        <v>99</v>
      </c>
      <c r="AH1074">
        <f t="shared" si="486"/>
        <v>0.11542669999999999</v>
      </c>
      <c r="AI1074">
        <f t="shared" si="485"/>
        <v>0.11542669999999999</v>
      </c>
      <c r="AJ1074">
        <f t="shared" si="464"/>
        <v>0.11542669999999999</v>
      </c>
      <c r="AK1074">
        <v>0.11542669999999999</v>
      </c>
      <c r="AL1074">
        <v>0.12383305999999999</v>
      </c>
      <c r="AM1074">
        <v>0.13523914000000001</v>
      </c>
      <c r="AN1074">
        <v>0.13631346999999999</v>
      </c>
      <c r="AO1074">
        <v>88.457329999999999</v>
      </c>
      <c r="AP1074">
        <v>87.616693999999995</v>
      </c>
      <c r="AQ1074">
        <v>86.476085999999995</v>
      </c>
      <c r="AR1074">
        <v>86.368652999999995</v>
      </c>
      <c r="AS1074" t="b">
        <v>0</v>
      </c>
      <c r="AT1074" t="b">
        <v>0</v>
      </c>
      <c r="AU1074" t="s">
        <v>78</v>
      </c>
      <c r="AV1074" t="s">
        <v>78</v>
      </c>
      <c r="AW1074" t="s">
        <v>783</v>
      </c>
      <c r="AX1074" t="s">
        <v>1277</v>
      </c>
      <c r="AY1074" t="s">
        <v>1518</v>
      </c>
      <c r="AZ1074" t="s">
        <v>109</v>
      </c>
      <c r="BA1074">
        <v>4</v>
      </c>
      <c r="BB1074">
        <v>0.35</v>
      </c>
      <c r="BC1074">
        <v>3.0153507999999998E-3</v>
      </c>
      <c r="BD1074">
        <v>1.41556405228766E-4</v>
      </c>
      <c r="BE1074">
        <v>3.1569072052287702E-3</v>
      </c>
      <c r="BF1074">
        <f>IF(AK1074&lt;BE1074,1,0)</f>
        <v>0</v>
      </c>
      <c r="BG1074">
        <f>IF(AK1074&lt;BC1074,1,0)</f>
        <v>0</v>
      </c>
      <c r="BH1074">
        <f>VLOOKUP($B1074,[1]Data_Peer_with_peerVars!$B$2:$Z$1050,20,FALSE)</f>
        <v>16</v>
      </c>
      <c r="BI1074">
        <f>VLOOKUP($B1074,[1]Data_Peer_with_peerVars!$B$2:$Z$1050,21,FALSE)</f>
        <v>4</v>
      </c>
      <c r="BJ1074">
        <f>VLOOKUP($B1074,[1]Data_Peer_with_peerVars!$B$2:$Z$1050,22,FALSE)</f>
        <v>0.25</v>
      </c>
      <c r="BK1074">
        <f>VLOOKUP($B1074,[1]Data_Peer_with_peerVars!$B$2:$Z$1050,23,FALSE)</f>
        <v>81</v>
      </c>
      <c r="BL1074">
        <f>VLOOKUP($B1074,[1]Data_Peer_with_peerVars!$B$2:$Z$1050,24,FALSE)</f>
        <v>41</v>
      </c>
      <c r="BM1074">
        <f>VLOOKUP($B1074,[1]Data_Peer_with_peerVars!$B$2:$Z$1050,25,FALSE)</f>
        <v>0.50617283999999996</v>
      </c>
    </row>
    <row r="1075" spans="1:65" x14ac:dyDescent="0.2">
      <c r="A1075">
        <v>1</v>
      </c>
      <c r="B1075" t="s">
        <v>1636</v>
      </c>
      <c r="C1075">
        <v>662</v>
      </c>
      <c r="D1075" t="s">
        <v>68</v>
      </c>
      <c r="E1075">
        <v>0</v>
      </c>
      <c r="F1075">
        <v>588</v>
      </c>
      <c r="G1075" t="s">
        <v>119</v>
      </c>
      <c r="H1075" s="1">
        <v>6</v>
      </c>
      <c r="I1075" t="s">
        <v>70</v>
      </c>
      <c r="J1075" t="s">
        <v>436</v>
      </c>
      <c r="K1075" t="s">
        <v>109</v>
      </c>
      <c r="L1075">
        <v>2</v>
      </c>
      <c r="M1075">
        <v>0</v>
      </c>
      <c r="N1075">
        <v>0</v>
      </c>
      <c r="O1075">
        <v>0</v>
      </c>
      <c r="P1075">
        <v>0</v>
      </c>
      <c r="Q1075">
        <v>5</v>
      </c>
      <c r="R1075">
        <v>0</v>
      </c>
      <c r="S1075">
        <v>0</v>
      </c>
      <c r="T1075">
        <v>0</v>
      </c>
      <c r="U1075">
        <v>0</v>
      </c>
      <c r="V1075">
        <f t="shared" si="461"/>
        <v>1</v>
      </c>
      <c r="W1075">
        <v>1</v>
      </c>
      <c r="X1075">
        <v>1</v>
      </c>
      <c r="Y1075">
        <v>1</v>
      </c>
      <c r="Z1075" t="s">
        <v>287</v>
      </c>
      <c r="AA1075" s="5" t="s">
        <v>287</v>
      </c>
      <c r="AB1075" s="5" t="s">
        <v>287</v>
      </c>
      <c r="AC1075" t="s">
        <v>287</v>
      </c>
      <c r="AD1075" t="s">
        <v>137</v>
      </c>
      <c r="AE1075" s="5" t="s">
        <v>305</v>
      </c>
      <c r="AF1075" t="s">
        <v>91</v>
      </c>
      <c r="AG1075" t="s">
        <v>113</v>
      </c>
      <c r="AH1075">
        <f>AI1075</f>
        <v>4.2349725999999997E-2</v>
      </c>
      <c r="AI1075">
        <f>AJ1075</f>
        <v>4.2349725999999997E-2</v>
      </c>
      <c r="AJ1075">
        <f t="shared" si="464"/>
        <v>4.2349725999999997E-2</v>
      </c>
      <c r="AK1075">
        <v>4.2349725999999997E-2</v>
      </c>
      <c r="AL1075">
        <v>0.10846995</v>
      </c>
      <c r="AM1075">
        <v>0.12370005000000001</v>
      </c>
      <c r="AN1075">
        <v>0.1239011</v>
      </c>
      <c r="AO1075">
        <v>95.765027399999994</v>
      </c>
      <c r="AP1075">
        <v>89.153004999999993</v>
      </c>
      <c r="AQ1075">
        <v>87.629994999999994</v>
      </c>
      <c r="AR1075">
        <v>87.609889999999993</v>
      </c>
      <c r="AS1075" t="b">
        <v>1</v>
      </c>
      <c r="AT1075" t="b">
        <v>0</v>
      </c>
      <c r="AU1075" t="s">
        <v>77</v>
      </c>
      <c r="AV1075" t="s">
        <v>108</v>
      </c>
      <c r="AW1075" t="s">
        <v>783</v>
      </c>
      <c r="AX1075" t="s">
        <v>1277</v>
      </c>
      <c r="AY1075" t="s">
        <v>1518</v>
      </c>
      <c r="AZ1075" t="s">
        <v>109</v>
      </c>
      <c r="BA1075">
        <v>5</v>
      </c>
      <c r="BB1075">
        <v>0.7</v>
      </c>
      <c r="BC1075">
        <v>5.5106750000000003E-2</v>
      </c>
      <c r="BD1075">
        <v>2.4361461616194298E-3</v>
      </c>
      <c r="BE1075">
        <v>5.7542896161619402E-2</v>
      </c>
      <c r="BF1075">
        <f>IF(AK1075&lt;BE1075,1,0)</f>
        <v>1</v>
      </c>
      <c r="BG1075">
        <f>IF(AK1075&lt;BC1075,1,0)</f>
        <v>1</v>
      </c>
      <c r="BH1075">
        <f>VLOOKUP($B1075,[1]Data_Peer_with_peerVars!$B$2:$Z$1050,20,FALSE)</f>
        <v>16</v>
      </c>
      <c r="BI1075">
        <f>VLOOKUP($B1075,[1]Data_Peer_with_peerVars!$B$2:$Z$1050,21,FALSE)</f>
        <v>4</v>
      </c>
      <c r="BJ1075">
        <f>VLOOKUP($B1075,[1]Data_Peer_with_peerVars!$B$2:$Z$1050,22,FALSE)</f>
        <v>0.25</v>
      </c>
      <c r="BK1075">
        <f>VLOOKUP($B1075,[1]Data_Peer_with_peerVars!$B$2:$Z$1050,23,FALSE)</f>
        <v>81</v>
      </c>
      <c r="BL1075">
        <f>VLOOKUP($B1075,[1]Data_Peer_with_peerVars!$B$2:$Z$1050,24,FALSE)</f>
        <v>41</v>
      </c>
      <c r="BM1075">
        <f>VLOOKUP($B1075,[1]Data_Peer_with_peerVars!$B$2:$Z$1050,25,FALSE)</f>
        <v>0.50617283999999996</v>
      </c>
    </row>
    <row r="1076" spans="1:65" x14ac:dyDescent="0.2">
      <c r="A1076">
        <v>1</v>
      </c>
      <c r="B1076" t="s">
        <v>1637</v>
      </c>
      <c r="C1076">
        <v>663</v>
      </c>
      <c r="D1076" t="s">
        <v>68</v>
      </c>
      <c r="E1076">
        <v>1</v>
      </c>
      <c r="F1076">
        <v>700</v>
      </c>
      <c r="G1076" t="s">
        <v>86</v>
      </c>
      <c r="H1076" s="1">
        <v>7</v>
      </c>
      <c r="I1076" t="s">
        <v>87</v>
      </c>
      <c r="J1076" t="s">
        <v>111</v>
      </c>
      <c r="K1076" t="s">
        <v>109</v>
      </c>
      <c r="L1076">
        <v>1</v>
      </c>
      <c r="M1076">
        <v>0</v>
      </c>
      <c r="N1076">
        <v>1</v>
      </c>
      <c r="O1076">
        <v>0</v>
      </c>
      <c r="P1076">
        <v>0</v>
      </c>
      <c r="Q1076">
        <v>9</v>
      </c>
      <c r="R1076">
        <v>1</v>
      </c>
      <c r="S1076">
        <v>1</v>
      </c>
      <c r="T1076">
        <v>1</v>
      </c>
      <c r="U1076">
        <v>1</v>
      </c>
      <c r="V1076">
        <f t="shared" si="461"/>
        <v>0</v>
      </c>
      <c r="W1076">
        <f t="shared" si="462"/>
        <v>0</v>
      </c>
      <c r="X1076">
        <f t="shared" si="465"/>
        <v>0</v>
      </c>
      <c r="Y1076">
        <f t="shared" si="463"/>
        <v>0</v>
      </c>
      <c r="Z1076" t="s">
        <v>177</v>
      </c>
      <c r="AA1076" s="5" t="s">
        <v>177</v>
      </c>
      <c r="AB1076" s="5" t="s">
        <v>177</v>
      </c>
      <c r="AC1076" t="s">
        <v>174</v>
      </c>
      <c r="AD1076" t="s">
        <v>173</v>
      </c>
      <c r="AE1076" s="5" t="s">
        <v>506</v>
      </c>
      <c r="AF1076" t="s">
        <v>198</v>
      </c>
      <c r="AG1076" t="s">
        <v>95</v>
      </c>
      <c r="AH1076">
        <f t="shared" ref="AH1076:AH1077" si="487">AI1076</f>
        <v>8.4745759999999993E-3</v>
      </c>
      <c r="AI1076">
        <f t="shared" ref="AI1076:AI1077" si="488">AJ1076</f>
        <v>8.4745759999999993E-3</v>
      </c>
      <c r="AJ1076">
        <f t="shared" si="464"/>
        <v>8.4745759999999993E-3</v>
      </c>
      <c r="AK1076">
        <v>8.4745759999999993E-3</v>
      </c>
      <c r="AL1076">
        <v>3.2495904999999999E-2</v>
      </c>
      <c r="AM1076">
        <v>3.4284149999999999E-2</v>
      </c>
      <c r="AN1076">
        <v>5.5221430000000002E-2</v>
      </c>
      <c r="AO1076">
        <v>99.152542400000002</v>
      </c>
      <c r="AP1076">
        <v>96.750409500000004</v>
      </c>
      <c r="AQ1076">
        <v>96.571584999999999</v>
      </c>
      <c r="AR1076">
        <v>94.477857</v>
      </c>
      <c r="AS1076" t="b">
        <v>0</v>
      </c>
      <c r="AT1076" t="b">
        <v>0</v>
      </c>
      <c r="AU1076" t="s">
        <v>92</v>
      </c>
      <c r="AV1076" t="s">
        <v>92</v>
      </c>
      <c r="AW1076" t="s">
        <v>783</v>
      </c>
      <c r="AX1076" t="s">
        <v>1298</v>
      </c>
      <c r="AY1076" t="s">
        <v>1638</v>
      </c>
      <c r="AZ1076" t="s">
        <v>109</v>
      </c>
      <c r="BA1076">
        <v>2</v>
      </c>
      <c r="BB1076">
        <v>0.35</v>
      </c>
      <c r="BC1076">
        <v>6.6481995999999998E-3</v>
      </c>
      <c r="BD1076">
        <v>2.8322716361753601E-4</v>
      </c>
      <c r="BE1076">
        <v>6.9314267636175399E-3</v>
      </c>
      <c r="BF1076">
        <f>IF(AK1076&lt;BE1076,1,0)</f>
        <v>0</v>
      </c>
      <c r="BG1076">
        <f>IF(AK1076&lt;BC1076,1,0)</f>
        <v>0</v>
      </c>
      <c r="BH1076">
        <f>VLOOKUP($B1076,[1]Data_Peer_with_peerVars!$B$2:$Z$1050,20,FALSE)</f>
        <v>4</v>
      </c>
      <c r="BI1076">
        <f>VLOOKUP($B1076,[1]Data_Peer_with_peerVars!$B$2:$Z$1050,21,FALSE)</f>
        <v>2</v>
      </c>
      <c r="BJ1076">
        <f>VLOOKUP($B1076,[1]Data_Peer_with_peerVars!$B$2:$Z$1050,22,FALSE)</f>
        <v>0.5</v>
      </c>
      <c r="BK1076">
        <f>VLOOKUP($B1076,[1]Data_Peer_with_peerVars!$B$2:$Z$1050,23,FALSE)</f>
        <v>26</v>
      </c>
      <c r="BL1076">
        <f>VLOOKUP($B1076,[1]Data_Peer_with_peerVars!$B$2:$Z$1050,24,FALSE)</f>
        <v>8</v>
      </c>
      <c r="BM1076">
        <f>VLOOKUP($B1076,[1]Data_Peer_with_peerVars!$B$2:$Z$1050,25,FALSE)</f>
        <v>0.30769230800000003</v>
      </c>
    </row>
    <row r="1077" spans="1:65" x14ac:dyDescent="0.2">
      <c r="A1077">
        <v>1</v>
      </c>
      <c r="B1077" t="s">
        <v>1639</v>
      </c>
      <c r="C1077">
        <v>663</v>
      </c>
      <c r="D1077" t="s">
        <v>68</v>
      </c>
      <c r="E1077">
        <v>1</v>
      </c>
      <c r="F1077">
        <v>700</v>
      </c>
      <c r="G1077" t="s">
        <v>86</v>
      </c>
      <c r="H1077" s="1">
        <v>7</v>
      </c>
      <c r="I1077" t="s">
        <v>87</v>
      </c>
      <c r="J1077" t="s">
        <v>111</v>
      </c>
      <c r="K1077" t="s">
        <v>109</v>
      </c>
      <c r="L1077">
        <v>1</v>
      </c>
      <c r="M1077">
        <v>0</v>
      </c>
      <c r="N1077">
        <v>1</v>
      </c>
      <c r="O1077">
        <v>0</v>
      </c>
      <c r="P1077">
        <v>0</v>
      </c>
      <c r="Q1077">
        <v>9</v>
      </c>
      <c r="R1077">
        <v>0</v>
      </c>
      <c r="S1077">
        <v>0</v>
      </c>
      <c r="T1077">
        <v>0</v>
      </c>
      <c r="U1077">
        <v>0</v>
      </c>
      <c r="V1077">
        <f t="shared" si="461"/>
        <v>0</v>
      </c>
      <c r="W1077">
        <f t="shared" si="462"/>
        <v>0</v>
      </c>
      <c r="X1077">
        <f t="shared" si="465"/>
        <v>0</v>
      </c>
      <c r="Y1077">
        <f t="shared" si="463"/>
        <v>0</v>
      </c>
      <c r="Z1077" t="s">
        <v>170</v>
      </c>
      <c r="AA1077" s="5" t="s">
        <v>170</v>
      </c>
      <c r="AB1077" s="5" t="s">
        <v>1599</v>
      </c>
      <c r="AC1077" t="s">
        <v>76</v>
      </c>
      <c r="AD1077" t="s">
        <v>101</v>
      </c>
      <c r="AE1077" s="5" t="s">
        <v>101</v>
      </c>
      <c r="AF1077" t="s">
        <v>103</v>
      </c>
      <c r="AG1077" t="s">
        <v>99</v>
      </c>
      <c r="AH1077">
        <f t="shared" si="487"/>
        <v>0.12759562999999999</v>
      </c>
      <c r="AI1077">
        <f t="shared" si="488"/>
        <v>0.12759562999999999</v>
      </c>
      <c r="AJ1077">
        <f t="shared" si="464"/>
        <v>0.12759562999999999</v>
      </c>
      <c r="AK1077">
        <v>0.12759562999999999</v>
      </c>
      <c r="AL1077">
        <v>0.13481604</v>
      </c>
      <c r="AM1077">
        <v>0.13931718000000001</v>
      </c>
      <c r="AN1077">
        <v>0.14222713000000001</v>
      </c>
      <c r="AO1077">
        <v>87.240437</v>
      </c>
      <c r="AP1077">
        <v>86.518395999999996</v>
      </c>
      <c r="AQ1077">
        <v>86.068281999999996</v>
      </c>
      <c r="AR1077">
        <v>85.777287000000001</v>
      </c>
      <c r="AS1077" t="b">
        <v>0</v>
      </c>
      <c r="AT1077" t="b">
        <v>0</v>
      </c>
      <c r="AU1077" t="s">
        <v>92</v>
      </c>
      <c r="AV1077" t="s">
        <v>92</v>
      </c>
      <c r="AW1077" t="s">
        <v>783</v>
      </c>
      <c r="AX1077" t="s">
        <v>1298</v>
      </c>
      <c r="AY1077" t="s">
        <v>1638</v>
      </c>
      <c r="AZ1077" t="s">
        <v>109</v>
      </c>
      <c r="BA1077">
        <v>3</v>
      </c>
      <c r="BB1077">
        <v>0.7</v>
      </c>
      <c r="BC1077">
        <v>7.7070764999999999E-2</v>
      </c>
      <c r="BD1077">
        <v>1.90190515067399E-3</v>
      </c>
      <c r="BE1077">
        <v>7.8972670150673996E-2</v>
      </c>
      <c r="BF1077">
        <f>IF(AK1077&lt;BE1077,1,0)</f>
        <v>0</v>
      </c>
      <c r="BG1077">
        <f>IF(AK1077&lt;BC1077,1,0)</f>
        <v>0</v>
      </c>
      <c r="BH1077">
        <f>VLOOKUP($B1077,[1]Data_Peer_with_peerVars!$B$2:$Z$1050,20,FALSE)</f>
        <v>4</v>
      </c>
      <c r="BI1077">
        <f>VLOOKUP($B1077,[1]Data_Peer_with_peerVars!$B$2:$Z$1050,21,FALSE)</f>
        <v>2</v>
      </c>
      <c r="BJ1077">
        <f>VLOOKUP($B1077,[1]Data_Peer_with_peerVars!$B$2:$Z$1050,22,FALSE)</f>
        <v>0.5</v>
      </c>
      <c r="BK1077">
        <f>VLOOKUP($B1077,[1]Data_Peer_with_peerVars!$B$2:$Z$1050,23,FALSE)</f>
        <v>26</v>
      </c>
      <c r="BL1077">
        <f>VLOOKUP($B1077,[1]Data_Peer_with_peerVars!$B$2:$Z$1050,24,FALSE)</f>
        <v>8</v>
      </c>
      <c r="BM1077">
        <f>VLOOKUP($B1077,[1]Data_Peer_with_peerVars!$B$2:$Z$1050,25,FALSE)</f>
        <v>0.30769230800000003</v>
      </c>
    </row>
    <row r="1078" spans="1:65" x14ac:dyDescent="0.2">
      <c r="A1078">
        <v>1</v>
      </c>
      <c r="B1078" t="s">
        <v>1640</v>
      </c>
      <c r="C1078">
        <v>664</v>
      </c>
      <c r="D1078" t="s">
        <v>68</v>
      </c>
      <c r="E1078">
        <v>1</v>
      </c>
      <c r="F1078">
        <v>377</v>
      </c>
      <c r="G1078" t="s">
        <v>69</v>
      </c>
      <c r="H1078" s="1">
        <v>7</v>
      </c>
      <c r="I1078" t="s">
        <v>70</v>
      </c>
      <c r="J1078" t="s">
        <v>301</v>
      </c>
      <c r="K1078" t="s">
        <v>72</v>
      </c>
      <c r="L1078">
        <v>1</v>
      </c>
      <c r="M1078">
        <v>1</v>
      </c>
      <c r="N1078">
        <v>1</v>
      </c>
      <c r="O1078">
        <v>0</v>
      </c>
      <c r="P1078">
        <v>0</v>
      </c>
      <c r="Q1078">
        <v>6</v>
      </c>
      <c r="R1078">
        <v>0</v>
      </c>
      <c r="S1078">
        <v>0</v>
      </c>
      <c r="T1078">
        <v>0</v>
      </c>
      <c r="U1078">
        <v>0</v>
      </c>
      <c r="V1078">
        <f t="shared" si="461"/>
        <v>1</v>
      </c>
      <c r="W1078">
        <v>1</v>
      </c>
      <c r="X1078">
        <v>1</v>
      </c>
      <c r="Y1078">
        <v>1</v>
      </c>
      <c r="Z1078" t="s">
        <v>76</v>
      </c>
      <c r="AA1078" s="5" t="s">
        <v>76</v>
      </c>
      <c r="AB1078" s="5" t="s">
        <v>409</v>
      </c>
      <c r="AC1078" t="s">
        <v>76</v>
      </c>
      <c r="AD1078" t="s">
        <v>74</v>
      </c>
      <c r="AE1078" s="5" t="s">
        <v>74</v>
      </c>
      <c r="AF1078" t="s">
        <v>120</v>
      </c>
      <c r="AG1078" t="s">
        <v>167</v>
      </c>
      <c r="AH1078">
        <f t="shared" ref="AH1078:AI1080" si="489">AI1078</f>
        <v>9.8853090000000005E-2</v>
      </c>
      <c r="AI1078">
        <f t="shared" si="489"/>
        <v>9.8853090000000005E-2</v>
      </c>
      <c r="AJ1078">
        <f t="shared" si="464"/>
        <v>9.8853090000000005E-2</v>
      </c>
      <c r="AK1078">
        <v>9.8853090000000005E-2</v>
      </c>
      <c r="AL1078">
        <v>0.10191781</v>
      </c>
      <c r="AM1078">
        <v>0.12349727000000001</v>
      </c>
      <c r="AN1078">
        <v>0.12911184000000001</v>
      </c>
      <c r="AO1078">
        <v>90.114690999999993</v>
      </c>
      <c r="AP1078">
        <v>89.808218999999994</v>
      </c>
      <c r="AQ1078">
        <v>87.650272999999999</v>
      </c>
      <c r="AR1078">
        <v>87.088815999999994</v>
      </c>
      <c r="AS1078" t="b">
        <v>1</v>
      </c>
      <c r="AT1078" t="b">
        <v>0</v>
      </c>
      <c r="AU1078" t="s">
        <v>77</v>
      </c>
      <c r="AV1078" t="s">
        <v>78</v>
      </c>
      <c r="AW1078" t="s">
        <v>783</v>
      </c>
      <c r="AX1078" t="s">
        <v>1298</v>
      </c>
      <c r="AY1078" t="s">
        <v>1641</v>
      </c>
      <c r="AZ1078" t="s">
        <v>72</v>
      </c>
      <c r="BA1078" t="s">
        <v>82</v>
      </c>
      <c r="BB1078">
        <v>1.4</v>
      </c>
      <c r="BC1078">
        <v>7.7070764999999999E-2</v>
      </c>
      <c r="BD1078">
        <v>1.90190515067399E-3</v>
      </c>
      <c r="BE1078">
        <v>7.8972670150673996E-2</v>
      </c>
      <c r="BF1078">
        <f>IF(AK1078&lt;BE1078,1,0)</f>
        <v>0</v>
      </c>
      <c r="BG1078">
        <f>IF(AK1078&lt;BC1078,1,0)</f>
        <v>0</v>
      </c>
    </row>
    <row r="1079" spans="1:65" x14ac:dyDescent="0.2">
      <c r="A1079">
        <v>1</v>
      </c>
      <c r="B1079" t="s">
        <v>1642</v>
      </c>
      <c r="C1079">
        <v>665</v>
      </c>
      <c r="D1079" t="s">
        <v>68</v>
      </c>
      <c r="E1079">
        <v>1</v>
      </c>
      <c r="F1079">
        <v>378</v>
      </c>
      <c r="G1079" t="s">
        <v>69</v>
      </c>
      <c r="H1079" s="1">
        <v>7</v>
      </c>
      <c r="I1079" t="s">
        <v>87</v>
      </c>
      <c r="J1079" t="s">
        <v>124</v>
      </c>
      <c r="K1079" t="s">
        <v>109</v>
      </c>
      <c r="L1079">
        <v>2</v>
      </c>
      <c r="M1079">
        <v>0</v>
      </c>
      <c r="N1079">
        <v>1</v>
      </c>
      <c r="O1079">
        <v>0</v>
      </c>
      <c r="P1079">
        <v>0</v>
      </c>
      <c r="Q1079">
        <v>9</v>
      </c>
      <c r="R1079">
        <v>0</v>
      </c>
      <c r="S1079">
        <v>0</v>
      </c>
      <c r="T1079">
        <v>0</v>
      </c>
      <c r="U1079">
        <v>0</v>
      </c>
      <c r="V1079">
        <f t="shared" si="461"/>
        <v>0</v>
      </c>
      <c r="W1079">
        <f t="shared" si="462"/>
        <v>0</v>
      </c>
      <c r="X1079">
        <f t="shared" si="465"/>
        <v>0</v>
      </c>
      <c r="Y1079">
        <f t="shared" si="463"/>
        <v>0</v>
      </c>
      <c r="Z1079" t="s">
        <v>76</v>
      </c>
      <c r="AA1079" s="5" t="s">
        <v>76</v>
      </c>
      <c r="AB1079" s="5" t="s">
        <v>76</v>
      </c>
      <c r="AC1079" t="s">
        <v>74</v>
      </c>
      <c r="AD1079" t="s">
        <v>99</v>
      </c>
      <c r="AE1079" s="5" t="s">
        <v>99</v>
      </c>
      <c r="AF1079" t="s">
        <v>102</v>
      </c>
      <c r="AG1079" t="s">
        <v>167</v>
      </c>
      <c r="AH1079">
        <f t="shared" si="489"/>
        <v>9.7808220000000001E-2</v>
      </c>
      <c r="AI1079">
        <f t="shared" si="489"/>
        <v>9.7808220000000001E-2</v>
      </c>
      <c r="AJ1079">
        <f t="shared" si="464"/>
        <v>9.7808220000000001E-2</v>
      </c>
      <c r="AK1079">
        <v>9.7808220000000001E-2</v>
      </c>
      <c r="AL1079">
        <v>0.10964187</v>
      </c>
      <c r="AM1079">
        <v>0.11232279000000001</v>
      </c>
      <c r="AN1079">
        <v>0.12273972499999999</v>
      </c>
      <c r="AO1079">
        <v>90.219177999999999</v>
      </c>
      <c r="AP1079">
        <v>89.035813000000005</v>
      </c>
      <c r="AQ1079">
        <v>88.767720999999995</v>
      </c>
      <c r="AR1079">
        <v>87.726027500000001</v>
      </c>
      <c r="AS1079" t="b">
        <v>0</v>
      </c>
      <c r="AT1079" t="b">
        <v>0</v>
      </c>
      <c r="AU1079" t="s">
        <v>77</v>
      </c>
      <c r="AV1079" t="s">
        <v>78</v>
      </c>
      <c r="AW1079" t="s">
        <v>783</v>
      </c>
      <c r="AX1079" t="s">
        <v>1298</v>
      </c>
      <c r="AY1079" t="s">
        <v>1369</v>
      </c>
      <c r="AZ1079" t="s">
        <v>109</v>
      </c>
      <c r="BA1079">
        <v>2</v>
      </c>
      <c r="BB1079">
        <v>0.35</v>
      </c>
      <c r="BC1079">
        <v>2.4738868000000001E-3</v>
      </c>
      <c r="BD1079">
        <v>1.4256942275279999E-4</v>
      </c>
      <c r="BE1079">
        <v>2.6164562227527998E-3</v>
      </c>
      <c r="BF1079">
        <f>IF(AK1079&lt;BE1079,1,0)</f>
        <v>0</v>
      </c>
      <c r="BG1079">
        <f>IF(AK1079&lt;BC1079,1,0)</f>
        <v>0</v>
      </c>
      <c r="BH1079">
        <f>VLOOKUP($B1079,[1]Data_Peer_with_peerVars!$B$2:$Z$1050,20,FALSE)</f>
        <v>1</v>
      </c>
      <c r="BI1079">
        <f>VLOOKUP($B1079,[1]Data_Peer_with_peerVars!$B$2:$Z$1050,21,FALSE)</f>
        <v>0</v>
      </c>
      <c r="BJ1079">
        <f>VLOOKUP($B1079,[1]Data_Peer_with_peerVars!$B$2:$Z$1050,22,FALSE)</f>
        <v>0</v>
      </c>
      <c r="BK1079">
        <f>VLOOKUP($B1079,[1]Data_Peer_with_peerVars!$B$2:$Z$1050,23,FALSE)</f>
        <v>22</v>
      </c>
      <c r="BL1079">
        <f>VLOOKUP($B1079,[1]Data_Peer_with_peerVars!$B$2:$Z$1050,24,FALSE)</f>
        <v>4</v>
      </c>
      <c r="BM1079">
        <f>VLOOKUP($B1079,[1]Data_Peer_with_peerVars!$B$2:$Z$1050,25,FALSE)</f>
        <v>0.18181818199999999</v>
      </c>
    </row>
    <row r="1080" spans="1:65" x14ac:dyDescent="0.2">
      <c r="A1080">
        <v>1</v>
      </c>
      <c r="B1080" t="s">
        <v>1643</v>
      </c>
      <c r="C1080">
        <v>666</v>
      </c>
      <c r="D1080" t="s">
        <v>68</v>
      </c>
      <c r="E1080">
        <v>1</v>
      </c>
      <c r="F1080">
        <v>459</v>
      </c>
      <c r="G1080" t="s">
        <v>69</v>
      </c>
      <c r="H1080" s="1">
        <v>7</v>
      </c>
      <c r="I1080" t="s">
        <v>87</v>
      </c>
      <c r="J1080" t="s">
        <v>111</v>
      </c>
      <c r="K1080" t="s">
        <v>109</v>
      </c>
      <c r="L1080">
        <v>1</v>
      </c>
      <c r="M1080">
        <v>0</v>
      </c>
      <c r="N1080">
        <v>1</v>
      </c>
      <c r="O1080">
        <v>0</v>
      </c>
      <c r="P1080">
        <v>0</v>
      </c>
      <c r="Q1080">
        <v>9</v>
      </c>
      <c r="R1080">
        <v>0</v>
      </c>
      <c r="S1080">
        <v>0</v>
      </c>
      <c r="T1080">
        <v>0</v>
      </c>
      <c r="U1080">
        <v>0</v>
      </c>
      <c r="V1080">
        <f t="shared" si="461"/>
        <v>1</v>
      </c>
      <c r="W1080">
        <v>1</v>
      </c>
      <c r="X1080">
        <v>1</v>
      </c>
      <c r="Y1080">
        <v>1</v>
      </c>
      <c r="Z1080" t="s">
        <v>73</v>
      </c>
      <c r="AA1080" s="5" t="s">
        <v>73</v>
      </c>
      <c r="AB1080" s="5" t="s">
        <v>73</v>
      </c>
      <c r="AC1080" t="s">
        <v>73</v>
      </c>
      <c r="AD1080" t="s">
        <v>74</v>
      </c>
      <c r="AE1080" s="5" t="s">
        <v>74</v>
      </c>
      <c r="AF1080" t="s">
        <v>75</v>
      </c>
      <c r="AG1080" t="s">
        <v>94</v>
      </c>
      <c r="AH1080">
        <f t="shared" si="489"/>
        <v>8.4560830000000003E-2</v>
      </c>
      <c r="AI1080">
        <f t="shared" si="489"/>
        <v>8.4560830000000003E-2</v>
      </c>
      <c r="AJ1080">
        <f t="shared" si="464"/>
        <v>8.4560830000000003E-2</v>
      </c>
      <c r="AK1080">
        <v>8.4560830000000003E-2</v>
      </c>
      <c r="AL1080">
        <v>0.10197368</v>
      </c>
      <c r="AM1080">
        <v>0.12588943999999999</v>
      </c>
      <c r="AN1080">
        <v>0.13244127999999999</v>
      </c>
      <c r="AO1080">
        <v>91.543916999999993</v>
      </c>
      <c r="AP1080">
        <v>89.802632000000003</v>
      </c>
      <c r="AQ1080">
        <v>87.411056000000002</v>
      </c>
      <c r="AR1080">
        <v>86.755871999999997</v>
      </c>
      <c r="AS1080" t="b">
        <v>1</v>
      </c>
      <c r="AT1080" t="b">
        <v>0</v>
      </c>
      <c r="AU1080" t="s">
        <v>77</v>
      </c>
      <c r="AV1080" t="s">
        <v>78</v>
      </c>
      <c r="AW1080" t="s">
        <v>783</v>
      </c>
      <c r="AX1080" t="s">
        <v>1298</v>
      </c>
      <c r="AY1080" t="s">
        <v>1369</v>
      </c>
      <c r="AZ1080" t="s">
        <v>109</v>
      </c>
      <c r="BA1080">
        <v>3</v>
      </c>
      <c r="BB1080">
        <v>0.5</v>
      </c>
      <c r="BC1080">
        <v>4.1163553999999996E-3</v>
      </c>
      <c r="BD1080">
        <v>1.4279989108178799E-4</v>
      </c>
      <c r="BE1080">
        <v>4.2591552910817903E-3</v>
      </c>
      <c r="BF1080">
        <f>IF(AK1080&lt;BE1080,1,0)</f>
        <v>0</v>
      </c>
      <c r="BG1080">
        <f>IF(AK1080&lt;BC1080,1,0)</f>
        <v>0</v>
      </c>
      <c r="BH1080">
        <f>VLOOKUP($B1080,[1]Data_Peer_with_peerVars!$B$2:$Z$1050,20,FALSE)</f>
        <v>5</v>
      </c>
      <c r="BI1080">
        <f>VLOOKUP($B1080,[1]Data_Peer_with_peerVars!$B$2:$Z$1050,21,FALSE)</f>
        <v>1</v>
      </c>
      <c r="BJ1080">
        <f>VLOOKUP($B1080,[1]Data_Peer_with_peerVars!$B$2:$Z$1050,22,FALSE)</f>
        <v>0.2</v>
      </c>
      <c r="BK1080">
        <f>VLOOKUP($B1080,[1]Data_Peer_with_peerVars!$B$2:$Z$1050,23,FALSE)</f>
        <v>41</v>
      </c>
      <c r="BL1080">
        <f>VLOOKUP($B1080,[1]Data_Peer_with_peerVars!$B$2:$Z$1050,24,FALSE)</f>
        <v>14</v>
      </c>
      <c r="BM1080">
        <f>VLOOKUP($B1080,[1]Data_Peer_with_peerVars!$B$2:$Z$1050,25,FALSE)</f>
        <v>0.34146341499999999</v>
      </c>
    </row>
    <row r="1081" spans="1:65" x14ac:dyDescent="0.2">
      <c r="A1081">
        <v>1</v>
      </c>
      <c r="B1081" t="s">
        <v>1644</v>
      </c>
      <c r="C1081">
        <v>666</v>
      </c>
      <c r="D1081" t="s">
        <v>68</v>
      </c>
      <c r="E1081">
        <v>1</v>
      </c>
      <c r="F1081">
        <v>459</v>
      </c>
      <c r="G1081" t="s">
        <v>69</v>
      </c>
      <c r="H1081" s="1">
        <v>7</v>
      </c>
      <c r="I1081" t="s">
        <v>87</v>
      </c>
      <c r="J1081" t="s">
        <v>111</v>
      </c>
      <c r="K1081" t="s">
        <v>109</v>
      </c>
      <c r="L1081">
        <v>1</v>
      </c>
      <c r="M1081">
        <v>0</v>
      </c>
      <c r="N1081">
        <v>1</v>
      </c>
      <c r="O1081">
        <v>0</v>
      </c>
      <c r="P1081">
        <v>0</v>
      </c>
      <c r="Q1081">
        <v>9</v>
      </c>
      <c r="R1081">
        <v>0</v>
      </c>
      <c r="S1081">
        <v>0</v>
      </c>
      <c r="T1081">
        <v>0</v>
      </c>
      <c r="U1081">
        <v>0</v>
      </c>
      <c r="V1081">
        <f t="shared" si="461"/>
        <v>0</v>
      </c>
      <c r="W1081">
        <f t="shared" si="462"/>
        <v>0</v>
      </c>
      <c r="X1081">
        <f t="shared" si="465"/>
        <v>0</v>
      </c>
      <c r="Y1081">
        <f t="shared" si="463"/>
        <v>1</v>
      </c>
      <c r="Z1081" t="s">
        <v>76</v>
      </c>
      <c r="AA1081" s="5" t="s">
        <v>76</v>
      </c>
      <c r="AB1081" s="5" t="s">
        <v>76</v>
      </c>
      <c r="AC1081" t="s">
        <v>74</v>
      </c>
      <c r="AD1081" t="s">
        <v>75</v>
      </c>
      <c r="AE1081" s="5" t="s">
        <v>213</v>
      </c>
      <c r="AF1081" t="s">
        <v>120</v>
      </c>
      <c r="AG1081" t="s">
        <v>76</v>
      </c>
      <c r="AH1081">
        <f t="shared" ref="AH1081:AH1083" si="490">AN1081</f>
        <v>9.2946970000000004E-2</v>
      </c>
      <c r="AI1081">
        <f t="shared" ref="AI1081:AI1085" si="491">AJ1081</f>
        <v>3.5635963E-2</v>
      </c>
      <c r="AJ1081">
        <f t="shared" si="464"/>
        <v>3.5635963E-2</v>
      </c>
      <c r="AK1081">
        <v>3.5635963E-2</v>
      </c>
      <c r="AL1081">
        <v>8.5980280000000006E-2</v>
      </c>
      <c r="AM1081">
        <v>8.6386000000000004E-2</v>
      </c>
      <c r="AN1081">
        <v>9.2946970000000004E-2</v>
      </c>
      <c r="AO1081">
        <v>96.4364037</v>
      </c>
      <c r="AP1081">
        <v>91.401972000000001</v>
      </c>
      <c r="AQ1081">
        <v>91.361400000000003</v>
      </c>
      <c r="AR1081">
        <v>90.705303000000001</v>
      </c>
      <c r="AS1081" t="s">
        <v>82</v>
      </c>
      <c r="AT1081" t="s">
        <v>82</v>
      </c>
      <c r="AU1081" t="s">
        <v>77</v>
      </c>
      <c r="AV1081" t="s">
        <v>108</v>
      </c>
      <c r="AW1081" t="s">
        <v>783</v>
      </c>
      <c r="AX1081" t="s">
        <v>1298</v>
      </c>
      <c r="AY1081" t="s">
        <v>1369</v>
      </c>
      <c r="AZ1081" t="s">
        <v>82</v>
      </c>
      <c r="BA1081" t="s">
        <v>82</v>
      </c>
      <c r="BB1081" t="s">
        <v>82</v>
      </c>
      <c r="BC1081">
        <v>2.4738868000000001E-3</v>
      </c>
      <c r="BD1081">
        <v>1.4256942275279999E-4</v>
      </c>
      <c r="BE1081">
        <v>2.6164562227527998E-3</v>
      </c>
      <c r="BF1081">
        <f>IF(AK1081&lt;BE1081,1,0)</f>
        <v>0</v>
      </c>
      <c r="BG1081">
        <f>IF(AK1081&lt;BC1081,1,0)</f>
        <v>0</v>
      </c>
    </row>
    <row r="1082" spans="1:65" x14ac:dyDescent="0.2">
      <c r="A1082">
        <v>1</v>
      </c>
      <c r="B1082" t="s">
        <v>1645</v>
      </c>
      <c r="C1082">
        <v>667</v>
      </c>
      <c r="D1082" t="s">
        <v>68</v>
      </c>
      <c r="E1082">
        <v>1</v>
      </c>
      <c r="F1082">
        <v>527</v>
      </c>
      <c r="G1082" t="s">
        <v>69</v>
      </c>
      <c r="H1082" s="1">
        <v>7</v>
      </c>
      <c r="I1082" t="s">
        <v>87</v>
      </c>
      <c r="J1082" t="s">
        <v>150</v>
      </c>
      <c r="K1082" t="s">
        <v>72</v>
      </c>
      <c r="L1082">
        <v>1</v>
      </c>
      <c r="M1082">
        <v>1</v>
      </c>
      <c r="N1082">
        <v>1</v>
      </c>
      <c r="O1082">
        <v>0</v>
      </c>
      <c r="P1082">
        <v>0</v>
      </c>
      <c r="Q1082">
        <v>9</v>
      </c>
      <c r="R1082">
        <v>0</v>
      </c>
      <c r="S1082">
        <v>0</v>
      </c>
      <c r="T1082">
        <v>0</v>
      </c>
      <c r="U1082">
        <v>0</v>
      </c>
      <c r="V1082">
        <f t="shared" si="461"/>
        <v>0</v>
      </c>
      <c r="W1082">
        <f t="shared" si="462"/>
        <v>0</v>
      </c>
      <c r="X1082">
        <f t="shared" si="465"/>
        <v>0</v>
      </c>
      <c r="Y1082">
        <f t="shared" si="463"/>
        <v>1</v>
      </c>
      <c r="Z1082" t="s">
        <v>137</v>
      </c>
      <c r="AA1082" s="5" t="s">
        <v>137</v>
      </c>
      <c r="AB1082" s="5" t="s">
        <v>1646</v>
      </c>
      <c r="AC1082" t="s">
        <v>73</v>
      </c>
      <c r="AD1082" t="s">
        <v>91</v>
      </c>
      <c r="AE1082" s="5" t="s">
        <v>91</v>
      </c>
      <c r="AF1082" t="s">
        <v>287</v>
      </c>
      <c r="AG1082" t="s">
        <v>137</v>
      </c>
      <c r="AH1082">
        <f t="shared" si="490"/>
        <v>0.14945354999999999</v>
      </c>
      <c r="AI1082">
        <f t="shared" si="491"/>
        <v>0.12124522</v>
      </c>
      <c r="AJ1082">
        <f t="shared" si="464"/>
        <v>0.12124522</v>
      </c>
      <c r="AK1082">
        <v>0.12124522</v>
      </c>
      <c r="AL1082">
        <v>0.13417304999999999</v>
      </c>
      <c r="AM1082">
        <v>0.14871514</v>
      </c>
      <c r="AN1082">
        <v>0.14945354999999999</v>
      </c>
      <c r="AO1082">
        <v>87.875478000000001</v>
      </c>
      <c r="AP1082">
        <v>86.582695000000001</v>
      </c>
      <c r="AQ1082">
        <v>85.128485999999995</v>
      </c>
      <c r="AR1082">
        <v>85.054644999999994</v>
      </c>
      <c r="AS1082" t="b">
        <v>0</v>
      </c>
      <c r="AT1082" t="b">
        <v>0</v>
      </c>
      <c r="AU1082" t="s">
        <v>78</v>
      </c>
      <c r="AV1082" t="s">
        <v>78</v>
      </c>
      <c r="AW1082" t="s">
        <v>783</v>
      </c>
      <c r="AX1082" t="s">
        <v>1298</v>
      </c>
      <c r="AY1082" t="s">
        <v>1641</v>
      </c>
      <c r="AZ1082" t="s">
        <v>72</v>
      </c>
      <c r="BA1082" t="s">
        <v>82</v>
      </c>
      <c r="BB1082">
        <v>1.05</v>
      </c>
      <c r="BC1082">
        <v>4.1163553999999996E-3</v>
      </c>
      <c r="BD1082">
        <v>1.4279989108178799E-4</v>
      </c>
      <c r="BE1082">
        <v>4.2591552910817903E-3</v>
      </c>
      <c r="BF1082">
        <f>IF(AK1082&lt;BE1082,1,0)</f>
        <v>0</v>
      </c>
      <c r="BG1082">
        <f>IF(AK1082&lt;BC1082,1,0)</f>
        <v>0</v>
      </c>
      <c r="BH1082">
        <f>VLOOKUP($B1082,[1]Data_Peer_with_peerVars!$B$2:$Z$1050,20,FALSE)</f>
        <v>0</v>
      </c>
      <c r="BI1082">
        <f>VLOOKUP($B1082,[1]Data_Peer_with_peerVars!$B$2:$Z$1050,21,FALSE)</f>
        <v>0</v>
      </c>
      <c r="BJ1082">
        <v>0</v>
      </c>
      <c r="BK1082">
        <f>VLOOKUP($B1082,[1]Data_Peer_with_peerVars!$B$2:$Z$1050,23,FALSE)</f>
        <v>16</v>
      </c>
      <c r="BL1082">
        <f>VLOOKUP($B1082,[1]Data_Peer_with_peerVars!$B$2:$Z$1050,24,FALSE)</f>
        <v>1</v>
      </c>
      <c r="BM1082">
        <f>VLOOKUP($B1082,[1]Data_Peer_with_peerVars!$B$2:$Z$1050,25,FALSE)</f>
        <v>6.25E-2</v>
      </c>
    </row>
    <row r="1083" spans="1:65" x14ac:dyDescent="0.2">
      <c r="A1083">
        <v>1</v>
      </c>
      <c r="B1083" t="s">
        <v>1647</v>
      </c>
      <c r="C1083">
        <v>667</v>
      </c>
      <c r="D1083" t="s">
        <v>68</v>
      </c>
      <c r="E1083">
        <v>1</v>
      </c>
      <c r="F1083">
        <v>527</v>
      </c>
      <c r="G1083" t="s">
        <v>69</v>
      </c>
      <c r="H1083" s="1">
        <v>7</v>
      </c>
      <c r="I1083" t="s">
        <v>87</v>
      </c>
      <c r="J1083" t="s">
        <v>150</v>
      </c>
      <c r="K1083" t="s">
        <v>72</v>
      </c>
      <c r="L1083">
        <v>1</v>
      </c>
      <c r="M1083">
        <v>1</v>
      </c>
      <c r="N1083">
        <v>1</v>
      </c>
      <c r="O1083">
        <v>0</v>
      </c>
      <c r="P1083">
        <v>0</v>
      </c>
      <c r="Q1083">
        <v>9</v>
      </c>
      <c r="R1083">
        <v>0</v>
      </c>
      <c r="S1083">
        <v>0</v>
      </c>
      <c r="T1083">
        <v>0</v>
      </c>
      <c r="U1083">
        <v>0</v>
      </c>
      <c r="V1083">
        <f t="shared" si="461"/>
        <v>0</v>
      </c>
      <c r="W1083">
        <f t="shared" si="462"/>
        <v>0</v>
      </c>
      <c r="X1083">
        <f t="shared" si="465"/>
        <v>0</v>
      </c>
      <c r="Y1083">
        <f t="shared" si="463"/>
        <v>1</v>
      </c>
      <c r="Z1083" t="s">
        <v>76</v>
      </c>
      <c r="AA1083" s="5" t="s">
        <v>76</v>
      </c>
      <c r="AB1083" s="5" t="s">
        <v>409</v>
      </c>
      <c r="AC1083" t="s">
        <v>74</v>
      </c>
      <c r="AD1083" t="s">
        <v>75</v>
      </c>
      <c r="AE1083" s="5" t="s">
        <v>75</v>
      </c>
      <c r="AF1083" t="s">
        <v>120</v>
      </c>
      <c r="AG1083" t="s">
        <v>76</v>
      </c>
      <c r="AH1083">
        <f t="shared" si="490"/>
        <v>0.11357415999999999</v>
      </c>
      <c r="AI1083">
        <f t="shared" si="491"/>
        <v>6.9353074000000001E-2</v>
      </c>
      <c r="AJ1083">
        <f t="shared" si="464"/>
        <v>6.9353074000000001E-2</v>
      </c>
      <c r="AK1083">
        <v>6.9353074000000001E-2</v>
      </c>
      <c r="AL1083">
        <v>0.10043787999999999</v>
      </c>
      <c r="AM1083">
        <v>0.102241665</v>
      </c>
      <c r="AN1083">
        <v>0.11357415999999999</v>
      </c>
      <c r="AO1083">
        <v>93.064692600000001</v>
      </c>
      <c r="AP1083">
        <v>89.956211999999994</v>
      </c>
      <c r="AQ1083">
        <v>89.775833500000005</v>
      </c>
      <c r="AR1083">
        <v>88.642583999999999</v>
      </c>
      <c r="AS1083" t="b">
        <v>0</v>
      </c>
      <c r="AT1083" t="b">
        <v>0</v>
      </c>
      <c r="AU1083" t="s">
        <v>77</v>
      </c>
      <c r="AV1083" t="s">
        <v>78</v>
      </c>
      <c r="AW1083" t="s">
        <v>783</v>
      </c>
      <c r="AX1083" t="s">
        <v>1298</v>
      </c>
      <c r="AY1083" t="s">
        <v>1641</v>
      </c>
      <c r="AZ1083" t="s">
        <v>109</v>
      </c>
      <c r="BA1083">
        <v>9</v>
      </c>
      <c r="BB1083">
        <v>7</v>
      </c>
      <c r="BC1083">
        <v>2.4738868000000001E-3</v>
      </c>
      <c r="BD1083">
        <v>1.4256942275279999E-4</v>
      </c>
      <c r="BE1083">
        <v>2.6164562227527998E-3</v>
      </c>
      <c r="BF1083">
        <f>IF(AK1083&lt;BE1083,1,0)</f>
        <v>0</v>
      </c>
      <c r="BG1083">
        <f>IF(AK1083&lt;BC1083,1,0)</f>
        <v>0</v>
      </c>
      <c r="BH1083">
        <f>VLOOKUP($B1083,[1]Data_Peer_with_peerVars!$B$2:$Z$1050,20,FALSE)</f>
        <v>0</v>
      </c>
      <c r="BI1083">
        <f>VLOOKUP($B1083,[1]Data_Peer_with_peerVars!$B$2:$Z$1050,21,FALSE)</f>
        <v>0</v>
      </c>
      <c r="BJ1083">
        <v>0</v>
      </c>
      <c r="BK1083">
        <f>VLOOKUP($B1083,[1]Data_Peer_with_peerVars!$B$2:$Z$1050,23,FALSE)</f>
        <v>16</v>
      </c>
      <c r="BL1083">
        <f>VLOOKUP($B1083,[1]Data_Peer_with_peerVars!$B$2:$Z$1050,24,FALSE)</f>
        <v>1</v>
      </c>
      <c r="BM1083">
        <f>VLOOKUP($B1083,[1]Data_Peer_with_peerVars!$B$2:$Z$1050,25,FALSE)</f>
        <v>6.25E-2</v>
      </c>
    </row>
    <row r="1084" spans="1:65" x14ac:dyDescent="0.2">
      <c r="A1084">
        <v>1</v>
      </c>
      <c r="B1084" t="s">
        <v>1648</v>
      </c>
      <c r="C1084">
        <v>668</v>
      </c>
      <c r="D1084" t="s">
        <v>68</v>
      </c>
      <c r="E1084">
        <v>1</v>
      </c>
      <c r="F1084">
        <v>691</v>
      </c>
      <c r="G1084" t="s">
        <v>69</v>
      </c>
      <c r="H1084" s="1">
        <v>7</v>
      </c>
      <c r="I1084" t="s">
        <v>87</v>
      </c>
      <c r="J1084" t="s">
        <v>150</v>
      </c>
      <c r="K1084" t="s">
        <v>109</v>
      </c>
      <c r="L1084">
        <v>1</v>
      </c>
      <c r="M1084">
        <v>0</v>
      </c>
      <c r="N1084">
        <v>1</v>
      </c>
      <c r="O1084">
        <v>0</v>
      </c>
      <c r="P1084">
        <v>0</v>
      </c>
      <c r="Q1084">
        <v>9</v>
      </c>
      <c r="R1084">
        <v>0</v>
      </c>
      <c r="S1084">
        <v>0</v>
      </c>
      <c r="T1084">
        <v>1</v>
      </c>
      <c r="U1084">
        <v>1</v>
      </c>
      <c r="V1084">
        <f t="shared" si="461"/>
        <v>0</v>
      </c>
      <c r="W1084">
        <f t="shared" si="462"/>
        <v>0</v>
      </c>
      <c r="X1084">
        <f t="shared" si="465"/>
        <v>0</v>
      </c>
      <c r="Y1084">
        <f t="shared" si="463"/>
        <v>0</v>
      </c>
      <c r="Z1084" t="s">
        <v>75</v>
      </c>
      <c r="AA1084" s="5" t="s">
        <v>75</v>
      </c>
      <c r="AB1084" s="5" t="s">
        <v>75</v>
      </c>
      <c r="AC1084" t="s">
        <v>73</v>
      </c>
      <c r="AD1084" t="s">
        <v>94</v>
      </c>
      <c r="AE1084" s="5" t="s">
        <v>106</v>
      </c>
      <c r="AF1084" t="s">
        <v>107</v>
      </c>
      <c r="AG1084" t="s">
        <v>95</v>
      </c>
      <c r="AH1084">
        <f t="shared" ref="AH1084:AH1085" si="492">AI1084</f>
        <v>3.8188760000000001E-3</v>
      </c>
      <c r="AI1084">
        <f t="shared" si="491"/>
        <v>3.8188760000000001E-3</v>
      </c>
      <c r="AJ1084">
        <f t="shared" si="464"/>
        <v>3.8188760000000001E-3</v>
      </c>
      <c r="AK1084">
        <v>3.8188760000000001E-3</v>
      </c>
      <c r="AL1084">
        <v>0.13203936999999999</v>
      </c>
      <c r="AM1084">
        <v>0.13651315999999999</v>
      </c>
      <c r="AN1084">
        <v>0.13929939999999999</v>
      </c>
      <c r="AO1084">
        <v>99.618112400000001</v>
      </c>
      <c r="AP1084">
        <v>86.796063000000004</v>
      </c>
      <c r="AQ1084">
        <v>86.348684000000006</v>
      </c>
      <c r="AR1084">
        <v>86.070059999999998</v>
      </c>
      <c r="AS1084" t="b">
        <v>0</v>
      </c>
      <c r="AT1084" t="b">
        <v>0</v>
      </c>
      <c r="AU1084" t="s">
        <v>77</v>
      </c>
      <c r="AV1084" t="s">
        <v>108</v>
      </c>
      <c r="AW1084" t="s">
        <v>783</v>
      </c>
      <c r="AX1084" t="s">
        <v>1298</v>
      </c>
      <c r="AY1084" t="s">
        <v>1649</v>
      </c>
      <c r="AZ1084" t="s">
        <v>109</v>
      </c>
      <c r="BA1084">
        <v>3</v>
      </c>
      <c r="BB1084">
        <v>0.49</v>
      </c>
      <c r="BC1084">
        <v>4.1163553999999996E-3</v>
      </c>
      <c r="BD1084">
        <v>1.4279989108178799E-4</v>
      </c>
      <c r="BE1084">
        <v>4.2591552910817903E-3</v>
      </c>
      <c r="BF1084">
        <f>IF(AK1084&lt;BE1084,1,0)</f>
        <v>1</v>
      </c>
      <c r="BG1084">
        <f>IF(AK1084&lt;BC1084,1,0)</f>
        <v>1</v>
      </c>
      <c r="BH1084">
        <f>VLOOKUP($B1084,[1]Data_Peer_with_peerVars!$B$2:$Z$1050,20,FALSE)</f>
        <v>3</v>
      </c>
      <c r="BI1084">
        <f>VLOOKUP($B1084,[1]Data_Peer_with_peerVars!$B$2:$Z$1050,21,FALSE)</f>
        <v>0</v>
      </c>
      <c r="BJ1084">
        <f>VLOOKUP($B1084,[1]Data_Peer_with_peerVars!$B$2:$Z$1050,22,FALSE)</f>
        <v>0</v>
      </c>
      <c r="BK1084">
        <f>VLOOKUP($B1084,[1]Data_Peer_with_peerVars!$B$2:$Z$1050,23,FALSE)</f>
        <v>21</v>
      </c>
      <c r="BL1084">
        <f>VLOOKUP($B1084,[1]Data_Peer_with_peerVars!$B$2:$Z$1050,24,FALSE)</f>
        <v>5</v>
      </c>
      <c r="BM1084">
        <f>VLOOKUP($B1084,[1]Data_Peer_with_peerVars!$B$2:$Z$1050,25,FALSE)</f>
        <v>0.23809523799999999</v>
      </c>
    </row>
    <row r="1085" spans="1:65" x14ac:dyDescent="0.2">
      <c r="A1085">
        <v>1</v>
      </c>
      <c r="B1085" t="s">
        <v>1650</v>
      </c>
      <c r="C1085">
        <v>668</v>
      </c>
      <c r="D1085" t="s">
        <v>68</v>
      </c>
      <c r="E1085">
        <v>1</v>
      </c>
      <c r="F1085">
        <v>691</v>
      </c>
      <c r="G1085" t="s">
        <v>69</v>
      </c>
      <c r="H1085" s="1">
        <v>7</v>
      </c>
      <c r="I1085" t="s">
        <v>87</v>
      </c>
      <c r="J1085" t="s">
        <v>150</v>
      </c>
      <c r="K1085" t="s">
        <v>109</v>
      </c>
      <c r="L1085">
        <v>1</v>
      </c>
      <c r="M1085">
        <v>0</v>
      </c>
      <c r="N1085">
        <v>1</v>
      </c>
      <c r="O1085">
        <v>0</v>
      </c>
      <c r="P1085">
        <v>0</v>
      </c>
      <c r="Q1085">
        <v>9</v>
      </c>
      <c r="R1085">
        <v>1</v>
      </c>
      <c r="S1085">
        <v>1</v>
      </c>
      <c r="T1085">
        <v>1</v>
      </c>
      <c r="U1085">
        <v>1</v>
      </c>
      <c r="V1085">
        <f t="shared" si="461"/>
        <v>0</v>
      </c>
      <c r="W1085">
        <f t="shared" si="462"/>
        <v>0</v>
      </c>
      <c r="X1085">
        <f t="shared" si="465"/>
        <v>0</v>
      </c>
      <c r="Y1085">
        <f t="shared" si="463"/>
        <v>0</v>
      </c>
      <c r="Z1085" t="s">
        <v>177</v>
      </c>
      <c r="AA1085" s="5" t="s">
        <v>177</v>
      </c>
      <c r="AB1085" s="5" t="s">
        <v>1651</v>
      </c>
      <c r="AC1085" t="s">
        <v>198</v>
      </c>
      <c r="AD1085" t="s">
        <v>196</v>
      </c>
      <c r="AE1085" s="5" t="s">
        <v>461</v>
      </c>
      <c r="AF1085" t="s">
        <v>173</v>
      </c>
      <c r="AG1085" t="s">
        <v>174</v>
      </c>
      <c r="AH1085">
        <f t="shared" si="492"/>
        <v>3.9199560000000001E-2</v>
      </c>
      <c r="AI1085">
        <f t="shared" si="491"/>
        <v>3.9199560000000001E-2</v>
      </c>
      <c r="AJ1085">
        <f t="shared" si="464"/>
        <v>3.9199560000000001E-2</v>
      </c>
      <c r="AK1085">
        <v>3.9199560000000001E-2</v>
      </c>
      <c r="AL1085">
        <v>3.9452054E-2</v>
      </c>
      <c r="AM1085">
        <v>3.9552648000000003E-2</v>
      </c>
      <c r="AN1085">
        <v>4.1530053999999997E-2</v>
      </c>
      <c r="AO1085">
        <v>96.080044000000001</v>
      </c>
      <c r="AP1085">
        <v>96.054794599999994</v>
      </c>
      <c r="AQ1085">
        <v>96.044735200000005</v>
      </c>
      <c r="AR1085">
        <v>95.846994600000002</v>
      </c>
      <c r="AS1085" t="b">
        <v>0</v>
      </c>
      <c r="AT1085" t="b">
        <v>0</v>
      </c>
      <c r="AU1085" t="s">
        <v>92</v>
      </c>
      <c r="AV1085" t="s">
        <v>92</v>
      </c>
      <c r="AW1085" t="s">
        <v>783</v>
      </c>
      <c r="AX1085" t="s">
        <v>1298</v>
      </c>
      <c r="AY1085" t="s">
        <v>1649</v>
      </c>
      <c r="AZ1085" t="s">
        <v>109</v>
      </c>
      <c r="BA1085">
        <v>3</v>
      </c>
      <c r="BB1085">
        <v>3.5000000000000003E-2</v>
      </c>
      <c r="BC1085">
        <v>7.8599005999999999E-2</v>
      </c>
      <c r="BD1085">
        <v>2.1587351686006499E-2</v>
      </c>
      <c r="BE1085">
        <v>0.10018635768600601</v>
      </c>
      <c r="BF1085">
        <f>IF(AK1085&lt;BE1085,1,0)</f>
        <v>1</v>
      </c>
      <c r="BG1085">
        <f>IF(AK1085&lt;BC1085,1,0)</f>
        <v>1</v>
      </c>
      <c r="BH1085">
        <f>VLOOKUP($B1085,[1]Data_Peer_with_peerVars!$B$2:$Z$1050,20,FALSE)</f>
        <v>3</v>
      </c>
      <c r="BI1085">
        <f>VLOOKUP($B1085,[1]Data_Peer_with_peerVars!$B$2:$Z$1050,21,FALSE)</f>
        <v>0</v>
      </c>
      <c r="BJ1085">
        <f>VLOOKUP($B1085,[1]Data_Peer_with_peerVars!$B$2:$Z$1050,22,FALSE)</f>
        <v>0</v>
      </c>
      <c r="BK1085">
        <f>VLOOKUP($B1085,[1]Data_Peer_with_peerVars!$B$2:$Z$1050,23,FALSE)</f>
        <v>21</v>
      </c>
      <c r="BL1085">
        <f>VLOOKUP($B1085,[1]Data_Peer_with_peerVars!$B$2:$Z$1050,24,FALSE)</f>
        <v>5</v>
      </c>
      <c r="BM1085">
        <f>VLOOKUP($B1085,[1]Data_Peer_with_peerVars!$B$2:$Z$1050,25,FALSE)</f>
        <v>0.23809523799999999</v>
      </c>
    </row>
    <row r="1086" spans="1:65" x14ac:dyDescent="0.2">
      <c r="A1086">
        <v>1</v>
      </c>
      <c r="B1086" t="s">
        <v>1652</v>
      </c>
      <c r="C1086">
        <v>669</v>
      </c>
      <c r="D1086" t="s">
        <v>68</v>
      </c>
      <c r="E1086">
        <v>1</v>
      </c>
      <c r="F1086">
        <v>744</v>
      </c>
      <c r="G1086" t="s">
        <v>69</v>
      </c>
      <c r="H1086" s="1">
        <v>7</v>
      </c>
      <c r="I1086" t="s">
        <v>87</v>
      </c>
      <c r="J1086" t="s">
        <v>88</v>
      </c>
      <c r="K1086" t="s">
        <v>72</v>
      </c>
      <c r="L1086">
        <v>1</v>
      </c>
      <c r="M1086">
        <v>0</v>
      </c>
      <c r="N1086">
        <v>1</v>
      </c>
      <c r="O1086">
        <v>0</v>
      </c>
      <c r="P1086">
        <v>0</v>
      </c>
      <c r="Q1086">
        <v>9</v>
      </c>
      <c r="R1086">
        <v>0</v>
      </c>
      <c r="S1086">
        <v>0</v>
      </c>
      <c r="T1086">
        <v>0</v>
      </c>
      <c r="U1086">
        <v>0</v>
      </c>
      <c r="V1086">
        <f t="shared" si="461"/>
        <v>1</v>
      </c>
      <c r="W1086">
        <v>1</v>
      </c>
      <c r="X1086">
        <v>1</v>
      </c>
      <c r="Y1086">
        <v>1</v>
      </c>
      <c r="Z1086" t="s">
        <v>73</v>
      </c>
      <c r="AA1086" s="5" t="s">
        <v>73</v>
      </c>
      <c r="AB1086" s="5" t="s">
        <v>73</v>
      </c>
      <c r="AC1086" t="s">
        <v>73</v>
      </c>
      <c r="AD1086" t="s">
        <v>94</v>
      </c>
      <c r="AE1086" s="5" t="s">
        <v>106</v>
      </c>
      <c r="AF1086" t="s">
        <v>75</v>
      </c>
      <c r="AG1086" t="s">
        <v>95</v>
      </c>
      <c r="AH1086">
        <f>AI1086</f>
        <v>1.8821605000000002E-2</v>
      </c>
      <c r="AI1086">
        <f>AJ1086</f>
        <v>1.8821605000000002E-2</v>
      </c>
      <c r="AJ1086">
        <f t="shared" si="464"/>
        <v>1.8821605000000002E-2</v>
      </c>
      <c r="AK1086">
        <v>1.8821605000000002E-2</v>
      </c>
      <c r="AL1086">
        <v>0.1306011</v>
      </c>
      <c r="AM1086">
        <v>0.13683635</v>
      </c>
      <c r="AN1086">
        <v>0.13887369999999999</v>
      </c>
      <c r="AO1086">
        <v>98.117839500000002</v>
      </c>
      <c r="AP1086">
        <v>86.939890000000005</v>
      </c>
      <c r="AQ1086">
        <v>86.316365000000005</v>
      </c>
      <c r="AR1086">
        <v>86.112629999999996</v>
      </c>
      <c r="AS1086" t="b">
        <v>1</v>
      </c>
      <c r="AT1086" t="b">
        <v>0</v>
      </c>
      <c r="AU1086" t="s">
        <v>77</v>
      </c>
      <c r="AV1086" t="s">
        <v>108</v>
      </c>
      <c r="AW1086" t="s">
        <v>783</v>
      </c>
      <c r="AX1086" t="s">
        <v>1298</v>
      </c>
      <c r="AY1086" t="s">
        <v>1653</v>
      </c>
      <c r="AZ1086" t="s">
        <v>72</v>
      </c>
      <c r="BA1086" t="s">
        <v>82</v>
      </c>
      <c r="BB1086">
        <v>1.26</v>
      </c>
      <c r="BC1086">
        <v>4.1163553999999996E-3</v>
      </c>
      <c r="BD1086">
        <v>1.4279989108178799E-4</v>
      </c>
      <c r="BE1086">
        <v>4.2591552910817903E-3</v>
      </c>
      <c r="BF1086">
        <f>IF(AK1086&lt;BE1086,1,0)</f>
        <v>0</v>
      </c>
      <c r="BG1086">
        <f>IF(AK1086&lt;BC1086,1,0)</f>
        <v>0</v>
      </c>
      <c r="BH1086">
        <f>VLOOKUP($B1086,[1]Data_Peer_with_peerVars!$B$2:$Z$1050,20,FALSE)</f>
        <v>0</v>
      </c>
      <c r="BI1086">
        <f>VLOOKUP($B1086,[1]Data_Peer_with_peerVars!$B$2:$Z$1050,21,FALSE)</f>
        <v>0</v>
      </c>
      <c r="BJ1086">
        <v>0</v>
      </c>
      <c r="BK1086">
        <f>VLOOKUP($B1086,[1]Data_Peer_with_peerVars!$B$2:$Z$1050,23,FALSE)</f>
        <v>21</v>
      </c>
      <c r="BL1086">
        <f>VLOOKUP($B1086,[1]Data_Peer_with_peerVars!$B$2:$Z$1050,24,FALSE)</f>
        <v>7</v>
      </c>
      <c r="BM1086">
        <f>VLOOKUP($B1086,[1]Data_Peer_with_peerVars!$B$2:$Z$1050,25,FALSE)</f>
        <v>0.33333333300000001</v>
      </c>
    </row>
    <row r="1087" spans="1:65" x14ac:dyDescent="0.2">
      <c r="A1087">
        <v>1</v>
      </c>
      <c r="B1087" t="s">
        <v>1654</v>
      </c>
      <c r="C1087">
        <v>670</v>
      </c>
      <c r="D1087" t="s">
        <v>68</v>
      </c>
      <c r="E1087">
        <v>1</v>
      </c>
      <c r="F1087">
        <v>821</v>
      </c>
      <c r="G1087" t="s">
        <v>86</v>
      </c>
      <c r="H1087" s="1">
        <v>6</v>
      </c>
      <c r="I1087" t="s">
        <v>87</v>
      </c>
      <c r="J1087" t="s">
        <v>111</v>
      </c>
      <c r="K1087" t="s">
        <v>109</v>
      </c>
      <c r="L1087">
        <v>1</v>
      </c>
      <c r="M1087">
        <v>0</v>
      </c>
      <c r="N1087">
        <v>0</v>
      </c>
      <c r="O1087">
        <v>0</v>
      </c>
      <c r="P1087">
        <v>0</v>
      </c>
      <c r="Q1087">
        <v>3</v>
      </c>
      <c r="R1087">
        <v>0</v>
      </c>
      <c r="S1087">
        <v>0</v>
      </c>
      <c r="T1087">
        <v>0</v>
      </c>
      <c r="U1087">
        <v>0</v>
      </c>
      <c r="V1087">
        <f t="shared" si="461"/>
        <v>0</v>
      </c>
      <c r="W1087">
        <f t="shared" si="462"/>
        <v>0</v>
      </c>
      <c r="X1087">
        <f t="shared" si="465"/>
        <v>0</v>
      </c>
      <c r="Y1087">
        <f t="shared" si="463"/>
        <v>0</v>
      </c>
      <c r="Z1087" t="s">
        <v>76</v>
      </c>
      <c r="AA1087" s="5" t="s">
        <v>76</v>
      </c>
      <c r="AB1087" s="5" t="s">
        <v>409</v>
      </c>
      <c r="AC1087" t="s">
        <v>74</v>
      </c>
      <c r="AD1087" t="s">
        <v>101</v>
      </c>
      <c r="AE1087" s="5" t="s">
        <v>101</v>
      </c>
      <c r="AF1087" t="s">
        <v>102</v>
      </c>
      <c r="AG1087" t="s">
        <v>99</v>
      </c>
      <c r="AH1087">
        <f t="shared" ref="AH1087:AH1091" si="493">AI1087</f>
        <v>8.6575343999999999E-2</v>
      </c>
      <c r="AI1087">
        <f t="shared" ref="AI1087:AI1091" si="494">AJ1087</f>
        <v>8.6575343999999999E-2</v>
      </c>
      <c r="AJ1087">
        <f t="shared" si="464"/>
        <v>8.6575343999999999E-2</v>
      </c>
      <c r="AK1087">
        <v>8.6575343999999999E-2</v>
      </c>
      <c r="AL1087">
        <v>0.11339923</v>
      </c>
      <c r="AM1087">
        <v>0.11674850000000001</v>
      </c>
      <c r="AN1087">
        <v>0.11962513600000001</v>
      </c>
      <c r="AO1087">
        <v>91.342465599999997</v>
      </c>
      <c r="AP1087">
        <v>88.660077000000001</v>
      </c>
      <c r="AQ1087">
        <v>88.325149999999994</v>
      </c>
      <c r="AR1087">
        <v>88.037486400000006</v>
      </c>
      <c r="AS1087" t="b">
        <v>0</v>
      </c>
      <c r="AT1087" t="b">
        <v>0</v>
      </c>
      <c r="AU1087" t="s">
        <v>77</v>
      </c>
      <c r="AV1087" t="s">
        <v>78</v>
      </c>
      <c r="AW1087" t="s">
        <v>783</v>
      </c>
      <c r="AX1087" t="s">
        <v>1277</v>
      </c>
      <c r="AY1087" t="s">
        <v>1498</v>
      </c>
      <c r="AZ1087" t="s">
        <v>109</v>
      </c>
      <c r="BA1087">
        <v>3</v>
      </c>
      <c r="BB1087">
        <v>0.35</v>
      </c>
      <c r="BC1087">
        <v>2.4738868000000001E-3</v>
      </c>
      <c r="BD1087">
        <v>1.4256942275279999E-4</v>
      </c>
      <c r="BE1087">
        <v>2.6164562227527998E-3</v>
      </c>
      <c r="BF1087">
        <f>IF(AK1087&lt;BE1087,1,0)</f>
        <v>0</v>
      </c>
      <c r="BG1087">
        <f>IF(AK1087&lt;BC1087,1,0)</f>
        <v>0</v>
      </c>
      <c r="BH1087">
        <f>VLOOKUP($B1087,[1]Data_Peer_with_peerVars!$B$2:$Z$1050,20,FALSE)</f>
        <v>0</v>
      </c>
      <c r="BI1087">
        <f>VLOOKUP($B1087,[1]Data_Peer_with_peerVars!$B$2:$Z$1050,21,FALSE)</f>
        <v>0</v>
      </c>
      <c r="BJ1087">
        <v>0</v>
      </c>
      <c r="BK1087">
        <f>VLOOKUP($B1087,[1]Data_Peer_with_peerVars!$B$2:$Z$1050,23,FALSE)</f>
        <v>26</v>
      </c>
      <c r="BL1087">
        <f>VLOOKUP($B1087,[1]Data_Peer_with_peerVars!$B$2:$Z$1050,24,FALSE)</f>
        <v>8</v>
      </c>
      <c r="BM1087">
        <f>VLOOKUP($B1087,[1]Data_Peer_with_peerVars!$B$2:$Z$1050,25,FALSE)</f>
        <v>0.30769230800000003</v>
      </c>
    </row>
    <row r="1088" spans="1:65" x14ac:dyDescent="0.2">
      <c r="A1088">
        <v>1</v>
      </c>
      <c r="B1088" t="s">
        <v>1655</v>
      </c>
      <c r="C1088">
        <v>670</v>
      </c>
      <c r="D1088" t="s">
        <v>68</v>
      </c>
      <c r="E1088">
        <v>1</v>
      </c>
      <c r="F1088">
        <v>821</v>
      </c>
      <c r="G1088" t="s">
        <v>86</v>
      </c>
      <c r="H1088" s="1">
        <v>6</v>
      </c>
      <c r="I1088" t="s">
        <v>87</v>
      </c>
      <c r="J1088" t="s">
        <v>111</v>
      </c>
      <c r="K1088" t="s">
        <v>109</v>
      </c>
      <c r="L1088">
        <v>1</v>
      </c>
      <c r="M1088">
        <v>0</v>
      </c>
      <c r="N1088">
        <v>0</v>
      </c>
      <c r="O1088">
        <v>0</v>
      </c>
      <c r="P1088">
        <v>0</v>
      </c>
      <c r="Q1088">
        <v>3</v>
      </c>
      <c r="R1088">
        <v>0</v>
      </c>
      <c r="S1088">
        <v>0</v>
      </c>
      <c r="T1088">
        <v>1</v>
      </c>
      <c r="U1088">
        <v>1</v>
      </c>
      <c r="V1088">
        <f t="shared" si="461"/>
        <v>0</v>
      </c>
      <c r="W1088">
        <f t="shared" si="462"/>
        <v>0</v>
      </c>
      <c r="X1088">
        <f t="shared" si="465"/>
        <v>0</v>
      </c>
      <c r="Y1088">
        <f t="shared" si="463"/>
        <v>0</v>
      </c>
      <c r="Z1088" t="s">
        <v>75</v>
      </c>
      <c r="AA1088" s="5" t="s">
        <v>75</v>
      </c>
      <c r="AB1088" s="5" t="s">
        <v>75</v>
      </c>
      <c r="AC1088" t="s">
        <v>73</v>
      </c>
      <c r="AD1088" t="s">
        <v>94</v>
      </c>
      <c r="AE1088" s="5" t="s">
        <v>106</v>
      </c>
      <c r="AF1088" t="s">
        <v>107</v>
      </c>
      <c r="AG1088" t="s">
        <v>95</v>
      </c>
      <c r="AH1088">
        <f t="shared" si="493"/>
        <v>3.8167940000000001E-3</v>
      </c>
      <c r="AI1088">
        <f t="shared" si="494"/>
        <v>3.8167940000000001E-3</v>
      </c>
      <c r="AJ1088">
        <f t="shared" si="464"/>
        <v>3.8167940000000001E-3</v>
      </c>
      <c r="AK1088">
        <v>3.8167940000000001E-3</v>
      </c>
      <c r="AL1088">
        <v>0.13196722</v>
      </c>
      <c r="AM1088">
        <v>0.13623904000000001</v>
      </c>
      <c r="AN1088">
        <v>0.13902571999999999</v>
      </c>
      <c r="AO1088">
        <v>99.618320600000004</v>
      </c>
      <c r="AP1088">
        <v>86.803278000000006</v>
      </c>
      <c r="AQ1088">
        <v>86.376096000000004</v>
      </c>
      <c r="AR1088">
        <v>86.097427999999994</v>
      </c>
      <c r="AS1088" t="b">
        <v>0</v>
      </c>
      <c r="AT1088" t="b">
        <v>0</v>
      </c>
      <c r="AU1088" t="s">
        <v>77</v>
      </c>
      <c r="AV1088" t="s">
        <v>108</v>
      </c>
      <c r="AW1088" t="s">
        <v>783</v>
      </c>
      <c r="AX1088" t="s">
        <v>1277</v>
      </c>
      <c r="AY1088" t="s">
        <v>1498</v>
      </c>
      <c r="AZ1088" t="s">
        <v>72</v>
      </c>
      <c r="BA1088" t="s">
        <v>82</v>
      </c>
      <c r="BB1088">
        <v>0.7</v>
      </c>
      <c r="BC1088">
        <v>4.1163553999999996E-3</v>
      </c>
      <c r="BD1088">
        <v>1.4279989108178799E-4</v>
      </c>
      <c r="BE1088">
        <v>4.2591552910817903E-3</v>
      </c>
      <c r="BF1088">
        <f>IF(AK1088&lt;BE1088,1,0)</f>
        <v>1</v>
      </c>
      <c r="BG1088">
        <f>IF(AK1088&lt;BC1088,1,0)</f>
        <v>1</v>
      </c>
      <c r="BH1088">
        <f>VLOOKUP($B1088,[1]Data_Peer_with_peerVars!$B$2:$Z$1050,20,FALSE)</f>
        <v>0</v>
      </c>
      <c r="BI1088">
        <f>VLOOKUP($B1088,[1]Data_Peer_with_peerVars!$B$2:$Z$1050,21,FALSE)</f>
        <v>0</v>
      </c>
      <c r="BJ1088">
        <v>0</v>
      </c>
      <c r="BK1088">
        <f>VLOOKUP($B1088,[1]Data_Peer_with_peerVars!$B$2:$Z$1050,23,FALSE)</f>
        <v>26</v>
      </c>
      <c r="BL1088">
        <f>VLOOKUP($B1088,[1]Data_Peer_with_peerVars!$B$2:$Z$1050,24,FALSE)</f>
        <v>8</v>
      </c>
      <c r="BM1088">
        <f>VLOOKUP($B1088,[1]Data_Peer_with_peerVars!$B$2:$Z$1050,25,FALSE)</f>
        <v>0.30769230800000003</v>
      </c>
    </row>
    <row r="1089" spans="1:65" x14ac:dyDescent="0.2">
      <c r="A1089">
        <v>1</v>
      </c>
      <c r="B1089" t="s">
        <v>1656</v>
      </c>
      <c r="C1089">
        <v>671</v>
      </c>
      <c r="D1089" t="s">
        <v>68</v>
      </c>
      <c r="E1089">
        <v>1</v>
      </c>
      <c r="F1089">
        <v>689</v>
      </c>
      <c r="G1089" t="s">
        <v>69</v>
      </c>
      <c r="H1089" s="1">
        <v>7</v>
      </c>
      <c r="I1089" t="s">
        <v>87</v>
      </c>
      <c r="J1089" t="s">
        <v>111</v>
      </c>
      <c r="K1089" t="s">
        <v>109</v>
      </c>
      <c r="L1089">
        <v>2</v>
      </c>
      <c r="M1089">
        <v>0</v>
      </c>
      <c r="N1089">
        <v>1</v>
      </c>
      <c r="O1089">
        <v>0</v>
      </c>
      <c r="P1089">
        <v>1</v>
      </c>
      <c r="Q1089">
        <v>5</v>
      </c>
      <c r="R1089">
        <v>1</v>
      </c>
      <c r="S1089">
        <v>1</v>
      </c>
      <c r="T1089">
        <v>1</v>
      </c>
      <c r="U1089">
        <v>1</v>
      </c>
      <c r="V1089">
        <f t="shared" si="461"/>
        <v>0</v>
      </c>
      <c r="W1089">
        <f t="shared" si="462"/>
        <v>0</v>
      </c>
      <c r="X1089">
        <f t="shared" si="465"/>
        <v>0</v>
      </c>
      <c r="Y1089">
        <f t="shared" si="463"/>
        <v>0</v>
      </c>
      <c r="Z1089" t="s">
        <v>177</v>
      </c>
      <c r="AA1089" s="5" t="s">
        <v>177</v>
      </c>
      <c r="AB1089" s="5" t="s">
        <v>1657</v>
      </c>
      <c r="AC1089" t="s">
        <v>107</v>
      </c>
      <c r="AD1089" t="s">
        <v>95</v>
      </c>
      <c r="AE1089" s="5" t="s">
        <v>95</v>
      </c>
      <c r="AF1089" t="s">
        <v>173</v>
      </c>
      <c r="AG1089" t="s">
        <v>174</v>
      </c>
      <c r="AH1089">
        <f t="shared" si="493"/>
        <v>8.7623219999999995E-3</v>
      </c>
      <c r="AI1089">
        <f t="shared" si="494"/>
        <v>8.7623219999999995E-3</v>
      </c>
      <c r="AJ1089">
        <f t="shared" si="464"/>
        <v>8.7623219999999995E-3</v>
      </c>
      <c r="AK1089">
        <v>8.7623219999999995E-3</v>
      </c>
      <c r="AL1089">
        <v>7.6944139999999994E-2</v>
      </c>
      <c r="AM1089">
        <v>9.3767084000000001E-2</v>
      </c>
      <c r="AN1089">
        <v>9.7754659999999993E-2</v>
      </c>
      <c r="AO1089">
        <v>99.123767799999996</v>
      </c>
      <c r="AP1089">
        <v>92.305586000000005</v>
      </c>
      <c r="AQ1089">
        <v>90.623291600000002</v>
      </c>
      <c r="AR1089">
        <v>90.224534000000006</v>
      </c>
      <c r="AS1089" t="b">
        <v>0</v>
      </c>
      <c r="AT1089" t="b">
        <v>0</v>
      </c>
      <c r="AU1089" t="s">
        <v>92</v>
      </c>
      <c r="AV1089" t="s">
        <v>92</v>
      </c>
      <c r="AW1089" t="s">
        <v>783</v>
      </c>
      <c r="AX1089" t="s">
        <v>1298</v>
      </c>
      <c r="AY1089" t="s">
        <v>1364</v>
      </c>
      <c r="AZ1089" t="s">
        <v>109</v>
      </c>
      <c r="BA1089">
        <v>2</v>
      </c>
      <c r="BB1089">
        <v>0.7</v>
      </c>
      <c r="BC1089">
        <v>2.6475456000000001E-2</v>
      </c>
      <c r="BD1089">
        <v>8.8330364056477401E-3</v>
      </c>
      <c r="BE1089">
        <v>3.53084924056477E-2</v>
      </c>
      <c r="BF1089">
        <f>IF(AK1089&lt;BE1089,1,0)</f>
        <v>1</v>
      </c>
      <c r="BG1089">
        <f>IF(AK1089&lt;BC1089,1,0)</f>
        <v>1</v>
      </c>
      <c r="BH1089">
        <f>VLOOKUP($B1089,[1]Data_Peer_with_peerVars!$B$2:$Z$1050,20,FALSE)</f>
        <v>14</v>
      </c>
      <c r="BI1089">
        <f>VLOOKUP($B1089,[1]Data_Peer_with_peerVars!$B$2:$Z$1050,21,FALSE)</f>
        <v>4</v>
      </c>
      <c r="BJ1089">
        <f>VLOOKUP($B1089,[1]Data_Peer_with_peerVars!$B$2:$Z$1050,22,FALSE)</f>
        <v>0.28571428599999998</v>
      </c>
      <c r="BK1089">
        <f>VLOOKUP($B1089,[1]Data_Peer_with_peerVars!$B$2:$Z$1050,23,FALSE)</f>
        <v>34</v>
      </c>
      <c r="BL1089">
        <f>VLOOKUP($B1089,[1]Data_Peer_with_peerVars!$B$2:$Z$1050,24,FALSE)</f>
        <v>12</v>
      </c>
      <c r="BM1089">
        <f>VLOOKUP($B1089,[1]Data_Peer_with_peerVars!$B$2:$Z$1050,25,FALSE)</f>
        <v>0.35294117600000002</v>
      </c>
    </row>
    <row r="1090" spans="1:65" x14ac:dyDescent="0.2">
      <c r="A1090">
        <v>1</v>
      </c>
      <c r="B1090" t="s">
        <v>1658</v>
      </c>
      <c r="C1090">
        <v>671</v>
      </c>
      <c r="D1090" t="s">
        <v>68</v>
      </c>
      <c r="E1090">
        <v>1</v>
      </c>
      <c r="F1090">
        <v>689</v>
      </c>
      <c r="G1090" t="s">
        <v>69</v>
      </c>
      <c r="H1090" s="1">
        <v>7</v>
      </c>
      <c r="I1090" t="s">
        <v>87</v>
      </c>
      <c r="J1090" t="s">
        <v>111</v>
      </c>
      <c r="K1090" t="s">
        <v>109</v>
      </c>
      <c r="L1090">
        <v>2</v>
      </c>
      <c r="M1090">
        <v>0</v>
      </c>
      <c r="N1090">
        <v>1</v>
      </c>
      <c r="O1090">
        <v>0</v>
      </c>
      <c r="P1090">
        <v>1</v>
      </c>
      <c r="Q1090">
        <v>5</v>
      </c>
      <c r="R1090">
        <v>0</v>
      </c>
      <c r="S1090">
        <v>0</v>
      </c>
      <c r="T1090">
        <v>0</v>
      </c>
      <c r="U1090">
        <v>0</v>
      </c>
      <c r="V1090">
        <f t="shared" si="461"/>
        <v>0</v>
      </c>
      <c r="W1090">
        <f t="shared" si="462"/>
        <v>0</v>
      </c>
      <c r="X1090">
        <f t="shared" si="465"/>
        <v>0</v>
      </c>
      <c r="Y1090">
        <f t="shared" si="463"/>
        <v>0</v>
      </c>
      <c r="Z1090" t="s">
        <v>170</v>
      </c>
      <c r="AA1090" s="5" t="s">
        <v>170</v>
      </c>
      <c r="AB1090" s="5" t="s">
        <v>1659</v>
      </c>
      <c r="AC1090" t="s">
        <v>91</v>
      </c>
      <c r="AD1090" t="s">
        <v>137</v>
      </c>
      <c r="AE1090" s="5" t="s">
        <v>137</v>
      </c>
      <c r="AF1090" t="s">
        <v>287</v>
      </c>
      <c r="AG1090" t="s">
        <v>113</v>
      </c>
      <c r="AH1090">
        <f t="shared" si="493"/>
        <v>0.10360853</v>
      </c>
      <c r="AI1090">
        <f t="shared" si="494"/>
        <v>0.10360853</v>
      </c>
      <c r="AJ1090">
        <f t="shared" si="464"/>
        <v>0.10360853</v>
      </c>
      <c r="AK1090">
        <v>0.10360853</v>
      </c>
      <c r="AL1090">
        <v>0.10431458</v>
      </c>
      <c r="AM1090">
        <v>0.12718341</v>
      </c>
      <c r="AN1090">
        <v>0.13324175999999999</v>
      </c>
      <c r="AO1090">
        <v>89.639146999999994</v>
      </c>
      <c r="AP1090">
        <v>89.568541999999994</v>
      </c>
      <c r="AQ1090">
        <v>87.281659000000005</v>
      </c>
      <c r="AR1090">
        <v>86.675824000000006</v>
      </c>
      <c r="AS1090" t="b">
        <v>0</v>
      </c>
      <c r="AT1090" t="b">
        <v>0</v>
      </c>
      <c r="AU1090" t="s">
        <v>92</v>
      </c>
      <c r="AV1090" t="s">
        <v>92</v>
      </c>
      <c r="AW1090" t="s">
        <v>783</v>
      </c>
      <c r="AX1090" t="s">
        <v>1298</v>
      </c>
      <c r="AY1090" t="s">
        <v>1364</v>
      </c>
      <c r="AZ1090" t="s">
        <v>82</v>
      </c>
      <c r="BA1090" t="s">
        <v>82</v>
      </c>
      <c r="BB1090">
        <v>0.7</v>
      </c>
      <c r="BC1090">
        <v>9.0659339999999995E-3</v>
      </c>
      <c r="BD1090">
        <v>2.76583658862385E-3</v>
      </c>
      <c r="BE1090">
        <v>1.1831770588623799E-2</v>
      </c>
      <c r="BF1090">
        <f>IF(AK1090&lt;BE1090,1,0)</f>
        <v>0</v>
      </c>
      <c r="BG1090">
        <f>IF(AK1090&lt;BC1090,1,0)</f>
        <v>0</v>
      </c>
      <c r="BH1090">
        <f>VLOOKUP($B1090,[1]Data_Peer_with_peerVars!$B$2:$Z$1050,20,FALSE)</f>
        <v>14</v>
      </c>
      <c r="BI1090">
        <f>VLOOKUP($B1090,[1]Data_Peer_with_peerVars!$B$2:$Z$1050,21,FALSE)</f>
        <v>4</v>
      </c>
      <c r="BJ1090">
        <f>VLOOKUP($B1090,[1]Data_Peer_with_peerVars!$B$2:$Z$1050,22,FALSE)</f>
        <v>0.28571428599999998</v>
      </c>
      <c r="BK1090">
        <f>VLOOKUP($B1090,[1]Data_Peer_with_peerVars!$B$2:$Z$1050,23,FALSE)</f>
        <v>34</v>
      </c>
      <c r="BL1090">
        <f>VLOOKUP($B1090,[1]Data_Peer_with_peerVars!$B$2:$Z$1050,24,FALSE)</f>
        <v>12</v>
      </c>
      <c r="BM1090">
        <f>VLOOKUP($B1090,[1]Data_Peer_with_peerVars!$B$2:$Z$1050,25,FALSE)</f>
        <v>0.35294117600000002</v>
      </c>
    </row>
    <row r="1091" spans="1:65" x14ac:dyDescent="0.2">
      <c r="A1091">
        <v>1</v>
      </c>
      <c r="B1091" t="s">
        <v>1660</v>
      </c>
      <c r="C1091">
        <v>672</v>
      </c>
      <c r="D1091" t="s">
        <v>68</v>
      </c>
      <c r="E1091">
        <v>1</v>
      </c>
      <c r="F1091">
        <v>695</v>
      </c>
      <c r="G1091" t="s">
        <v>69</v>
      </c>
      <c r="H1091" s="1">
        <v>7</v>
      </c>
      <c r="I1091" t="s">
        <v>87</v>
      </c>
      <c r="J1091" t="s">
        <v>150</v>
      </c>
      <c r="K1091" t="s">
        <v>109</v>
      </c>
      <c r="L1091">
        <v>2</v>
      </c>
      <c r="M1091">
        <v>0</v>
      </c>
      <c r="N1091">
        <v>1</v>
      </c>
      <c r="O1091">
        <v>0</v>
      </c>
      <c r="P1091">
        <v>0</v>
      </c>
      <c r="Q1091">
        <v>6</v>
      </c>
      <c r="R1091">
        <v>1</v>
      </c>
      <c r="S1091">
        <v>1</v>
      </c>
      <c r="T1091">
        <v>1</v>
      </c>
      <c r="U1091">
        <v>1</v>
      </c>
      <c r="V1091">
        <f t="shared" ref="V1091:V1149" si="495">IF(Z1091=AC1091,1,0)</f>
        <v>0</v>
      </c>
      <c r="W1091">
        <f t="shared" ref="W1091:W1149" si="496">IF(Z1091=AD1091,1,0)</f>
        <v>0</v>
      </c>
      <c r="X1091">
        <f t="shared" si="465"/>
        <v>0</v>
      </c>
      <c r="Y1091">
        <f t="shared" ref="Y1091:Y1149" si="497">IF(Z1091=AG1091,1,0)</f>
        <v>0</v>
      </c>
      <c r="Z1091" t="s">
        <v>76</v>
      </c>
      <c r="AA1091" s="5" t="s">
        <v>76</v>
      </c>
      <c r="AB1091" s="5" t="s">
        <v>76</v>
      </c>
      <c r="AC1091" t="s">
        <v>174</v>
      </c>
      <c r="AD1091" t="s">
        <v>74</v>
      </c>
      <c r="AE1091" s="5" t="s">
        <v>74</v>
      </c>
      <c r="AF1091" t="s">
        <v>173</v>
      </c>
      <c r="AG1091" t="s">
        <v>198</v>
      </c>
      <c r="AH1091">
        <f t="shared" si="493"/>
        <v>9.5954075E-2</v>
      </c>
      <c r="AI1091">
        <f t="shared" si="494"/>
        <v>9.5954075E-2</v>
      </c>
      <c r="AJ1091">
        <f t="shared" ref="AJ1091:AJ1149" si="498">AK1091</f>
        <v>9.5954075E-2</v>
      </c>
      <c r="AK1091">
        <v>9.5954075E-2</v>
      </c>
      <c r="AL1091">
        <v>9.6491225E-2</v>
      </c>
      <c r="AM1091">
        <v>0.10507642</v>
      </c>
      <c r="AN1091">
        <v>0.10806362999999999</v>
      </c>
      <c r="AO1091">
        <v>90.404592500000007</v>
      </c>
      <c r="AP1091">
        <v>90.350877499999996</v>
      </c>
      <c r="AQ1091">
        <v>89.492357999999996</v>
      </c>
      <c r="AR1091">
        <v>89.193636999999995</v>
      </c>
      <c r="AS1091" t="b">
        <v>0</v>
      </c>
      <c r="AT1091" t="b">
        <v>0</v>
      </c>
      <c r="AU1091" t="s">
        <v>77</v>
      </c>
      <c r="AV1091" t="s">
        <v>77</v>
      </c>
      <c r="AW1091" t="s">
        <v>783</v>
      </c>
      <c r="AX1091" t="s">
        <v>1298</v>
      </c>
      <c r="AY1091" t="s">
        <v>1364</v>
      </c>
      <c r="AZ1091" t="s">
        <v>109</v>
      </c>
      <c r="BA1091">
        <v>2</v>
      </c>
      <c r="BB1091">
        <v>0.7</v>
      </c>
      <c r="BC1091">
        <v>6.6481995999999998E-3</v>
      </c>
      <c r="BD1091">
        <v>2.8322716361753601E-4</v>
      </c>
      <c r="BE1091">
        <v>6.9314267636175399E-3</v>
      </c>
      <c r="BF1091">
        <f>IF(AK1091&lt;BE1091,1,0)</f>
        <v>0</v>
      </c>
      <c r="BG1091">
        <f>IF(AK1091&lt;BC1091,1,0)</f>
        <v>0</v>
      </c>
      <c r="BH1091">
        <f>VLOOKUP($B1091,[1]Data_Peer_with_peerVars!$B$2:$Z$1050,20,FALSE)</f>
        <v>14</v>
      </c>
      <c r="BI1091">
        <f>VLOOKUP($B1091,[1]Data_Peer_with_peerVars!$B$2:$Z$1050,21,FALSE)</f>
        <v>3</v>
      </c>
      <c r="BJ1091">
        <f>VLOOKUP($B1091,[1]Data_Peer_with_peerVars!$B$2:$Z$1050,22,FALSE)</f>
        <v>0.21428571399999999</v>
      </c>
      <c r="BK1091">
        <f>VLOOKUP($B1091,[1]Data_Peer_with_peerVars!$B$2:$Z$1050,23,FALSE)</f>
        <v>34</v>
      </c>
      <c r="BL1091">
        <f>VLOOKUP($B1091,[1]Data_Peer_with_peerVars!$B$2:$Z$1050,24,FALSE)</f>
        <v>11</v>
      </c>
      <c r="BM1091">
        <f>VLOOKUP($B1091,[1]Data_Peer_with_peerVars!$B$2:$Z$1050,25,FALSE)</f>
        <v>0.32352941200000002</v>
      </c>
    </row>
    <row r="1092" spans="1:65" x14ac:dyDescent="0.2">
      <c r="A1092">
        <v>1</v>
      </c>
      <c r="B1092" t="s">
        <v>1661</v>
      </c>
      <c r="C1092">
        <v>672</v>
      </c>
      <c r="D1092" t="s">
        <v>68</v>
      </c>
      <c r="E1092">
        <v>1</v>
      </c>
      <c r="F1092">
        <v>695</v>
      </c>
      <c r="G1092" t="s">
        <v>69</v>
      </c>
      <c r="H1092" s="1">
        <v>7</v>
      </c>
      <c r="I1092" t="s">
        <v>87</v>
      </c>
      <c r="J1092" t="s">
        <v>150</v>
      </c>
      <c r="K1092" t="s">
        <v>109</v>
      </c>
      <c r="L1092">
        <v>2</v>
      </c>
      <c r="M1092">
        <v>0</v>
      </c>
      <c r="N1092">
        <v>1</v>
      </c>
      <c r="O1092">
        <v>0</v>
      </c>
      <c r="P1092">
        <v>0</v>
      </c>
      <c r="Q1092">
        <v>6</v>
      </c>
      <c r="R1092">
        <v>0</v>
      </c>
      <c r="S1092">
        <v>0</v>
      </c>
      <c r="T1092">
        <v>0</v>
      </c>
      <c r="U1092">
        <v>0</v>
      </c>
      <c r="V1092">
        <f t="shared" si="495"/>
        <v>1</v>
      </c>
      <c r="W1092">
        <v>1</v>
      </c>
      <c r="X1092">
        <v>1</v>
      </c>
      <c r="Y1092">
        <v>1</v>
      </c>
      <c r="Z1092" t="s">
        <v>73</v>
      </c>
      <c r="AA1092" s="5" t="s">
        <v>73</v>
      </c>
      <c r="AB1092" s="5" t="s">
        <v>73</v>
      </c>
      <c r="AC1092" t="s">
        <v>73</v>
      </c>
      <c r="AD1092" t="s">
        <v>94</v>
      </c>
      <c r="AE1092" s="5" t="s">
        <v>375</v>
      </c>
      <c r="AF1092" t="s">
        <v>75</v>
      </c>
      <c r="AG1092" t="s">
        <v>137</v>
      </c>
      <c r="AH1092">
        <f t="shared" ref="AH1092:AI1094" si="499">AI1092</f>
        <v>9.0016365000000001E-2</v>
      </c>
      <c r="AI1092">
        <f t="shared" si="499"/>
        <v>9.0016365000000001E-2</v>
      </c>
      <c r="AJ1092">
        <f t="shared" si="498"/>
        <v>9.0016365000000001E-2</v>
      </c>
      <c r="AK1092">
        <v>9.0016365000000001E-2</v>
      </c>
      <c r="AL1092">
        <v>0.13326051999999999</v>
      </c>
      <c r="AM1092">
        <v>0.13382594</v>
      </c>
      <c r="AN1092">
        <v>0.14609504000000001</v>
      </c>
      <c r="AO1092">
        <v>90.998363499999996</v>
      </c>
      <c r="AP1092">
        <v>86.673947999999996</v>
      </c>
      <c r="AQ1092">
        <v>86.617406000000003</v>
      </c>
      <c r="AR1092">
        <v>85.390495999999999</v>
      </c>
      <c r="AS1092" t="b">
        <v>1</v>
      </c>
      <c r="AT1092" t="b">
        <v>0</v>
      </c>
      <c r="AU1092" t="s">
        <v>77</v>
      </c>
      <c r="AV1092" t="s">
        <v>108</v>
      </c>
      <c r="AW1092" t="s">
        <v>783</v>
      </c>
      <c r="AX1092" t="s">
        <v>1298</v>
      </c>
      <c r="AY1092" t="s">
        <v>1364</v>
      </c>
      <c r="AZ1092" t="s">
        <v>109</v>
      </c>
      <c r="BA1092">
        <v>5</v>
      </c>
      <c r="BB1092">
        <v>0.7</v>
      </c>
      <c r="BC1092">
        <v>4.1163553999999996E-3</v>
      </c>
      <c r="BD1092">
        <v>1.4279989108178799E-4</v>
      </c>
      <c r="BE1092">
        <v>4.2591552910817903E-3</v>
      </c>
      <c r="BF1092">
        <f>IF(AK1092&lt;BE1092,1,0)</f>
        <v>0</v>
      </c>
      <c r="BG1092">
        <f>IF(AK1092&lt;BC1092,1,0)</f>
        <v>0</v>
      </c>
      <c r="BH1092">
        <f>VLOOKUP($B1092,[1]Data_Peer_with_peerVars!$B$2:$Z$1050,20,FALSE)</f>
        <v>14</v>
      </c>
      <c r="BI1092">
        <f>VLOOKUP($B1092,[1]Data_Peer_with_peerVars!$B$2:$Z$1050,21,FALSE)</f>
        <v>3</v>
      </c>
      <c r="BJ1092">
        <f>VLOOKUP($B1092,[1]Data_Peer_with_peerVars!$B$2:$Z$1050,22,FALSE)</f>
        <v>0.21428571399999999</v>
      </c>
      <c r="BK1092">
        <f>VLOOKUP($B1092,[1]Data_Peer_with_peerVars!$B$2:$Z$1050,23,FALSE)</f>
        <v>34</v>
      </c>
      <c r="BL1092">
        <f>VLOOKUP($B1092,[1]Data_Peer_with_peerVars!$B$2:$Z$1050,24,FALSE)</f>
        <v>11</v>
      </c>
      <c r="BM1092">
        <f>VLOOKUP($B1092,[1]Data_Peer_with_peerVars!$B$2:$Z$1050,25,FALSE)</f>
        <v>0.32352941200000002</v>
      </c>
    </row>
    <row r="1093" spans="1:65" x14ac:dyDescent="0.2">
      <c r="A1093">
        <v>1</v>
      </c>
      <c r="B1093" t="s">
        <v>1662</v>
      </c>
      <c r="C1093">
        <v>673</v>
      </c>
      <c r="D1093" t="s">
        <v>68</v>
      </c>
      <c r="E1093">
        <v>0</v>
      </c>
      <c r="F1093">
        <v>697</v>
      </c>
      <c r="G1093" t="s">
        <v>97</v>
      </c>
      <c r="H1093" s="1">
        <v>5.5</v>
      </c>
      <c r="I1093" t="s">
        <v>87</v>
      </c>
      <c r="J1093" t="s">
        <v>111</v>
      </c>
      <c r="K1093" t="s">
        <v>109</v>
      </c>
      <c r="L1093">
        <v>1</v>
      </c>
      <c r="M1093">
        <v>0</v>
      </c>
      <c r="N1093">
        <v>1</v>
      </c>
      <c r="O1093">
        <v>0</v>
      </c>
      <c r="P1093">
        <v>0</v>
      </c>
      <c r="Q1093">
        <v>12</v>
      </c>
      <c r="R1093">
        <v>1</v>
      </c>
      <c r="S1093">
        <v>1</v>
      </c>
      <c r="T1093">
        <v>1</v>
      </c>
      <c r="U1093">
        <v>1</v>
      </c>
      <c r="V1093">
        <f t="shared" si="495"/>
        <v>0</v>
      </c>
      <c r="W1093">
        <f t="shared" si="496"/>
        <v>0</v>
      </c>
      <c r="X1093">
        <f t="shared" ref="X1093:X1149" si="500">IF(Z1093=AF1093,1,0)</f>
        <v>0</v>
      </c>
      <c r="Y1093">
        <f t="shared" si="497"/>
        <v>0</v>
      </c>
      <c r="Z1093" t="s">
        <v>76</v>
      </c>
      <c r="AA1093" s="5" t="s">
        <v>76</v>
      </c>
      <c r="AB1093" s="5" t="s">
        <v>409</v>
      </c>
      <c r="AC1093" t="s">
        <v>174</v>
      </c>
      <c r="AD1093" t="s">
        <v>74</v>
      </c>
      <c r="AE1093" s="5" t="s">
        <v>74</v>
      </c>
      <c r="AF1093" t="s">
        <v>173</v>
      </c>
      <c r="AG1093" t="s">
        <v>198</v>
      </c>
      <c r="AH1093">
        <f t="shared" si="499"/>
        <v>9.8087430000000003E-2</v>
      </c>
      <c r="AI1093">
        <f t="shared" si="499"/>
        <v>9.8087430000000003E-2</v>
      </c>
      <c r="AJ1093">
        <f t="shared" si="498"/>
        <v>9.8087430000000003E-2</v>
      </c>
      <c r="AK1093">
        <v>9.8087430000000003E-2</v>
      </c>
      <c r="AL1093">
        <v>9.9178080000000002E-2</v>
      </c>
      <c r="AM1093">
        <v>0.10638298</v>
      </c>
      <c r="AN1093">
        <v>0.10882675999999999</v>
      </c>
      <c r="AO1093">
        <v>90.191256999999993</v>
      </c>
      <c r="AP1093">
        <v>90.082192000000006</v>
      </c>
      <c r="AQ1093">
        <v>89.361701999999994</v>
      </c>
      <c r="AR1093">
        <v>89.117323999999996</v>
      </c>
      <c r="AS1093" t="b">
        <v>0</v>
      </c>
      <c r="AT1093" t="b">
        <v>0</v>
      </c>
      <c r="AU1093" t="s">
        <v>77</v>
      </c>
      <c r="AV1093" t="s">
        <v>77</v>
      </c>
      <c r="AW1093" t="s">
        <v>783</v>
      </c>
      <c r="AX1093" t="s">
        <v>1298</v>
      </c>
      <c r="AY1093" t="s">
        <v>1364</v>
      </c>
      <c r="AZ1093" t="s">
        <v>109</v>
      </c>
      <c r="BA1093">
        <v>6</v>
      </c>
      <c r="BB1093">
        <v>12</v>
      </c>
      <c r="BC1093">
        <v>6.6481995999999998E-3</v>
      </c>
      <c r="BD1093">
        <v>2.8322716361753601E-4</v>
      </c>
      <c r="BE1093">
        <v>6.9314267636175399E-3</v>
      </c>
      <c r="BF1093">
        <f>IF(AK1093&lt;BE1093,1,0)</f>
        <v>0</v>
      </c>
      <c r="BG1093">
        <f>IF(AK1093&lt;BC1093,1,0)</f>
        <v>0</v>
      </c>
      <c r="BH1093">
        <f>VLOOKUP($B1093,[1]Data_Peer_with_peerVars!$B$2:$Z$1050,20,FALSE)</f>
        <v>17</v>
      </c>
      <c r="BI1093">
        <f>VLOOKUP($B1093,[1]Data_Peer_with_peerVars!$B$2:$Z$1050,21,FALSE)</f>
        <v>4</v>
      </c>
      <c r="BJ1093">
        <f>VLOOKUP($B1093,[1]Data_Peer_with_peerVars!$B$2:$Z$1050,22,FALSE)</f>
        <v>0.235294118</v>
      </c>
      <c r="BK1093">
        <f>VLOOKUP($B1093,[1]Data_Peer_with_peerVars!$B$2:$Z$1050,23,FALSE)</f>
        <v>34</v>
      </c>
      <c r="BL1093">
        <f>VLOOKUP($B1093,[1]Data_Peer_with_peerVars!$B$2:$Z$1050,24,FALSE)</f>
        <v>11</v>
      </c>
      <c r="BM1093">
        <f>VLOOKUP($B1093,[1]Data_Peer_with_peerVars!$B$2:$Z$1050,25,FALSE)</f>
        <v>0.32352941200000002</v>
      </c>
    </row>
    <row r="1094" spans="1:65" x14ac:dyDescent="0.2">
      <c r="A1094">
        <v>1</v>
      </c>
      <c r="B1094" t="s">
        <v>1663</v>
      </c>
      <c r="C1094">
        <v>673</v>
      </c>
      <c r="D1094" t="s">
        <v>68</v>
      </c>
      <c r="E1094">
        <v>0</v>
      </c>
      <c r="F1094">
        <v>697</v>
      </c>
      <c r="G1094" t="s">
        <v>97</v>
      </c>
      <c r="H1094" s="1">
        <v>5.5</v>
      </c>
      <c r="I1094" t="s">
        <v>87</v>
      </c>
      <c r="J1094" t="s">
        <v>111</v>
      </c>
      <c r="K1094" t="s">
        <v>109</v>
      </c>
      <c r="L1094">
        <v>1</v>
      </c>
      <c r="M1094">
        <v>0</v>
      </c>
      <c r="N1094">
        <v>1</v>
      </c>
      <c r="O1094">
        <v>0</v>
      </c>
      <c r="P1094">
        <v>0</v>
      </c>
      <c r="Q1094">
        <v>12</v>
      </c>
      <c r="R1094">
        <v>0</v>
      </c>
      <c r="S1094">
        <v>0</v>
      </c>
      <c r="T1094">
        <v>0</v>
      </c>
      <c r="U1094">
        <v>0</v>
      </c>
      <c r="V1094">
        <f t="shared" si="495"/>
        <v>1</v>
      </c>
      <c r="W1094">
        <v>1</v>
      </c>
      <c r="X1094">
        <v>1</v>
      </c>
      <c r="Y1094">
        <v>1</v>
      </c>
      <c r="Z1094" t="s">
        <v>73</v>
      </c>
      <c r="AA1094" s="5" t="s">
        <v>73</v>
      </c>
      <c r="AB1094" s="5" t="s">
        <v>73</v>
      </c>
      <c r="AC1094" t="s">
        <v>73</v>
      </c>
      <c r="AD1094" t="s">
        <v>94</v>
      </c>
      <c r="AE1094" s="5" t="s">
        <v>1151</v>
      </c>
      <c r="AF1094" t="s">
        <v>75</v>
      </c>
      <c r="AG1094" t="s">
        <v>137</v>
      </c>
      <c r="AH1094">
        <f t="shared" si="499"/>
        <v>9.0016365000000001E-2</v>
      </c>
      <c r="AI1094">
        <f t="shared" si="499"/>
        <v>9.0016365000000001E-2</v>
      </c>
      <c r="AJ1094">
        <f t="shared" si="498"/>
        <v>9.0016365000000001E-2</v>
      </c>
      <c r="AK1094">
        <v>9.0016365000000001E-2</v>
      </c>
      <c r="AL1094">
        <v>0.13407974</v>
      </c>
      <c r="AM1094">
        <v>0.13457331</v>
      </c>
      <c r="AN1094">
        <v>0.14664118000000001</v>
      </c>
      <c r="AO1094">
        <v>90.998363499999996</v>
      </c>
      <c r="AP1094">
        <v>86.592026000000004</v>
      </c>
      <c r="AQ1094">
        <v>86.542669000000004</v>
      </c>
      <c r="AR1094">
        <v>85.335881999999998</v>
      </c>
      <c r="AS1094" t="b">
        <v>1</v>
      </c>
      <c r="AT1094" t="b">
        <v>0</v>
      </c>
      <c r="AU1094" t="s">
        <v>77</v>
      </c>
      <c r="AV1094" t="s">
        <v>108</v>
      </c>
      <c r="AW1094" t="s">
        <v>783</v>
      </c>
      <c r="AX1094" t="s">
        <v>1298</v>
      </c>
      <c r="AY1094" t="s">
        <v>1364</v>
      </c>
      <c r="AZ1094" t="s">
        <v>109</v>
      </c>
      <c r="BA1094">
        <v>3</v>
      </c>
      <c r="BB1094">
        <v>8.4</v>
      </c>
      <c r="BC1094">
        <v>4.1163553999999996E-3</v>
      </c>
      <c r="BD1094">
        <v>1.4279989108178799E-4</v>
      </c>
      <c r="BE1094">
        <v>4.2591552910817903E-3</v>
      </c>
      <c r="BF1094">
        <f>IF(AK1094&lt;BE1094,1,0)</f>
        <v>0</v>
      </c>
      <c r="BG1094">
        <f>IF(AK1094&lt;BC1094,1,0)</f>
        <v>0</v>
      </c>
      <c r="BH1094">
        <f>VLOOKUP($B1094,[1]Data_Peer_with_peerVars!$B$2:$Z$1050,20,FALSE)</f>
        <v>17</v>
      </c>
      <c r="BI1094">
        <f>VLOOKUP($B1094,[1]Data_Peer_with_peerVars!$B$2:$Z$1050,21,FALSE)</f>
        <v>4</v>
      </c>
      <c r="BJ1094">
        <f>VLOOKUP($B1094,[1]Data_Peer_with_peerVars!$B$2:$Z$1050,22,FALSE)</f>
        <v>0.235294118</v>
      </c>
      <c r="BK1094">
        <f>VLOOKUP($B1094,[1]Data_Peer_with_peerVars!$B$2:$Z$1050,23,FALSE)</f>
        <v>34</v>
      </c>
      <c r="BL1094">
        <f>VLOOKUP($B1094,[1]Data_Peer_with_peerVars!$B$2:$Z$1050,24,FALSE)</f>
        <v>11</v>
      </c>
      <c r="BM1094">
        <f>VLOOKUP($B1094,[1]Data_Peer_with_peerVars!$B$2:$Z$1050,25,FALSE)</f>
        <v>0.32352941200000002</v>
      </c>
    </row>
    <row r="1095" spans="1:65" x14ac:dyDescent="0.2">
      <c r="A1095">
        <v>1</v>
      </c>
      <c r="B1095" t="s">
        <v>1664</v>
      </c>
      <c r="C1095">
        <v>674</v>
      </c>
      <c r="D1095" t="s">
        <v>68</v>
      </c>
      <c r="E1095">
        <v>0</v>
      </c>
      <c r="F1095">
        <v>698</v>
      </c>
      <c r="G1095" t="s">
        <v>97</v>
      </c>
      <c r="H1095" s="1">
        <v>3</v>
      </c>
      <c r="I1095" t="s">
        <v>87</v>
      </c>
      <c r="J1095" t="s">
        <v>111</v>
      </c>
      <c r="K1095" t="s">
        <v>109</v>
      </c>
      <c r="L1095">
        <v>2</v>
      </c>
      <c r="M1095">
        <v>0</v>
      </c>
      <c r="N1095">
        <v>1</v>
      </c>
      <c r="O1095">
        <v>0</v>
      </c>
      <c r="P1095">
        <v>0</v>
      </c>
      <c r="Q1095">
        <v>6</v>
      </c>
      <c r="R1095">
        <v>0</v>
      </c>
      <c r="S1095">
        <v>0</v>
      </c>
      <c r="T1095">
        <v>0</v>
      </c>
      <c r="U1095">
        <v>0</v>
      </c>
      <c r="V1095">
        <f t="shared" si="495"/>
        <v>0</v>
      </c>
      <c r="W1095">
        <f t="shared" si="496"/>
        <v>0</v>
      </c>
      <c r="X1095">
        <f t="shared" si="500"/>
        <v>0</v>
      </c>
      <c r="Y1095">
        <f t="shared" si="497"/>
        <v>0</v>
      </c>
      <c r="Z1095" t="s">
        <v>89</v>
      </c>
      <c r="AA1095" s="5" t="s">
        <v>89</v>
      </c>
      <c r="AB1095" s="5" t="s">
        <v>1346</v>
      </c>
      <c r="AC1095" t="s">
        <v>287</v>
      </c>
      <c r="AD1095" t="s">
        <v>137</v>
      </c>
      <c r="AE1095" s="5" t="s">
        <v>305</v>
      </c>
      <c r="AF1095" t="s">
        <v>113</v>
      </c>
      <c r="AG1095" t="s">
        <v>91</v>
      </c>
      <c r="AH1095">
        <f t="shared" ref="AH1095:AH1103" si="501">AI1095</f>
        <v>7.7826320000000004E-2</v>
      </c>
      <c r="AI1095">
        <f t="shared" ref="AI1095:AI1103" si="502">AJ1095</f>
        <v>7.7826320000000004E-2</v>
      </c>
      <c r="AJ1095">
        <f t="shared" si="498"/>
        <v>7.7826320000000004E-2</v>
      </c>
      <c r="AK1095">
        <v>7.7826320000000004E-2</v>
      </c>
      <c r="AL1095">
        <v>0.109503</v>
      </c>
      <c r="AM1095">
        <v>0.12362637</v>
      </c>
      <c r="AN1095">
        <v>0.12506840999999999</v>
      </c>
      <c r="AO1095">
        <v>92.217367999999993</v>
      </c>
      <c r="AP1095">
        <v>89.049700000000001</v>
      </c>
      <c r="AQ1095">
        <v>87.637362999999993</v>
      </c>
      <c r="AR1095">
        <v>87.493159000000006</v>
      </c>
      <c r="AS1095" t="b">
        <v>0</v>
      </c>
      <c r="AT1095" t="b">
        <v>0</v>
      </c>
      <c r="AU1095" t="s">
        <v>92</v>
      </c>
      <c r="AV1095" t="s">
        <v>92</v>
      </c>
      <c r="AW1095" t="s">
        <v>783</v>
      </c>
      <c r="AX1095" t="s">
        <v>1298</v>
      </c>
      <c r="AY1095" t="s">
        <v>1665</v>
      </c>
      <c r="AZ1095" t="s">
        <v>109</v>
      </c>
      <c r="BA1095">
        <v>4</v>
      </c>
      <c r="BB1095">
        <v>0.35</v>
      </c>
      <c r="BC1095">
        <v>5.5106750000000003E-2</v>
      </c>
      <c r="BD1095">
        <v>2.4361461616194298E-3</v>
      </c>
      <c r="BE1095">
        <v>5.7542896161619402E-2</v>
      </c>
      <c r="BF1095">
        <f>IF(AK1095&lt;BE1095,1,0)</f>
        <v>0</v>
      </c>
      <c r="BG1095">
        <f>IF(AK1095&lt;BC1095,1,0)</f>
        <v>0</v>
      </c>
      <c r="BH1095">
        <f>VLOOKUP($B1095,[1]Data_Peer_with_peerVars!$B$2:$Z$1050,20,FALSE)</f>
        <v>15</v>
      </c>
      <c r="BI1095">
        <f>VLOOKUP($B1095,[1]Data_Peer_with_peerVars!$B$2:$Z$1050,21,FALSE)</f>
        <v>4</v>
      </c>
      <c r="BJ1095">
        <f>VLOOKUP($B1095,[1]Data_Peer_with_peerVars!$B$2:$Z$1050,22,FALSE)</f>
        <v>0.26666666700000002</v>
      </c>
      <c r="BK1095">
        <f>VLOOKUP($B1095,[1]Data_Peer_with_peerVars!$B$2:$Z$1050,23,FALSE)</f>
        <v>35</v>
      </c>
      <c r="BL1095">
        <f>VLOOKUP($B1095,[1]Data_Peer_with_peerVars!$B$2:$Z$1050,24,FALSE)</f>
        <v>12</v>
      </c>
      <c r="BM1095">
        <f>VLOOKUP($B1095,[1]Data_Peer_with_peerVars!$B$2:$Z$1050,25,FALSE)</f>
        <v>0.34285714299999998</v>
      </c>
    </row>
    <row r="1096" spans="1:65" x14ac:dyDescent="0.2">
      <c r="A1096">
        <v>1</v>
      </c>
      <c r="B1096" t="s">
        <v>1666</v>
      </c>
      <c r="C1096">
        <v>675</v>
      </c>
      <c r="D1096" t="s">
        <v>68</v>
      </c>
      <c r="E1096">
        <v>1</v>
      </c>
      <c r="F1096">
        <v>701</v>
      </c>
      <c r="G1096" t="s">
        <v>69</v>
      </c>
      <c r="H1096" s="1">
        <v>5</v>
      </c>
      <c r="I1096" t="s">
        <v>87</v>
      </c>
      <c r="J1096" t="s">
        <v>111</v>
      </c>
      <c r="K1096" t="s">
        <v>109</v>
      </c>
      <c r="L1096">
        <v>1</v>
      </c>
      <c r="M1096">
        <v>0</v>
      </c>
      <c r="N1096">
        <v>0</v>
      </c>
      <c r="O1096">
        <v>0</v>
      </c>
      <c r="P1096">
        <v>0</v>
      </c>
      <c r="Q1096">
        <v>11</v>
      </c>
      <c r="R1096">
        <v>0</v>
      </c>
      <c r="S1096">
        <v>1</v>
      </c>
      <c r="T1096">
        <v>1</v>
      </c>
      <c r="U1096">
        <v>1</v>
      </c>
      <c r="V1096">
        <f t="shared" si="495"/>
        <v>0</v>
      </c>
      <c r="W1096">
        <f t="shared" si="496"/>
        <v>0</v>
      </c>
      <c r="X1096">
        <f t="shared" si="500"/>
        <v>0</v>
      </c>
      <c r="Y1096">
        <f t="shared" si="497"/>
        <v>0</v>
      </c>
      <c r="Z1096" t="s">
        <v>76</v>
      </c>
      <c r="AA1096" s="5" t="s">
        <v>76</v>
      </c>
      <c r="AB1096" s="5" t="s">
        <v>409</v>
      </c>
      <c r="AC1096" t="s">
        <v>95</v>
      </c>
      <c r="AD1096" t="s">
        <v>173</v>
      </c>
      <c r="AE1096" s="5" t="s">
        <v>1189</v>
      </c>
      <c r="AF1096" t="s">
        <v>174</v>
      </c>
      <c r="AG1096" t="s">
        <v>196</v>
      </c>
      <c r="AH1096">
        <f t="shared" si="501"/>
        <v>4.1050903E-2</v>
      </c>
      <c r="AI1096">
        <f t="shared" si="502"/>
        <v>4.1050903E-2</v>
      </c>
      <c r="AJ1096">
        <f t="shared" si="498"/>
        <v>4.1050903E-2</v>
      </c>
      <c r="AK1096">
        <v>4.1050903E-2</v>
      </c>
      <c r="AL1096">
        <v>6.3934420000000006E-2</v>
      </c>
      <c r="AM1096">
        <v>6.6739603999999994E-2</v>
      </c>
      <c r="AN1096">
        <v>6.9429199999999996E-2</v>
      </c>
      <c r="AO1096">
        <v>95.894909699999999</v>
      </c>
      <c r="AP1096">
        <v>93.606558000000007</v>
      </c>
      <c r="AQ1096">
        <v>93.326039600000001</v>
      </c>
      <c r="AR1096">
        <v>93.057079999999999</v>
      </c>
      <c r="AS1096" t="b">
        <v>0</v>
      </c>
      <c r="AT1096" t="b">
        <v>0</v>
      </c>
      <c r="AU1096" t="s">
        <v>77</v>
      </c>
      <c r="AV1096" t="s">
        <v>108</v>
      </c>
      <c r="AW1096" t="s">
        <v>783</v>
      </c>
      <c r="AX1096" t="s">
        <v>1298</v>
      </c>
      <c r="AY1096" t="s">
        <v>1364</v>
      </c>
      <c r="AZ1096" t="s">
        <v>109</v>
      </c>
      <c r="BA1096">
        <v>5</v>
      </c>
      <c r="BB1096">
        <v>0.7</v>
      </c>
      <c r="BC1096">
        <v>4.2676209999999999E-2</v>
      </c>
      <c r="BD1096">
        <v>1.50718657428557E-3</v>
      </c>
      <c r="BE1096">
        <v>4.4183396574285598E-2</v>
      </c>
      <c r="BF1096">
        <f>IF(AK1096&lt;BE1096,1,0)</f>
        <v>1</v>
      </c>
      <c r="BG1096">
        <f>IF(AK1096&lt;BC1096,1,0)</f>
        <v>1</v>
      </c>
      <c r="BH1096">
        <f>VLOOKUP($B1096,[1]Data_Peer_with_peerVars!$B$2:$Z$1050,20,FALSE)</f>
        <v>14</v>
      </c>
      <c r="BI1096">
        <f>VLOOKUP($B1096,[1]Data_Peer_with_peerVars!$B$2:$Z$1050,21,FALSE)</f>
        <v>5</v>
      </c>
      <c r="BJ1096">
        <f>VLOOKUP($B1096,[1]Data_Peer_with_peerVars!$B$2:$Z$1050,22,FALSE)</f>
        <v>0.35714285699999998</v>
      </c>
      <c r="BK1096">
        <f>VLOOKUP($B1096,[1]Data_Peer_with_peerVars!$B$2:$Z$1050,23,FALSE)</f>
        <v>39</v>
      </c>
      <c r="BL1096">
        <f>VLOOKUP($B1096,[1]Data_Peer_with_peerVars!$B$2:$Z$1050,24,FALSE)</f>
        <v>15</v>
      </c>
      <c r="BM1096">
        <f>VLOOKUP($B1096,[1]Data_Peer_with_peerVars!$B$2:$Z$1050,25,FALSE)</f>
        <v>0.38461538499999998</v>
      </c>
    </row>
    <row r="1097" spans="1:65" x14ac:dyDescent="0.2">
      <c r="A1097">
        <v>1</v>
      </c>
      <c r="B1097" t="s">
        <v>1667</v>
      </c>
      <c r="C1097">
        <v>676</v>
      </c>
      <c r="D1097" t="s">
        <v>68</v>
      </c>
      <c r="E1097">
        <v>0</v>
      </c>
      <c r="F1097">
        <v>719</v>
      </c>
      <c r="G1097" t="s">
        <v>97</v>
      </c>
      <c r="H1097" s="1">
        <v>6</v>
      </c>
      <c r="I1097" t="s">
        <v>87</v>
      </c>
      <c r="J1097" t="s">
        <v>150</v>
      </c>
      <c r="K1097" t="s">
        <v>72</v>
      </c>
      <c r="L1097">
        <v>1</v>
      </c>
      <c r="M1097">
        <v>1</v>
      </c>
      <c r="N1097">
        <v>1</v>
      </c>
      <c r="O1097">
        <v>0</v>
      </c>
      <c r="P1097">
        <v>0</v>
      </c>
      <c r="Q1097">
        <v>11</v>
      </c>
      <c r="R1097">
        <v>0</v>
      </c>
      <c r="S1097">
        <v>0</v>
      </c>
      <c r="T1097">
        <v>0</v>
      </c>
      <c r="U1097">
        <v>0</v>
      </c>
      <c r="V1097">
        <f t="shared" si="495"/>
        <v>0</v>
      </c>
      <c r="W1097">
        <f t="shared" si="496"/>
        <v>0</v>
      </c>
      <c r="X1097">
        <f t="shared" si="500"/>
        <v>0</v>
      </c>
      <c r="Y1097">
        <f t="shared" si="497"/>
        <v>0</v>
      </c>
      <c r="Z1097" t="s">
        <v>76</v>
      </c>
      <c r="AA1097" s="5" t="s">
        <v>76</v>
      </c>
      <c r="AB1097" s="5" t="s">
        <v>409</v>
      </c>
      <c r="AC1097" t="s">
        <v>101</v>
      </c>
      <c r="AD1097" t="s">
        <v>99</v>
      </c>
      <c r="AE1097" s="5" t="s">
        <v>99</v>
      </c>
      <c r="AF1097" t="s">
        <v>103</v>
      </c>
      <c r="AG1097" t="s">
        <v>102</v>
      </c>
      <c r="AH1097">
        <f t="shared" si="501"/>
        <v>9.8297640000000006E-2</v>
      </c>
      <c r="AI1097">
        <f t="shared" si="502"/>
        <v>9.8297640000000006E-2</v>
      </c>
      <c r="AJ1097">
        <f t="shared" si="498"/>
        <v>9.8297640000000006E-2</v>
      </c>
      <c r="AK1097">
        <v>9.8297640000000006E-2</v>
      </c>
      <c r="AL1097">
        <v>0.10617760599999999</v>
      </c>
      <c r="AM1097">
        <v>0.121212125</v>
      </c>
      <c r="AN1097">
        <v>0.12233752000000001</v>
      </c>
      <c r="AO1097">
        <v>90.170236000000003</v>
      </c>
      <c r="AP1097">
        <v>89.382239400000003</v>
      </c>
      <c r="AQ1097">
        <v>87.878787500000001</v>
      </c>
      <c r="AR1097">
        <v>87.766248000000004</v>
      </c>
      <c r="AS1097" t="b">
        <v>0</v>
      </c>
      <c r="AT1097" t="b">
        <v>0</v>
      </c>
      <c r="AU1097" t="s">
        <v>77</v>
      </c>
      <c r="AV1097" t="s">
        <v>78</v>
      </c>
      <c r="AW1097" t="s">
        <v>783</v>
      </c>
      <c r="AX1097" t="s">
        <v>1298</v>
      </c>
      <c r="AY1097" t="s">
        <v>1364</v>
      </c>
      <c r="AZ1097" t="s">
        <v>72</v>
      </c>
      <c r="BA1097" t="s">
        <v>82</v>
      </c>
      <c r="BB1097">
        <v>1.4</v>
      </c>
      <c r="BC1097">
        <v>1.4096186E-2</v>
      </c>
      <c r="BD1097">
        <v>1.55088650053763E-3</v>
      </c>
      <c r="BE1097">
        <v>1.5647072500537599E-2</v>
      </c>
      <c r="BF1097">
        <f>IF(AK1097&lt;BE1097,1,0)</f>
        <v>0</v>
      </c>
      <c r="BG1097">
        <f>IF(AK1097&lt;BC1097,1,0)</f>
        <v>0</v>
      </c>
      <c r="BH1097">
        <f>VLOOKUP($B1097,[1]Data_Peer_with_peerVars!$B$2:$Z$1050,20,FALSE)</f>
        <v>17</v>
      </c>
      <c r="BI1097">
        <f>VLOOKUP($B1097,[1]Data_Peer_with_peerVars!$B$2:$Z$1050,21,FALSE)</f>
        <v>5</v>
      </c>
      <c r="BJ1097">
        <f>VLOOKUP($B1097,[1]Data_Peer_with_peerVars!$B$2:$Z$1050,22,FALSE)</f>
        <v>0.29411764699999998</v>
      </c>
      <c r="BK1097">
        <f>VLOOKUP($B1097,[1]Data_Peer_with_peerVars!$B$2:$Z$1050,23,FALSE)</f>
        <v>34</v>
      </c>
      <c r="BL1097">
        <f>VLOOKUP($B1097,[1]Data_Peer_with_peerVars!$B$2:$Z$1050,24,FALSE)</f>
        <v>12</v>
      </c>
      <c r="BM1097">
        <f>VLOOKUP($B1097,[1]Data_Peer_with_peerVars!$B$2:$Z$1050,25,FALSE)</f>
        <v>0.35294117600000002</v>
      </c>
    </row>
    <row r="1098" spans="1:65" x14ac:dyDescent="0.2">
      <c r="A1098">
        <v>1</v>
      </c>
      <c r="B1098" t="s">
        <v>1668</v>
      </c>
      <c r="C1098">
        <v>676</v>
      </c>
      <c r="D1098" t="s">
        <v>68</v>
      </c>
      <c r="E1098">
        <v>0</v>
      </c>
      <c r="F1098">
        <v>719</v>
      </c>
      <c r="G1098" t="s">
        <v>97</v>
      </c>
      <c r="H1098" s="1">
        <v>6</v>
      </c>
      <c r="I1098" t="s">
        <v>87</v>
      </c>
      <c r="J1098" t="s">
        <v>150</v>
      </c>
      <c r="K1098" t="s">
        <v>72</v>
      </c>
      <c r="L1098">
        <v>1</v>
      </c>
      <c r="M1098">
        <v>1</v>
      </c>
      <c r="N1098">
        <v>1</v>
      </c>
      <c r="O1098">
        <v>0</v>
      </c>
      <c r="P1098">
        <v>0</v>
      </c>
      <c r="Q1098">
        <v>11</v>
      </c>
      <c r="R1098">
        <v>0</v>
      </c>
      <c r="S1098">
        <v>0</v>
      </c>
      <c r="T1098">
        <v>0</v>
      </c>
      <c r="U1098">
        <v>0</v>
      </c>
      <c r="V1098">
        <f t="shared" si="495"/>
        <v>0</v>
      </c>
      <c r="W1098">
        <f t="shared" si="496"/>
        <v>0</v>
      </c>
      <c r="X1098">
        <f t="shared" si="500"/>
        <v>0</v>
      </c>
      <c r="Y1098">
        <f t="shared" si="497"/>
        <v>0</v>
      </c>
      <c r="Z1098" t="s">
        <v>89</v>
      </c>
      <c r="AA1098" s="5" t="s">
        <v>89</v>
      </c>
      <c r="AB1098" s="5" t="s">
        <v>1346</v>
      </c>
      <c r="AC1098" t="s">
        <v>91</v>
      </c>
      <c r="AD1098" t="s">
        <v>137</v>
      </c>
      <c r="AE1098" s="5" t="s">
        <v>137</v>
      </c>
      <c r="AF1098" t="s">
        <v>287</v>
      </c>
      <c r="AG1098" t="s">
        <v>113</v>
      </c>
      <c r="AH1098">
        <f t="shared" si="501"/>
        <v>0.10810071</v>
      </c>
      <c r="AI1098">
        <f t="shared" si="502"/>
        <v>0.10810071</v>
      </c>
      <c r="AJ1098">
        <f t="shared" si="498"/>
        <v>0.10810071</v>
      </c>
      <c r="AK1098">
        <v>0.10810071</v>
      </c>
      <c r="AL1098">
        <v>0.11851447</v>
      </c>
      <c r="AM1098">
        <v>0.13661203</v>
      </c>
      <c r="AN1098">
        <v>0.13743815000000001</v>
      </c>
      <c r="AO1098">
        <v>89.189929000000006</v>
      </c>
      <c r="AP1098">
        <v>88.148553000000007</v>
      </c>
      <c r="AQ1098">
        <v>86.338797</v>
      </c>
      <c r="AR1098">
        <v>86.256185000000002</v>
      </c>
      <c r="AS1098" t="b">
        <v>0</v>
      </c>
      <c r="AT1098" t="b">
        <v>0</v>
      </c>
      <c r="AU1098" t="s">
        <v>92</v>
      </c>
      <c r="AV1098" t="s">
        <v>92</v>
      </c>
      <c r="AW1098" t="s">
        <v>783</v>
      </c>
      <c r="AX1098" t="s">
        <v>1298</v>
      </c>
      <c r="AY1098" t="s">
        <v>1364</v>
      </c>
      <c r="AZ1098" t="s">
        <v>72</v>
      </c>
      <c r="BA1098" t="s">
        <v>82</v>
      </c>
      <c r="BB1098">
        <v>0.7</v>
      </c>
      <c r="BC1098">
        <v>9.0659339999999995E-3</v>
      </c>
      <c r="BD1098">
        <v>2.76583658862385E-3</v>
      </c>
      <c r="BE1098">
        <v>1.1831770588623799E-2</v>
      </c>
      <c r="BF1098">
        <f>IF(AK1098&lt;BE1098,1,0)</f>
        <v>0</v>
      </c>
      <c r="BG1098">
        <f>IF(AK1098&lt;BC1098,1,0)</f>
        <v>0</v>
      </c>
      <c r="BH1098">
        <f>VLOOKUP($B1098,[1]Data_Peer_with_peerVars!$B$2:$Z$1050,20,FALSE)</f>
        <v>17</v>
      </c>
      <c r="BI1098">
        <f>VLOOKUP($B1098,[1]Data_Peer_with_peerVars!$B$2:$Z$1050,21,FALSE)</f>
        <v>5</v>
      </c>
      <c r="BJ1098">
        <f>VLOOKUP($B1098,[1]Data_Peer_with_peerVars!$B$2:$Z$1050,22,FALSE)</f>
        <v>0.29411764699999998</v>
      </c>
      <c r="BK1098">
        <f>VLOOKUP($B1098,[1]Data_Peer_with_peerVars!$B$2:$Z$1050,23,FALSE)</f>
        <v>34</v>
      </c>
      <c r="BL1098">
        <f>VLOOKUP($B1098,[1]Data_Peer_with_peerVars!$B$2:$Z$1050,24,FALSE)</f>
        <v>12</v>
      </c>
      <c r="BM1098">
        <f>VLOOKUP($B1098,[1]Data_Peer_with_peerVars!$B$2:$Z$1050,25,FALSE)</f>
        <v>0.35294117600000002</v>
      </c>
    </row>
    <row r="1099" spans="1:65" x14ac:dyDescent="0.2">
      <c r="A1099">
        <v>1</v>
      </c>
      <c r="B1099" t="s">
        <v>1669</v>
      </c>
      <c r="C1099">
        <v>677</v>
      </c>
      <c r="D1099" t="s">
        <v>68</v>
      </c>
      <c r="E1099">
        <v>1</v>
      </c>
      <c r="F1099">
        <v>732</v>
      </c>
      <c r="G1099" t="s">
        <v>86</v>
      </c>
      <c r="H1099" s="1">
        <v>7</v>
      </c>
      <c r="I1099" t="s">
        <v>87</v>
      </c>
      <c r="J1099" t="s">
        <v>150</v>
      </c>
      <c r="K1099" t="s">
        <v>109</v>
      </c>
      <c r="L1099">
        <v>2</v>
      </c>
      <c r="M1099">
        <v>0</v>
      </c>
      <c r="N1099">
        <v>1</v>
      </c>
      <c r="O1099">
        <v>0</v>
      </c>
      <c r="P1099">
        <v>0</v>
      </c>
      <c r="Q1099">
        <v>6</v>
      </c>
      <c r="R1099">
        <v>1</v>
      </c>
      <c r="S1099">
        <v>1</v>
      </c>
      <c r="T1099">
        <v>1</v>
      </c>
      <c r="U1099">
        <v>1</v>
      </c>
      <c r="V1099">
        <f t="shared" si="495"/>
        <v>0</v>
      </c>
      <c r="W1099">
        <f t="shared" si="496"/>
        <v>0</v>
      </c>
      <c r="X1099">
        <f t="shared" si="500"/>
        <v>0</v>
      </c>
      <c r="Y1099">
        <f t="shared" si="497"/>
        <v>0</v>
      </c>
      <c r="Z1099" t="s">
        <v>76</v>
      </c>
      <c r="AA1099" s="5" t="s">
        <v>76</v>
      </c>
      <c r="AB1099" s="5" t="s">
        <v>76</v>
      </c>
      <c r="AC1099" t="s">
        <v>174</v>
      </c>
      <c r="AD1099" t="s">
        <v>74</v>
      </c>
      <c r="AE1099" s="5" t="s">
        <v>74</v>
      </c>
      <c r="AF1099" t="s">
        <v>173</v>
      </c>
      <c r="AG1099" t="s">
        <v>198</v>
      </c>
      <c r="AH1099">
        <f t="shared" si="501"/>
        <v>9.6774189999999996E-2</v>
      </c>
      <c r="AI1099">
        <f t="shared" si="502"/>
        <v>9.6774189999999996E-2</v>
      </c>
      <c r="AJ1099">
        <f t="shared" si="498"/>
        <v>9.6774189999999996E-2</v>
      </c>
      <c r="AK1099">
        <v>9.6774189999999996E-2</v>
      </c>
      <c r="AL1099">
        <v>9.9452055999999997E-2</v>
      </c>
      <c r="AM1099">
        <v>0.10534934999999999</v>
      </c>
      <c r="AN1099">
        <v>0.10855263499999999</v>
      </c>
      <c r="AO1099">
        <v>90.322581</v>
      </c>
      <c r="AP1099">
        <v>90.054794400000006</v>
      </c>
      <c r="AQ1099">
        <v>89.465064999999996</v>
      </c>
      <c r="AR1099">
        <v>89.144736499999993</v>
      </c>
      <c r="AS1099" t="b">
        <v>0</v>
      </c>
      <c r="AT1099" t="b">
        <v>0</v>
      </c>
      <c r="AU1099" t="s">
        <v>77</v>
      </c>
      <c r="AV1099" t="s">
        <v>77</v>
      </c>
      <c r="AW1099" t="s">
        <v>783</v>
      </c>
      <c r="AX1099" t="s">
        <v>1277</v>
      </c>
      <c r="AY1099" t="s">
        <v>1670</v>
      </c>
      <c r="AZ1099" t="s">
        <v>109</v>
      </c>
      <c r="BA1099">
        <v>15</v>
      </c>
      <c r="BB1099">
        <v>0.7</v>
      </c>
      <c r="BC1099">
        <v>6.6481995999999998E-3</v>
      </c>
      <c r="BD1099">
        <v>2.8322716361753601E-4</v>
      </c>
      <c r="BE1099">
        <v>6.9314267636175399E-3</v>
      </c>
      <c r="BF1099">
        <f>IF(AK1099&lt;BE1099,1,0)</f>
        <v>0</v>
      </c>
      <c r="BG1099">
        <f>IF(AK1099&lt;BC1099,1,0)</f>
        <v>0</v>
      </c>
      <c r="BH1099">
        <f>VLOOKUP($B1099,[1]Data_Peer_with_peerVars!$B$2:$Z$1050,20,FALSE)</f>
        <v>17</v>
      </c>
      <c r="BI1099">
        <f>VLOOKUP($B1099,[1]Data_Peer_with_peerVars!$B$2:$Z$1050,21,FALSE)</f>
        <v>5</v>
      </c>
      <c r="BJ1099">
        <f>VLOOKUP($B1099,[1]Data_Peer_with_peerVars!$B$2:$Z$1050,22,FALSE)</f>
        <v>0.29411764699999998</v>
      </c>
      <c r="BK1099">
        <f>VLOOKUP($B1099,[1]Data_Peer_with_peerVars!$B$2:$Z$1050,23,FALSE)</f>
        <v>34</v>
      </c>
      <c r="BL1099">
        <f>VLOOKUP($B1099,[1]Data_Peer_with_peerVars!$B$2:$Z$1050,24,FALSE)</f>
        <v>12</v>
      </c>
      <c r="BM1099">
        <f>VLOOKUP($B1099,[1]Data_Peer_with_peerVars!$B$2:$Z$1050,25,FALSE)</f>
        <v>0.35294117600000002</v>
      </c>
    </row>
    <row r="1100" spans="1:65" x14ac:dyDescent="0.2">
      <c r="A1100">
        <v>1</v>
      </c>
      <c r="B1100" t="s">
        <v>1671</v>
      </c>
      <c r="C1100">
        <v>677</v>
      </c>
      <c r="D1100" t="s">
        <v>68</v>
      </c>
      <c r="E1100">
        <v>1</v>
      </c>
      <c r="F1100">
        <v>732</v>
      </c>
      <c r="G1100" t="s">
        <v>86</v>
      </c>
      <c r="H1100" s="1">
        <v>7</v>
      </c>
      <c r="I1100" t="s">
        <v>87</v>
      </c>
      <c r="J1100" t="s">
        <v>150</v>
      </c>
      <c r="K1100" t="s">
        <v>109</v>
      </c>
      <c r="L1100">
        <v>2</v>
      </c>
      <c r="M1100">
        <v>0</v>
      </c>
      <c r="N1100">
        <v>1</v>
      </c>
      <c r="O1100">
        <v>0</v>
      </c>
      <c r="P1100">
        <v>0</v>
      </c>
      <c r="Q1100">
        <v>6</v>
      </c>
      <c r="R1100">
        <v>0</v>
      </c>
      <c r="S1100">
        <v>0</v>
      </c>
      <c r="T1100">
        <v>0</v>
      </c>
      <c r="U1100">
        <v>0</v>
      </c>
      <c r="V1100">
        <f t="shared" si="495"/>
        <v>0</v>
      </c>
      <c r="W1100">
        <f t="shared" si="496"/>
        <v>0</v>
      </c>
      <c r="X1100">
        <f t="shared" si="500"/>
        <v>0</v>
      </c>
      <c r="Y1100">
        <f t="shared" si="497"/>
        <v>0</v>
      </c>
      <c r="Z1100" t="s">
        <v>120</v>
      </c>
      <c r="AA1100" s="5" t="s">
        <v>120</v>
      </c>
      <c r="AB1100" s="5" t="s">
        <v>120</v>
      </c>
      <c r="AC1100" t="s">
        <v>73</v>
      </c>
      <c r="AD1100" t="s">
        <v>75</v>
      </c>
      <c r="AE1100" s="5" t="s">
        <v>1672</v>
      </c>
      <c r="AF1100" t="s">
        <v>113</v>
      </c>
      <c r="AG1100" t="s">
        <v>167</v>
      </c>
      <c r="AH1100">
        <f t="shared" si="501"/>
        <v>0.11960677</v>
      </c>
      <c r="AI1100">
        <f t="shared" si="502"/>
        <v>0.11960677</v>
      </c>
      <c r="AJ1100">
        <f t="shared" si="498"/>
        <v>0.11960677</v>
      </c>
      <c r="AK1100">
        <v>0.11960677</v>
      </c>
      <c r="AL1100">
        <v>0.15169769999999999</v>
      </c>
      <c r="AM1100">
        <v>0.15219780999999999</v>
      </c>
      <c r="AN1100">
        <v>0.15304443000000001</v>
      </c>
      <c r="AO1100">
        <v>88.039322999999996</v>
      </c>
      <c r="AP1100">
        <v>84.83023</v>
      </c>
      <c r="AQ1100">
        <v>84.780219000000002</v>
      </c>
      <c r="AR1100">
        <v>84.695556999999994</v>
      </c>
      <c r="AS1100" t="b">
        <v>0</v>
      </c>
      <c r="AT1100" t="b">
        <v>0</v>
      </c>
      <c r="AU1100" t="s">
        <v>78</v>
      </c>
      <c r="AV1100" t="s">
        <v>108</v>
      </c>
      <c r="AW1100" t="s">
        <v>783</v>
      </c>
      <c r="AX1100" t="s">
        <v>1277</v>
      </c>
      <c r="AY1100" t="s">
        <v>1670</v>
      </c>
      <c r="AZ1100" t="s">
        <v>109</v>
      </c>
      <c r="BA1100">
        <v>10</v>
      </c>
      <c r="BB1100">
        <v>0.35</v>
      </c>
      <c r="BC1100">
        <v>4.1163553999999996E-3</v>
      </c>
      <c r="BD1100">
        <v>1.4279989108178799E-4</v>
      </c>
      <c r="BE1100">
        <v>4.2591552910817903E-3</v>
      </c>
      <c r="BF1100">
        <f>IF(AK1100&lt;BE1100,1,0)</f>
        <v>0</v>
      </c>
      <c r="BG1100">
        <f>IF(AK1100&lt;BC1100,1,0)</f>
        <v>0</v>
      </c>
      <c r="BH1100">
        <f>VLOOKUP($B1100,[1]Data_Peer_with_peerVars!$B$2:$Z$1050,20,FALSE)</f>
        <v>17</v>
      </c>
      <c r="BI1100">
        <f>VLOOKUP($B1100,[1]Data_Peer_with_peerVars!$B$2:$Z$1050,21,FALSE)</f>
        <v>5</v>
      </c>
      <c r="BJ1100">
        <f>VLOOKUP($B1100,[1]Data_Peer_with_peerVars!$B$2:$Z$1050,22,FALSE)</f>
        <v>0.29411764699999998</v>
      </c>
      <c r="BK1100">
        <f>VLOOKUP($B1100,[1]Data_Peer_with_peerVars!$B$2:$Z$1050,23,FALSE)</f>
        <v>34</v>
      </c>
      <c r="BL1100">
        <f>VLOOKUP($B1100,[1]Data_Peer_with_peerVars!$B$2:$Z$1050,24,FALSE)</f>
        <v>12</v>
      </c>
      <c r="BM1100">
        <f>VLOOKUP($B1100,[1]Data_Peer_with_peerVars!$B$2:$Z$1050,25,FALSE)</f>
        <v>0.35294117600000002</v>
      </c>
    </row>
    <row r="1101" spans="1:65" x14ac:dyDescent="0.2">
      <c r="A1101">
        <v>1</v>
      </c>
      <c r="B1101" t="s">
        <v>1673</v>
      </c>
      <c r="C1101">
        <v>678</v>
      </c>
      <c r="D1101" t="s">
        <v>68</v>
      </c>
      <c r="E1101">
        <v>1</v>
      </c>
      <c r="F1101">
        <v>733</v>
      </c>
      <c r="G1101" t="s">
        <v>86</v>
      </c>
      <c r="H1101" s="1">
        <v>5.5</v>
      </c>
      <c r="I1101" t="s">
        <v>87</v>
      </c>
      <c r="J1101" t="s">
        <v>111</v>
      </c>
      <c r="K1101" t="s">
        <v>109</v>
      </c>
      <c r="L1101">
        <v>2</v>
      </c>
      <c r="M1101">
        <v>0</v>
      </c>
      <c r="N1101">
        <v>1</v>
      </c>
      <c r="O1101">
        <v>0</v>
      </c>
      <c r="P1101">
        <v>0</v>
      </c>
      <c r="Q1101">
        <v>10</v>
      </c>
      <c r="R1101">
        <v>1</v>
      </c>
      <c r="S1101">
        <v>1</v>
      </c>
      <c r="T1101">
        <v>1</v>
      </c>
      <c r="U1101">
        <v>1</v>
      </c>
      <c r="V1101">
        <f t="shared" si="495"/>
        <v>0</v>
      </c>
      <c r="W1101">
        <f t="shared" si="496"/>
        <v>0</v>
      </c>
      <c r="X1101">
        <f t="shared" si="500"/>
        <v>0</v>
      </c>
      <c r="Y1101">
        <f t="shared" si="497"/>
        <v>0</v>
      </c>
      <c r="Z1101" t="s">
        <v>177</v>
      </c>
      <c r="AA1101" s="5" t="s">
        <v>177</v>
      </c>
      <c r="AB1101" s="5" t="s">
        <v>1674</v>
      </c>
      <c r="AC1101" t="s">
        <v>174</v>
      </c>
      <c r="AD1101" t="s">
        <v>173</v>
      </c>
      <c r="AE1101" s="5" t="s">
        <v>506</v>
      </c>
      <c r="AF1101" t="s">
        <v>198</v>
      </c>
      <c r="AG1101" t="s">
        <v>196</v>
      </c>
      <c r="AH1101">
        <f t="shared" si="501"/>
        <v>7.1077090000000002E-3</v>
      </c>
      <c r="AI1101">
        <f t="shared" si="502"/>
        <v>7.1077090000000002E-3</v>
      </c>
      <c r="AJ1101">
        <f t="shared" si="498"/>
        <v>7.1077090000000002E-3</v>
      </c>
      <c r="AK1101">
        <v>7.1077090000000002E-3</v>
      </c>
      <c r="AL1101">
        <v>3.3042055000000001E-2</v>
      </c>
      <c r="AM1101">
        <v>3.4851809999999997E-2</v>
      </c>
      <c r="AN1101">
        <v>5.2111905E-2</v>
      </c>
      <c r="AO1101">
        <v>99.2892291</v>
      </c>
      <c r="AP1101">
        <v>96.695794500000005</v>
      </c>
      <c r="AQ1101">
        <v>96.514819000000003</v>
      </c>
      <c r="AR1101">
        <v>94.788809499999999</v>
      </c>
      <c r="AS1101" t="b">
        <v>0</v>
      </c>
      <c r="AT1101" t="b">
        <v>0</v>
      </c>
      <c r="AU1101" t="s">
        <v>92</v>
      </c>
      <c r="AV1101" t="s">
        <v>92</v>
      </c>
      <c r="AW1101" t="s">
        <v>783</v>
      </c>
      <c r="AX1101" t="s">
        <v>1298</v>
      </c>
      <c r="AY1101" t="s">
        <v>1364</v>
      </c>
      <c r="AZ1101" t="s">
        <v>109</v>
      </c>
      <c r="BA1101">
        <v>2</v>
      </c>
      <c r="BB1101">
        <v>0.52500000000000002</v>
      </c>
      <c r="BC1101">
        <v>6.6481995999999998E-3</v>
      </c>
      <c r="BD1101">
        <v>2.8322716361753601E-4</v>
      </c>
      <c r="BE1101">
        <v>6.9314267636175399E-3</v>
      </c>
      <c r="BF1101">
        <f>IF(AK1101&lt;BE1101,1,0)</f>
        <v>0</v>
      </c>
      <c r="BG1101">
        <f>IF(AK1101&lt;BC1101,1,0)</f>
        <v>0</v>
      </c>
      <c r="BH1101">
        <f>VLOOKUP($B1101,[1]Data_Peer_with_peerVars!$B$2:$Z$1050,20,FALSE)</f>
        <v>15</v>
      </c>
      <c r="BI1101">
        <f>VLOOKUP($B1101,[1]Data_Peer_with_peerVars!$B$2:$Z$1050,21,FALSE)</f>
        <v>4</v>
      </c>
      <c r="BJ1101">
        <f>VLOOKUP($B1101,[1]Data_Peer_with_peerVars!$B$2:$Z$1050,22,FALSE)</f>
        <v>0.26666666700000002</v>
      </c>
      <c r="BK1101">
        <f>VLOOKUP($B1101,[1]Data_Peer_with_peerVars!$B$2:$Z$1050,23,FALSE)</f>
        <v>35</v>
      </c>
      <c r="BL1101">
        <f>VLOOKUP($B1101,[1]Data_Peer_with_peerVars!$B$2:$Z$1050,24,FALSE)</f>
        <v>12</v>
      </c>
      <c r="BM1101">
        <f>VLOOKUP($B1101,[1]Data_Peer_with_peerVars!$B$2:$Z$1050,25,FALSE)</f>
        <v>0.34285714299999998</v>
      </c>
    </row>
    <row r="1102" spans="1:65" x14ac:dyDescent="0.2">
      <c r="A1102">
        <v>1</v>
      </c>
      <c r="B1102" t="s">
        <v>1675</v>
      </c>
      <c r="C1102">
        <v>679</v>
      </c>
      <c r="D1102" t="s">
        <v>68</v>
      </c>
      <c r="E1102">
        <v>1</v>
      </c>
      <c r="F1102">
        <v>755</v>
      </c>
      <c r="G1102" t="s">
        <v>86</v>
      </c>
      <c r="H1102" s="1">
        <v>7</v>
      </c>
      <c r="I1102" t="s">
        <v>87</v>
      </c>
      <c r="J1102" t="s">
        <v>111</v>
      </c>
      <c r="K1102" t="s">
        <v>109</v>
      </c>
      <c r="L1102">
        <v>1</v>
      </c>
      <c r="M1102">
        <v>0</v>
      </c>
      <c r="N1102">
        <v>0</v>
      </c>
      <c r="O1102">
        <v>0</v>
      </c>
      <c r="P1102">
        <v>0</v>
      </c>
      <c r="Q1102">
        <v>6</v>
      </c>
      <c r="R1102">
        <v>0</v>
      </c>
      <c r="S1102">
        <v>0</v>
      </c>
      <c r="T1102">
        <v>0</v>
      </c>
      <c r="U1102">
        <v>0</v>
      </c>
      <c r="V1102">
        <f t="shared" si="495"/>
        <v>1</v>
      </c>
      <c r="W1102">
        <v>1</v>
      </c>
      <c r="X1102">
        <v>1</v>
      </c>
      <c r="Y1102">
        <v>1</v>
      </c>
      <c r="Z1102" t="s">
        <v>287</v>
      </c>
      <c r="AA1102" s="5" t="s">
        <v>287</v>
      </c>
      <c r="AB1102" s="5" t="s">
        <v>287</v>
      </c>
      <c r="AC1102" t="s">
        <v>287</v>
      </c>
      <c r="AD1102" t="s">
        <v>137</v>
      </c>
      <c r="AE1102" s="5" t="s">
        <v>305</v>
      </c>
      <c r="AF1102" t="s">
        <v>91</v>
      </c>
      <c r="AG1102" t="s">
        <v>113</v>
      </c>
      <c r="AH1102">
        <f t="shared" si="501"/>
        <v>4.187192E-2</v>
      </c>
      <c r="AI1102">
        <f t="shared" si="502"/>
        <v>4.187192E-2</v>
      </c>
      <c r="AJ1102">
        <f t="shared" si="498"/>
        <v>4.187192E-2</v>
      </c>
      <c r="AK1102">
        <v>4.187192E-2</v>
      </c>
      <c r="AL1102">
        <v>0.109529026</v>
      </c>
      <c r="AM1102">
        <v>0.1214364</v>
      </c>
      <c r="AN1102">
        <v>0.12561982999999999</v>
      </c>
      <c r="AO1102">
        <v>95.812808000000004</v>
      </c>
      <c r="AP1102">
        <v>89.047097399999998</v>
      </c>
      <c r="AQ1102">
        <v>87.856359999999995</v>
      </c>
      <c r="AR1102">
        <v>87.438017000000002</v>
      </c>
      <c r="AS1102" t="b">
        <v>1</v>
      </c>
      <c r="AT1102" t="b">
        <v>0</v>
      </c>
      <c r="AU1102" t="s">
        <v>77</v>
      </c>
      <c r="AV1102" t="s">
        <v>108</v>
      </c>
      <c r="AW1102" t="s">
        <v>783</v>
      </c>
      <c r="AX1102" t="s">
        <v>1298</v>
      </c>
      <c r="AY1102" t="s">
        <v>1364</v>
      </c>
      <c r="AZ1102" t="s">
        <v>109</v>
      </c>
      <c r="BA1102">
        <v>10</v>
      </c>
      <c r="BB1102">
        <v>1</v>
      </c>
      <c r="BC1102">
        <v>5.5106750000000003E-2</v>
      </c>
      <c r="BD1102">
        <v>2.4361461616194298E-3</v>
      </c>
      <c r="BE1102">
        <v>5.7542896161619402E-2</v>
      </c>
      <c r="BF1102">
        <f>IF(AK1102&lt;BE1102,1,0)</f>
        <v>1</v>
      </c>
      <c r="BG1102">
        <f>IF(AK1102&lt;BC1102,1,0)</f>
        <v>1</v>
      </c>
      <c r="BH1102">
        <f>VLOOKUP($B1102,[1]Data_Peer_with_peerVars!$B$2:$Z$1050,20,FALSE)</f>
        <v>16</v>
      </c>
      <c r="BI1102">
        <f>VLOOKUP($B1102,[1]Data_Peer_with_peerVars!$B$2:$Z$1050,21,FALSE)</f>
        <v>3</v>
      </c>
      <c r="BJ1102">
        <f>VLOOKUP($B1102,[1]Data_Peer_with_peerVars!$B$2:$Z$1050,22,FALSE)</f>
        <v>0.1875</v>
      </c>
      <c r="BK1102">
        <f>VLOOKUP($B1102,[1]Data_Peer_with_peerVars!$B$2:$Z$1050,23,FALSE)</f>
        <v>33</v>
      </c>
      <c r="BL1102">
        <f>VLOOKUP($B1102,[1]Data_Peer_with_peerVars!$B$2:$Z$1050,24,FALSE)</f>
        <v>10</v>
      </c>
      <c r="BM1102">
        <f>VLOOKUP($B1102,[1]Data_Peer_with_peerVars!$B$2:$Z$1050,25,FALSE)</f>
        <v>0.303030303</v>
      </c>
    </row>
    <row r="1103" spans="1:65" x14ac:dyDescent="0.2">
      <c r="A1103">
        <v>1</v>
      </c>
      <c r="B1103" t="s">
        <v>1676</v>
      </c>
      <c r="C1103">
        <v>679</v>
      </c>
      <c r="D1103" t="s">
        <v>68</v>
      </c>
      <c r="E1103">
        <v>1</v>
      </c>
      <c r="F1103">
        <v>755</v>
      </c>
      <c r="G1103" t="s">
        <v>86</v>
      </c>
      <c r="H1103" s="1">
        <v>7</v>
      </c>
      <c r="I1103" t="s">
        <v>87</v>
      </c>
      <c r="J1103" t="s">
        <v>111</v>
      </c>
      <c r="K1103" t="s">
        <v>109</v>
      </c>
      <c r="L1103">
        <v>1</v>
      </c>
      <c r="M1103">
        <v>0</v>
      </c>
      <c r="N1103">
        <v>0</v>
      </c>
      <c r="O1103">
        <v>0</v>
      </c>
      <c r="P1103">
        <v>0</v>
      </c>
      <c r="Q1103">
        <v>6</v>
      </c>
      <c r="R1103">
        <v>0</v>
      </c>
      <c r="S1103">
        <v>0</v>
      </c>
      <c r="T1103">
        <v>1</v>
      </c>
      <c r="U1103">
        <v>1</v>
      </c>
      <c r="V1103">
        <f t="shared" si="495"/>
        <v>1</v>
      </c>
      <c r="W1103">
        <v>1</v>
      </c>
      <c r="X1103">
        <v>1</v>
      </c>
      <c r="Y1103">
        <v>1</v>
      </c>
      <c r="Z1103" t="s">
        <v>73</v>
      </c>
      <c r="AA1103" s="5" t="s">
        <v>73</v>
      </c>
      <c r="AB1103" s="5" t="s">
        <v>73</v>
      </c>
      <c r="AC1103" t="s">
        <v>73</v>
      </c>
      <c r="AD1103" t="s">
        <v>94</v>
      </c>
      <c r="AE1103" s="5" t="s">
        <v>106</v>
      </c>
      <c r="AF1103" t="s">
        <v>107</v>
      </c>
      <c r="AG1103" t="s">
        <v>95</v>
      </c>
      <c r="AH1103">
        <f t="shared" si="501"/>
        <v>4.0938863999999998E-3</v>
      </c>
      <c r="AI1103">
        <f t="shared" si="502"/>
        <v>4.0938863999999998E-3</v>
      </c>
      <c r="AJ1103">
        <f t="shared" si="498"/>
        <v>4.0938863999999998E-3</v>
      </c>
      <c r="AK1103">
        <v>4.0938863999999998E-3</v>
      </c>
      <c r="AL1103">
        <v>0.1321116</v>
      </c>
      <c r="AM1103">
        <v>0.13658803999999999</v>
      </c>
      <c r="AN1103">
        <v>0.13863014000000001</v>
      </c>
      <c r="AO1103">
        <v>99.590611359999997</v>
      </c>
      <c r="AP1103">
        <v>86.788839999999993</v>
      </c>
      <c r="AQ1103">
        <v>86.341195999999997</v>
      </c>
      <c r="AR1103">
        <v>86.136985999999993</v>
      </c>
      <c r="AS1103" t="b">
        <v>1</v>
      </c>
      <c r="AT1103" t="b">
        <v>0</v>
      </c>
      <c r="AU1103" t="s">
        <v>77</v>
      </c>
      <c r="AV1103" t="s">
        <v>108</v>
      </c>
      <c r="AW1103" t="s">
        <v>783</v>
      </c>
      <c r="AX1103" t="s">
        <v>1298</v>
      </c>
      <c r="AY1103" t="s">
        <v>1364</v>
      </c>
      <c r="AZ1103" t="s">
        <v>109</v>
      </c>
      <c r="BA1103">
        <v>2</v>
      </c>
      <c r="BB1103">
        <v>5</v>
      </c>
      <c r="BC1103">
        <v>4.1163553999999996E-3</v>
      </c>
      <c r="BD1103">
        <v>1.4279989108178799E-4</v>
      </c>
      <c r="BE1103">
        <v>4.2591552910817903E-3</v>
      </c>
      <c r="BF1103">
        <f>IF(AK1103&lt;BE1103,1,0)</f>
        <v>1</v>
      </c>
      <c r="BG1103">
        <f>IF(AK1103&lt;BC1103,1,0)</f>
        <v>1</v>
      </c>
      <c r="BH1103">
        <f>VLOOKUP($B1103,[1]Data_Peer_with_peerVars!$B$2:$Z$1050,20,FALSE)</f>
        <v>16</v>
      </c>
      <c r="BI1103">
        <f>VLOOKUP($B1103,[1]Data_Peer_with_peerVars!$B$2:$Z$1050,21,FALSE)</f>
        <v>3</v>
      </c>
      <c r="BJ1103">
        <f>VLOOKUP($B1103,[1]Data_Peer_with_peerVars!$B$2:$Z$1050,22,FALSE)</f>
        <v>0.1875</v>
      </c>
      <c r="BK1103">
        <f>VLOOKUP($B1103,[1]Data_Peer_with_peerVars!$B$2:$Z$1050,23,FALSE)</f>
        <v>33</v>
      </c>
      <c r="BL1103">
        <f>VLOOKUP($B1103,[1]Data_Peer_with_peerVars!$B$2:$Z$1050,24,FALSE)</f>
        <v>10</v>
      </c>
      <c r="BM1103">
        <f>VLOOKUP($B1103,[1]Data_Peer_with_peerVars!$B$2:$Z$1050,25,FALSE)</f>
        <v>0.303030303</v>
      </c>
    </row>
    <row r="1104" spans="1:65" x14ac:dyDescent="0.2">
      <c r="A1104">
        <v>1</v>
      </c>
      <c r="B1104" t="s">
        <v>1677</v>
      </c>
      <c r="C1104">
        <v>679</v>
      </c>
      <c r="D1104" t="s">
        <v>68</v>
      </c>
      <c r="E1104">
        <v>1</v>
      </c>
      <c r="F1104">
        <v>755</v>
      </c>
      <c r="G1104" t="s">
        <v>86</v>
      </c>
      <c r="H1104" s="1">
        <v>7</v>
      </c>
      <c r="I1104" t="s">
        <v>87</v>
      </c>
      <c r="J1104" t="s">
        <v>111</v>
      </c>
      <c r="K1104" t="s">
        <v>109</v>
      </c>
      <c r="L1104">
        <v>1</v>
      </c>
      <c r="M1104">
        <v>0</v>
      </c>
      <c r="N1104">
        <v>0</v>
      </c>
      <c r="O1104">
        <v>0</v>
      </c>
      <c r="P1104">
        <v>0</v>
      </c>
      <c r="Q1104">
        <v>6</v>
      </c>
      <c r="R1104">
        <v>1</v>
      </c>
      <c r="S1104">
        <v>1</v>
      </c>
      <c r="T1104">
        <v>1</v>
      </c>
      <c r="U1104">
        <v>1</v>
      </c>
      <c r="V1104">
        <f t="shared" si="495"/>
        <v>0</v>
      </c>
      <c r="W1104">
        <f t="shared" si="496"/>
        <v>0</v>
      </c>
      <c r="X1104">
        <f t="shared" si="500"/>
        <v>0</v>
      </c>
      <c r="Y1104">
        <f t="shared" si="497"/>
        <v>0</v>
      </c>
      <c r="Z1104" t="s">
        <v>177</v>
      </c>
      <c r="AA1104" s="5" t="s">
        <v>177</v>
      </c>
      <c r="AB1104" s="5" t="s">
        <v>1678</v>
      </c>
      <c r="AC1104" t="s">
        <v>107</v>
      </c>
      <c r="AD1104" t="s">
        <v>95</v>
      </c>
      <c r="AE1104" s="5" t="s">
        <v>95</v>
      </c>
      <c r="AF1104" t="s">
        <v>173</v>
      </c>
      <c r="AG1104" t="s">
        <v>174</v>
      </c>
      <c r="AH1104">
        <f t="shared" ref="AH1104:AI1106" si="503">AI1104</f>
        <v>9.0361439999999994E-3</v>
      </c>
      <c r="AI1104">
        <f t="shared" si="503"/>
        <v>9.0361439999999994E-3</v>
      </c>
      <c r="AJ1104">
        <f t="shared" si="498"/>
        <v>9.0361439999999994E-3</v>
      </c>
      <c r="AK1104">
        <v>9.0361439999999994E-3</v>
      </c>
      <c r="AL1104">
        <v>7.6944139999999994E-2</v>
      </c>
      <c r="AM1104">
        <v>9.3767084000000001E-2</v>
      </c>
      <c r="AN1104">
        <v>9.7480830000000004E-2</v>
      </c>
      <c r="AO1104">
        <v>99.096385600000005</v>
      </c>
      <c r="AP1104">
        <v>92.305586000000005</v>
      </c>
      <c r="AQ1104">
        <v>90.623291600000002</v>
      </c>
      <c r="AR1104">
        <v>90.251917000000006</v>
      </c>
      <c r="AS1104" t="b">
        <v>0</v>
      </c>
      <c r="AT1104" t="b">
        <v>0</v>
      </c>
      <c r="AU1104" t="s">
        <v>92</v>
      </c>
      <c r="AV1104" t="s">
        <v>92</v>
      </c>
      <c r="AW1104" t="s">
        <v>783</v>
      </c>
      <c r="AX1104" t="s">
        <v>1298</v>
      </c>
      <c r="AY1104" t="s">
        <v>1364</v>
      </c>
      <c r="AZ1104" t="s">
        <v>109</v>
      </c>
      <c r="BA1104">
        <v>2</v>
      </c>
      <c r="BB1104">
        <v>1</v>
      </c>
      <c r="BC1104">
        <v>2.6475456000000001E-2</v>
      </c>
      <c r="BD1104">
        <v>8.8330364056477401E-3</v>
      </c>
      <c r="BE1104">
        <v>3.53084924056477E-2</v>
      </c>
      <c r="BF1104">
        <f>IF(AK1104&lt;BE1104,1,0)</f>
        <v>1</v>
      </c>
      <c r="BG1104">
        <f>IF(AK1104&lt;BC1104,1,0)</f>
        <v>1</v>
      </c>
      <c r="BH1104">
        <f>VLOOKUP($B1104,[1]Data_Peer_with_peerVars!$B$2:$Z$1050,20,FALSE)</f>
        <v>16</v>
      </c>
      <c r="BI1104">
        <f>VLOOKUP($B1104,[1]Data_Peer_with_peerVars!$B$2:$Z$1050,21,FALSE)</f>
        <v>3</v>
      </c>
      <c r="BJ1104">
        <f>VLOOKUP($B1104,[1]Data_Peer_with_peerVars!$B$2:$Z$1050,22,FALSE)</f>
        <v>0.1875</v>
      </c>
      <c r="BK1104">
        <f>VLOOKUP($B1104,[1]Data_Peer_with_peerVars!$B$2:$Z$1050,23,FALSE)</f>
        <v>33</v>
      </c>
      <c r="BL1104">
        <f>VLOOKUP($B1104,[1]Data_Peer_with_peerVars!$B$2:$Z$1050,24,FALSE)</f>
        <v>10</v>
      </c>
      <c r="BM1104">
        <f>VLOOKUP($B1104,[1]Data_Peer_with_peerVars!$B$2:$Z$1050,25,FALSE)</f>
        <v>0.303030303</v>
      </c>
    </row>
    <row r="1105" spans="1:65" x14ac:dyDescent="0.2">
      <c r="A1105">
        <v>1</v>
      </c>
      <c r="B1105" t="s">
        <v>1679</v>
      </c>
      <c r="C1105">
        <v>680</v>
      </c>
      <c r="D1105" t="s">
        <v>68</v>
      </c>
      <c r="E1105">
        <v>1</v>
      </c>
      <c r="F1105">
        <v>395</v>
      </c>
      <c r="G1105" t="s">
        <v>86</v>
      </c>
      <c r="H1105" s="1">
        <v>7</v>
      </c>
      <c r="I1105" t="s">
        <v>87</v>
      </c>
      <c r="J1105" t="s">
        <v>111</v>
      </c>
      <c r="K1105" t="s">
        <v>109</v>
      </c>
      <c r="L1105">
        <v>1</v>
      </c>
      <c r="M1105">
        <v>0</v>
      </c>
      <c r="N1105">
        <v>1</v>
      </c>
      <c r="O1105">
        <v>0</v>
      </c>
      <c r="P1105">
        <v>0</v>
      </c>
      <c r="Q1105">
        <v>4</v>
      </c>
      <c r="R1105">
        <v>0</v>
      </c>
      <c r="S1105">
        <v>0</v>
      </c>
      <c r="T1105">
        <v>0</v>
      </c>
      <c r="U1105">
        <v>0</v>
      </c>
      <c r="V1105">
        <f t="shared" si="495"/>
        <v>1</v>
      </c>
      <c r="W1105">
        <v>1</v>
      </c>
      <c r="X1105">
        <v>1</v>
      </c>
      <c r="Y1105">
        <v>1</v>
      </c>
      <c r="Z1105" t="s">
        <v>91</v>
      </c>
      <c r="AA1105" s="5" t="s">
        <v>91</v>
      </c>
      <c r="AB1105" s="5" t="s">
        <v>1568</v>
      </c>
      <c r="AC1105" t="s">
        <v>91</v>
      </c>
      <c r="AD1105" t="s">
        <v>287</v>
      </c>
      <c r="AE1105" s="5" t="s">
        <v>287</v>
      </c>
      <c r="AF1105" t="s">
        <v>137</v>
      </c>
      <c r="AG1105" t="s">
        <v>113</v>
      </c>
      <c r="AH1105">
        <f t="shared" si="503"/>
        <v>6.2363237000000002E-2</v>
      </c>
      <c r="AI1105">
        <f t="shared" si="503"/>
        <v>6.2363237000000002E-2</v>
      </c>
      <c r="AJ1105">
        <f t="shared" si="498"/>
        <v>6.2363237000000002E-2</v>
      </c>
      <c r="AK1105">
        <v>6.2363237000000002E-2</v>
      </c>
      <c r="AL1105">
        <v>0.11387220000000001</v>
      </c>
      <c r="AM1105">
        <v>0.12179137</v>
      </c>
      <c r="AN1105">
        <v>0.12829670000000001</v>
      </c>
      <c r="AO1105">
        <v>93.7636763</v>
      </c>
      <c r="AP1105">
        <v>88.612780000000001</v>
      </c>
      <c r="AQ1105">
        <v>87.820863000000003</v>
      </c>
      <c r="AR1105">
        <v>87.170330000000007</v>
      </c>
      <c r="AS1105" t="b">
        <v>1</v>
      </c>
      <c r="AT1105" t="b">
        <v>0</v>
      </c>
      <c r="AU1105" t="s">
        <v>77</v>
      </c>
      <c r="AV1105" t="s">
        <v>78</v>
      </c>
      <c r="AW1105" t="s">
        <v>783</v>
      </c>
      <c r="AX1105" t="s">
        <v>1277</v>
      </c>
      <c r="AY1105" t="s">
        <v>1419</v>
      </c>
      <c r="AZ1105" t="s">
        <v>109</v>
      </c>
      <c r="BA1105">
        <v>2</v>
      </c>
      <c r="BB1105">
        <v>0.7</v>
      </c>
      <c r="BC1105">
        <v>9.0659339999999995E-3</v>
      </c>
      <c r="BD1105">
        <v>2.76583658862385E-3</v>
      </c>
      <c r="BE1105">
        <v>1.1831770588623799E-2</v>
      </c>
      <c r="BF1105">
        <f>IF(AK1105&lt;BE1105,1,0)</f>
        <v>0</v>
      </c>
      <c r="BG1105">
        <f>IF(AK1105&lt;BC1105,1,0)</f>
        <v>0</v>
      </c>
      <c r="BH1105">
        <f>VLOOKUP($B1105,[1]Data_Peer_with_peerVars!$B$2:$Z$1050,20,FALSE)</f>
        <v>9</v>
      </c>
      <c r="BI1105">
        <f>VLOOKUP($B1105,[1]Data_Peer_with_peerVars!$B$2:$Z$1050,21,FALSE)</f>
        <v>4</v>
      </c>
      <c r="BJ1105">
        <f>VLOOKUP($B1105,[1]Data_Peer_with_peerVars!$B$2:$Z$1050,22,FALSE)</f>
        <v>0.44444444399999999</v>
      </c>
      <c r="BK1105">
        <f>VLOOKUP($B1105,[1]Data_Peer_with_peerVars!$B$2:$Z$1050,23,FALSE)</f>
        <v>76</v>
      </c>
      <c r="BL1105">
        <f>VLOOKUP($B1105,[1]Data_Peer_with_peerVars!$B$2:$Z$1050,24,FALSE)</f>
        <v>37</v>
      </c>
      <c r="BM1105">
        <f>VLOOKUP($B1105,[1]Data_Peer_with_peerVars!$B$2:$Z$1050,25,FALSE)</f>
        <v>0.48684210500000002</v>
      </c>
    </row>
    <row r="1106" spans="1:65" x14ac:dyDescent="0.2">
      <c r="A1106">
        <v>1</v>
      </c>
      <c r="B1106" t="s">
        <v>1680</v>
      </c>
      <c r="C1106">
        <v>680</v>
      </c>
      <c r="D1106" t="s">
        <v>68</v>
      </c>
      <c r="E1106">
        <v>1</v>
      </c>
      <c r="F1106">
        <v>395</v>
      </c>
      <c r="G1106" t="s">
        <v>86</v>
      </c>
      <c r="H1106" s="1">
        <v>7</v>
      </c>
      <c r="I1106" t="s">
        <v>87</v>
      </c>
      <c r="J1106" t="s">
        <v>111</v>
      </c>
      <c r="K1106" t="s">
        <v>109</v>
      </c>
      <c r="L1106">
        <v>1</v>
      </c>
      <c r="M1106">
        <v>0</v>
      </c>
      <c r="N1106">
        <v>1</v>
      </c>
      <c r="O1106">
        <v>0</v>
      </c>
      <c r="P1106">
        <v>0</v>
      </c>
      <c r="Q1106">
        <v>4</v>
      </c>
      <c r="R1106">
        <v>1</v>
      </c>
      <c r="S1106">
        <v>1</v>
      </c>
      <c r="T1106">
        <v>1</v>
      </c>
      <c r="U1106">
        <v>1</v>
      </c>
      <c r="V1106">
        <f t="shared" si="495"/>
        <v>0</v>
      </c>
      <c r="W1106">
        <f t="shared" si="496"/>
        <v>0</v>
      </c>
      <c r="X1106">
        <f t="shared" si="500"/>
        <v>0</v>
      </c>
      <c r="Y1106">
        <f t="shared" si="497"/>
        <v>0</v>
      </c>
      <c r="Z1106" t="s">
        <v>177</v>
      </c>
      <c r="AA1106" s="5" t="s">
        <v>177</v>
      </c>
      <c r="AB1106" s="5" t="s">
        <v>1657</v>
      </c>
      <c r="AC1106" t="s">
        <v>174</v>
      </c>
      <c r="AD1106" t="s">
        <v>173</v>
      </c>
      <c r="AE1106" s="5" t="s">
        <v>506</v>
      </c>
      <c r="AF1106" t="s">
        <v>198</v>
      </c>
      <c r="AG1106" t="s">
        <v>95</v>
      </c>
      <c r="AH1106">
        <f t="shared" si="503"/>
        <v>4.1118420000000003E-2</v>
      </c>
      <c r="AI1106">
        <f t="shared" si="503"/>
        <v>4.1118420000000003E-2</v>
      </c>
      <c r="AJ1106">
        <f t="shared" si="498"/>
        <v>4.1118420000000003E-2</v>
      </c>
      <c r="AK1106">
        <v>4.1118420000000003E-2</v>
      </c>
      <c r="AL1106">
        <v>6.3526830000000006E-2</v>
      </c>
      <c r="AM1106">
        <v>6.521739E-2</v>
      </c>
      <c r="AN1106">
        <v>7.9034030000000005E-2</v>
      </c>
      <c r="AO1106">
        <v>95.888158000000004</v>
      </c>
      <c r="AP1106">
        <v>93.647317000000001</v>
      </c>
      <c r="AQ1106">
        <v>93.478261000000003</v>
      </c>
      <c r="AR1106">
        <v>92.096597000000003</v>
      </c>
      <c r="AS1106" t="b">
        <v>0</v>
      </c>
      <c r="AT1106" t="b">
        <v>0</v>
      </c>
      <c r="AU1106" t="s">
        <v>92</v>
      </c>
      <c r="AV1106" t="s">
        <v>92</v>
      </c>
      <c r="AW1106" t="s">
        <v>783</v>
      </c>
      <c r="AX1106" t="s">
        <v>1277</v>
      </c>
      <c r="AY1106" t="s">
        <v>1419</v>
      </c>
      <c r="AZ1106" t="s">
        <v>109</v>
      </c>
      <c r="BA1106">
        <v>2</v>
      </c>
      <c r="BB1106">
        <v>0.14000000000000001</v>
      </c>
      <c r="BC1106">
        <v>6.6481995999999998E-3</v>
      </c>
      <c r="BD1106">
        <v>2.8322716361753601E-4</v>
      </c>
      <c r="BE1106">
        <v>6.9314267636175399E-3</v>
      </c>
      <c r="BF1106">
        <f>IF(AK1106&lt;BE1106,1,0)</f>
        <v>0</v>
      </c>
      <c r="BG1106">
        <f>IF(AK1106&lt;BC1106,1,0)</f>
        <v>0</v>
      </c>
      <c r="BH1106">
        <f>VLOOKUP($B1106,[1]Data_Peer_with_peerVars!$B$2:$Z$1050,20,FALSE)</f>
        <v>9</v>
      </c>
      <c r="BI1106">
        <f>VLOOKUP($B1106,[1]Data_Peer_with_peerVars!$B$2:$Z$1050,21,FALSE)</f>
        <v>4</v>
      </c>
      <c r="BJ1106">
        <f>VLOOKUP($B1106,[1]Data_Peer_with_peerVars!$B$2:$Z$1050,22,FALSE)</f>
        <v>0.44444444399999999</v>
      </c>
      <c r="BK1106">
        <f>VLOOKUP($B1106,[1]Data_Peer_with_peerVars!$B$2:$Z$1050,23,FALSE)</f>
        <v>76</v>
      </c>
      <c r="BL1106">
        <f>VLOOKUP($B1106,[1]Data_Peer_with_peerVars!$B$2:$Z$1050,24,FALSE)</f>
        <v>37</v>
      </c>
      <c r="BM1106">
        <f>VLOOKUP($B1106,[1]Data_Peer_with_peerVars!$B$2:$Z$1050,25,FALSE)</f>
        <v>0.48684210500000002</v>
      </c>
    </row>
    <row r="1107" spans="1:65" x14ac:dyDescent="0.2">
      <c r="A1107">
        <v>1</v>
      </c>
      <c r="B1107" t="s">
        <v>1681</v>
      </c>
      <c r="C1107">
        <v>681</v>
      </c>
      <c r="D1107" t="s">
        <v>68</v>
      </c>
      <c r="E1107">
        <v>1</v>
      </c>
      <c r="F1107">
        <v>396</v>
      </c>
      <c r="G1107" t="s">
        <v>69</v>
      </c>
      <c r="H1107" s="1">
        <v>7</v>
      </c>
      <c r="I1107" t="s">
        <v>87</v>
      </c>
      <c r="J1107" t="s">
        <v>124</v>
      </c>
      <c r="K1107" t="s">
        <v>72</v>
      </c>
      <c r="L1107">
        <v>1</v>
      </c>
      <c r="M1107">
        <v>1</v>
      </c>
      <c r="N1107">
        <v>1</v>
      </c>
      <c r="O1107">
        <v>0</v>
      </c>
      <c r="P1107">
        <v>0</v>
      </c>
      <c r="Q1107">
        <v>6</v>
      </c>
      <c r="R1107">
        <v>0</v>
      </c>
      <c r="S1107">
        <v>0</v>
      </c>
      <c r="T1107">
        <v>1</v>
      </c>
      <c r="U1107">
        <v>1</v>
      </c>
      <c r="V1107">
        <f t="shared" si="495"/>
        <v>1</v>
      </c>
      <c r="W1107">
        <v>1</v>
      </c>
      <c r="X1107">
        <v>1</v>
      </c>
      <c r="Y1107">
        <v>1</v>
      </c>
      <c r="Z1107" t="s">
        <v>73</v>
      </c>
      <c r="AA1107" s="5" t="s">
        <v>73</v>
      </c>
      <c r="AB1107" s="5" t="s">
        <v>73</v>
      </c>
      <c r="AC1107" t="s">
        <v>73</v>
      </c>
      <c r="AD1107" t="s">
        <v>94</v>
      </c>
      <c r="AE1107" s="5" t="s">
        <v>106</v>
      </c>
      <c r="AF1107" t="s">
        <v>107</v>
      </c>
      <c r="AG1107" t="s">
        <v>95</v>
      </c>
      <c r="AH1107">
        <f t="shared" ref="AH1107:AH1109" si="504">AI1107</f>
        <v>3.8188760000000001E-3</v>
      </c>
      <c r="AI1107">
        <f t="shared" ref="AI1107:AI1109" si="505">AJ1107</f>
        <v>3.8188760000000001E-3</v>
      </c>
      <c r="AJ1107">
        <f t="shared" si="498"/>
        <v>3.8188760000000001E-3</v>
      </c>
      <c r="AK1107">
        <v>3.8188760000000001E-3</v>
      </c>
      <c r="AL1107">
        <v>0.13176599</v>
      </c>
      <c r="AM1107">
        <v>0.13623904000000001</v>
      </c>
      <c r="AN1107">
        <v>0.13867615</v>
      </c>
      <c r="AO1107">
        <v>99.618112400000001</v>
      </c>
      <c r="AP1107">
        <v>86.823401000000004</v>
      </c>
      <c r="AQ1107">
        <v>86.376096000000004</v>
      </c>
      <c r="AR1107">
        <v>86.132384999999999</v>
      </c>
      <c r="AS1107" t="b">
        <v>1</v>
      </c>
      <c r="AT1107" t="b">
        <v>0</v>
      </c>
      <c r="AU1107" t="s">
        <v>77</v>
      </c>
      <c r="AV1107" t="s">
        <v>108</v>
      </c>
      <c r="AW1107" t="s">
        <v>783</v>
      </c>
      <c r="AX1107" t="s">
        <v>1277</v>
      </c>
      <c r="AY1107" t="s">
        <v>1682</v>
      </c>
      <c r="AZ1107" t="s">
        <v>72</v>
      </c>
      <c r="BA1107" t="s">
        <v>82</v>
      </c>
      <c r="BB1107">
        <v>0.28000000000000003</v>
      </c>
      <c r="BC1107">
        <v>4.1163553999999996E-3</v>
      </c>
      <c r="BD1107">
        <v>1.4279989108178799E-4</v>
      </c>
      <c r="BE1107">
        <v>4.2591552910817903E-3</v>
      </c>
      <c r="BF1107">
        <f>IF(AK1107&lt;BE1107,1,0)</f>
        <v>1</v>
      </c>
      <c r="BG1107">
        <f>IF(AK1107&lt;BC1107,1,0)</f>
        <v>1</v>
      </c>
      <c r="BH1107">
        <f>VLOOKUP($B1107,[1]Data_Peer_with_peerVars!$B$2:$Z$1050,20,FALSE)</f>
        <v>4</v>
      </c>
      <c r="BI1107">
        <f>VLOOKUP($B1107,[1]Data_Peer_with_peerVars!$B$2:$Z$1050,21,FALSE)</f>
        <v>1</v>
      </c>
      <c r="BJ1107">
        <f>VLOOKUP($B1107,[1]Data_Peer_with_peerVars!$B$2:$Z$1050,22,FALSE)</f>
        <v>0.25</v>
      </c>
      <c r="BK1107">
        <f>VLOOKUP($B1107,[1]Data_Peer_with_peerVars!$B$2:$Z$1050,23,FALSE)</f>
        <v>73</v>
      </c>
      <c r="BL1107">
        <f>VLOOKUP($B1107,[1]Data_Peer_with_peerVars!$B$2:$Z$1050,24,FALSE)</f>
        <v>35</v>
      </c>
      <c r="BM1107">
        <f>VLOOKUP($B1107,[1]Data_Peer_with_peerVars!$B$2:$Z$1050,25,FALSE)</f>
        <v>0.47945205499999999</v>
      </c>
    </row>
    <row r="1108" spans="1:65" x14ac:dyDescent="0.2">
      <c r="A1108">
        <v>1</v>
      </c>
      <c r="B1108" t="s">
        <v>1683</v>
      </c>
      <c r="C1108">
        <v>681</v>
      </c>
      <c r="D1108" t="s">
        <v>68</v>
      </c>
      <c r="E1108">
        <v>1</v>
      </c>
      <c r="F1108">
        <v>396</v>
      </c>
      <c r="G1108" t="s">
        <v>69</v>
      </c>
      <c r="H1108" s="1">
        <v>7</v>
      </c>
      <c r="I1108" t="s">
        <v>87</v>
      </c>
      <c r="J1108" t="s">
        <v>124</v>
      </c>
      <c r="K1108" t="s">
        <v>72</v>
      </c>
      <c r="L1108">
        <v>1</v>
      </c>
      <c r="M1108">
        <v>1</v>
      </c>
      <c r="N1108">
        <v>1</v>
      </c>
      <c r="O1108">
        <v>0</v>
      </c>
      <c r="P1108">
        <v>0</v>
      </c>
      <c r="Q1108">
        <v>6</v>
      </c>
      <c r="R1108">
        <v>0</v>
      </c>
      <c r="S1108">
        <v>0</v>
      </c>
      <c r="T1108">
        <v>0</v>
      </c>
      <c r="U1108">
        <v>0</v>
      </c>
      <c r="V1108">
        <f t="shared" si="495"/>
        <v>1</v>
      </c>
      <c r="W1108">
        <v>1</v>
      </c>
      <c r="X1108">
        <v>1</v>
      </c>
      <c r="Y1108">
        <v>1</v>
      </c>
      <c r="Z1108" t="s">
        <v>120</v>
      </c>
      <c r="AA1108" s="5" t="s">
        <v>120</v>
      </c>
      <c r="AB1108" s="5" t="s">
        <v>120</v>
      </c>
      <c r="AC1108" t="s">
        <v>120</v>
      </c>
      <c r="AD1108" t="s">
        <v>74</v>
      </c>
      <c r="AE1108" s="5" t="s">
        <v>74</v>
      </c>
      <c r="AF1108" t="s">
        <v>75</v>
      </c>
      <c r="AG1108" t="s">
        <v>167</v>
      </c>
      <c r="AH1108">
        <f t="shared" si="504"/>
        <v>5.8164936E-2</v>
      </c>
      <c r="AI1108">
        <f t="shared" si="505"/>
        <v>5.8164936E-2</v>
      </c>
      <c r="AJ1108">
        <f t="shared" si="498"/>
        <v>5.8164936E-2</v>
      </c>
      <c r="AK1108">
        <v>5.8164936E-2</v>
      </c>
      <c r="AL1108">
        <v>6.6849309999999995E-2</v>
      </c>
      <c r="AM1108">
        <v>9.6006565000000002E-2</v>
      </c>
      <c r="AN1108">
        <v>0.10931507</v>
      </c>
      <c r="AO1108">
        <v>94.183506399999999</v>
      </c>
      <c r="AP1108">
        <v>93.315068999999994</v>
      </c>
      <c r="AQ1108">
        <v>90.399343500000001</v>
      </c>
      <c r="AR1108">
        <v>89.068493000000004</v>
      </c>
      <c r="AS1108" t="b">
        <v>1</v>
      </c>
      <c r="AT1108" t="b">
        <v>0</v>
      </c>
      <c r="AU1108" t="s">
        <v>77</v>
      </c>
      <c r="AV1108" t="s">
        <v>77</v>
      </c>
      <c r="AW1108" t="s">
        <v>783</v>
      </c>
      <c r="AX1108" t="s">
        <v>1277</v>
      </c>
      <c r="AY1108" t="s">
        <v>1682</v>
      </c>
      <c r="AZ1108" t="s">
        <v>109</v>
      </c>
      <c r="BA1108">
        <v>3</v>
      </c>
      <c r="BB1108">
        <v>0.7</v>
      </c>
      <c r="BC1108">
        <v>4.6849314000000003E-2</v>
      </c>
      <c r="BD1108">
        <v>4.5250577219970098E-3</v>
      </c>
      <c r="BE1108">
        <v>5.1374371721996999E-2</v>
      </c>
      <c r="BF1108">
        <f>IF(AK1108&lt;BE1108,1,0)</f>
        <v>0</v>
      </c>
      <c r="BG1108">
        <f>IF(AK1108&lt;BC1108,1,0)</f>
        <v>0</v>
      </c>
      <c r="BH1108">
        <f>VLOOKUP($B1108,[1]Data_Peer_with_peerVars!$B$2:$Z$1050,20,FALSE)</f>
        <v>4</v>
      </c>
      <c r="BI1108">
        <f>VLOOKUP($B1108,[1]Data_Peer_with_peerVars!$B$2:$Z$1050,21,FALSE)</f>
        <v>1</v>
      </c>
      <c r="BJ1108">
        <f>VLOOKUP($B1108,[1]Data_Peer_with_peerVars!$B$2:$Z$1050,22,FALSE)</f>
        <v>0.25</v>
      </c>
      <c r="BK1108">
        <f>VLOOKUP($B1108,[1]Data_Peer_with_peerVars!$B$2:$Z$1050,23,FALSE)</f>
        <v>73</v>
      </c>
      <c r="BL1108">
        <f>VLOOKUP($B1108,[1]Data_Peer_with_peerVars!$B$2:$Z$1050,24,FALSE)</f>
        <v>35</v>
      </c>
      <c r="BM1108">
        <f>VLOOKUP($B1108,[1]Data_Peer_with_peerVars!$B$2:$Z$1050,25,FALSE)</f>
        <v>0.47945205499999999</v>
      </c>
    </row>
    <row r="1109" spans="1:65" x14ac:dyDescent="0.2">
      <c r="A1109">
        <v>1</v>
      </c>
      <c r="B1109" t="s">
        <v>1684</v>
      </c>
      <c r="C1109">
        <v>681</v>
      </c>
      <c r="D1109" t="s">
        <v>68</v>
      </c>
      <c r="E1109">
        <v>1</v>
      </c>
      <c r="F1109">
        <v>396</v>
      </c>
      <c r="G1109" t="s">
        <v>69</v>
      </c>
      <c r="H1109" s="1">
        <v>7</v>
      </c>
      <c r="I1109" t="s">
        <v>87</v>
      </c>
      <c r="J1109" t="s">
        <v>124</v>
      </c>
      <c r="K1109" t="s">
        <v>72</v>
      </c>
      <c r="L1109">
        <v>1</v>
      </c>
      <c r="M1109">
        <v>1</v>
      </c>
      <c r="N1109">
        <v>1</v>
      </c>
      <c r="O1109">
        <v>0</v>
      </c>
      <c r="P1109">
        <v>0</v>
      </c>
      <c r="Q1109">
        <v>6</v>
      </c>
      <c r="R1109">
        <v>0</v>
      </c>
      <c r="S1109">
        <v>0</v>
      </c>
      <c r="T1109">
        <v>0</v>
      </c>
      <c r="U1109">
        <v>0</v>
      </c>
      <c r="V1109">
        <f t="shared" si="495"/>
        <v>1</v>
      </c>
      <c r="W1109">
        <v>1</v>
      </c>
      <c r="X1109">
        <v>1</v>
      </c>
      <c r="Y1109">
        <v>1</v>
      </c>
      <c r="Z1109" t="s">
        <v>76</v>
      </c>
      <c r="AA1109" s="5" t="s">
        <v>76</v>
      </c>
      <c r="AB1109" s="5" t="s">
        <v>76</v>
      </c>
      <c r="AC1109" t="s">
        <v>76</v>
      </c>
      <c r="AD1109" t="s">
        <v>74</v>
      </c>
      <c r="AE1109" s="5" t="s">
        <v>142</v>
      </c>
      <c r="AF1109" t="s">
        <v>75</v>
      </c>
      <c r="AG1109" t="s">
        <v>120</v>
      </c>
      <c r="AH1109">
        <f t="shared" si="504"/>
        <v>8.1922449999999994E-2</v>
      </c>
      <c r="AI1109">
        <f t="shared" si="505"/>
        <v>8.1922449999999994E-2</v>
      </c>
      <c r="AJ1109">
        <f t="shared" si="498"/>
        <v>8.1922449999999994E-2</v>
      </c>
      <c r="AK1109">
        <v>8.1922449999999994E-2</v>
      </c>
      <c r="AL1109">
        <v>8.4931510000000002E-2</v>
      </c>
      <c r="AM1109">
        <v>0.115700215</v>
      </c>
      <c r="AN1109">
        <v>0.11666667</v>
      </c>
      <c r="AO1109">
        <v>91.807755</v>
      </c>
      <c r="AP1109">
        <v>91.506849000000003</v>
      </c>
      <c r="AQ1109">
        <v>88.429978500000004</v>
      </c>
      <c r="AR1109">
        <v>88.333332999999996</v>
      </c>
      <c r="AS1109" t="b">
        <v>0</v>
      </c>
      <c r="AT1109" t="b">
        <v>0</v>
      </c>
      <c r="AU1109" t="s">
        <v>108</v>
      </c>
      <c r="AV1109" t="s">
        <v>108</v>
      </c>
      <c r="AW1109" t="s">
        <v>783</v>
      </c>
      <c r="AX1109" t="s">
        <v>1277</v>
      </c>
      <c r="AY1109" t="s">
        <v>1682</v>
      </c>
      <c r="AZ1109" t="s">
        <v>72</v>
      </c>
      <c r="BA1109" t="s">
        <v>82</v>
      </c>
      <c r="BB1109">
        <v>0.49</v>
      </c>
      <c r="BC1109">
        <v>7.7070764999999999E-2</v>
      </c>
      <c r="BD1109">
        <v>1.90190515067399E-3</v>
      </c>
      <c r="BE1109">
        <v>7.8972670150673996E-2</v>
      </c>
      <c r="BF1109">
        <f>IF(AK1109&lt;BE1109,1,0)</f>
        <v>0</v>
      </c>
      <c r="BG1109">
        <f>IF(AK1109&lt;BC1109,1,0)</f>
        <v>0</v>
      </c>
      <c r="BH1109">
        <f>VLOOKUP($B1109,[1]Data_Peer_with_peerVars!$B$2:$Z$1050,20,FALSE)</f>
        <v>4</v>
      </c>
      <c r="BI1109">
        <f>VLOOKUP($B1109,[1]Data_Peer_with_peerVars!$B$2:$Z$1050,21,FALSE)</f>
        <v>1</v>
      </c>
      <c r="BJ1109">
        <f>VLOOKUP($B1109,[1]Data_Peer_with_peerVars!$B$2:$Z$1050,22,FALSE)</f>
        <v>0.25</v>
      </c>
      <c r="BK1109">
        <f>VLOOKUP($B1109,[1]Data_Peer_with_peerVars!$B$2:$Z$1050,23,FALSE)</f>
        <v>73</v>
      </c>
      <c r="BL1109">
        <f>VLOOKUP($B1109,[1]Data_Peer_with_peerVars!$B$2:$Z$1050,24,FALSE)</f>
        <v>35</v>
      </c>
      <c r="BM1109">
        <f>VLOOKUP($B1109,[1]Data_Peer_with_peerVars!$B$2:$Z$1050,25,FALSE)</f>
        <v>0.47945205499999999</v>
      </c>
    </row>
    <row r="1110" spans="1:65" x14ac:dyDescent="0.2">
      <c r="A1110">
        <v>1</v>
      </c>
      <c r="B1110" t="s">
        <v>1685</v>
      </c>
      <c r="C1110">
        <v>682</v>
      </c>
      <c r="D1110" t="s">
        <v>68</v>
      </c>
      <c r="E1110">
        <v>1</v>
      </c>
      <c r="F1110">
        <v>397</v>
      </c>
      <c r="G1110" t="s">
        <v>69</v>
      </c>
      <c r="H1110" s="1">
        <v>6.5</v>
      </c>
      <c r="I1110" t="s">
        <v>87</v>
      </c>
      <c r="J1110" t="s">
        <v>150</v>
      </c>
      <c r="K1110" t="s">
        <v>72</v>
      </c>
      <c r="L1110">
        <v>1</v>
      </c>
      <c r="M1110">
        <v>0</v>
      </c>
      <c r="N1110">
        <v>0</v>
      </c>
      <c r="O1110">
        <v>0</v>
      </c>
      <c r="P1110">
        <v>0</v>
      </c>
      <c r="Q1110">
        <v>0</v>
      </c>
      <c r="R1110">
        <v>0</v>
      </c>
      <c r="S1110">
        <v>0</v>
      </c>
      <c r="T1110">
        <v>0</v>
      </c>
      <c r="U1110">
        <v>0</v>
      </c>
      <c r="V1110">
        <f t="shared" si="495"/>
        <v>0</v>
      </c>
      <c r="W1110">
        <f t="shared" si="496"/>
        <v>0</v>
      </c>
      <c r="X1110">
        <f t="shared" si="500"/>
        <v>0</v>
      </c>
      <c r="Y1110">
        <f t="shared" si="497"/>
        <v>0</v>
      </c>
      <c r="Z1110" t="s">
        <v>73</v>
      </c>
      <c r="AA1110" s="5" t="s">
        <v>73</v>
      </c>
      <c r="AB1110" s="5" t="s">
        <v>1577</v>
      </c>
      <c r="AC1110" t="s">
        <v>99</v>
      </c>
      <c r="AD1110" t="s">
        <v>101</v>
      </c>
      <c r="AE1110" s="5" t="s">
        <v>101</v>
      </c>
      <c r="AF1110" t="s">
        <v>102</v>
      </c>
      <c r="AG1110" t="s">
        <v>103</v>
      </c>
      <c r="AH1110">
        <f>AI1110</f>
        <v>2.3993380000000002E-2</v>
      </c>
      <c r="AI1110">
        <f>AJ1110</f>
        <v>2.3993380000000002E-2</v>
      </c>
      <c r="AJ1110">
        <f t="shared" si="498"/>
        <v>2.3993380000000002E-2</v>
      </c>
      <c r="AK1110">
        <v>2.3993380000000002E-2</v>
      </c>
      <c r="AL1110">
        <v>7.2647219999999998E-2</v>
      </c>
      <c r="AM1110">
        <v>8.9715530000000002E-2</v>
      </c>
      <c r="AN1110">
        <v>0.10767531399999999</v>
      </c>
      <c r="AO1110">
        <v>97.600662</v>
      </c>
      <c r="AP1110">
        <v>92.735277999999994</v>
      </c>
      <c r="AQ1110">
        <v>91.028447</v>
      </c>
      <c r="AR1110">
        <v>89.232468600000004</v>
      </c>
      <c r="AS1110" t="b">
        <v>0</v>
      </c>
      <c r="AT1110" t="b">
        <v>0</v>
      </c>
      <c r="AU1110" t="s">
        <v>77</v>
      </c>
      <c r="AV1110" t="s">
        <v>77</v>
      </c>
      <c r="AW1110" t="s">
        <v>783</v>
      </c>
      <c r="AX1110" t="s">
        <v>1277</v>
      </c>
      <c r="AY1110" t="s">
        <v>1518</v>
      </c>
      <c r="AZ1110" t="s">
        <v>72</v>
      </c>
      <c r="BA1110" t="s">
        <v>82</v>
      </c>
      <c r="BB1110">
        <v>7.0000000000000007E-2</v>
      </c>
      <c r="BC1110">
        <v>2.4711695999999998E-2</v>
      </c>
      <c r="BD1110">
        <v>1.72884756304863E-3</v>
      </c>
      <c r="BE1110">
        <v>2.6440543563048601E-2</v>
      </c>
      <c r="BF1110">
        <f>IF(AK1110&lt;BE1110,1,0)</f>
        <v>1</v>
      </c>
      <c r="BG1110">
        <f>IF(AK1110&lt;BC1110,1,0)</f>
        <v>1</v>
      </c>
      <c r="BH1110">
        <f>VLOOKUP($B1110,[1]Data_Peer_with_peerVars!$B$2:$Z$1050,20,FALSE)</f>
        <v>7</v>
      </c>
      <c r="BI1110">
        <f>VLOOKUP($B1110,[1]Data_Peer_with_peerVars!$B$2:$Z$1050,21,FALSE)</f>
        <v>1</v>
      </c>
      <c r="BJ1110">
        <f>VLOOKUP($B1110,[1]Data_Peer_with_peerVars!$B$2:$Z$1050,22,FALSE)</f>
        <v>0.14285714299999999</v>
      </c>
      <c r="BK1110">
        <f>VLOOKUP($B1110,[1]Data_Peer_with_peerVars!$B$2:$Z$1050,23,FALSE)</f>
        <v>63</v>
      </c>
      <c r="BL1110">
        <f>VLOOKUP($B1110,[1]Data_Peer_with_peerVars!$B$2:$Z$1050,24,FALSE)</f>
        <v>33</v>
      </c>
      <c r="BM1110">
        <f>VLOOKUP($B1110,[1]Data_Peer_with_peerVars!$B$2:$Z$1050,25,FALSE)</f>
        <v>0.52380952400000003</v>
      </c>
    </row>
    <row r="1111" spans="1:65" x14ac:dyDescent="0.2">
      <c r="A1111">
        <v>1</v>
      </c>
      <c r="B1111" t="s">
        <v>1686</v>
      </c>
      <c r="C1111">
        <v>682</v>
      </c>
      <c r="D1111" t="s">
        <v>68</v>
      </c>
      <c r="E1111">
        <v>1</v>
      </c>
      <c r="F1111">
        <v>397</v>
      </c>
      <c r="G1111" t="s">
        <v>69</v>
      </c>
      <c r="H1111" s="1">
        <v>6.5</v>
      </c>
      <c r="I1111" t="s">
        <v>87</v>
      </c>
      <c r="J1111" t="s">
        <v>150</v>
      </c>
      <c r="K1111" t="s">
        <v>72</v>
      </c>
      <c r="L1111">
        <v>1</v>
      </c>
      <c r="M1111">
        <v>0</v>
      </c>
      <c r="N1111">
        <v>0</v>
      </c>
      <c r="O1111">
        <v>0</v>
      </c>
      <c r="P1111">
        <v>0</v>
      </c>
      <c r="Q1111">
        <v>0</v>
      </c>
      <c r="R1111">
        <v>0</v>
      </c>
      <c r="S1111">
        <v>0</v>
      </c>
      <c r="T1111">
        <v>0</v>
      </c>
      <c r="U1111">
        <v>0</v>
      </c>
      <c r="V1111">
        <f t="shared" si="495"/>
        <v>1</v>
      </c>
      <c r="W1111">
        <v>1</v>
      </c>
      <c r="X1111">
        <v>1</v>
      </c>
      <c r="Y1111">
        <v>1</v>
      </c>
      <c r="Z1111" t="s">
        <v>73</v>
      </c>
      <c r="AA1111" s="5" t="s">
        <v>73</v>
      </c>
      <c r="AB1111" s="5" t="s">
        <v>1577</v>
      </c>
      <c r="AC1111" t="s">
        <v>73</v>
      </c>
      <c r="AD1111" t="s">
        <v>91</v>
      </c>
      <c r="AE1111" s="5" t="s">
        <v>91</v>
      </c>
      <c r="AF1111" t="s">
        <v>94</v>
      </c>
      <c r="AG1111" t="s">
        <v>75</v>
      </c>
      <c r="AH1111">
        <f t="shared" ref="AH1111:AH1116" si="506">AI1111</f>
        <v>7.4622690000000005E-2</v>
      </c>
      <c r="AI1111">
        <f t="shared" ref="AI1111:AI1113" si="507">AJ1111</f>
        <v>7.4622690000000005E-2</v>
      </c>
      <c r="AJ1111">
        <f t="shared" si="498"/>
        <v>7.4622690000000005E-2</v>
      </c>
      <c r="AK1111">
        <v>7.4622690000000005E-2</v>
      </c>
      <c r="AL1111">
        <v>8.7724220000000006E-2</v>
      </c>
      <c r="AM1111">
        <v>0.13654169999999999</v>
      </c>
      <c r="AN1111">
        <v>0.14141413999999999</v>
      </c>
      <c r="AO1111">
        <v>92.537730999999994</v>
      </c>
      <c r="AP1111">
        <v>91.227577999999994</v>
      </c>
      <c r="AQ1111">
        <v>86.345830000000007</v>
      </c>
      <c r="AR1111">
        <v>85.858586000000003</v>
      </c>
      <c r="AS1111" t="b">
        <v>1</v>
      </c>
      <c r="AT1111" t="b">
        <v>0</v>
      </c>
      <c r="AU1111" t="s">
        <v>77</v>
      </c>
      <c r="AV1111" t="s">
        <v>77</v>
      </c>
      <c r="AW1111" t="s">
        <v>783</v>
      </c>
      <c r="AX1111" t="s">
        <v>1277</v>
      </c>
      <c r="AY1111" t="s">
        <v>1518</v>
      </c>
      <c r="AZ1111" t="s">
        <v>72</v>
      </c>
      <c r="BA1111" t="s">
        <v>82</v>
      </c>
      <c r="BB1111">
        <v>0.42</v>
      </c>
      <c r="BC1111">
        <v>4.1163553999999996E-3</v>
      </c>
      <c r="BD1111">
        <v>1.4279989108178799E-4</v>
      </c>
      <c r="BE1111">
        <v>4.2591552910817903E-3</v>
      </c>
      <c r="BF1111">
        <f>IF(AK1111&lt;BE1111,1,0)</f>
        <v>0</v>
      </c>
      <c r="BG1111">
        <f>IF(AK1111&lt;BC1111,1,0)</f>
        <v>0</v>
      </c>
      <c r="BH1111">
        <f>VLOOKUP($B1111,[1]Data_Peer_with_peerVars!$B$2:$Z$1050,20,FALSE)</f>
        <v>7</v>
      </c>
      <c r="BI1111">
        <f>VLOOKUP($B1111,[1]Data_Peer_with_peerVars!$B$2:$Z$1050,21,FALSE)</f>
        <v>1</v>
      </c>
      <c r="BJ1111">
        <f>VLOOKUP($B1111,[1]Data_Peer_with_peerVars!$B$2:$Z$1050,22,FALSE)</f>
        <v>0.14285714299999999</v>
      </c>
      <c r="BK1111">
        <f>VLOOKUP($B1111,[1]Data_Peer_with_peerVars!$B$2:$Z$1050,23,FALSE)</f>
        <v>63</v>
      </c>
      <c r="BL1111">
        <f>VLOOKUP($B1111,[1]Data_Peer_with_peerVars!$B$2:$Z$1050,24,FALSE)</f>
        <v>33</v>
      </c>
      <c r="BM1111">
        <f>VLOOKUP($B1111,[1]Data_Peer_with_peerVars!$B$2:$Z$1050,25,FALSE)</f>
        <v>0.52380952400000003</v>
      </c>
    </row>
    <row r="1112" spans="1:65" x14ac:dyDescent="0.2">
      <c r="A1112">
        <v>1</v>
      </c>
      <c r="B1112" t="s">
        <v>1687</v>
      </c>
      <c r="C1112">
        <v>683</v>
      </c>
      <c r="D1112" t="s">
        <v>68</v>
      </c>
      <c r="E1112">
        <v>1</v>
      </c>
      <c r="F1112">
        <v>398</v>
      </c>
      <c r="G1112" t="s">
        <v>86</v>
      </c>
      <c r="H1112" s="1">
        <v>7</v>
      </c>
      <c r="I1112" t="s">
        <v>87</v>
      </c>
      <c r="J1112" t="s">
        <v>150</v>
      </c>
      <c r="K1112" t="s">
        <v>109</v>
      </c>
      <c r="L1112">
        <v>1</v>
      </c>
      <c r="M1112">
        <v>0</v>
      </c>
      <c r="N1112">
        <v>1</v>
      </c>
      <c r="O1112">
        <v>0</v>
      </c>
      <c r="P1112">
        <v>0</v>
      </c>
      <c r="Q1112">
        <v>6</v>
      </c>
      <c r="R1112">
        <v>0</v>
      </c>
      <c r="S1112">
        <v>0</v>
      </c>
      <c r="T1112">
        <v>0</v>
      </c>
      <c r="U1112">
        <v>0</v>
      </c>
      <c r="V1112">
        <f t="shared" si="495"/>
        <v>1</v>
      </c>
      <c r="W1112">
        <v>1</v>
      </c>
      <c r="X1112">
        <v>1</v>
      </c>
      <c r="Y1112">
        <v>1</v>
      </c>
      <c r="Z1112" t="s">
        <v>91</v>
      </c>
      <c r="AA1112" s="5" t="s">
        <v>91</v>
      </c>
      <c r="AB1112" s="5" t="s">
        <v>1568</v>
      </c>
      <c r="AC1112" t="s">
        <v>91</v>
      </c>
      <c r="AD1112" t="s">
        <v>287</v>
      </c>
      <c r="AE1112" s="5" t="s">
        <v>287</v>
      </c>
      <c r="AF1112" t="s">
        <v>137</v>
      </c>
      <c r="AG1112" t="s">
        <v>84</v>
      </c>
      <c r="AH1112">
        <f t="shared" si="506"/>
        <v>3.280481E-3</v>
      </c>
      <c r="AI1112">
        <f t="shared" si="507"/>
        <v>3.280481E-3</v>
      </c>
      <c r="AJ1112">
        <f t="shared" si="498"/>
        <v>3.280481E-3</v>
      </c>
      <c r="AK1112">
        <v>3.280481E-3</v>
      </c>
      <c r="AL1112">
        <v>0.1204918</v>
      </c>
      <c r="AM1112">
        <v>0.12889132</v>
      </c>
      <c r="AN1112">
        <v>0.13379120999999999</v>
      </c>
      <c r="AO1112">
        <v>99.671951899999996</v>
      </c>
      <c r="AP1112">
        <v>87.950819999999993</v>
      </c>
      <c r="AQ1112">
        <v>87.110867999999996</v>
      </c>
      <c r="AR1112">
        <v>86.620879000000002</v>
      </c>
      <c r="AS1112" t="b">
        <v>1</v>
      </c>
      <c r="AT1112" t="b">
        <v>0</v>
      </c>
      <c r="AU1112" t="s">
        <v>77</v>
      </c>
      <c r="AV1112" t="s">
        <v>78</v>
      </c>
      <c r="AW1112" t="s">
        <v>783</v>
      </c>
      <c r="AX1112" t="s">
        <v>1277</v>
      </c>
      <c r="AY1112" t="s">
        <v>1546</v>
      </c>
      <c r="AZ1112" t="s">
        <v>109</v>
      </c>
      <c r="BA1112">
        <v>25</v>
      </c>
      <c r="BB1112">
        <v>0.7</v>
      </c>
      <c r="BC1112">
        <v>9.0659339999999995E-3</v>
      </c>
      <c r="BD1112">
        <v>2.76583658862385E-3</v>
      </c>
      <c r="BE1112">
        <v>1.1831770588623799E-2</v>
      </c>
      <c r="BF1112">
        <f>IF(AK1112&lt;BE1112,1,0)</f>
        <v>1</v>
      </c>
      <c r="BG1112">
        <f>IF(AK1112&lt;BC1112,1,0)</f>
        <v>1</v>
      </c>
      <c r="BH1112">
        <f>VLOOKUP($B1112,[1]Data_Peer_with_peerVars!$B$2:$Z$1050,20,FALSE)</f>
        <v>4</v>
      </c>
      <c r="BI1112">
        <f>VLOOKUP($B1112,[1]Data_Peer_with_peerVars!$B$2:$Z$1050,21,FALSE)</f>
        <v>3</v>
      </c>
      <c r="BJ1112">
        <f>VLOOKUP($B1112,[1]Data_Peer_with_peerVars!$B$2:$Z$1050,22,FALSE)</f>
        <v>0.75</v>
      </c>
      <c r="BK1112">
        <f>VLOOKUP($B1112,[1]Data_Peer_with_peerVars!$B$2:$Z$1050,23,FALSE)</f>
        <v>87</v>
      </c>
      <c r="BL1112">
        <f>VLOOKUP($B1112,[1]Data_Peer_with_peerVars!$B$2:$Z$1050,24,FALSE)</f>
        <v>41</v>
      </c>
      <c r="BM1112">
        <f>VLOOKUP($B1112,[1]Data_Peer_with_peerVars!$B$2:$Z$1050,25,FALSE)</f>
        <v>0.47126436799999999</v>
      </c>
    </row>
    <row r="1113" spans="1:65" x14ac:dyDescent="0.2">
      <c r="A1113">
        <v>1</v>
      </c>
      <c r="B1113" t="s">
        <v>1688</v>
      </c>
      <c r="C1113">
        <v>684</v>
      </c>
      <c r="D1113" t="s">
        <v>68</v>
      </c>
      <c r="E1113">
        <v>1</v>
      </c>
      <c r="F1113">
        <v>399</v>
      </c>
      <c r="G1113" t="s">
        <v>86</v>
      </c>
      <c r="H1113" s="1">
        <v>7</v>
      </c>
      <c r="I1113" t="s">
        <v>87</v>
      </c>
      <c r="J1113" t="s">
        <v>88</v>
      </c>
      <c r="K1113" t="s">
        <v>109</v>
      </c>
      <c r="L1113">
        <v>1</v>
      </c>
      <c r="M1113">
        <v>0</v>
      </c>
      <c r="N1113">
        <v>1</v>
      </c>
      <c r="O1113">
        <v>0</v>
      </c>
      <c r="P1113">
        <v>0</v>
      </c>
      <c r="Q1113">
        <v>6</v>
      </c>
      <c r="R1113">
        <v>0</v>
      </c>
      <c r="S1113">
        <v>0</v>
      </c>
      <c r="T1113">
        <v>0</v>
      </c>
      <c r="U1113">
        <v>0</v>
      </c>
      <c r="V1113">
        <f t="shared" si="495"/>
        <v>1</v>
      </c>
      <c r="W1113">
        <v>1</v>
      </c>
      <c r="X1113">
        <v>1</v>
      </c>
      <c r="Y1113">
        <v>1</v>
      </c>
      <c r="Z1113" t="s">
        <v>91</v>
      </c>
      <c r="AA1113" s="5" t="s">
        <v>91</v>
      </c>
      <c r="AB1113" s="5" t="s">
        <v>1568</v>
      </c>
      <c r="AC1113" t="s">
        <v>91</v>
      </c>
      <c r="AD1113" t="s">
        <v>287</v>
      </c>
      <c r="AE1113" s="5" t="s">
        <v>287</v>
      </c>
      <c r="AF1113" t="s">
        <v>137</v>
      </c>
      <c r="AG1113" t="s">
        <v>84</v>
      </c>
      <c r="AH1113">
        <f t="shared" si="506"/>
        <v>4.6524360000000002E-3</v>
      </c>
      <c r="AI1113">
        <f t="shared" si="507"/>
        <v>4.6524360000000002E-3</v>
      </c>
      <c r="AJ1113">
        <f t="shared" si="498"/>
        <v>4.6524360000000002E-3</v>
      </c>
      <c r="AK1113">
        <v>4.6524360000000002E-3</v>
      </c>
      <c r="AL1113">
        <v>0.12089716</v>
      </c>
      <c r="AM1113">
        <v>0.12950819999999999</v>
      </c>
      <c r="AN1113">
        <v>0.13283828</v>
      </c>
      <c r="AO1113">
        <v>99.534756400000006</v>
      </c>
      <c r="AP1113">
        <v>87.910284000000004</v>
      </c>
      <c r="AQ1113">
        <v>87.049180000000007</v>
      </c>
      <c r="AR1113">
        <v>86.716172</v>
      </c>
      <c r="AS1113" t="b">
        <v>1</v>
      </c>
      <c r="AT1113" t="b">
        <v>0</v>
      </c>
      <c r="AU1113" t="s">
        <v>77</v>
      </c>
      <c r="AV1113" t="s">
        <v>78</v>
      </c>
      <c r="AW1113" t="s">
        <v>783</v>
      </c>
      <c r="AX1113" t="s">
        <v>1277</v>
      </c>
      <c r="AY1113" t="s">
        <v>1546</v>
      </c>
      <c r="AZ1113" t="s">
        <v>109</v>
      </c>
      <c r="BA1113">
        <v>5</v>
      </c>
      <c r="BB1113">
        <v>1.05</v>
      </c>
      <c r="BC1113">
        <v>9.0659339999999995E-3</v>
      </c>
      <c r="BD1113">
        <v>2.76583658862385E-3</v>
      </c>
      <c r="BE1113">
        <v>1.1831770588623799E-2</v>
      </c>
      <c r="BF1113">
        <f>IF(AK1113&lt;BE1113,1,0)</f>
        <v>1</v>
      </c>
      <c r="BG1113">
        <f>IF(AK1113&lt;BC1113,1,0)</f>
        <v>1</v>
      </c>
      <c r="BH1113">
        <f>VLOOKUP($B1113,[1]Data_Peer_with_peerVars!$B$2:$Z$1050,20,FALSE)</f>
        <v>4</v>
      </c>
      <c r="BI1113">
        <f>VLOOKUP($B1113,[1]Data_Peer_with_peerVars!$B$2:$Z$1050,21,FALSE)</f>
        <v>3</v>
      </c>
      <c r="BJ1113">
        <f>VLOOKUP($B1113,[1]Data_Peer_with_peerVars!$B$2:$Z$1050,22,FALSE)</f>
        <v>0.75</v>
      </c>
      <c r="BK1113">
        <f>VLOOKUP($B1113,[1]Data_Peer_with_peerVars!$B$2:$Z$1050,23,FALSE)</f>
        <v>87</v>
      </c>
      <c r="BL1113">
        <f>VLOOKUP($B1113,[1]Data_Peer_with_peerVars!$B$2:$Z$1050,24,FALSE)</f>
        <v>41</v>
      </c>
      <c r="BM1113">
        <f>VLOOKUP($B1113,[1]Data_Peer_with_peerVars!$B$2:$Z$1050,25,FALSE)</f>
        <v>0.47126436799999999</v>
      </c>
    </row>
    <row r="1114" spans="1:65" x14ac:dyDescent="0.2">
      <c r="A1114">
        <v>1</v>
      </c>
      <c r="B1114" t="s">
        <v>1689</v>
      </c>
      <c r="C1114">
        <v>685</v>
      </c>
      <c r="D1114" t="s">
        <v>68</v>
      </c>
      <c r="E1114">
        <v>1</v>
      </c>
      <c r="F1114">
        <v>400</v>
      </c>
      <c r="G1114" t="s">
        <v>69</v>
      </c>
      <c r="H1114" s="1">
        <v>7</v>
      </c>
      <c r="I1114" t="s">
        <v>87</v>
      </c>
      <c r="J1114" t="s">
        <v>111</v>
      </c>
      <c r="K1114" t="s">
        <v>109</v>
      </c>
      <c r="L1114">
        <v>1</v>
      </c>
      <c r="M1114">
        <v>0</v>
      </c>
      <c r="N1114">
        <v>0</v>
      </c>
      <c r="O1114">
        <v>0</v>
      </c>
      <c r="P1114">
        <v>0</v>
      </c>
      <c r="Q1114">
        <v>6</v>
      </c>
      <c r="R1114">
        <v>0</v>
      </c>
      <c r="S1114">
        <v>0</v>
      </c>
      <c r="T1114">
        <v>0</v>
      </c>
      <c r="U1114">
        <v>0</v>
      </c>
      <c r="V1114">
        <f t="shared" si="495"/>
        <v>0</v>
      </c>
      <c r="W1114">
        <f t="shared" si="496"/>
        <v>1</v>
      </c>
      <c r="X1114">
        <v>1</v>
      </c>
      <c r="Y1114">
        <v>1</v>
      </c>
      <c r="Z1114" t="s">
        <v>91</v>
      </c>
      <c r="AA1114" s="5" t="s">
        <v>91</v>
      </c>
      <c r="AB1114" s="5" t="s">
        <v>1568</v>
      </c>
      <c r="AC1114" t="s">
        <v>287</v>
      </c>
      <c r="AD1114" t="s">
        <v>91</v>
      </c>
      <c r="AE1114" s="5" t="s">
        <v>91</v>
      </c>
      <c r="AF1114" t="s">
        <v>137</v>
      </c>
      <c r="AG1114" t="s">
        <v>113</v>
      </c>
      <c r="AH1114">
        <f t="shared" si="506"/>
        <v>8.6706779999999997E-2</v>
      </c>
      <c r="AI1114">
        <f t="shared" ref="AI1114:AI1118" si="508">AJ1114</f>
        <v>8.6706779999999997E-2</v>
      </c>
      <c r="AJ1114">
        <f t="shared" ref="AJ1114:AJ1116" si="509">AL1114</f>
        <v>8.6706779999999997E-2</v>
      </c>
      <c r="AK1114">
        <v>8.5519129999999999E-2</v>
      </c>
      <c r="AL1114">
        <v>8.6706779999999997E-2</v>
      </c>
      <c r="AM1114">
        <v>0.12342982</v>
      </c>
      <c r="AN1114">
        <v>0.13249037999999999</v>
      </c>
      <c r="AO1114">
        <v>91.448087000000001</v>
      </c>
      <c r="AP1114">
        <v>91.329322000000005</v>
      </c>
      <c r="AQ1114">
        <v>87.657017999999994</v>
      </c>
      <c r="AR1114">
        <v>86.750962000000001</v>
      </c>
      <c r="AS1114" t="b">
        <v>0</v>
      </c>
      <c r="AT1114" t="b">
        <v>1</v>
      </c>
      <c r="AU1114" t="s">
        <v>77</v>
      </c>
      <c r="AV1114" t="s">
        <v>77</v>
      </c>
      <c r="AW1114" t="s">
        <v>783</v>
      </c>
      <c r="AX1114" t="s">
        <v>1277</v>
      </c>
      <c r="AY1114" t="s">
        <v>1419</v>
      </c>
      <c r="AZ1114" t="s">
        <v>109</v>
      </c>
      <c r="BA1114">
        <v>3</v>
      </c>
      <c r="BB1114">
        <v>0.35</v>
      </c>
      <c r="BC1114">
        <v>5.5106750000000003E-2</v>
      </c>
      <c r="BD1114">
        <v>2.4361461616194298E-3</v>
      </c>
      <c r="BE1114">
        <v>5.7542896161619402E-2</v>
      </c>
      <c r="BF1114">
        <f>IF(AK1114&lt;BE1114,1,0)</f>
        <v>0</v>
      </c>
      <c r="BG1114">
        <f>IF(AK1114&lt;BC1114,1,0)</f>
        <v>0</v>
      </c>
      <c r="BH1114">
        <f>VLOOKUP($B1114,[1]Data_Peer_with_peerVars!$B$2:$Z$1050,20,FALSE)</f>
        <v>4</v>
      </c>
      <c r="BI1114">
        <f>VLOOKUP($B1114,[1]Data_Peer_with_peerVars!$B$2:$Z$1050,21,FALSE)</f>
        <v>3</v>
      </c>
      <c r="BJ1114">
        <f>VLOOKUP($B1114,[1]Data_Peer_with_peerVars!$B$2:$Z$1050,22,FALSE)</f>
        <v>0.75</v>
      </c>
      <c r="BK1114">
        <f>VLOOKUP($B1114,[1]Data_Peer_with_peerVars!$B$2:$Z$1050,23,FALSE)</f>
        <v>87</v>
      </c>
      <c r="BL1114">
        <f>VLOOKUP($B1114,[1]Data_Peer_with_peerVars!$B$2:$Z$1050,24,FALSE)</f>
        <v>41</v>
      </c>
      <c r="BM1114">
        <f>VLOOKUP($B1114,[1]Data_Peer_with_peerVars!$B$2:$Z$1050,25,FALSE)</f>
        <v>0.47126436799999999</v>
      </c>
    </row>
    <row r="1115" spans="1:65" x14ac:dyDescent="0.2">
      <c r="A1115">
        <v>1</v>
      </c>
      <c r="B1115" t="s">
        <v>1690</v>
      </c>
      <c r="C1115">
        <v>686</v>
      </c>
      <c r="D1115" t="s">
        <v>68</v>
      </c>
      <c r="E1115">
        <v>1</v>
      </c>
      <c r="F1115">
        <v>567</v>
      </c>
      <c r="G1115" t="s">
        <v>86</v>
      </c>
      <c r="H1115" s="1">
        <v>6</v>
      </c>
      <c r="I1115" t="s">
        <v>87</v>
      </c>
      <c r="J1115" t="s">
        <v>111</v>
      </c>
      <c r="K1115" t="s">
        <v>109</v>
      </c>
      <c r="L1115">
        <v>1</v>
      </c>
      <c r="M1115">
        <v>0</v>
      </c>
      <c r="N1115">
        <v>1</v>
      </c>
      <c r="O1115">
        <v>0</v>
      </c>
      <c r="P1115">
        <v>0</v>
      </c>
      <c r="Q1115">
        <v>9</v>
      </c>
      <c r="R1115">
        <v>0</v>
      </c>
      <c r="S1115">
        <v>0</v>
      </c>
      <c r="T1115">
        <v>0</v>
      </c>
      <c r="U1115">
        <v>0</v>
      </c>
      <c r="V1115">
        <f t="shared" si="495"/>
        <v>0</v>
      </c>
      <c r="W1115">
        <f t="shared" si="496"/>
        <v>1</v>
      </c>
      <c r="X1115">
        <v>1</v>
      </c>
      <c r="Y1115">
        <v>1</v>
      </c>
      <c r="Z1115" t="s">
        <v>76</v>
      </c>
      <c r="AA1115" s="5" t="s">
        <v>76</v>
      </c>
      <c r="AB1115" s="5" t="s">
        <v>76</v>
      </c>
      <c r="AC1115" t="s">
        <v>74</v>
      </c>
      <c r="AD1115" t="s">
        <v>76</v>
      </c>
      <c r="AE1115" s="5" t="s">
        <v>76</v>
      </c>
      <c r="AF1115" t="s">
        <v>120</v>
      </c>
      <c r="AG1115" t="s">
        <v>75</v>
      </c>
      <c r="AH1115">
        <f t="shared" si="506"/>
        <v>9.2400215999999993E-2</v>
      </c>
      <c r="AI1115">
        <f t="shared" si="508"/>
        <v>9.2400215999999993E-2</v>
      </c>
      <c r="AJ1115">
        <f t="shared" si="509"/>
        <v>9.2400215999999993E-2</v>
      </c>
      <c r="AK1115">
        <v>8.7445179999999997E-2</v>
      </c>
      <c r="AL1115">
        <v>9.2400215999999993E-2</v>
      </c>
      <c r="AM1115">
        <v>0.117486335</v>
      </c>
      <c r="AN1115">
        <v>0.119868636</v>
      </c>
      <c r="AO1115">
        <v>91.255482000000001</v>
      </c>
      <c r="AP1115">
        <v>90.759978399999994</v>
      </c>
      <c r="AQ1115">
        <v>88.251366500000003</v>
      </c>
      <c r="AR1115">
        <v>88.013136399999993</v>
      </c>
      <c r="AS1115" t="b">
        <v>0</v>
      </c>
      <c r="AT1115" t="b">
        <v>1</v>
      </c>
      <c r="AU1115" t="s">
        <v>77</v>
      </c>
      <c r="AV1115" t="s">
        <v>77</v>
      </c>
      <c r="AW1115" t="s">
        <v>783</v>
      </c>
      <c r="AX1115" t="s">
        <v>1277</v>
      </c>
      <c r="AY1115" t="s">
        <v>1419</v>
      </c>
      <c r="AZ1115" t="s">
        <v>109</v>
      </c>
      <c r="BA1115">
        <v>5</v>
      </c>
      <c r="BB1115">
        <v>0.17499999999999899</v>
      </c>
      <c r="BC1115">
        <v>2.4738868000000001E-3</v>
      </c>
      <c r="BD1115">
        <v>1.4256942275279999E-4</v>
      </c>
      <c r="BE1115">
        <v>2.6164562227527998E-3</v>
      </c>
      <c r="BF1115">
        <f>IF(AK1115&lt;BE1115,1,0)</f>
        <v>0</v>
      </c>
      <c r="BG1115">
        <f>IF(AK1115&lt;BC1115,1,0)</f>
        <v>0</v>
      </c>
      <c r="BH1115">
        <f>VLOOKUP($B1115,[1]Data_Peer_with_peerVars!$B$2:$Z$1050,20,FALSE)</f>
        <v>13</v>
      </c>
      <c r="BI1115">
        <f>VLOOKUP($B1115,[1]Data_Peer_with_peerVars!$B$2:$Z$1050,21,FALSE)</f>
        <v>8</v>
      </c>
      <c r="BJ1115">
        <f>VLOOKUP($B1115,[1]Data_Peer_with_peerVars!$B$2:$Z$1050,22,FALSE)</f>
        <v>0.61538461499999997</v>
      </c>
      <c r="BK1115">
        <f>VLOOKUP($B1115,[1]Data_Peer_with_peerVars!$B$2:$Z$1050,23,FALSE)</f>
        <v>84</v>
      </c>
      <c r="BL1115">
        <f>VLOOKUP($B1115,[1]Data_Peer_with_peerVars!$B$2:$Z$1050,24,FALSE)</f>
        <v>37</v>
      </c>
      <c r="BM1115">
        <f>VLOOKUP($B1115,[1]Data_Peer_with_peerVars!$B$2:$Z$1050,25,FALSE)</f>
        <v>0.44047618999999999</v>
      </c>
    </row>
    <row r="1116" spans="1:65" x14ac:dyDescent="0.2">
      <c r="A1116">
        <v>1</v>
      </c>
      <c r="B1116" t="s">
        <v>1691</v>
      </c>
      <c r="C1116">
        <v>687</v>
      </c>
      <c r="D1116" t="s">
        <v>68</v>
      </c>
      <c r="E1116">
        <v>1</v>
      </c>
      <c r="F1116">
        <v>587</v>
      </c>
      <c r="G1116" t="s">
        <v>69</v>
      </c>
      <c r="H1116" s="1">
        <v>7</v>
      </c>
      <c r="I1116" t="s">
        <v>87</v>
      </c>
      <c r="J1116" t="s">
        <v>111</v>
      </c>
      <c r="K1116" t="s">
        <v>109</v>
      </c>
      <c r="L1116">
        <v>1</v>
      </c>
      <c r="M1116">
        <v>1</v>
      </c>
      <c r="N1116">
        <v>0</v>
      </c>
      <c r="O1116">
        <v>0</v>
      </c>
      <c r="P1116">
        <v>1</v>
      </c>
      <c r="Q1116">
        <v>0</v>
      </c>
      <c r="R1116">
        <v>0</v>
      </c>
      <c r="S1116">
        <v>0</v>
      </c>
      <c r="T1116">
        <v>0</v>
      </c>
      <c r="U1116">
        <v>0</v>
      </c>
      <c r="V1116">
        <f t="shared" si="495"/>
        <v>0</v>
      </c>
      <c r="W1116">
        <f t="shared" si="496"/>
        <v>1</v>
      </c>
      <c r="X1116">
        <v>1</v>
      </c>
      <c r="Y1116">
        <v>1</v>
      </c>
      <c r="Z1116" t="s">
        <v>287</v>
      </c>
      <c r="AA1116" s="5" t="s">
        <v>287</v>
      </c>
      <c r="AB1116" s="5" t="s">
        <v>287</v>
      </c>
      <c r="AC1116" t="s">
        <v>91</v>
      </c>
      <c r="AD1116" t="s">
        <v>287</v>
      </c>
      <c r="AE1116" s="5" t="s">
        <v>919</v>
      </c>
      <c r="AF1116" t="s">
        <v>137</v>
      </c>
      <c r="AG1116" t="s">
        <v>113</v>
      </c>
      <c r="AH1116">
        <f t="shared" si="506"/>
        <v>8.8572994000000002E-2</v>
      </c>
      <c r="AI1116">
        <f t="shared" si="508"/>
        <v>8.8572994000000002E-2</v>
      </c>
      <c r="AJ1116">
        <f t="shared" si="509"/>
        <v>8.8572994000000002E-2</v>
      </c>
      <c r="AK1116">
        <v>8.2330410000000007E-2</v>
      </c>
      <c r="AL1116">
        <v>8.8572994000000002E-2</v>
      </c>
      <c r="AM1116">
        <v>0.11612022</v>
      </c>
      <c r="AN1116">
        <v>0.128917</v>
      </c>
      <c r="AO1116">
        <v>91.766959</v>
      </c>
      <c r="AP1116">
        <v>91.142700599999998</v>
      </c>
      <c r="AQ1116">
        <v>88.387978000000004</v>
      </c>
      <c r="AR1116">
        <v>87.1083</v>
      </c>
      <c r="AS1116" t="b">
        <v>0</v>
      </c>
      <c r="AT1116" t="b">
        <v>0</v>
      </c>
      <c r="AU1116" t="s">
        <v>108</v>
      </c>
      <c r="AV1116" t="s">
        <v>108</v>
      </c>
      <c r="AW1116" t="s">
        <v>783</v>
      </c>
      <c r="AX1116" t="s">
        <v>1277</v>
      </c>
      <c r="AY1116" t="s">
        <v>1419</v>
      </c>
      <c r="AZ1116" t="s">
        <v>109</v>
      </c>
      <c r="BA1116">
        <v>3</v>
      </c>
      <c r="BB1116">
        <v>0.5</v>
      </c>
      <c r="BC1116">
        <v>9.0659339999999995E-3</v>
      </c>
      <c r="BD1116">
        <v>2.76583658862385E-3</v>
      </c>
      <c r="BE1116">
        <v>1.1831770588623799E-2</v>
      </c>
      <c r="BF1116">
        <f>IF(AK1116&lt;BE1116,1,0)</f>
        <v>0</v>
      </c>
      <c r="BG1116">
        <f>IF(AK1116&lt;BC1116,1,0)</f>
        <v>0</v>
      </c>
      <c r="BH1116">
        <f>VLOOKUP($B1116,[1]Data_Peer_with_peerVars!$B$2:$Z$1050,20,FALSE)</f>
        <v>15</v>
      </c>
      <c r="BI1116">
        <f>VLOOKUP($B1116,[1]Data_Peer_with_peerVars!$B$2:$Z$1050,21,FALSE)</f>
        <v>6</v>
      </c>
      <c r="BJ1116">
        <f>VLOOKUP($B1116,[1]Data_Peer_with_peerVars!$B$2:$Z$1050,22,FALSE)</f>
        <v>0.4</v>
      </c>
      <c r="BK1116">
        <f>VLOOKUP($B1116,[1]Data_Peer_with_peerVars!$B$2:$Z$1050,23,FALSE)</f>
        <v>84</v>
      </c>
      <c r="BL1116">
        <f>VLOOKUP($B1116,[1]Data_Peer_with_peerVars!$B$2:$Z$1050,24,FALSE)</f>
        <v>43</v>
      </c>
      <c r="BM1116">
        <f>VLOOKUP($B1116,[1]Data_Peer_with_peerVars!$B$2:$Z$1050,25,FALSE)</f>
        <v>0.51190476200000001</v>
      </c>
    </row>
    <row r="1117" spans="1:65" x14ac:dyDescent="0.2">
      <c r="A1117">
        <v>1</v>
      </c>
      <c r="B1117" t="s">
        <v>1692</v>
      </c>
      <c r="C1117">
        <v>688</v>
      </c>
      <c r="D1117" t="s">
        <v>68</v>
      </c>
      <c r="E1117">
        <v>1</v>
      </c>
      <c r="F1117">
        <v>653</v>
      </c>
      <c r="G1117" t="s">
        <v>86</v>
      </c>
      <c r="H1117" s="1">
        <v>7</v>
      </c>
      <c r="I1117" t="s">
        <v>87</v>
      </c>
      <c r="J1117" t="s">
        <v>124</v>
      </c>
      <c r="K1117" t="s">
        <v>109</v>
      </c>
      <c r="L1117">
        <v>1</v>
      </c>
      <c r="M1117">
        <v>0</v>
      </c>
      <c r="N1117">
        <v>1</v>
      </c>
      <c r="O1117">
        <v>0</v>
      </c>
      <c r="P1117">
        <v>0</v>
      </c>
      <c r="Q1117">
        <v>0</v>
      </c>
      <c r="R1117">
        <v>1</v>
      </c>
      <c r="S1117">
        <v>1</v>
      </c>
      <c r="T1117">
        <v>1</v>
      </c>
      <c r="U1117">
        <v>1</v>
      </c>
      <c r="V1117">
        <f t="shared" si="495"/>
        <v>0</v>
      </c>
      <c r="W1117">
        <f t="shared" si="496"/>
        <v>0</v>
      </c>
      <c r="X1117">
        <f t="shared" si="500"/>
        <v>0</v>
      </c>
      <c r="Y1117">
        <f t="shared" si="497"/>
        <v>0</v>
      </c>
      <c r="Z1117" t="s">
        <v>177</v>
      </c>
      <c r="AA1117" s="5" t="s">
        <v>107</v>
      </c>
      <c r="AB1117" s="5" t="s">
        <v>107</v>
      </c>
      <c r="AC1117" t="s">
        <v>174</v>
      </c>
      <c r="AD1117" t="s">
        <v>173</v>
      </c>
      <c r="AE1117" s="5" t="s">
        <v>506</v>
      </c>
      <c r="AF1117" t="s">
        <v>198</v>
      </c>
      <c r="AG1117" t="s">
        <v>196</v>
      </c>
      <c r="AH1117">
        <f t="shared" ref="AH1117:AH1121" si="510">AI1117</f>
        <v>6.2875887E-3</v>
      </c>
      <c r="AI1117">
        <f t="shared" si="508"/>
        <v>6.2875887E-3</v>
      </c>
      <c r="AJ1117">
        <f t="shared" si="498"/>
        <v>6.2875887E-3</v>
      </c>
      <c r="AK1117">
        <v>6.2875887E-3</v>
      </c>
      <c r="AL1117">
        <v>3.2495904999999999E-2</v>
      </c>
      <c r="AM1117">
        <v>3.457739E-2</v>
      </c>
      <c r="AN1117">
        <v>5.2631579999999997E-2</v>
      </c>
      <c r="AO1117">
        <v>99.371241130000001</v>
      </c>
      <c r="AP1117">
        <v>96.750409500000004</v>
      </c>
      <c r="AQ1117">
        <v>96.542260999999996</v>
      </c>
      <c r="AR1117">
        <v>94.736841999999996</v>
      </c>
      <c r="AS1117" t="b">
        <v>0</v>
      </c>
      <c r="AT1117" t="b">
        <v>0</v>
      </c>
      <c r="AU1117" t="s">
        <v>77</v>
      </c>
      <c r="AV1117" t="s">
        <v>108</v>
      </c>
      <c r="AW1117" t="s">
        <v>783</v>
      </c>
      <c r="AX1117" t="s">
        <v>1277</v>
      </c>
      <c r="AY1117" t="s">
        <v>1419</v>
      </c>
      <c r="AZ1117" t="s">
        <v>109</v>
      </c>
      <c r="BA1117">
        <v>2</v>
      </c>
      <c r="BB1117">
        <v>0.14000000000000001</v>
      </c>
      <c r="BC1117">
        <v>6.6481995999999998E-3</v>
      </c>
      <c r="BD1117">
        <v>2.8322716361753601E-4</v>
      </c>
      <c r="BE1117">
        <v>6.9314267636175399E-3</v>
      </c>
      <c r="BF1117">
        <f>IF(AK1117&lt;BE1117,1,0)</f>
        <v>1</v>
      </c>
      <c r="BG1117">
        <f>IF(AK1117&lt;BC1117,1,0)</f>
        <v>1</v>
      </c>
      <c r="BH1117">
        <f>VLOOKUP($B1117,[1]Data_Peer_with_peerVars!$B$2:$Z$1050,20,FALSE)</f>
        <v>8</v>
      </c>
      <c r="BI1117">
        <f>VLOOKUP($B1117,[1]Data_Peer_with_peerVars!$B$2:$Z$1050,21,FALSE)</f>
        <v>5</v>
      </c>
      <c r="BJ1117">
        <f>VLOOKUP($B1117,[1]Data_Peer_with_peerVars!$B$2:$Z$1050,22,FALSE)</f>
        <v>0.625</v>
      </c>
      <c r="BK1117">
        <f>VLOOKUP($B1117,[1]Data_Peer_with_peerVars!$B$2:$Z$1050,23,FALSE)</f>
        <v>89</v>
      </c>
      <c r="BL1117">
        <f>VLOOKUP($B1117,[1]Data_Peer_with_peerVars!$B$2:$Z$1050,24,FALSE)</f>
        <v>43</v>
      </c>
      <c r="BM1117">
        <f>VLOOKUP($B1117,[1]Data_Peer_with_peerVars!$B$2:$Z$1050,25,FALSE)</f>
        <v>0.48314606700000001</v>
      </c>
    </row>
    <row r="1118" spans="1:65" x14ac:dyDescent="0.2">
      <c r="A1118">
        <v>1</v>
      </c>
      <c r="B1118" t="s">
        <v>1693</v>
      </c>
      <c r="C1118">
        <v>689</v>
      </c>
      <c r="D1118" t="s">
        <v>68</v>
      </c>
      <c r="E1118">
        <v>0</v>
      </c>
      <c r="F1118">
        <v>684</v>
      </c>
      <c r="G1118" t="s">
        <v>97</v>
      </c>
      <c r="H1118" s="1">
        <v>7</v>
      </c>
      <c r="I1118" t="s">
        <v>87</v>
      </c>
      <c r="J1118" t="s">
        <v>111</v>
      </c>
      <c r="K1118" t="s">
        <v>109</v>
      </c>
      <c r="L1118">
        <v>1</v>
      </c>
      <c r="M1118">
        <v>1</v>
      </c>
      <c r="N1118">
        <v>0</v>
      </c>
      <c r="O1118">
        <v>0</v>
      </c>
      <c r="P1118">
        <v>1</v>
      </c>
      <c r="Q1118">
        <v>6</v>
      </c>
      <c r="R1118">
        <v>0</v>
      </c>
      <c r="S1118">
        <v>0</v>
      </c>
      <c r="T1118">
        <v>0</v>
      </c>
      <c r="U1118">
        <v>0</v>
      </c>
      <c r="V1118">
        <f t="shared" si="495"/>
        <v>0</v>
      </c>
      <c r="W1118">
        <f t="shared" si="496"/>
        <v>0</v>
      </c>
      <c r="X1118">
        <f t="shared" si="500"/>
        <v>0</v>
      </c>
      <c r="Y1118">
        <f t="shared" si="497"/>
        <v>0</v>
      </c>
      <c r="Z1118" t="s">
        <v>75</v>
      </c>
      <c r="AA1118" s="5" t="s">
        <v>75</v>
      </c>
      <c r="AB1118" s="5" t="s">
        <v>75</v>
      </c>
      <c r="AC1118" t="s">
        <v>91</v>
      </c>
      <c r="AD1118" t="s">
        <v>287</v>
      </c>
      <c r="AE1118" s="5" t="s">
        <v>287</v>
      </c>
      <c r="AF1118" t="s">
        <v>137</v>
      </c>
      <c r="AG1118" t="s">
        <v>84</v>
      </c>
      <c r="AH1118">
        <f t="shared" si="510"/>
        <v>7.4013159999999998E-3</v>
      </c>
      <c r="AI1118">
        <f t="shared" si="508"/>
        <v>7.4013159999999998E-3</v>
      </c>
      <c r="AJ1118">
        <f t="shared" si="498"/>
        <v>7.4013159999999998E-3</v>
      </c>
      <c r="AK1118">
        <v>7.4013159999999998E-3</v>
      </c>
      <c r="AL1118">
        <v>0.11671233</v>
      </c>
      <c r="AM1118">
        <v>0.12705366000000001</v>
      </c>
      <c r="AN1118">
        <v>0.13112947</v>
      </c>
      <c r="AO1118">
        <v>99.259868400000002</v>
      </c>
      <c r="AP1118">
        <v>88.328766999999999</v>
      </c>
      <c r="AQ1118">
        <v>87.294634000000002</v>
      </c>
      <c r="AR1118">
        <v>86.887052999999995</v>
      </c>
      <c r="AS1118" t="b">
        <v>0</v>
      </c>
      <c r="AT1118" t="b">
        <v>0</v>
      </c>
      <c r="AU1118" t="s">
        <v>77</v>
      </c>
      <c r="AV1118" t="s">
        <v>78</v>
      </c>
      <c r="AW1118" t="s">
        <v>783</v>
      </c>
      <c r="AX1118" t="s">
        <v>1277</v>
      </c>
      <c r="AY1118" t="s">
        <v>1530</v>
      </c>
      <c r="AZ1118" t="s">
        <v>109</v>
      </c>
      <c r="BA1118">
        <v>4</v>
      </c>
      <c r="BB1118">
        <v>0.35</v>
      </c>
      <c r="BC1118">
        <v>9.0659339999999995E-3</v>
      </c>
      <c r="BD1118">
        <v>2.76583658862385E-3</v>
      </c>
      <c r="BE1118">
        <v>1.1831770588623799E-2</v>
      </c>
      <c r="BF1118">
        <f>IF(AK1118&lt;BE1118,1,0)</f>
        <v>1</v>
      </c>
      <c r="BG1118">
        <f>IF(AK1118&lt;BC1118,1,0)</f>
        <v>1</v>
      </c>
      <c r="BH1118">
        <f>VLOOKUP($B1118,[1]Data_Peer_with_peerVars!$B$2:$Z$1050,20,FALSE)</f>
        <v>7</v>
      </c>
      <c r="BI1118">
        <f>VLOOKUP($B1118,[1]Data_Peer_with_peerVars!$B$2:$Z$1050,21,FALSE)</f>
        <v>4</v>
      </c>
      <c r="BJ1118">
        <f>VLOOKUP($B1118,[1]Data_Peer_with_peerVars!$B$2:$Z$1050,22,FALSE)</f>
        <v>0.571428571</v>
      </c>
      <c r="BK1118">
        <f>VLOOKUP($B1118,[1]Data_Peer_with_peerVars!$B$2:$Z$1050,23,FALSE)</f>
        <v>78</v>
      </c>
      <c r="BL1118">
        <f>VLOOKUP($B1118,[1]Data_Peer_with_peerVars!$B$2:$Z$1050,24,FALSE)</f>
        <v>38</v>
      </c>
      <c r="BM1118">
        <f>VLOOKUP($B1118,[1]Data_Peer_with_peerVars!$B$2:$Z$1050,25,FALSE)</f>
        <v>0.48717948700000002</v>
      </c>
    </row>
    <row r="1119" spans="1:65" x14ac:dyDescent="0.2">
      <c r="A1119">
        <v>1</v>
      </c>
      <c r="B1119" t="s">
        <v>1694</v>
      </c>
      <c r="C1119">
        <v>690</v>
      </c>
      <c r="D1119" t="s">
        <v>155</v>
      </c>
      <c r="E1119">
        <v>0</v>
      </c>
      <c r="F1119" s="14" t="s">
        <v>82</v>
      </c>
      <c r="G1119" s="14" t="s">
        <v>82</v>
      </c>
      <c r="H1119" s="1">
        <v>6</v>
      </c>
      <c r="I1119" t="s">
        <v>87</v>
      </c>
      <c r="J1119" t="s">
        <v>111</v>
      </c>
      <c r="K1119" t="s">
        <v>109</v>
      </c>
      <c r="L1119">
        <v>1</v>
      </c>
      <c r="M1119">
        <v>0</v>
      </c>
      <c r="N1119">
        <v>0</v>
      </c>
      <c r="O1119">
        <v>1</v>
      </c>
      <c r="P1119">
        <v>1</v>
      </c>
      <c r="Q1119">
        <v>6</v>
      </c>
      <c r="R1119">
        <v>0</v>
      </c>
      <c r="S1119">
        <v>0</v>
      </c>
      <c r="T1119">
        <v>0</v>
      </c>
      <c r="U1119">
        <v>0</v>
      </c>
      <c r="V1119">
        <f t="shared" si="495"/>
        <v>1</v>
      </c>
      <c r="W1119">
        <v>1</v>
      </c>
      <c r="X1119">
        <v>1</v>
      </c>
      <c r="Y1119">
        <v>1</v>
      </c>
      <c r="Z1119" t="s">
        <v>73</v>
      </c>
      <c r="AA1119" s="5" t="s">
        <v>73</v>
      </c>
      <c r="AB1119" s="5" t="s">
        <v>1577</v>
      </c>
      <c r="AC1119" t="s">
        <v>73</v>
      </c>
      <c r="AD1119" t="s">
        <v>94</v>
      </c>
      <c r="AE1119" s="5" t="s">
        <v>94</v>
      </c>
      <c r="AF1119" t="s">
        <v>75</v>
      </c>
      <c r="AG1119" t="s">
        <v>95</v>
      </c>
      <c r="AH1119">
        <f t="shared" si="510"/>
        <v>5.4585149999999999E-2</v>
      </c>
      <c r="AI1119">
        <f>AJ1119</f>
        <v>5.4585149999999999E-2</v>
      </c>
      <c r="AJ1119">
        <f t="shared" si="498"/>
        <v>5.4585149999999999E-2</v>
      </c>
      <c r="AK1119">
        <v>5.4585149999999999E-2</v>
      </c>
      <c r="AL1119">
        <v>0.122677594</v>
      </c>
      <c r="AM1119">
        <v>0.12869659999999999</v>
      </c>
      <c r="AN1119">
        <v>0.13949671</v>
      </c>
      <c r="AO1119">
        <v>94.541484999999994</v>
      </c>
      <c r="AP1119">
        <v>87.732240599999997</v>
      </c>
      <c r="AQ1119">
        <v>87.130340000000004</v>
      </c>
      <c r="AR1119">
        <v>86.050329000000005</v>
      </c>
      <c r="AS1119" t="b">
        <v>1</v>
      </c>
      <c r="AT1119" t="b">
        <v>0</v>
      </c>
      <c r="AU1119" t="s">
        <v>77</v>
      </c>
      <c r="AV1119" t="s">
        <v>78</v>
      </c>
      <c r="AW1119" t="s">
        <v>783</v>
      </c>
      <c r="AX1119" t="s">
        <v>1277</v>
      </c>
      <c r="AY1119" t="s">
        <v>1423</v>
      </c>
      <c r="AZ1119" t="s">
        <v>109</v>
      </c>
      <c r="BA1119">
        <v>5</v>
      </c>
      <c r="BB1119">
        <v>2.8</v>
      </c>
      <c r="BC1119">
        <v>4.1163553999999996E-3</v>
      </c>
      <c r="BD1119">
        <v>1.4279989108178799E-4</v>
      </c>
      <c r="BE1119">
        <v>4.2591552910817903E-3</v>
      </c>
      <c r="BF1119">
        <f>IF(AK1119&lt;BE1119,1,0)</f>
        <v>0</v>
      </c>
      <c r="BG1119">
        <f>IF(AK1119&lt;BC1119,1,0)</f>
        <v>0</v>
      </c>
      <c r="BH1119">
        <f>VLOOKUP($B1119,[1]Data_Peer_with_peerVars!$B$2:$Z$1050,20,FALSE)</f>
        <v>7</v>
      </c>
      <c r="BI1119">
        <f>VLOOKUP($B1119,[1]Data_Peer_with_peerVars!$B$2:$Z$1050,21,FALSE)</f>
        <v>6</v>
      </c>
      <c r="BJ1119">
        <f>VLOOKUP($B1119,[1]Data_Peer_with_peerVars!$B$2:$Z$1050,22,FALSE)</f>
        <v>0.85714285700000004</v>
      </c>
      <c r="BK1119">
        <f>VLOOKUP($B1119,[1]Data_Peer_with_peerVars!$B$2:$Z$1050,23,FALSE)</f>
        <v>64</v>
      </c>
      <c r="BL1119">
        <f>VLOOKUP($B1119,[1]Data_Peer_with_peerVars!$B$2:$Z$1050,24,FALSE)</f>
        <v>31</v>
      </c>
      <c r="BM1119">
        <f>VLOOKUP($B1119,[1]Data_Peer_with_peerVars!$B$2:$Z$1050,25,FALSE)</f>
        <v>0.484375</v>
      </c>
    </row>
    <row r="1120" spans="1:65" x14ac:dyDescent="0.2">
      <c r="A1120">
        <v>1</v>
      </c>
      <c r="B1120" t="s">
        <v>1695</v>
      </c>
      <c r="C1120">
        <v>691</v>
      </c>
      <c r="D1120" t="s">
        <v>155</v>
      </c>
      <c r="E1120">
        <v>0</v>
      </c>
      <c r="F1120" s="14" t="s">
        <v>82</v>
      </c>
      <c r="G1120" s="14" t="s">
        <v>82</v>
      </c>
      <c r="H1120" s="1">
        <v>5.5</v>
      </c>
      <c r="J1120" t="s">
        <v>82</v>
      </c>
      <c r="L1120">
        <v>1</v>
      </c>
      <c r="M1120">
        <v>0</v>
      </c>
      <c r="N1120">
        <v>0</v>
      </c>
      <c r="O1120">
        <v>0</v>
      </c>
      <c r="P1120">
        <v>0</v>
      </c>
      <c r="Q1120">
        <v>8</v>
      </c>
      <c r="R1120">
        <v>0</v>
      </c>
      <c r="S1120">
        <v>0</v>
      </c>
      <c r="T1120">
        <v>0</v>
      </c>
      <c r="U1120">
        <v>0</v>
      </c>
      <c r="V1120">
        <f t="shared" si="495"/>
        <v>0</v>
      </c>
      <c r="W1120">
        <f t="shared" si="496"/>
        <v>1</v>
      </c>
      <c r="X1120">
        <v>1</v>
      </c>
      <c r="Y1120">
        <v>1</v>
      </c>
      <c r="Z1120" t="s">
        <v>76</v>
      </c>
      <c r="AA1120" s="5" t="s">
        <v>76</v>
      </c>
      <c r="AB1120" s="5" t="s">
        <v>76</v>
      </c>
      <c r="AC1120" t="s">
        <v>74</v>
      </c>
      <c r="AD1120" t="s">
        <v>76</v>
      </c>
      <c r="AE1120" s="5" t="s">
        <v>76</v>
      </c>
      <c r="AF1120" t="s">
        <v>167</v>
      </c>
      <c r="AG1120" t="s">
        <v>75</v>
      </c>
      <c r="AH1120">
        <f t="shared" si="510"/>
        <v>0.11851447</v>
      </c>
      <c r="AI1120">
        <f>AJ1120</f>
        <v>0.11851447</v>
      </c>
      <c r="AJ1120">
        <f>AL1120</f>
        <v>0.11851447</v>
      </c>
      <c r="AK1120">
        <v>0.11178082</v>
      </c>
      <c r="AL1120">
        <v>0.11851447</v>
      </c>
      <c r="AM1120">
        <v>0.13232875999999999</v>
      </c>
      <c r="AN1120">
        <v>0.13320567999999999</v>
      </c>
      <c r="AO1120">
        <v>88.821917999999997</v>
      </c>
      <c r="AP1120">
        <v>88.148553000000007</v>
      </c>
      <c r="AQ1120">
        <v>86.767123999999995</v>
      </c>
      <c r="AR1120">
        <v>86.679432000000006</v>
      </c>
      <c r="AS1120" t="b">
        <v>0</v>
      </c>
      <c r="AT1120" t="b">
        <v>1</v>
      </c>
      <c r="AU1120" t="s">
        <v>78</v>
      </c>
      <c r="AV1120" t="s">
        <v>78</v>
      </c>
      <c r="AW1120" t="s">
        <v>783</v>
      </c>
      <c r="AX1120" t="s">
        <v>1298</v>
      </c>
      <c r="AY1120" t="s">
        <v>1649</v>
      </c>
      <c r="AZ1120" t="s">
        <v>82</v>
      </c>
      <c r="BA1120" t="s">
        <v>82</v>
      </c>
      <c r="BB1120">
        <v>0.35</v>
      </c>
      <c r="BC1120">
        <v>2.4738868000000001E-3</v>
      </c>
      <c r="BD1120">
        <v>1.4256942275279999E-4</v>
      </c>
      <c r="BE1120">
        <v>2.6164562227527998E-3</v>
      </c>
      <c r="BF1120">
        <f>IF(AK1120&lt;BE1120,1,0)</f>
        <v>0</v>
      </c>
      <c r="BG1120">
        <f>IF(AK1120&lt;BC1120,1,0)</f>
        <v>0</v>
      </c>
      <c r="BH1120">
        <f>VLOOKUP($B1120,[1]Data_Peer_with_peerVars!$B$2:$Z$1050,20,FALSE)</f>
        <v>6</v>
      </c>
      <c r="BI1120">
        <f>VLOOKUP($B1120,[1]Data_Peer_with_peerVars!$B$2:$Z$1050,21,FALSE)</f>
        <v>3</v>
      </c>
      <c r="BJ1120">
        <f>VLOOKUP($B1120,[1]Data_Peer_with_peerVars!$B$2:$Z$1050,22,FALSE)</f>
        <v>0.5</v>
      </c>
      <c r="BK1120">
        <f>VLOOKUP($B1120,[1]Data_Peer_with_peerVars!$B$2:$Z$1050,23,FALSE)</f>
        <v>76</v>
      </c>
      <c r="BL1120">
        <f>VLOOKUP($B1120,[1]Data_Peer_with_peerVars!$B$2:$Z$1050,24,FALSE)</f>
        <v>34</v>
      </c>
      <c r="BM1120">
        <f>VLOOKUP($B1120,[1]Data_Peer_with_peerVars!$B$2:$Z$1050,25,FALSE)</f>
        <v>0.44736842100000002</v>
      </c>
    </row>
    <row r="1121" spans="1:65" x14ac:dyDescent="0.2">
      <c r="A1121">
        <v>1</v>
      </c>
      <c r="B1121" t="s">
        <v>1696</v>
      </c>
      <c r="C1121">
        <v>691</v>
      </c>
      <c r="D1121" t="s">
        <v>155</v>
      </c>
      <c r="E1121">
        <v>0</v>
      </c>
      <c r="F1121" s="14" t="s">
        <v>82</v>
      </c>
      <c r="G1121" s="14" t="s">
        <v>82</v>
      </c>
      <c r="H1121" s="1">
        <v>5.5</v>
      </c>
      <c r="J1121" t="s">
        <v>82</v>
      </c>
      <c r="L1121">
        <v>1</v>
      </c>
      <c r="M1121">
        <v>0</v>
      </c>
      <c r="N1121">
        <v>0</v>
      </c>
      <c r="O1121">
        <v>0</v>
      </c>
      <c r="P1121">
        <v>0</v>
      </c>
      <c r="Q1121">
        <v>8</v>
      </c>
      <c r="R1121">
        <v>0</v>
      </c>
      <c r="S1121">
        <v>0</v>
      </c>
      <c r="T1121">
        <v>1</v>
      </c>
      <c r="U1121">
        <v>1</v>
      </c>
      <c r="V1121">
        <f t="shared" si="495"/>
        <v>1</v>
      </c>
      <c r="W1121">
        <v>1</v>
      </c>
      <c r="X1121">
        <v>1</v>
      </c>
      <c r="Y1121">
        <v>1</v>
      </c>
      <c r="Z1121" t="s">
        <v>73</v>
      </c>
      <c r="AA1121" s="5" t="s">
        <v>73</v>
      </c>
      <c r="AB1121" s="5" t="s">
        <v>73</v>
      </c>
      <c r="AC1121" t="s">
        <v>73</v>
      </c>
      <c r="AD1121" t="s">
        <v>94</v>
      </c>
      <c r="AE1121" s="5" t="s">
        <v>106</v>
      </c>
      <c r="AF1121" t="s">
        <v>107</v>
      </c>
      <c r="AG1121" t="s">
        <v>95</v>
      </c>
      <c r="AH1121">
        <f t="shared" si="510"/>
        <v>3.8167940000000001E-3</v>
      </c>
      <c r="AI1121">
        <f>AJ1121</f>
        <v>3.8167940000000001E-3</v>
      </c>
      <c r="AJ1121">
        <f t="shared" si="498"/>
        <v>3.8167940000000001E-3</v>
      </c>
      <c r="AK1121">
        <v>3.8167940000000001E-3</v>
      </c>
      <c r="AL1121">
        <v>0.13169399000000001</v>
      </c>
      <c r="AM1121">
        <v>0.13623904000000001</v>
      </c>
      <c r="AN1121">
        <v>0.13867615</v>
      </c>
      <c r="AO1121">
        <v>99.618320600000004</v>
      </c>
      <c r="AP1121">
        <v>86.830601000000001</v>
      </c>
      <c r="AQ1121">
        <v>86.376096000000004</v>
      </c>
      <c r="AR1121">
        <v>86.132384999999999</v>
      </c>
      <c r="AS1121" t="b">
        <v>1</v>
      </c>
      <c r="AT1121" t="b">
        <v>0</v>
      </c>
      <c r="AU1121" t="s">
        <v>77</v>
      </c>
      <c r="AV1121" t="s">
        <v>108</v>
      </c>
      <c r="AW1121" t="s">
        <v>783</v>
      </c>
      <c r="AX1121" t="s">
        <v>1298</v>
      </c>
      <c r="AY1121" t="s">
        <v>1649</v>
      </c>
      <c r="AZ1121" t="s">
        <v>109</v>
      </c>
      <c r="BA1121">
        <v>2</v>
      </c>
      <c r="BB1121">
        <v>1.75</v>
      </c>
      <c r="BC1121">
        <v>4.1163553999999996E-3</v>
      </c>
      <c r="BD1121">
        <v>1.4279989108178799E-4</v>
      </c>
      <c r="BE1121">
        <v>4.2591552910817903E-3</v>
      </c>
      <c r="BF1121">
        <f>IF(AK1121&lt;BE1121,1,0)</f>
        <v>1</v>
      </c>
      <c r="BG1121">
        <f>IF(AK1121&lt;BC1121,1,0)</f>
        <v>1</v>
      </c>
      <c r="BH1121">
        <f>VLOOKUP($B1121,[1]Data_Peer_with_peerVars!$B$2:$Z$1050,20,FALSE)</f>
        <v>6</v>
      </c>
      <c r="BI1121">
        <f>VLOOKUP($B1121,[1]Data_Peer_with_peerVars!$B$2:$Z$1050,21,FALSE)</f>
        <v>3</v>
      </c>
      <c r="BJ1121">
        <f>VLOOKUP($B1121,[1]Data_Peer_with_peerVars!$B$2:$Z$1050,22,FALSE)</f>
        <v>0.5</v>
      </c>
      <c r="BK1121">
        <f>VLOOKUP($B1121,[1]Data_Peer_with_peerVars!$B$2:$Z$1050,23,FALSE)</f>
        <v>76</v>
      </c>
      <c r="BL1121">
        <f>VLOOKUP($B1121,[1]Data_Peer_with_peerVars!$B$2:$Z$1050,24,FALSE)</f>
        <v>34</v>
      </c>
      <c r="BM1121">
        <f>VLOOKUP($B1121,[1]Data_Peer_with_peerVars!$B$2:$Z$1050,25,FALSE)</f>
        <v>0.44736842100000002</v>
      </c>
    </row>
    <row r="1122" spans="1:65" x14ac:dyDescent="0.2">
      <c r="A1122">
        <v>1</v>
      </c>
      <c r="B1122" t="s">
        <v>1697</v>
      </c>
      <c r="C1122">
        <v>692</v>
      </c>
      <c r="D1122" t="s">
        <v>155</v>
      </c>
      <c r="E1122">
        <v>0</v>
      </c>
      <c r="F1122" s="14" t="s">
        <v>82</v>
      </c>
      <c r="G1122" s="14" t="s">
        <v>82</v>
      </c>
      <c r="H1122" s="1">
        <v>7</v>
      </c>
      <c r="I1122" t="s">
        <v>87</v>
      </c>
      <c r="J1122" t="s">
        <v>111</v>
      </c>
      <c r="K1122" t="s">
        <v>109</v>
      </c>
      <c r="L1122">
        <v>1</v>
      </c>
      <c r="M1122">
        <v>1</v>
      </c>
      <c r="N1122">
        <v>0</v>
      </c>
      <c r="O1122">
        <v>0</v>
      </c>
      <c r="P1122">
        <v>1</v>
      </c>
      <c r="Q1122">
        <v>8</v>
      </c>
      <c r="R1122">
        <v>0</v>
      </c>
      <c r="S1122">
        <v>0</v>
      </c>
      <c r="T1122">
        <v>0</v>
      </c>
      <c r="U1122">
        <v>0</v>
      </c>
      <c r="V1122">
        <f t="shared" si="495"/>
        <v>0</v>
      </c>
      <c r="W1122">
        <f t="shared" si="496"/>
        <v>0</v>
      </c>
      <c r="X1122">
        <f t="shared" si="500"/>
        <v>0</v>
      </c>
      <c r="Y1122">
        <f t="shared" si="497"/>
        <v>0</v>
      </c>
      <c r="Z1122" t="s">
        <v>75</v>
      </c>
      <c r="AA1122" s="5" t="s">
        <v>75</v>
      </c>
      <c r="AB1122" s="5" t="s">
        <v>75</v>
      </c>
      <c r="AC1122" t="s">
        <v>91</v>
      </c>
      <c r="AD1122" t="s">
        <v>287</v>
      </c>
      <c r="AE1122" s="5" t="s">
        <v>287</v>
      </c>
      <c r="AF1122" t="s">
        <v>137</v>
      </c>
      <c r="AG1122" t="s">
        <v>113</v>
      </c>
      <c r="AH1122">
        <f t="shared" ref="AH1122:AH1123" si="511">AI1122</f>
        <v>5.7439825999999999E-2</v>
      </c>
      <c r="AI1122">
        <f t="shared" ref="AI1122:AI1125" si="512">AJ1122</f>
        <v>5.7439825999999999E-2</v>
      </c>
      <c r="AJ1122">
        <f t="shared" si="498"/>
        <v>5.7439825999999999E-2</v>
      </c>
      <c r="AK1122">
        <v>5.7439825999999999E-2</v>
      </c>
      <c r="AL1122">
        <v>0.11796832</v>
      </c>
      <c r="AM1122">
        <v>0.12370289</v>
      </c>
      <c r="AN1122">
        <v>0.13543955999999999</v>
      </c>
      <c r="AO1122">
        <v>94.256017400000005</v>
      </c>
      <c r="AP1122">
        <v>88.203168000000005</v>
      </c>
      <c r="AQ1122">
        <v>87.629711</v>
      </c>
      <c r="AR1122">
        <v>86.456044000000006</v>
      </c>
      <c r="AS1122" t="b">
        <v>0</v>
      </c>
      <c r="AT1122" t="b">
        <v>0</v>
      </c>
      <c r="AU1122" t="s">
        <v>77</v>
      </c>
      <c r="AV1122" t="s">
        <v>78</v>
      </c>
      <c r="AW1122" t="s">
        <v>783</v>
      </c>
      <c r="AX1122" t="s">
        <v>1277</v>
      </c>
      <c r="AY1122" t="s">
        <v>1423</v>
      </c>
      <c r="AZ1122" t="s">
        <v>109</v>
      </c>
      <c r="BA1122">
        <v>3</v>
      </c>
      <c r="BB1122">
        <v>1</v>
      </c>
      <c r="BC1122">
        <v>9.0659339999999995E-3</v>
      </c>
      <c r="BD1122">
        <v>2.76583658862385E-3</v>
      </c>
      <c r="BE1122">
        <v>1.1831770588623799E-2</v>
      </c>
      <c r="BF1122">
        <f>IF(AK1122&lt;BE1122,1,0)</f>
        <v>0</v>
      </c>
      <c r="BG1122">
        <f>IF(AK1122&lt;BC1122,1,0)</f>
        <v>0</v>
      </c>
      <c r="BH1122">
        <f>VLOOKUP($B1122,[1]Data_Peer_with_peerVars!$B$2:$Z$1050,20,FALSE)</f>
        <v>2</v>
      </c>
      <c r="BI1122">
        <f>VLOOKUP($B1122,[1]Data_Peer_with_peerVars!$B$2:$Z$1050,21,FALSE)</f>
        <v>0</v>
      </c>
      <c r="BJ1122">
        <f>VLOOKUP($B1122,[1]Data_Peer_with_peerVars!$B$2:$Z$1050,22,FALSE)</f>
        <v>0</v>
      </c>
      <c r="BK1122">
        <f>VLOOKUP($B1122,[1]Data_Peer_with_peerVars!$B$2:$Z$1050,23,FALSE)</f>
        <v>28</v>
      </c>
      <c r="BL1122">
        <f>VLOOKUP($B1122,[1]Data_Peer_with_peerVars!$B$2:$Z$1050,24,FALSE)</f>
        <v>19</v>
      </c>
      <c r="BM1122">
        <f>VLOOKUP($B1122,[1]Data_Peer_with_peerVars!$B$2:$Z$1050,25,FALSE)</f>
        <v>0.678571429</v>
      </c>
    </row>
    <row r="1123" spans="1:65" x14ac:dyDescent="0.2">
      <c r="A1123">
        <v>1</v>
      </c>
      <c r="B1123" t="s">
        <v>1698</v>
      </c>
      <c r="C1123">
        <v>692</v>
      </c>
      <c r="D1123" t="s">
        <v>155</v>
      </c>
      <c r="E1123">
        <v>0</v>
      </c>
      <c r="F1123" s="14" t="s">
        <v>82</v>
      </c>
      <c r="G1123" s="14" t="s">
        <v>82</v>
      </c>
      <c r="H1123" s="1">
        <v>7</v>
      </c>
      <c r="I1123" t="s">
        <v>87</v>
      </c>
      <c r="J1123" t="s">
        <v>111</v>
      </c>
      <c r="K1123" t="s">
        <v>109</v>
      </c>
      <c r="L1123">
        <v>1</v>
      </c>
      <c r="M1123">
        <v>1</v>
      </c>
      <c r="N1123">
        <v>0</v>
      </c>
      <c r="O1123">
        <v>0</v>
      </c>
      <c r="P1123">
        <v>1</v>
      </c>
      <c r="Q1123">
        <v>8</v>
      </c>
      <c r="R1123">
        <v>0</v>
      </c>
      <c r="S1123">
        <v>0</v>
      </c>
      <c r="T1123">
        <v>1</v>
      </c>
      <c r="U1123">
        <v>1</v>
      </c>
      <c r="V1123">
        <f t="shared" si="495"/>
        <v>0</v>
      </c>
      <c r="W1123">
        <f t="shared" si="496"/>
        <v>0</v>
      </c>
      <c r="X1123">
        <f t="shared" si="500"/>
        <v>0</v>
      </c>
      <c r="Y1123">
        <f t="shared" si="497"/>
        <v>0</v>
      </c>
      <c r="Z1123" t="s">
        <v>177</v>
      </c>
      <c r="AA1123" s="5" t="s">
        <v>107</v>
      </c>
      <c r="AB1123" s="5" t="s">
        <v>107</v>
      </c>
      <c r="AC1123" t="s">
        <v>107</v>
      </c>
      <c r="AD1123" t="s">
        <v>95</v>
      </c>
      <c r="AE1123" s="5" t="s">
        <v>95</v>
      </c>
      <c r="AF1123" t="s">
        <v>173</v>
      </c>
      <c r="AG1123" t="s">
        <v>174</v>
      </c>
      <c r="AH1123">
        <f t="shared" si="511"/>
        <v>9.320175E-3</v>
      </c>
      <c r="AI1123">
        <f t="shared" si="512"/>
        <v>9.320175E-3</v>
      </c>
      <c r="AJ1123">
        <f t="shared" si="498"/>
        <v>9.320175E-3</v>
      </c>
      <c r="AK1123">
        <v>9.320175E-3</v>
      </c>
      <c r="AL1123">
        <v>7.7302634999999995E-2</v>
      </c>
      <c r="AM1123">
        <v>9.441708E-2</v>
      </c>
      <c r="AN1123">
        <v>9.7861840000000005E-2</v>
      </c>
      <c r="AO1123">
        <v>99.067982499999999</v>
      </c>
      <c r="AP1123">
        <v>92.269736499999993</v>
      </c>
      <c r="AQ1123">
        <v>90.558291999999994</v>
      </c>
      <c r="AR1123">
        <v>90.213815999999994</v>
      </c>
      <c r="AS1123" t="b">
        <v>1</v>
      </c>
      <c r="AT1123" t="b">
        <v>0</v>
      </c>
      <c r="AU1123" t="s">
        <v>77</v>
      </c>
      <c r="AV1123" t="s">
        <v>77</v>
      </c>
      <c r="AW1123" t="s">
        <v>783</v>
      </c>
      <c r="AX1123" t="s">
        <v>1277</v>
      </c>
      <c r="AY1123" t="s">
        <v>1423</v>
      </c>
      <c r="AZ1123" t="s">
        <v>72</v>
      </c>
      <c r="BA1123" t="s">
        <v>82</v>
      </c>
      <c r="BB1123">
        <v>3.5000000000000003E-2</v>
      </c>
      <c r="BC1123">
        <v>2.6475456000000001E-2</v>
      </c>
      <c r="BD1123">
        <v>8.8330364056477401E-3</v>
      </c>
      <c r="BE1123">
        <v>3.53084924056477E-2</v>
      </c>
      <c r="BF1123">
        <f>IF(AK1123&lt;BE1123,1,0)</f>
        <v>1</v>
      </c>
      <c r="BG1123">
        <f>IF(AK1123&lt;BC1123,1,0)</f>
        <v>1</v>
      </c>
      <c r="BH1123">
        <f>VLOOKUP($B1123,[1]Data_Peer_with_peerVars!$B$2:$Z$1050,20,FALSE)</f>
        <v>2</v>
      </c>
      <c r="BI1123">
        <f>VLOOKUP($B1123,[1]Data_Peer_with_peerVars!$B$2:$Z$1050,21,FALSE)</f>
        <v>0</v>
      </c>
      <c r="BJ1123">
        <f>VLOOKUP($B1123,[1]Data_Peer_with_peerVars!$B$2:$Z$1050,22,FALSE)</f>
        <v>0</v>
      </c>
      <c r="BK1123">
        <f>VLOOKUP($B1123,[1]Data_Peer_with_peerVars!$B$2:$Z$1050,23,FALSE)</f>
        <v>28</v>
      </c>
      <c r="BL1123">
        <f>VLOOKUP($B1123,[1]Data_Peer_with_peerVars!$B$2:$Z$1050,24,FALSE)</f>
        <v>19</v>
      </c>
      <c r="BM1123">
        <f>VLOOKUP($B1123,[1]Data_Peer_with_peerVars!$B$2:$Z$1050,25,FALSE)</f>
        <v>0.678571429</v>
      </c>
    </row>
    <row r="1124" spans="1:65" x14ac:dyDescent="0.2">
      <c r="A1124">
        <v>1</v>
      </c>
      <c r="B1124" t="s">
        <v>1699</v>
      </c>
      <c r="C1124">
        <v>693</v>
      </c>
      <c r="D1124" t="s">
        <v>155</v>
      </c>
      <c r="E1124">
        <v>0</v>
      </c>
      <c r="F1124" s="14" t="s">
        <v>82</v>
      </c>
      <c r="G1124" s="14" t="s">
        <v>82</v>
      </c>
      <c r="H1124" s="1">
        <v>6</v>
      </c>
      <c r="I1124" t="s">
        <v>87</v>
      </c>
      <c r="J1124" t="s">
        <v>150</v>
      </c>
      <c r="K1124" t="s">
        <v>72</v>
      </c>
      <c r="L1124">
        <v>1</v>
      </c>
      <c r="M1124">
        <v>0</v>
      </c>
      <c r="N1124">
        <v>0</v>
      </c>
      <c r="O1124">
        <v>0</v>
      </c>
      <c r="P1124">
        <v>0</v>
      </c>
      <c r="Q1124">
        <v>10</v>
      </c>
      <c r="R1124">
        <v>0</v>
      </c>
      <c r="S1124">
        <v>0</v>
      </c>
      <c r="T1124">
        <v>0</v>
      </c>
      <c r="U1124">
        <v>0</v>
      </c>
      <c r="V1124">
        <f t="shared" si="495"/>
        <v>0</v>
      </c>
      <c r="W1124">
        <f t="shared" si="496"/>
        <v>0</v>
      </c>
      <c r="X1124">
        <f t="shared" si="500"/>
        <v>0</v>
      </c>
      <c r="Y1124">
        <f t="shared" si="497"/>
        <v>1</v>
      </c>
      <c r="Z1124" t="s">
        <v>75</v>
      </c>
      <c r="AA1124" s="5" t="s">
        <v>75</v>
      </c>
      <c r="AB1124" s="5" t="s">
        <v>75</v>
      </c>
      <c r="AC1124" t="s">
        <v>73</v>
      </c>
      <c r="AD1124" t="s">
        <v>91</v>
      </c>
      <c r="AE1124" s="5" t="s">
        <v>91</v>
      </c>
      <c r="AF1124" t="s">
        <v>94</v>
      </c>
      <c r="AG1124" t="s">
        <v>75</v>
      </c>
      <c r="AH1124">
        <f>AN1124</f>
        <v>0.14250547</v>
      </c>
      <c r="AI1124">
        <f t="shared" si="512"/>
        <v>7.9607410000000003E-2</v>
      </c>
      <c r="AJ1124">
        <f t="shared" si="498"/>
        <v>7.9607410000000003E-2</v>
      </c>
      <c r="AK1124">
        <v>7.9607410000000003E-2</v>
      </c>
      <c r="AL1124">
        <v>8.3105520000000002E-2</v>
      </c>
      <c r="AM1124">
        <v>0.13618995</v>
      </c>
      <c r="AN1124">
        <v>0.14250547</v>
      </c>
      <c r="AO1124">
        <v>92.039259000000001</v>
      </c>
      <c r="AP1124">
        <v>91.689447999999999</v>
      </c>
      <c r="AQ1124">
        <v>86.381005000000002</v>
      </c>
      <c r="AR1124">
        <v>85.749453000000003</v>
      </c>
      <c r="AS1124" t="b">
        <v>0</v>
      </c>
      <c r="AT1124" t="b">
        <v>0</v>
      </c>
      <c r="AU1124" t="s">
        <v>77</v>
      </c>
      <c r="AV1124" t="s">
        <v>77</v>
      </c>
      <c r="AW1124" t="s">
        <v>783</v>
      </c>
      <c r="AX1124" t="s">
        <v>1277</v>
      </c>
      <c r="AY1124" t="s">
        <v>1518</v>
      </c>
      <c r="AZ1124" t="s">
        <v>72</v>
      </c>
      <c r="BA1124" t="s">
        <v>82</v>
      </c>
      <c r="BB1124">
        <v>0.1</v>
      </c>
      <c r="BC1124">
        <v>4.1163553999999996E-3</v>
      </c>
      <c r="BD1124">
        <v>1.4279989108178799E-4</v>
      </c>
      <c r="BE1124">
        <v>4.2591552910817903E-3</v>
      </c>
      <c r="BF1124">
        <f>IF(AK1124&lt;BE1124,1,0)</f>
        <v>0</v>
      </c>
      <c r="BG1124">
        <f>IF(AK1124&lt;BC1124,1,0)</f>
        <v>0</v>
      </c>
      <c r="BH1124">
        <f>VLOOKUP($B1124,[1]Data_Peer_with_peerVars!$B$2:$Z$1050,20,FALSE)</f>
        <v>15</v>
      </c>
      <c r="BI1124">
        <f>VLOOKUP($B1124,[1]Data_Peer_with_peerVars!$B$2:$Z$1050,21,FALSE)</f>
        <v>7</v>
      </c>
      <c r="BJ1124">
        <f>VLOOKUP($B1124,[1]Data_Peer_with_peerVars!$B$2:$Z$1050,22,FALSE)</f>
        <v>0.46666666699999998</v>
      </c>
      <c r="BK1124">
        <f>VLOOKUP($B1124,[1]Data_Peer_with_peerVars!$B$2:$Z$1050,23,FALSE)</f>
        <v>83</v>
      </c>
      <c r="BL1124">
        <f>VLOOKUP($B1124,[1]Data_Peer_with_peerVars!$B$2:$Z$1050,24,FALSE)</f>
        <v>43</v>
      </c>
      <c r="BM1124">
        <f>VLOOKUP($B1124,[1]Data_Peer_with_peerVars!$B$2:$Z$1050,25,FALSE)</f>
        <v>0.51807228900000002</v>
      </c>
    </row>
    <row r="1125" spans="1:65" x14ac:dyDescent="0.2">
      <c r="A1125">
        <v>1</v>
      </c>
      <c r="B1125" t="s">
        <v>1700</v>
      </c>
      <c r="C1125">
        <v>694</v>
      </c>
      <c r="D1125" t="s">
        <v>155</v>
      </c>
      <c r="E1125">
        <v>0</v>
      </c>
      <c r="F1125" s="14" t="s">
        <v>82</v>
      </c>
      <c r="G1125" s="14" t="s">
        <v>82</v>
      </c>
      <c r="H1125" s="1">
        <v>7</v>
      </c>
      <c r="I1125" t="s">
        <v>87</v>
      </c>
      <c r="J1125" t="s">
        <v>111</v>
      </c>
      <c r="K1125" t="s">
        <v>109</v>
      </c>
      <c r="L1125">
        <v>1</v>
      </c>
      <c r="M1125">
        <v>0</v>
      </c>
      <c r="N1125">
        <v>0</v>
      </c>
      <c r="O1125">
        <v>0</v>
      </c>
      <c r="P1125">
        <v>0</v>
      </c>
      <c r="Q1125">
        <v>6</v>
      </c>
      <c r="R1125">
        <v>0</v>
      </c>
      <c r="S1125">
        <v>0</v>
      </c>
      <c r="T1125">
        <v>0</v>
      </c>
      <c r="U1125">
        <v>0</v>
      </c>
      <c r="V1125">
        <f t="shared" si="495"/>
        <v>0</v>
      </c>
      <c r="W1125">
        <f t="shared" si="496"/>
        <v>0</v>
      </c>
      <c r="X1125">
        <f t="shared" si="500"/>
        <v>0</v>
      </c>
      <c r="Y1125">
        <f t="shared" si="497"/>
        <v>0</v>
      </c>
      <c r="Z1125" t="s">
        <v>75</v>
      </c>
      <c r="AA1125" s="5" t="s">
        <v>75</v>
      </c>
      <c r="AB1125" s="5" t="s">
        <v>75</v>
      </c>
      <c r="AC1125" t="s">
        <v>91</v>
      </c>
      <c r="AD1125" t="s">
        <v>73</v>
      </c>
      <c r="AE1125" s="5" t="s">
        <v>1538</v>
      </c>
      <c r="AF1125" t="s">
        <v>287</v>
      </c>
      <c r="AG1125" t="s">
        <v>137</v>
      </c>
      <c r="AH1125">
        <f>AI1125</f>
        <v>0.10661564</v>
      </c>
      <c r="AI1125">
        <f t="shared" si="512"/>
        <v>0.10661564</v>
      </c>
      <c r="AJ1125">
        <f t="shared" si="498"/>
        <v>0.10661564</v>
      </c>
      <c r="AK1125">
        <v>0.10661564</v>
      </c>
      <c r="AL1125">
        <v>0.10774686</v>
      </c>
      <c r="AM1125">
        <v>0.12807209999999999</v>
      </c>
      <c r="AN1125">
        <v>0.14090659999999999</v>
      </c>
      <c r="AO1125">
        <v>89.338436000000002</v>
      </c>
      <c r="AP1125">
        <v>89.225313999999997</v>
      </c>
      <c r="AQ1125">
        <v>87.192790000000002</v>
      </c>
      <c r="AR1125">
        <v>85.90934</v>
      </c>
      <c r="AS1125" t="b">
        <v>0</v>
      </c>
      <c r="AT1125" t="b">
        <v>0</v>
      </c>
      <c r="AU1125" t="s">
        <v>108</v>
      </c>
      <c r="AV1125" t="s">
        <v>108</v>
      </c>
      <c r="AW1125" t="s">
        <v>783</v>
      </c>
      <c r="AX1125" t="s">
        <v>1277</v>
      </c>
      <c r="AY1125" t="s">
        <v>1518</v>
      </c>
      <c r="AZ1125" t="s">
        <v>109</v>
      </c>
      <c r="BA1125">
        <v>2</v>
      </c>
      <c r="BB1125">
        <v>1.26</v>
      </c>
      <c r="BC1125">
        <v>9.0659339999999995E-3</v>
      </c>
      <c r="BD1125">
        <v>2.76583658862385E-3</v>
      </c>
      <c r="BE1125">
        <v>1.1831770588623799E-2</v>
      </c>
      <c r="BF1125">
        <f>IF(AK1125&lt;BE1125,1,0)</f>
        <v>0</v>
      </c>
      <c r="BG1125">
        <f>IF(AK1125&lt;BC1125,1,0)</f>
        <v>0</v>
      </c>
      <c r="BH1125">
        <f>VLOOKUP($B1125,[1]Data_Peer_with_peerVars!$B$2:$Z$1050,20,FALSE)</f>
        <v>15</v>
      </c>
      <c r="BI1125">
        <f>VLOOKUP($B1125,[1]Data_Peer_with_peerVars!$B$2:$Z$1050,21,FALSE)</f>
        <v>7</v>
      </c>
      <c r="BJ1125">
        <f>VLOOKUP($B1125,[1]Data_Peer_with_peerVars!$B$2:$Z$1050,22,FALSE)</f>
        <v>0.46666666699999998</v>
      </c>
      <c r="BK1125">
        <f>VLOOKUP($B1125,[1]Data_Peer_with_peerVars!$B$2:$Z$1050,23,FALSE)</f>
        <v>83</v>
      </c>
      <c r="BL1125">
        <f>VLOOKUP($B1125,[1]Data_Peer_with_peerVars!$B$2:$Z$1050,24,FALSE)</f>
        <v>43</v>
      </c>
      <c r="BM1125">
        <f>VLOOKUP($B1125,[1]Data_Peer_with_peerVars!$B$2:$Z$1050,25,FALSE)</f>
        <v>0.51807228900000002</v>
      </c>
    </row>
    <row r="1126" spans="1:65" x14ac:dyDescent="0.2">
      <c r="A1126">
        <v>1</v>
      </c>
      <c r="B1126" t="s">
        <v>1701</v>
      </c>
      <c r="C1126">
        <v>695</v>
      </c>
      <c r="D1126" t="s">
        <v>155</v>
      </c>
      <c r="E1126">
        <v>0</v>
      </c>
      <c r="F1126" s="14" t="s">
        <v>82</v>
      </c>
      <c r="G1126" s="14" t="s">
        <v>82</v>
      </c>
      <c r="H1126" s="1">
        <v>7</v>
      </c>
      <c r="I1126" t="s">
        <v>87</v>
      </c>
      <c r="J1126" t="s">
        <v>111</v>
      </c>
      <c r="K1126" t="s">
        <v>109</v>
      </c>
      <c r="L1126">
        <v>1</v>
      </c>
      <c r="M1126">
        <v>1</v>
      </c>
      <c r="N1126">
        <v>0</v>
      </c>
      <c r="O1126">
        <v>0</v>
      </c>
      <c r="P1126">
        <v>0</v>
      </c>
      <c r="Q1126">
        <v>0</v>
      </c>
      <c r="R1126">
        <v>0</v>
      </c>
      <c r="S1126">
        <v>0</v>
      </c>
      <c r="T1126">
        <v>0</v>
      </c>
      <c r="U1126">
        <v>0</v>
      </c>
      <c r="V1126">
        <f t="shared" si="495"/>
        <v>1</v>
      </c>
      <c r="W1126">
        <v>1</v>
      </c>
      <c r="X1126">
        <v>1</v>
      </c>
      <c r="Y1126">
        <v>1</v>
      </c>
      <c r="Z1126" t="s">
        <v>73</v>
      </c>
      <c r="AA1126" s="5" t="s">
        <v>73</v>
      </c>
      <c r="AB1126" s="5" t="s">
        <v>1577</v>
      </c>
      <c r="AC1126" t="s">
        <v>73</v>
      </c>
      <c r="AD1126" t="s">
        <v>75</v>
      </c>
      <c r="AE1126" s="5" t="s">
        <v>75</v>
      </c>
      <c r="AF1126" t="s">
        <v>120</v>
      </c>
      <c r="AG1126" t="s">
        <v>74</v>
      </c>
      <c r="AH1126">
        <f>AI1126</f>
        <v>8.9967290000000005E-2</v>
      </c>
      <c r="AI1126">
        <f>AJ1126</f>
        <v>8.9967290000000005E-2</v>
      </c>
      <c r="AJ1126">
        <f t="shared" si="498"/>
        <v>8.9967290000000005E-2</v>
      </c>
      <c r="AK1126">
        <v>8.9967290000000005E-2</v>
      </c>
      <c r="AL1126">
        <v>9.7647704000000002E-2</v>
      </c>
      <c r="AM1126">
        <v>0.12889132</v>
      </c>
      <c r="AN1126">
        <v>0.13068493</v>
      </c>
      <c r="AO1126">
        <v>91.003270999999998</v>
      </c>
      <c r="AP1126">
        <v>90.235229599999997</v>
      </c>
      <c r="AQ1126">
        <v>87.110867999999996</v>
      </c>
      <c r="AR1126">
        <v>86.931506999999996</v>
      </c>
      <c r="AS1126" t="b">
        <v>1</v>
      </c>
      <c r="AT1126" t="b">
        <v>0</v>
      </c>
      <c r="AU1126" t="s">
        <v>77</v>
      </c>
      <c r="AV1126" t="s">
        <v>77</v>
      </c>
      <c r="AW1126" t="s">
        <v>783</v>
      </c>
      <c r="AX1126" t="s">
        <v>1277</v>
      </c>
      <c r="AY1126" t="s">
        <v>1518</v>
      </c>
      <c r="AZ1126" t="s">
        <v>109</v>
      </c>
      <c r="BA1126">
        <v>2</v>
      </c>
      <c r="BB1126">
        <v>1.05</v>
      </c>
      <c r="BC1126">
        <v>4.1163553999999996E-3</v>
      </c>
      <c r="BD1126">
        <v>1.4279989108178799E-4</v>
      </c>
      <c r="BE1126">
        <v>4.2591552910817903E-3</v>
      </c>
      <c r="BF1126">
        <f>IF(AK1126&lt;BE1126,1,0)</f>
        <v>0</v>
      </c>
      <c r="BG1126">
        <f>IF(AK1126&lt;BC1126,1,0)</f>
        <v>0</v>
      </c>
      <c r="BH1126">
        <f>VLOOKUP($B1126,[1]Data_Peer_with_peerVars!$B$2:$Z$1050,20,FALSE)</f>
        <v>12</v>
      </c>
      <c r="BI1126">
        <f>VLOOKUP($B1126,[1]Data_Peer_with_peerVars!$B$2:$Z$1050,21,FALSE)</f>
        <v>3</v>
      </c>
      <c r="BJ1126">
        <f>VLOOKUP($B1126,[1]Data_Peer_with_peerVars!$B$2:$Z$1050,22,FALSE)</f>
        <v>0.25</v>
      </c>
      <c r="BK1126">
        <f>VLOOKUP($B1126,[1]Data_Peer_with_peerVars!$B$2:$Z$1050,23,FALSE)</f>
        <v>80</v>
      </c>
      <c r="BL1126">
        <f>VLOOKUP($B1126,[1]Data_Peer_with_peerVars!$B$2:$Z$1050,24,FALSE)</f>
        <v>41</v>
      </c>
      <c r="BM1126">
        <f>VLOOKUP($B1126,[1]Data_Peer_with_peerVars!$B$2:$Z$1050,25,FALSE)</f>
        <v>0.51249999999999996</v>
      </c>
    </row>
    <row r="1127" spans="1:65" x14ac:dyDescent="0.2">
      <c r="A1127">
        <v>1</v>
      </c>
      <c r="B1127" t="s">
        <v>1702</v>
      </c>
      <c r="C1127">
        <v>695</v>
      </c>
      <c r="D1127" t="s">
        <v>155</v>
      </c>
      <c r="E1127">
        <v>0</v>
      </c>
      <c r="F1127" s="14" t="s">
        <v>82</v>
      </c>
      <c r="G1127" s="14" t="s">
        <v>82</v>
      </c>
      <c r="H1127" s="1">
        <v>7</v>
      </c>
      <c r="I1127" t="s">
        <v>87</v>
      </c>
      <c r="J1127" t="s">
        <v>111</v>
      </c>
      <c r="K1127" t="s">
        <v>109</v>
      </c>
      <c r="L1127">
        <v>1</v>
      </c>
      <c r="M1127">
        <v>1</v>
      </c>
      <c r="N1127">
        <v>0</v>
      </c>
      <c r="O1127">
        <v>0</v>
      </c>
      <c r="P1127">
        <v>0</v>
      </c>
      <c r="Q1127">
        <v>0</v>
      </c>
      <c r="R1127">
        <v>0</v>
      </c>
      <c r="S1127">
        <v>0</v>
      </c>
      <c r="T1127">
        <v>0</v>
      </c>
      <c r="U1127">
        <v>0</v>
      </c>
      <c r="V1127">
        <f t="shared" si="495"/>
        <v>0</v>
      </c>
      <c r="W1127">
        <f t="shared" si="496"/>
        <v>0</v>
      </c>
      <c r="X1127">
        <f t="shared" si="500"/>
        <v>0</v>
      </c>
      <c r="Y1127">
        <f t="shared" si="497"/>
        <v>0</v>
      </c>
      <c r="Z1127" t="s">
        <v>89</v>
      </c>
      <c r="AA1127" s="5" t="s">
        <v>89</v>
      </c>
      <c r="AB1127" s="5" t="s">
        <v>1346</v>
      </c>
      <c r="AC1127" t="s">
        <v>101</v>
      </c>
      <c r="AD1127" t="s">
        <v>99</v>
      </c>
      <c r="AE1127" s="5" t="s">
        <v>99</v>
      </c>
      <c r="AF1127" t="s">
        <v>103</v>
      </c>
      <c r="AG1127" t="s">
        <v>102</v>
      </c>
      <c r="AH1127">
        <f t="shared" ref="AH1127:AH1129" si="513">AI1127</f>
        <v>5.7967033000000001E-2</v>
      </c>
      <c r="AI1127">
        <f t="shared" ref="AI1127:AI1129" si="514">AJ1127</f>
        <v>5.7967033000000001E-2</v>
      </c>
      <c r="AJ1127">
        <f t="shared" si="498"/>
        <v>5.7967033000000001E-2</v>
      </c>
      <c r="AK1127">
        <v>5.7967033000000001E-2</v>
      </c>
      <c r="AL1127">
        <v>8.0298014000000001E-2</v>
      </c>
      <c r="AM1127">
        <v>9.9007170000000005E-2</v>
      </c>
      <c r="AN1127">
        <v>0.12896173999999999</v>
      </c>
      <c r="AO1127">
        <v>94.203296699999996</v>
      </c>
      <c r="AP1127">
        <v>91.970198600000003</v>
      </c>
      <c r="AQ1127">
        <v>90.099283</v>
      </c>
      <c r="AR1127">
        <v>87.103825999999998</v>
      </c>
      <c r="AS1127" t="b">
        <v>0</v>
      </c>
      <c r="AT1127" t="b">
        <v>0</v>
      </c>
      <c r="AU1127" t="s">
        <v>92</v>
      </c>
      <c r="AV1127" t="s">
        <v>92</v>
      </c>
      <c r="AW1127" t="s">
        <v>783</v>
      </c>
      <c r="AX1127" t="s">
        <v>1277</v>
      </c>
      <c r="AY1127" t="s">
        <v>1518</v>
      </c>
      <c r="AZ1127" t="s">
        <v>72</v>
      </c>
      <c r="BA1127" t="s">
        <v>82</v>
      </c>
      <c r="BB1127">
        <v>7.0000000000000007E-2</v>
      </c>
      <c r="BC1127">
        <v>1.4096186E-2</v>
      </c>
      <c r="BD1127">
        <v>1.55088650053763E-3</v>
      </c>
      <c r="BE1127">
        <v>1.5647072500537599E-2</v>
      </c>
      <c r="BF1127">
        <f>IF(AK1127&lt;BE1127,1,0)</f>
        <v>0</v>
      </c>
      <c r="BG1127">
        <f>IF(AK1127&lt;BC1127,1,0)</f>
        <v>0</v>
      </c>
      <c r="BH1127">
        <f>VLOOKUP($B1127,[1]Data_Peer_with_peerVars!$B$2:$Z$1050,20,FALSE)</f>
        <v>12</v>
      </c>
      <c r="BI1127">
        <f>VLOOKUP($B1127,[1]Data_Peer_with_peerVars!$B$2:$Z$1050,21,FALSE)</f>
        <v>3</v>
      </c>
      <c r="BJ1127">
        <f>VLOOKUP($B1127,[1]Data_Peer_with_peerVars!$B$2:$Z$1050,22,FALSE)</f>
        <v>0.25</v>
      </c>
      <c r="BK1127">
        <f>VLOOKUP($B1127,[1]Data_Peer_with_peerVars!$B$2:$Z$1050,23,FALSE)</f>
        <v>80</v>
      </c>
      <c r="BL1127">
        <f>VLOOKUP($B1127,[1]Data_Peer_with_peerVars!$B$2:$Z$1050,24,FALSE)</f>
        <v>41</v>
      </c>
      <c r="BM1127">
        <f>VLOOKUP($B1127,[1]Data_Peer_with_peerVars!$B$2:$Z$1050,25,FALSE)</f>
        <v>0.51249999999999996</v>
      </c>
    </row>
    <row r="1128" spans="1:65" x14ac:dyDescent="0.2">
      <c r="A1128">
        <v>1</v>
      </c>
      <c r="B1128" t="s">
        <v>1703</v>
      </c>
      <c r="C1128">
        <v>696</v>
      </c>
      <c r="D1128" t="s">
        <v>155</v>
      </c>
      <c r="E1128">
        <v>0</v>
      </c>
      <c r="F1128" s="14" t="s">
        <v>82</v>
      </c>
      <c r="G1128" s="14" t="s">
        <v>82</v>
      </c>
      <c r="H1128" s="1">
        <v>6</v>
      </c>
      <c r="I1128" t="s">
        <v>87</v>
      </c>
      <c r="J1128" t="s">
        <v>111</v>
      </c>
      <c r="K1128" t="s">
        <v>109</v>
      </c>
      <c r="L1128">
        <v>1</v>
      </c>
      <c r="M1128">
        <v>1</v>
      </c>
      <c r="N1128">
        <v>0</v>
      </c>
      <c r="O1128">
        <v>0</v>
      </c>
      <c r="P1128">
        <v>1</v>
      </c>
      <c r="Q1128">
        <v>3</v>
      </c>
      <c r="R1128">
        <v>0</v>
      </c>
      <c r="S1128">
        <v>0</v>
      </c>
      <c r="T1128">
        <v>0</v>
      </c>
      <c r="U1128">
        <v>0</v>
      </c>
      <c r="V1128">
        <f t="shared" si="495"/>
        <v>0</v>
      </c>
      <c r="W1128">
        <f t="shared" si="496"/>
        <v>0</v>
      </c>
      <c r="X1128">
        <f t="shared" si="500"/>
        <v>0</v>
      </c>
      <c r="Y1128">
        <f t="shared" si="497"/>
        <v>0</v>
      </c>
      <c r="Z1128" t="s">
        <v>76</v>
      </c>
      <c r="AA1128" s="5" t="s">
        <v>76</v>
      </c>
      <c r="AB1128" s="5" t="s">
        <v>409</v>
      </c>
      <c r="AC1128" t="s">
        <v>74</v>
      </c>
      <c r="AD1128" t="s">
        <v>101</v>
      </c>
      <c r="AE1128" s="5" t="s">
        <v>1704</v>
      </c>
      <c r="AF1128" t="s">
        <v>94</v>
      </c>
      <c r="AG1128" t="s">
        <v>99</v>
      </c>
      <c r="AH1128">
        <f t="shared" si="513"/>
        <v>0.11458333599999999</v>
      </c>
      <c r="AI1128">
        <f t="shared" si="514"/>
        <v>0.11458333599999999</v>
      </c>
      <c r="AJ1128">
        <f t="shared" si="498"/>
        <v>0.11458333599999999</v>
      </c>
      <c r="AK1128">
        <v>0.11458333599999999</v>
      </c>
      <c r="AL1128">
        <v>0.13186813999999999</v>
      </c>
      <c r="AM1128">
        <v>0.13298744000000001</v>
      </c>
      <c r="AN1128">
        <v>0.13450936999999999</v>
      </c>
      <c r="AO1128">
        <v>88.541666399999997</v>
      </c>
      <c r="AP1128">
        <v>86.813186000000002</v>
      </c>
      <c r="AQ1128">
        <v>86.701256000000001</v>
      </c>
      <c r="AR1128">
        <v>86.549063000000004</v>
      </c>
      <c r="AS1128" t="b">
        <v>0</v>
      </c>
      <c r="AT1128" t="b">
        <v>0</v>
      </c>
      <c r="AU1128" t="s">
        <v>78</v>
      </c>
      <c r="AV1128" t="s">
        <v>108</v>
      </c>
      <c r="AW1128" t="s">
        <v>783</v>
      </c>
      <c r="AX1128" t="s">
        <v>1277</v>
      </c>
      <c r="AY1128" t="s">
        <v>1518</v>
      </c>
      <c r="AZ1128" t="s">
        <v>109</v>
      </c>
      <c r="BA1128">
        <v>3</v>
      </c>
      <c r="BB1128">
        <v>1.5</v>
      </c>
      <c r="BC1128">
        <v>2.4738868000000001E-3</v>
      </c>
      <c r="BD1128">
        <v>1.4256942275279999E-4</v>
      </c>
      <c r="BE1128">
        <v>2.6164562227527998E-3</v>
      </c>
      <c r="BF1128">
        <f>IF(AK1128&lt;BE1128,1,0)</f>
        <v>0</v>
      </c>
      <c r="BG1128">
        <f>IF(AK1128&lt;BC1128,1,0)</f>
        <v>0</v>
      </c>
      <c r="BH1128">
        <f>VLOOKUP($B1128,[1]Data_Peer_with_peerVars!$B$2:$Z$1050,20,FALSE)</f>
        <v>13</v>
      </c>
      <c r="BI1128">
        <f>VLOOKUP($B1128,[1]Data_Peer_with_peerVars!$B$2:$Z$1050,21,FALSE)</f>
        <v>4</v>
      </c>
      <c r="BJ1128">
        <f>VLOOKUP($B1128,[1]Data_Peer_with_peerVars!$B$2:$Z$1050,22,FALSE)</f>
        <v>0.30769230800000003</v>
      </c>
      <c r="BK1128">
        <f>VLOOKUP($B1128,[1]Data_Peer_with_peerVars!$B$2:$Z$1050,23,FALSE)</f>
        <v>70</v>
      </c>
      <c r="BL1128">
        <f>VLOOKUP($B1128,[1]Data_Peer_with_peerVars!$B$2:$Z$1050,24,FALSE)</f>
        <v>39</v>
      </c>
      <c r="BM1128">
        <f>VLOOKUP($B1128,[1]Data_Peer_with_peerVars!$B$2:$Z$1050,25,FALSE)</f>
        <v>0.55714285699999999</v>
      </c>
    </row>
    <row r="1129" spans="1:65" x14ac:dyDescent="0.2">
      <c r="A1129">
        <v>1</v>
      </c>
      <c r="B1129" t="s">
        <v>1705</v>
      </c>
      <c r="C1129">
        <v>696</v>
      </c>
      <c r="D1129" t="s">
        <v>155</v>
      </c>
      <c r="E1129">
        <v>0</v>
      </c>
      <c r="F1129" s="14" t="s">
        <v>82</v>
      </c>
      <c r="G1129" s="14" t="s">
        <v>82</v>
      </c>
      <c r="H1129" s="1">
        <v>6</v>
      </c>
      <c r="I1129" t="s">
        <v>87</v>
      </c>
      <c r="J1129" t="s">
        <v>111</v>
      </c>
      <c r="K1129" t="s">
        <v>109</v>
      </c>
      <c r="L1129">
        <v>1</v>
      </c>
      <c r="M1129">
        <v>1</v>
      </c>
      <c r="N1129">
        <v>0</v>
      </c>
      <c r="O1129">
        <v>0</v>
      </c>
      <c r="P1129">
        <v>1</v>
      </c>
      <c r="Q1129">
        <v>3</v>
      </c>
      <c r="R1129">
        <v>0</v>
      </c>
      <c r="S1129">
        <v>0</v>
      </c>
      <c r="T1129">
        <v>0</v>
      </c>
      <c r="U1129">
        <v>0</v>
      </c>
      <c r="V1129">
        <f t="shared" si="495"/>
        <v>0</v>
      </c>
      <c r="W1129">
        <f t="shared" si="496"/>
        <v>0</v>
      </c>
      <c r="X1129">
        <f t="shared" si="500"/>
        <v>0</v>
      </c>
      <c r="Y1129">
        <f t="shared" si="497"/>
        <v>0</v>
      </c>
      <c r="Z1129" t="s">
        <v>73</v>
      </c>
      <c r="AA1129" s="5" t="s">
        <v>73</v>
      </c>
      <c r="AB1129" s="5" t="s">
        <v>1577</v>
      </c>
      <c r="AC1129" t="s">
        <v>287</v>
      </c>
      <c r="AD1129" t="s">
        <v>137</v>
      </c>
      <c r="AE1129" s="5" t="s">
        <v>305</v>
      </c>
      <c r="AF1129" t="s">
        <v>91</v>
      </c>
      <c r="AG1129" t="s">
        <v>113</v>
      </c>
      <c r="AH1129">
        <f t="shared" si="513"/>
        <v>5.3522664999999997E-2</v>
      </c>
      <c r="AI1129">
        <f t="shared" si="514"/>
        <v>5.3522664999999997E-2</v>
      </c>
      <c r="AJ1129">
        <f t="shared" si="498"/>
        <v>5.3522664999999997E-2</v>
      </c>
      <c r="AK1129">
        <v>5.3522664999999997E-2</v>
      </c>
      <c r="AL1129">
        <v>0.10977608</v>
      </c>
      <c r="AM1129">
        <v>0.12089716</v>
      </c>
      <c r="AN1129">
        <v>0.125</v>
      </c>
      <c r="AO1129">
        <v>94.647733500000001</v>
      </c>
      <c r="AP1129">
        <v>89.022391999999996</v>
      </c>
      <c r="AQ1129">
        <v>87.910284000000004</v>
      </c>
      <c r="AR1129">
        <v>87.5</v>
      </c>
      <c r="AS1129" t="b">
        <v>0</v>
      </c>
      <c r="AT1129" t="b">
        <v>0</v>
      </c>
      <c r="AU1129" t="s">
        <v>77</v>
      </c>
      <c r="AV1129" t="s">
        <v>108</v>
      </c>
      <c r="AW1129" t="s">
        <v>783</v>
      </c>
      <c r="AX1129" t="s">
        <v>1277</v>
      </c>
      <c r="AY1129" t="s">
        <v>1518</v>
      </c>
      <c r="AZ1129" t="s">
        <v>109</v>
      </c>
      <c r="BA1129">
        <v>2</v>
      </c>
      <c r="BB1129">
        <v>1.5</v>
      </c>
      <c r="BC1129">
        <v>5.5106750000000003E-2</v>
      </c>
      <c r="BD1129">
        <v>2.4361461616194298E-3</v>
      </c>
      <c r="BE1129">
        <v>5.7542896161619402E-2</v>
      </c>
      <c r="BF1129">
        <f>IF(AK1129&lt;BE1129,1,0)</f>
        <v>1</v>
      </c>
      <c r="BG1129">
        <f>IF(AK1129&lt;BC1129,1,0)</f>
        <v>1</v>
      </c>
      <c r="BH1129">
        <f>VLOOKUP($B1129,[1]Data_Peer_with_peerVars!$B$2:$Z$1050,20,FALSE)</f>
        <v>13</v>
      </c>
      <c r="BI1129">
        <f>VLOOKUP($B1129,[1]Data_Peer_with_peerVars!$B$2:$Z$1050,21,FALSE)</f>
        <v>4</v>
      </c>
      <c r="BJ1129">
        <f>VLOOKUP($B1129,[1]Data_Peer_with_peerVars!$B$2:$Z$1050,22,FALSE)</f>
        <v>0.30769230800000003</v>
      </c>
      <c r="BK1129">
        <f>VLOOKUP($B1129,[1]Data_Peer_with_peerVars!$B$2:$Z$1050,23,FALSE)</f>
        <v>70</v>
      </c>
      <c r="BL1129">
        <f>VLOOKUP($B1129,[1]Data_Peer_with_peerVars!$B$2:$Z$1050,24,FALSE)</f>
        <v>39</v>
      </c>
      <c r="BM1129">
        <f>VLOOKUP($B1129,[1]Data_Peer_with_peerVars!$B$2:$Z$1050,25,FALSE)</f>
        <v>0.55714285699999999</v>
      </c>
    </row>
    <row r="1130" spans="1:65" x14ac:dyDescent="0.2">
      <c r="A1130">
        <v>1</v>
      </c>
      <c r="B1130" t="s">
        <v>1706</v>
      </c>
      <c r="C1130">
        <v>697</v>
      </c>
      <c r="D1130" t="s">
        <v>155</v>
      </c>
      <c r="E1130">
        <v>0</v>
      </c>
      <c r="F1130" s="14" t="s">
        <v>82</v>
      </c>
      <c r="G1130" s="14" t="s">
        <v>82</v>
      </c>
      <c r="H1130" s="1">
        <v>7</v>
      </c>
      <c r="I1130" t="s">
        <v>87</v>
      </c>
      <c r="J1130" t="s">
        <v>124</v>
      </c>
      <c r="K1130" t="s">
        <v>72</v>
      </c>
      <c r="L1130">
        <v>2</v>
      </c>
      <c r="M1130">
        <v>1</v>
      </c>
      <c r="N1130">
        <v>0</v>
      </c>
      <c r="O1130">
        <v>0</v>
      </c>
      <c r="P1130">
        <v>0</v>
      </c>
      <c r="Q1130">
        <v>6</v>
      </c>
      <c r="R1130">
        <v>0</v>
      </c>
      <c r="S1130">
        <v>0</v>
      </c>
      <c r="T1130">
        <v>0</v>
      </c>
      <c r="U1130">
        <v>0</v>
      </c>
      <c r="V1130">
        <f t="shared" si="495"/>
        <v>0</v>
      </c>
      <c r="W1130">
        <f t="shared" si="496"/>
        <v>0</v>
      </c>
      <c r="X1130">
        <f t="shared" si="500"/>
        <v>1</v>
      </c>
      <c r="Y1130">
        <v>1</v>
      </c>
      <c r="Z1130" t="s">
        <v>120</v>
      </c>
      <c r="AA1130" s="5" t="s">
        <v>120</v>
      </c>
      <c r="AB1130" s="5" t="s">
        <v>120</v>
      </c>
      <c r="AC1130" t="s">
        <v>76</v>
      </c>
      <c r="AD1130" t="s">
        <v>74</v>
      </c>
      <c r="AE1130" s="5" t="s">
        <v>74</v>
      </c>
      <c r="AF1130" t="s">
        <v>120</v>
      </c>
      <c r="AG1130" t="s">
        <v>167</v>
      </c>
      <c r="AH1130">
        <f>AI1130</f>
        <v>0.12998361999999999</v>
      </c>
      <c r="AI1130">
        <f>AM1130</f>
        <v>0.12998361999999999</v>
      </c>
      <c r="AJ1130">
        <f t="shared" si="498"/>
        <v>0.11387220000000001</v>
      </c>
      <c r="AK1130">
        <v>0.11387220000000001</v>
      </c>
      <c r="AL1130">
        <v>0.11753425000000001</v>
      </c>
      <c r="AM1130">
        <v>0.12998361999999999</v>
      </c>
      <c r="AN1130">
        <v>0.13150685000000001</v>
      </c>
      <c r="AO1130">
        <v>88.612780000000001</v>
      </c>
      <c r="AP1130">
        <v>88.246575000000007</v>
      </c>
      <c r="AQ1130">
        <v>87.001638</v>
      </c>
      <c r="AR1130">
        <v>86.849315000000004</v>
      </c>
      <c r="AS1130" t="b">
        <v>0</v>
      </c>
      <c r="AT1130" t="b">
        <v>0</v>
      </c>
      <c r="AU1130" t="s">
        <v>78</v>
      </c>
      <c r="AV1130" t="s">
        <v>78</v>
      </c>
      <c r="AW1130" t="s">
        <v>783</v>
      </c>
      <c r="AX1130" t="s">
        <v>1277</v>
      </c>
      <c r="AY1130" t="s">
        <v>1707</v>
      </c>
      <c r="AZ1130" t="s">
        <v>72</v>
      </c>
      <c r="BA1130" t="s">
        <v>82</v>
      </c>
      <c r="BB1130">
        <v>0.35</v>
      </c>
      <c r="BC1130">
        <v>7.7070764999999999E-2</v>
      </c>
      <c r="BD1130">
        <v>1.90190515067399E-3</v>
      </c>
      <c r="BE1130">
        <v>7.8972670150673996E-2</v>
      </c>
      <c r="BF1130">
        <f>IF(AK1130&lt;BE1130,1,0)</f>
        <v>0</v>
      </c>
      <c r="BG1130">
        <f>IF(AK1130&lt;BC1130,1,0)</f>
        <v>0</v>
      </c>
      <c r="BH1130">
        <f>VLOOKUP($B1130,[1]Data_Peer_with_peerVars!$B$2:$Z$1050,20,FALSE)</f>
        <v>14</v>
      </c>
      <c r="BI1130">
        <f>VLOOKUP($B1130,[1]Data_Peer_with_peerVars!$B$2:$Z$1050,21,FALSE)</f>
        <v>4</v>
      </c>
      <c r="BJ1130">
        <f>VLOOKUP($B1130,[1]Data_Peer_with_peerVars!$B$2:$Z$1050,22,FALSE)</f>
        <v>0.28571428599999998</v>
      </c>
      <c r="BK1130">
        <f>VLOOKUP($B1130,[1]Data_Peer_with_peerVars!$B$2:$Z$1050,23,FALSE)</f>
        <v>66</v>
      </c>
      <c r="BL1130">
        <f>VLOOKUP($B1130,[1]Data_Peer_with_peerVars!$B$2:$Z$1050,24,FALSE)</f>
        <v>35</v>
      </c>
      <c r="BM1130">
        <f>VLOOKUP($B1130,[1]Data_Peer_with_peerVars!$B$2:$Z$1050,25,FALSE)</f>
        <v>0.53030303000000001</v>
      </c>
    </row>
    <row r="1131" spans="1:65" x14ac:dyDescent="0.2">
      <c r="A1131">
        <v>1</v>
      </c>
      <c r="B1131" t="s">
        <v>1708</v>
      </c>
      <c r="C1131">
        <v>698</v>
      </c>
      <c r="D1131" t="s">
        <v>155</v>
      </c>
      <c r="E1131">
        <v>0</v>
      </c>
      <c r="F1131" s="14" t="s">
        <v>82</v>
      </c>
      <c r="G1131" s="14" t="s">
        <v>82</v>
      </c>
      <c r="H1131" s="1">
        <v>5</v>
      </c>
      <c r="I1131" t="s">
        <v>87</v>
      </c>
      <c r="J1131" t="s">
        <v>111</v>
      </c>
      <c r="K1131" t="s">
        <v>109</v>
      </c>
      <c r="L1131">
        <v>1</v>
      </c>
      <c r="M1131">
        <v>0</v>
      </c>
      <c r="N1131">
        <v>0</v>
      </c>
      <c r="O1131">
        <v>0</v>
      </c>
      <c r="P1131">
        <v>0</v>
      </c>
      <c r="Q1131">
        <v>0</v>
      </c>
      <c r="R1131">
        <v>0</v>
      </c>
      <c r="S1131">
        <v>0</v>
      </c>
      <c r="T1131">
        <v>0</v>
      </c>
      <c r="U1131">
        <v>0</v>
      </c>
      <c r="V1131">
        <f t="shared" si="495"/>
        <v>0</v>
      </c>
      <c r="W1131">
        <f t="shared" si="496"/>
        <v>0</v>
      </c>
      <c r="X1131">
        <f t="shared" si="500"/>
        <v>0</v>
      </c>
      <c r="Y1131">
        <f t="shared" si="497"/>
        <v>0</v>
      </c>
      <c r="Z1131" t="s">
        <v>170</v>
      </c>
      <c r="AA1131" s="5" t="s">
        <v>170</v>
      </c>
      <c r="AB1131" s="5" t="s">
        <v>1442</v>
      </c>
      <c r="AC1131" t="s">
        <v>75</v>
      </c>
      <c r="AD1131" t="s">
        <v>287</v>
      </c>
      <c r="AE1131" s="5" t="s">
        <v>455</v>
      </c>
      <c r="AF1131" t="s">
        <v>91</v>
      </c>
      <c r="AG1131" t="s">
        <v>137</v>
      </c>
      <c r="AH1131">
        <f>AI1131</f>
        <v>0.11089814000000001</v>
      </c>
      <c r="AI1131">
        <f>AJ1131</f>
        <v>0.11089814000000001</v>
      </c>
      <c r="AJ1131">
        <f t="shared" si="498"/>
        <v>0.11089814000000001</v>
      </c>
      <c r="AK1131">
        <v>0.11089814000000001</v>
      </c>
      <c r="AL1131">
        <v>0.11393443</v>
      </c>
      <c r="AM1131">
        <v>0.12671046</v>
      </c>
      <c r="AN1131">
        <v>0.13852459</v>
      </c>
      <c r="AO1131">
        <v>88.910185999999996</v>
      </c>
      <c r="AP1131">
        <v>88.606556999999995</v>
      </c>
      <c r="AQ1131">
        <v>87.328953999999996</v>
      </c>
      <c r="AR1131">
        <v>86.147541000000004</v>
      </c>
      <c r="AS1131" t="b">
        <v>0</v>
      </c>
      <c r="AT1131" t="b">
        <v>0</v>
      </c>
      <c r="AU1131" t="s">
        <v>92</v>
      </c>
      <c r="AV1131" t="s">
        <v>92</v>
      </c>
      <c r="AW1131" t="s">
        <v>783</v>
      </c>
      <c r="AX1131" t="s">
        <v>1277</v>
      </c>
      <c r="AY1131" t="s">
        <v>1419</v>
      </c>
      <c r="AZ1131" t="s">
        <v>109</v>
      </c>
      <c r="BA1131">
        <v>8</v>
      </c>
      <c r="BB1131">
        <v>0.91</v>
      </c>
      <c r="BC1131">
        <v>2.3038946000000001E-2</v>
      </c>
      <c r="BD1131">
        <v>2.6184719377746E-3</v>
      </c>
      <c r="BE1131">
        <v>2.5657417937774599E-2</v>
      </c>
      <c r="BF1131">
        <f>IF(AK1131&lt;BE1131,1,0)</f>
        <v>0</v>
      </c>
      <c r="BG1131">
        <f>IF(AK1131&lt;BC1131,1,0)</f>
        <v>0</v>
      </c>
      <c r="BH1131">
        <f>VLOOKUP($B1131,[1]Data_Peer_with_peerVars!$B$2:$Z$1050,20,FALSE)</f>
        <v>10</v>
      </c>
      <c r="BI1131">
        <f>VLOOKUP($B1131,[1]Data_Peer_with_peerVars!$B$2:$Z$1050,21,FALSE)</f>
        <v>5</v>
      </c>
      <c r="BJ1131">
        <f>VLOOKUP($B1131,[1]Data_Peer_with_peerVars!$B$2:$Z$1050,22,FALSE)</f>
        <v>0.5</v>
      </c>
      <c r="BK1131">
        <f>VLOOKUP($B1131,[1]Data_Peer_with_peerVars!$B$2:$Z$1050,23,FALSE)</f>
        <v>77</v>
      </c>
      <c r="BL1131">
        <f>VLOOKUP($B1131,[1]Data_Peer_with_peerVars!$B$2:$Z$1050,24,FALSE)</f>
        <v>38</v>
      </c>
      <c r="BM1131">
        <f>VLOOKUP($B1131,[1]Data_Peer_with_peerVars!$B$2:$Z$1050,25,FALSE)</f>
        <v>0.49350649400000002</v>
      </c>
    </row>
    <row r="1132" spans="1:65" x14ac:dyDescent="0.2">
      <c r="A1132">
        <v>1</v>
      </c>
      <c r="B1132" t="s">
        <v>1709</v>
      </c>
      <c r="C1132">
        <v>699</v>
      </c>
      <c r="D1132" t="s">
        <v>155</v>
      </c>
      <c r="E1132">
        <v>0</v>
      </c>
      <c r="F1132" s="14" t="s">
        <v>82</v>
      </c>
      <c r="G1132" s="14" t="s">
        <v>82</v>
      </c>
      <c r="H1132" s="1">
        <v>7</v>
      </c>
      <c r="I1132" t="s">
        <v>70</v>
      </c>
      <c r="J1132" t="s">
        <v>301</v>
      </c>
      <c r="K1132" t="s">
        <v>109</v>
      </c>
      <c r="L1132">
        <v>1</v>
      </c>
      <c r="M1132">
        <v>1</v>
      </c>
      <c r="N1132">
        <v>0</v>
      </c>
      <c r="O1132">
        <v>1</v>
      </c>
      <c r="P1132">
        <v>0</v>
      </c>
      <c r="Q1132">
        <v>8</v>
      </c>
      <c r="R1132">
        <v>0</v>
      </c>
      <c r="S1132">
        <v>0</v>
      </c>
      <c r="T1132">
        <v>0</v>
      </c>
      <c r="U1132">
        <v>0</v>
      </c>
      <c r="V1132">
        <f t="shared" si="495"/>
        <v>1</v>
      </c>
      <c r="W1132">
        <v>1</v>
      </c>
      <c r="X1132">
        <v>1</v>
      </c>
      <c r="Y1132">
        <v>1</v>
      </c>
      <c r="Z1132" t="s">
        <v>91</v>
      </c>
      <c r="AA1132" s="5" t="s">
        <v>91</v>
      </c>
      <c r="AB1132" s="5" t="s">
        <v>1395</v>
      </c>
      <c r="AC1132" t="s">
        <v>91</v>
      </c>
      <c r="AD1132" t="s">
        <v>84</v>
      </c>
      <c r="AE1132" s="5" t="s">
        <v>1710</v>
      </c>
      <c r="AF1132" t="s">
        <v>74</v>
      </c>
      <c r="AG1132" t="s">
        <v>287</v>
      </c>
      <c r="AH1132">
        <f t="shared" ref="AH1132:AH1133" si="515">AI1132</f>
        <v>4.294311E-2</v>
      </c>
      <c r="AI1132">
        <f t="shared" ref="AI1132:AI1133" si="516">AJ1132</f>
        <v>4.294311E-2</v>
      </c>
      <c r="AJ1132">
        <f t="shared" si="498"/>
        <v>4.294311E-2</v>
      </c>
      <c r="AK1132">
        <v>4.294311E-2</v>
      </c>
      <c r="AL1132">
        <v>0.11627268</v>
      </c>
      <c r="AM1132">
        <v>0.12184412999999999</v>
      </c>
      <c r="AN1132">
        <v>0.12985237999999999</v>
      </c>
      <c r="AO1132">
        <v>95.705689000000007</v>
      </c>
      <c r="AP1132">
        <v>88.372731999999999</v>
      </c>
      <c r="AQ1132">
        <v>87.815586999999994</v>
      </c>
      <c r="AR1132">
        <v>87.014762000000005</v>
      </c>
      <c r="AS1132" t="b">
        <v>1</v>
      </c>
      <c r="AT1132" t="b">
        <v>0</v>
      </c>
      <c r="AU1132" t="s">
        <v>77</v>
      </c>
      <c r="AV1132" t="s">
        <v>108</v>
      </c>
      <c r="AW1132" t="s">
        <v>783</v>
      </c>
      <c r="AX1132" t="s">
        <v>1277</v>
      </c>
      <c r="AY1132" t="s">
        <v>1423</v>
      </c>
      <c r="AZ1132" t="s">
        <v>109</v>
      </c>
      <c r="BA1132">
        <v>2</v>
      </c>
      <c r="BB1132">
        <v>1.4</v>
      </c>
      <c r="BC1132">
        <v>9.0659339999999995E-3</v>
      </c>
      <c r="BD1132">
        <v>2.76583658862385E-3</v>
      </c>
      <c r="BE1132">
        <v>1.1831770588623799E-2</v>
      </c>
      <c r="BF1132">
        <f>IF(AK1132&lt;BE1132,1,0)</f>
        <v>0</v>
      </c>
      <c r="BG1132">
        <f>IF(AK1132&lt;BC1132,1,0)</f>
        <v>0</v>
      </c>
      <c r="BH1132">
        <f>VLOOKUP($B1132,[1]Data_Peer_with_peerVars!$B$2:$Z$1050,20,FALSE)</f>
        <v>1</v>
      </c>
      <c r="BI1132">
        <f>VLOOKUP($B1132,[1]Data_Peer_with_peerVars!$B$2:$Z$1050,21,FALSE)</f>
        <v>1</v>
      </c>
      <c r="BJ1132">
        <f>VLOOKUP($B1132,[1]Data_Peer_with_peerVars!$B$2:$Z$1050,22,FALSE)</f>
        <v>1</v>
      </c>
      <c r="BK1132">
        <f>VLOOKUP($B1132,[1]Data_Peer_with_peerVars!$B$2:$Z$1050,23,FALSE)</f>
        <v>28</v>
      </c>
      <c r="BL1132">
        <f>VLOOKUP($B1132,[1]Data_Peer_with_peerVars!$B$2:$Z$1050,24,FALSE)</f>
        <v>17</v>
      </c>
      <c r="BM1132">
        <f>VLOOKUP($B1132,[1]Data_Peer_with_peerVars!$B$2:$Z$1050,25,FALSE)</f>
        <v>0.60714285700000004</v>
      </c>
    </row>
    <row r="1133" spans="1:65" x14ac:dyDescent="0.2">
      <c r="A1133">
        <v>1</v>
      </c>
      <c r="B1133" t="s">
        <v>1711</v>
      </c>
      <c r="C1133">
        <v>699</v>
      </c>
      <c r="D1133" t="s">
        <v>155</v>
      </c>
      <c r="E1133">
        <v>0</v>
      </c>
      <c r="F1133" s="14" t="s">
        <v>82</v>
      </c>
      <c r="G1133" s="14" t="s">
        <v>82</v>
      </c>
      <c r="H1133" s="1">
        <v>7</v>
      </c>
      <c r="I1133" t="s">
        <v>70</v>
      </c>
      <c r="J1133" t="s">
        <v>301</v>
      </c>
      <c r="K1133" t="s">
        <v>109</v>
      </c>
      <c r="L1133">
        <v>1</v>
      </c>
      <c r="M1133">
        <v>1</v>
      </c>
      <c r="N1133">
        <v>0</v>
      </c>
      <c r="O1133">
        <v>1</v>
      </c>
      <c r="P1133">
        <v>0</v>
      </c>
      <c r="Q1133">
        <v>8</v>
      </c>
      <c r="R1133">
        <v>0</v>
      </c>
      <c r="S1133">
        <v>0</v>
      </c>
      <c r="T1133">
        <v>0</v>
      </c>
      <c r="U1133">
        <v>0</v>
      </c>
      <c r="V1133">
        <f t="shared" si="495"/>
        <v>1</v>
      </c>
      <c r="W1133">
        <v>1</v>
      </c>
      <c r="X1133">
        <v>1</v>
      </c>
      <c r="Y1133">
        <v>1</v>
      </c>
      <c r="Z1133" t="s">
        <v>120</v>
      </c>
      <c r="AA1133" s="5" t="s">
        <v>120</v>
      </c>
      <c r="AB1133" s="5" t="s">
        <v>120</v>
      </c>
      <c r="AC1133" t="s">
        <v>120</v>
      </c>
      <c r="AD1133" t="s">
        <v>74</v>
      </c>
      <c r="AE1133" s="5" t="s">
        <v>74</v>
      </c>
      <c r="AF1133" t="s">
        <v>75</v>
      </c>
      <c r="AG1133" t="s">
        <v>167</v>
      </c>
      <c r="AH1133">
        <f t="shared" si="515"/>
        <v>5.3522664999999997E-2</v>
      </c>
      <c r="AI1133">
        <f t="shared" si="516"/>
        <v>5.3522664999999997E-2</v>
      </c>
      <c r="AJ1133">
        <f t="shared" si="498"/>
        <v>5.3522664999999997E-2</v>
      </c>
      <c r="AK1133">
        <v>5.3522664999999997E-2</v>
      </c>
      <c r="AL1133">
        <v>8.1643834999999998E-2</v>
      </c>
      <c r="AM1133">
        <v>9.2450770000000002E-2</v>
      </c>
      <c r="AN1133">
        <v>0.11232876999999999</v>
      </c>
      <c r="AO1133">
        <v>94.647733500000001</v>
      </c>
      <c r="AP1133">
        <v>91.8356165</v>
      </c>
      <c r="AQ1133">
        <v>90.754923000000005</v>
      </c>
      <c r="AR1133">
        <v>88.767122999999998</v>
      </c>
      <c r="AS1133" t="b">
        <v>1</v>
      </c>
      <c r="AT1133" t="b">
        <v>0</v>
      </c>
      <c r="AU1133" t="s">
        <v>77</v>
      </c>
      <c r="AV1133" t="s">
        <v>77</v>
      </c>
      <c r="AW1133" t="s">
        <v>783</v>
      </c>
      <c r="AX1133" t="s">
        <v>1277</v>
      </c>
      <c r="AY1133" t="s">
        <v>1423</v>
      </c>
      <c r="AZ1133" t="s">
        <v>72</v>
      </c>
      <c r="BA1133" t="s">
        <v>82</v>
      </c>
      <c r="BB1133">
        <v>1.4</v>
      </c>
      <c r="BC1133">
        <v>4.6849314000000003E-2</v>
      </c>
      <c r="BD1133">
        <v>4.5250577219970098E-3</v>
      </c>
      <c r="BE1133">
        <v>5.1374371721996999E-2</v>
      </c>
      <c r="BF1133">
        <f>IF(AK1133&lt;BE1133,1,0)</f>
        <v>0</v>
      </c>
      <c r="BG1133">
        <f>IF(AK1133&lt;BC1133,1,0)</f>
        <v>0</v>
      </c>
      <c r="BH1133">
        <f>VLOOKUP($B1133,[1]Data_Peer_with_peerVars!$B$2:$Z$1050,20,FALSE)</f>
        <v>1</v>
      </c>
      <c r="BI1133">
        <f>VLOOKUP($B1133,[1]Data_Peer_with_peerVars!$B$2:$Z$1050,21,FALSE)</f>
        <v>1</v>
      </c>
      <c r="BJ1133">
        <f>VLOOKUP($B1133,[1]Data_Peer_with_peerVars!$B$2:$Z$1050,22,FALSE)</f>
        <v>1</v>
      </c>
      <c r="BK1133">
        <f>VLOOKUP($B1133,[1]Data_Peer_with_peerVars!$B$2:$Z$1050,23,FALSE)</f>
        <v>28</v>
      </c>
      <c r="BL1133">
        <f>VLOOKUP($B1133,[1]Data_Peer_with_peerVars!$B$2:$Z$1050,24,FALSE)</f>
        <v>17</v>
      </c>
      <c r="BM1133">
        <f>VLOOKUP($B1133,[1]Data_Peer_with_peerVars!$B$2:$Z$1050,25,FALSE)</f>
        <v>0.60714285700000004</v>
      </c>
    </row>
    <row r="1134" spans="1:65" x14ac:dyDescent="0.2">
      <c r="A1134">
        <v>1</v>
      </c>
      <c r="B1134" t="s">
        <v>1712</v>
      </c>
      <c r="C1134">
        <v>700</v>
      </c>
      <c r="D1134" t="s">
        <v>155</v>
      </c>
      <c r="E1134">
        <v>0</v>
      </c>
      <c r="F1134" s="14" t="s">
        <v>82</v>
      </c>
      <c r="G1134" s="14" t="s">
        <v>82</v>
      </c>
      <c r="H1134" s="1">
        <v>7</v>
      </c>
      <c r="I1134" t="s">
        <v>87</v>
      </c>
      <c r="J1134" t="s">
        <v>111</v>
      </c>
      <c r="K1134" t="s">
        <v>109</v>
      </c>
      <c r="L1134">
        <v>1</v>
      </c>
      <c r="M1134">
        <v>0</v>
      </c>
      <c r="N1134">
        <v>0</v>
      </c>
      <c r="O1134">
        <v>0</v>
      </c>
      <c r="P1134">
        <v>1</v>
      </c>
      <c r="Q1134">
        <v>5</v>
      </c>
      <c r="R1134">
        <v>0</v>
      </c>
      <c r="S1134">
        <v>0</v>
      </c>
      <c r="T1134">
        <v>0</v>
      </c>
      <c r="U1134">
        <v>0</v>
      </c>
      <c r="V1134">
        <f t="shared" si="495"/>
        <v>0</v>
      </c>
      <c r="W1134">
        <f t="shared" si="496"/>
        <v>0</v>
      </c>
      <c r="X1134">
        <f t="shared" si="500"/>
        <v>0</v>
      </c>
      <c r="Y1134">
        <f t="shared" si="497"/>
        <v>0</v>
      </c>
      <c r="Z1134" t="s">
        <v>170</v>
      </c>
      <c r="AA1134" s="5" t="s">
        <v>170</v>
      </c>
      <c r="AB1134" s="5" t="s">
        <v>1713</v>
      </c>
      <c r="AC1134" t="s">
        <v>137</v>
      </c>
      <c r="AD1134" t="s">
        <v>91</v>
      </c>
      <c r="AE1134" s="5" t="s">
        <v>91</v>
      </c>
      <c r="AF1134" t="s">
        <v>103</v>
      </c>
      <c r="AG1134" t="s">
        <v>113</v>
      </c>
      <c r="AH1134">
        <f t="shared" ref="AH1134:AH1139" si="517">AI1134</f>
        <v>9.3818380000000007E-2</v>
      </c>
      <c r="AI1134">
        <f t="shared" ref="AI1134:AI1139" si="518">AJ1134</f>
        <v>9.3818380000000007E-2</v>
      </c>
      <c r="AJ1134">
        <f t="shared" si="498"/>
        <v>9.3818380000000007E-2</v>
      </c>
      <c r="AK1134">
        <v>9.3818380000000007E-2</v>
      </c>
      <c r="AL1134">
        <v>0.11150685</v>
      </c>
      <c r="AM1134">
        <v>0.12217319</v>
      </c>
      <c r="AN1134">
        <v>0.12259483</v>
      </c>
      <c r="AO1134">
        <v>90.618161999999998</v>
      </c>
      <c r="AP1134">
        <v>88.849315000000004</v>
      </c>
      <c r="AQ1134">
        <v>87.782680999999997</v>
      </c>
      <c r="AR1134">
        <v>87.740516999999997</v>
      </c>
      <c r="AS1134" t="b">
        <v>0</v>
      </c>
      <c r="AT1134" t="b">
        <v>0</v>
      </c>
      <c r="AU1134" t="s">
        <v>92</v>
      </c>
      <c r="AV1134" t="s">
        <v>92</v>
      </c>
      <c r="AW1134" t="s">
        <v>783</v>
      </c>
      <c r="AX1134" t="s">
        <v>1277</v>
      </c>
      <c r="AY1134" t="s">
        <v>1714</v>
      </c>
      <c r="AZ1134" t="s">
        <v>109</v>
      </c>
      <c r="BA1134">
        <v>3</v>
      </c>
      <c r="BB1134">
        <v>0.5</v>
      </c>
      <c r="BC1134">
        <v>5.4824560000000001E-2</v>
      </c>
      <c r="BD1134">
        <v>2.68252196314279E-2</v>
      </c>
      <c r="BE1134">
        <v>8.1649779631427902E-2</v>
      </c>
      <c r="BF1134">
        <f>IF(AK1134&lt;BE1134,1,0)</f>
        <v>0</v>
      </c>
      <c r="BG1134">
        <f>IF(AK1134&lt;BC1134,1,0)</f>
        <v>0</v>
      </c>
      <c r="BH1134">
        <f>VLOOKUP($B1134,[1]Data_Peer_with_peerVars!$B$2:$Z$1050,20,FALSE)</f>
        <v>0</v>
      </c>
      <c r="BI1134">
        <f>VLOOKUP($B1134,[1]Data_Peer_with_peerVars!$B$2:$Z$1050,21,FALSE)</f>
        <v>0</v>
      </c>
      <c r="BJ1134">
        <v>0</v>
      </c>
      <c r="BK1134">
        <f>VLOOKUP($B1134,[1]Data_Peer_with_peerVars!$B$2:$Z$1050,23,FALSE)</f>
        <v>16</v>
      </c>
      <c r="BL1134">
        <f>VLOOKUP($B1134,[1]Data_Peer_with_peerVars!$B$2:$Z$1050,24,FALSE)</f>
        <v>6</v>
      </c>
      <c r="BM1134">
        <f>VLOOKUP($B1134,[1]Data_Peer_with_peerVars!$B$2:$Z$1050,25,FALSE)</f>
        <v>0.375</v>
      </c>
    </row>
    <row r="1135" spans="1:65" x14ac:dyDescent="0.2">
      <c r="A1135">
        <v>1</v>
      </c>
      <c r="B1135" t="s">
        <v>1715</v>
      </c>
      <c r="C1135">
        <v>701</v>
      </c>
      <c r="D1135" t="s">
        <v>155</v>
      </c>
      <c r="E1135">
        <v>0</v>
      </c>
      <c r="F1135" s="14" t="s">
        <v>82</v>
      </c>
      <c r="G1135" s="14" t="s">
        <v>82</v>
      </c>
      <c r="H1135" s="1">
        <v>7</v>
      </c>
      <c r="I1135" t="s">
        <v>87</v>
      </c>
      <c r="J1135" t="s">
        <v>111</v>
      </c>
      <c r="K1135" t="s">
        <v>109</v>
      </c>
      <c r="L1135">
        <v>1</v>
      </c>
      <c r="M1135">
        <v>1</v>
      </c>
      <c r="N1135">
        <v>0</v>
      </c>
      <c r="O1135">
        <v>0</v>
      </c>
      <c r="P1135">
        <v>0</v>
      </c>
      <c r="Q1135">
        <v>6</v>
      </c>
      <c r="R1135">
        <v>0</v>
      </c>
      <c r="S1135">
        <v>0</v>
      </c>
      <c r="T1135">
        <v>0</v>
      </c>
      <c r="U1135">
        <v>0</v>
      </c>
      <c r="V1135">
        <f t="shared" si="495"/>
        <v>0</v>
      </c>
      <c r="W1135">
        <f t="shared" si="496"/>
        <v>0</v>
      </c>
      <c r="X1135">
        <f t="shared" si="500"/>
        <v>0</v>
      </c>
      <c r="Y1135">
        <f t="shared" si="497"/>
        <v>0</v>
      </c>
      <c r="Z1135" t="s">
        <v>170</v>
      </c>
      <c r="AA1135" s="5" t="s">
        <v>170</v>
      </c>
      <c r="AB1135" s="5" t="s">
        <v>1512</v>
      </c>
      <c r="AC1135" t="s">
        <v>74</v>
      </c>
      <c r="AD1135" t="s">
        <v>75</v>
      </c>
      <c r="AE1135" s="5" t="s">
        <v>75</v>
      </c>
      <c r="AF1135" t="s">
        <v>120</v>
      </c>
      <c r="AG1135" t="s">
        <v>167</v>
      </c>
      <c r="AH1135">
        <f t="shared" si="517"/>
        <v>6.7671229999999999E-2</v>
      </c>
      <c r="AI1135">
        <f t="shared" si="518"/>
        <v>6.7671229999999999E-2</v>
      </c>
      <c r="AJ1135">
        <f t="shared" si="498"/>
        <v>6.7671229999999999E-2</v>
      </c>
      <c r="AK1135">
        <v>6.7671229999999999E-2</v>
      </c>
      <c r="AL1135">
        <v>8.3971550000000006E-2</v>
      </c>
      <c r="AM1135">
        <v>8.6564719999999998E-2</v>
      </c>
      <c r="AN1135">
        <v>0.10109588999999999</v>
      </c>
      <c r="AO1135">
        <v>93.232877000000002</v>
      </c>
      <c r="AP1135">
        <v>91.602845000000002</v>
      </c>
      <c r="AQ1135">
        <v>91.343528000000006</v>
      </c>
      <c r="AR1135">
        <v>89.890411</v>
      </c>
      <c r="AS1135" t="b">
        <v>0</v>
      </c>
      <c r="AT1135" t="b">
        <v>0</v>
      </c>
      <c r="AU1135" t="s">
        <v>92</v>
      </c>
      <c r="AV1135" t="s">
        <v>92</v>
      </c>
      <c r="AW1135" t="s">
        <v>783</v>
      </c>
      <c r="AX1135" t="s">
        <v>1277</v>
      </c>
      <c r="AY1135" t="s">
        <v>1612</v>
      </c>
      <c r="AZ1135" t="s">
        <v>109</v>
      </c>
      <c r="BA1135">
        <v>4</v>
      </c>
      <c r="BB1135">
        <v>0.35</v>
      </c>
      <c r="BC1135">
        <v>2.4738868000000001E-3</v>
      </c>
      <c r="BD1135">
        <v>1.4256942275279999E-4</v>
      </c>
      <c r="BE1135">
        <v>2.6164562227527998E-3</v>
      </c>
      <c r="BF1135">
        <f>IF(AK1135&lt;BE1135,1,0)</f>
        <v>0</v>
      </c>
      <c r="BG1135">
        <f>IF(AK1135&lt;BC1135,1,0)</f>
        <v>0</v>
      </c>
    </row>
    <row r="1136" spans="1:65" x14ac:dyDescent="0.2">
      <c r="A1136">
        <v>1</v>
      </c>
      <c r="B1136" t="s">
        <v>1716</v>
      </c>
      <c r="C1136">
        <v>702</v>
      </c>
      <c r="D1136" t="s">
        <v>155</v>
      </c>
      <c r="E1136">
        <v>0</v>
      </c>
      <c r="F1136" s="14" t="s">
        <v>82</v>
      </c>
      <c r="G1136" s="14" t="s">
        <v>82</v>
      </c>
      <c r="H1136" s="1">
        <v>6</v>
      </c>
      <c r="I1136" t="s">
        <v>87</v>
      </c>
      <c r="J1136" t="s">
        <v>111</v>
      </c>
      <c r="K1136" t="s">
        <v>109</v>
      </c>
      <c r="L1136">
        <v>1</v>
      </c>
      <c r="M1136">
        <v>1</v>
      </c>
      <c r="N1136">
        <v>0</v>
      </c>
      <c r="O1136">
        <v>0</v>
      </c>
      <c r="P1136">
        <v>0</v>
      </c>
      <c r="Q1136">
        <v>3</v>
      </c>
      <c r="R1136">
        <v>0</v>
      </c>
      <c r="S1136">
        <v>0</v>
      </c>
      <c r="T1136">
        <v>0</v>
      </c>
      <c r="U1136">
        <v>0</v>
      </c>
      <c r="V1136">
        <f t="shared" si="495"/>
        <v>0</v>
      </c>
      <c r="W1136">
        <f t="shared" si="496"/>
        <v>0</v>
      </c>
      <c r="X1136">
        <f t="shared" si="500"/>
        <v>0</v>
      </c>
      <c r="Y1136">
        <f t="shared" si="497"/>
        <v>0</v>
      </c>
      <c r="Z1136" t="s">
        <v>170</v>
      </c>
      <c r="AA1136" s="5" t="s">
        <v>170</v>
      </c>
      <c r="AB1136" s="5" t="s">
        <v>1713</v>
      </c>
      <c r="AC1136" t="s">
        <v>73</v>
      </c>
      <c r="AD1136" t="s">
        <v>94</v>
      </c>
      <c r="AE1136" s="5" t="s">
        <v>94</v>
      </c>
      <c r="AF1136" t="s">
        <v>75</v>
      </c>
      <c r="AG1136" t="s">
        <v>95</v>
      </c>
      <c r="AH1136">
        <f t="shared" si="517"/>
        <v>6.8702289999999999E-2</v>
      </c>
      <c r="AI1136">
        <f t="shared" si="518"/>
        <v>6.8702289999999999E-2</v>
      </c>
      <c r="AJ1136">
        <f t="shared" si="498"/>
        <v>6.8702289999999999E-2</v>
      </c>
      <c r="AK1136">
        <v>6.8702289999999999E-2</v>
      </c>
      <c r="AL1136">
        <v>0.11790393</v>
      </c>
      <c r="AM1136">
        <v>0.12937636999999999</v>
      </c>
      <c r="AN1136">
        <v>0.14180328</v>
      </c>
      <c r="AO1136">
        <v>93.129771000000005</v>
      </c>
      <c r="AP1136">
        <v>88.209607000000005</v>
      </c>
      <c r="AQ1136">
        <v>87.062363000000005</v>
      </c>
      <c r="AR1136">
        <v>85.819671999999997</v>
      </c>
      <c r="AS1136" t="b">
        <v>0</v>
      </c>
      <c r="AT1136" t="b">
        <v>0</v>
      </c>
      <c r="AU1136" t="s">
        <v>92</v>
      </c>
      <c r="AV1136" t="s">
        <v>92</v>
      </c>
      <c r="AW1136" t="s">
        <v>783</v>
      </c>
      <c r="AX1136" t="s">
        <v>1277</v>
      </c>
      <c r="AY1136" t="s">
        <v>1445</v>
      </c>
      <c r="AZ1136" t="s">
        <v>109</v>
      </c>
      <c r="BA1136">
        <v>3</v>
      </c>
      <c r="BB1136">
        <v>0.5</v>
      </c>
      <c r="BC1136">
        <v>4.1163553999999996E-3</v>
      </c>
      <c r="BD1136">
        <v>1.4279989108178799E-4</v>
      </c>
      <c r="BE1136">
        <v>4.2591552910817903E-3</v>
      </c>
      <c r="BF1136">
        <f>IF(AK1136&lt;BE1136,1,0)</f>
        <v>0</v>
      </c>
      <c r="BG1136">
        <f>IF(AK1136&lt;BC1136,1,0)</f>
        <v>0</v>
      </c>
      <c r="BH1136">
        <f>VLOOKUP($B1136,[1]Data_Peer_with_peerVars!$B$2:$Z$1050,20,FALSE)</f>
        <v>8</v>
      </c>
      <c r="BI1136">
        <f>VLOOKUP($B1136,[1]Data_Peer_with_peerVars!$B$2:$Z$1050,21,FALSE)</f>
        <v>2</v>
      </c>
      <c r="BJ1136">
        <f>VLOOKUP($B1136,[1]Data_Peer_with_peerVars!$B$2:$Z$1050,22,FALSE)</f>
        <v>0.25</v>
      </c>
      <c r="BK1136">
        <f>VLOOKUP($B1136,[1]Data_Peer_with_peerVars!$B$2:$Z$1050,23,FALSE)</f>
        <v>59</v>
      </c>
      <c r="BL1136">
        <f>VLOOKUP($B1136,[1]Data_Peer_with_peerVars!$B$2:$Z$1050,24,FALSE)</f>
        <v>26</v>
      </c>
      <c r="BM1136">
        <f>VLOOKUP($B1136,[1]Data_Peer_with_peerVars!$B$2:$Z$1050,25,FALSE)</f>
        <v>0.44067796599999998</v>
      </c>
    </row>
    <row r="1137" spans="1:65" x14ac:dyDescent="0.2">
      <c r="A1137">
        <v>1</v>
      </c>
      <c r="B1137" t="s">
        <v>1717</v>
      </c>
      <c r="C1137">
        <v>703</v>
      </c>
      <c r="D1137" t="s">
        <v>155</v>
      </c>
      <c r="E1137">
        <v>0</v>
      </c>
      <c r="F1137" s="14" t="s">
        <v>82</v>
      </c>
      <c r="G1137" s="14" t="s">
        <v>82</v>
      </c>
      <c r="H1137" s="1">
        <v>6</v>
      </c>
      <c r="I1137" t="s">
        <v>87</v>
      </c>
      <c r="J1137" t="s">
        <v>88</v>
      </c>
      <c r="K1137" t="s">
        <v>72</v>
      </c>
      <c r="L1137">
        <v>1</v>
      </c>
      <c r="M1137">
        <v>1</v>
      </c>
      <c r="N1137">
        <v>0</v>
      </c>
      <c r="O1137">
        <v>0</v>
      </c>
      <c r="P1137">
        <v>0</v>
      </c>
      <c r="Q1137">
        <v>7</v>
      </c>
      <c r="R1137">
        <v>0</v>
      </c>
      <c r="S1137">
        <v>0</v>
      </c>
      <c r="T1137">
        <v>0</v>
      </c>
      <c r="U1137">
        <v>0</v>
      </c>
      <c r="V1137">
        <f t="shared" si="495"/>
        <v>0</v>
      </c>
      <c r="W1137">
        <f t="shared" si="496"/>
        <v>0</v>
      </c>
      <c r="X1137">
        <f t="shared" si="500"/>
        <v>0</v>
      </c>
      <c r="Y1137">
        <f t="shared" si="497"/>
        <v>0</v>
      </c>
      <c r="Z1137" t="s">
        <v>89</v>
      </c>
      <c r="AA1137" s="5" t="s">
        <v>89</v>
      </c>
      <c r="AB1137" s="5" t="s">
        <v>1718</v>
      </c>
      <c r="AC1137" t="s">
        <v>73</v>
      </c>
      <c r="AD1137" t="s">
        <v>75</v>
      </c>
      <c r="AE1137" s="5" t="s">
        <v>75</v>
      </c>
      <c r="AF1137" t="s">
        <v>94</v>
      </c>
      <c r="AG1137" t="s">
        <v>74</v>
      </c>
      <c r="AH1137">
        <f t="shared" si="517"/>
        <v>8.9422025000000002E-2</v>
      </c>
      <c r="AI1137">
        <f t="shared" si="518"/>
        <v>8.9422025000000002E-2</v>
      </c>
      <c r="AJ1137">
        <f t="shared" si="498"/>
        <v>8.9422025000000002E-2</v>
      </c>
      <c r="AK1137">
        <v>8.9422025000000002E-2</v>
      </c>
      <c r="AL1137">
        <v>0.12308534</v>
      </c>
      <c r="AM1137">
        <v>0.12936681999999999</v>
      </c>
      <c r="AN1137">
        <v>0.14273973000000001</v>
      </c>
      <c r="AO1137">
        <v>91.057797500000007</v>
      </c>
      <c r="AP1137">
        <v>87.691466000000005</v>
      </c>
      <c r="AQ1137">
        <v>87.063317999999995</v>
      </c>
      <c r="AR1137">
        <v>85.726027000000002</v>
      </c>
      <c r="AS1137" t="b">
        <v>0</v>
      </c>
      <c r="AT1137" t="b">
        <v>0</v>
      </c>
      <c r="AU1137" t="s">
        <v>92</v>
      </c>
      <c r="AV1137" t="s">
        <v>92</v>
      </c>
      <c r="AW1137" t="s">
        <v>783</v>
      </c>
      <c r="AX1137" t="s">
        <v>1277</v>
      </c>
      <c r="AY1137" t="s">
        <v>1719</v>
      </c>
      <c r="AZ1137" t="s">
        <v>72</v>
      </c>
      <c r="BA1137" t="s">
        <v>82</v>
      </c>
      <c r="BB1137">
        <v>0.17499999999999899</v>
      </c>
      <c r="BC1137">
        <v>4.1163553999999996E-3</v>
      </c>
      <c r="BD1137">
        <v>1.4279989108178799E-4</v>
      </c>
      <c r="BE1137">
        <v>4.2591552910817903E-3</v>
      </c>
      <c r="BF1137">
        <f>IF(AK1137&lt;BE1137,1,0)</f>
        <v>0</v>
      </c>
      <c r="BG1137">
        <f>IF(AK1137&lt;BC1137,1,0)</f>
        <v>0</v>
      </c>
      <c r="BH1137">
        <f>VLOOKUP($B1137,[1]Data_Peer_with_peerVars!$B$2:$Z$1050,20,FALSE)</f>
        <v>7</v>
      </c>
      <c r="BI1137">
        <f>VLOOKUP($B1137,[1]Data_Peer_with_peerVars!$B$2:$Z$1050,21,FALSE)</f>
        <v>2</v>
      </c>
      <c r="BJ1137">
        <f>VLOOKUP($B1137,[1]Data_Peer_with_peerVars!$B$2:$Z$1050,22,FALSE)</f>
        <v>0.28571428599999998</v>
      </c>
      <c r="BK1137">
        <f>VLOOKUP($B1137,[1]Data_Peer_with_peerVars!$B$2:$Z$1050,23,FALSE)</f>
        <v>55</v>
      </c>
      <c r="BL1137">
        <f>VLOOKUP($B1137,[1]Data_Peer_with_peerVars!$B$2:$Z$1050,24,FALSE)</f>
        <v>25</v>
      </c>
      <c r="BM1137">
        <f>VLOOKUP($B1137,[1]Data_Peer_with_peerVars!$B$2:$Z$1050,25,FALSE)</f>
        <v>0.45454545499999999</v>
      </c>
    </row>
    <row r="1138" spans="1:65" x14ac:dyDescent="0.2">
      <c r="A1138">
        <v>1</v>
      </c>
      <c r="B1138" t="s">
        <v>1720</v>
      </c>
      <c r="C1138">
        <v>703</v>
      </c>
      <c r="D1138" t="s">
        <v>155</v>
      </c>
      <c r="E1138">
        <v>0</v>
      </c>
      <c r="F1138" s="14" t="s">
        <v>82</v>
      </c>
      <c r="G1138" s="14" t="s">
        <v>82</v>
      </c>
      <c r="H1138" s="1">
        <v>6</v>
      </c>
      <c r="I1138" t="s">
        <v>87</v>
      </c>
      <c r="J1138" t="s">
        <v>88</v>
      </c>
      <c r="K1138" t="s">
        <v>72</v>
      </c>
      <c r="L1138">
        <v>1</v>
      </c>
      <c r="M1138">
        <v>1</v>
      </c>
      <c r="N1138">
        <v>0</v>
      </c>
      <c r="O1138">
        <v>0</v>
      </c>
      <c r="P1138">
        <v>0</v>
      </c>
      <c r="Q1138">
        <v>7</v>
      </c>
      <c r="R1138">
        <v>0</v>
      </c>
      <c r="S1138">
        <v>0</v>
      </c>
      <c r="T1138">
        <v>0</v>
      </c>
      <c r="U1138">
        <v>0</v>
      </c>
      <c r="V1138">
        <f t="shared" si="495"/>
        <v>0</v>
      </c>
      <c r="W1138">
        <f t="shared" si="496"/>
        <v>0</v>
      </c>
      <c r="X1138">
        <f t="shared" si="500"/>
        <v>0</v>
      </c>
      <c r="Y1138">
        <f t="shared" si="497"/>
        <v>0</v>
      </c>
      <c r="Z1138" t="s">
        <v>89</v>
      </c>
      <c r="AA1138" s="5" t="s">
        <v>89</v>
      </c>
      <c r="AB1138" s="5" t="s">
        <v>577</v>
      </c>
      <c r="AC1138" t="s">
        <v>74</v>
      </c>
      <c r="AD1138" t="s">
        <v>76</v>
      </c>
      <c r="AE1138" s="5" t="s">
        <v>76</v>
      </c>
      <c r="AF1138" t="s">
        <v>120</v>
      </c>
      <c r="AG1138" t="s">
        <v>75</v>
      </c>
      <c r="AH1138">
        <f t="shared" si="517"/>
        <v>7.3505210000000001E-2</v>
      </c>
      <c r="AI1138">
        <f t="shared" si="518"/>
        <v>7.3505210000000001E-2</v>
      </c>
      <c r="AJ1138">
        <f t="shared" si="498"/>
        <v>7.3505210000000001E-2</v>
      </c>
      <c r="AK1138">
        <v>7.3505210000000001E-2</v>
      </c>
      <c r="AL1138">
        <v>8.424508E-2</v>
      </c>
      <c r="AM1138">
        <v>0.10934937</v>
      </c>
      <c r="AN1138">
        <v>0.109529026</v>
      </c>
      <c r="AO1138">
        <v>92.649478999999999</v>
      </c>
      <c r="AP1138">
        <v>91.575491999999997</v>
      </c>
      <c r="AQ1138">
        <v>89.065062999999995</v>
      </c>
      <c r="AR1138">
        <v>89.047097399999998</v>
      </c>
      <c r="AS1138" t="b">
        <v>0</v>
      </c>
      <c r="AT1138" t="b">
        <v>0</v>
      </c>
      <c r="AU1138" t="s">
        <v>92</v>
      </c>
      <c r="AV1138" t="s">
        <v>92</v>
      </c>
      <c r="AW1138" t="s">
        <v>783</v>
      </c>
      <c r="AX1138" t="s">
        <v>1277</v>
      </c>
      <c r="AY1138" t="s">
        <v>1719</v>
      </c>
      <c r="AZ1138" t="s">
        <v>72</v>
      </c>
      <c r="BA1138" t="s">
        <v>82</v>
      </c>
      <c r="BB1138">
        <v>7.0000000000000007E-2</v>
      </c>
      <c r="BC1138">
        <v>2.4738868000000001E-3</v>
      </c>
      <c r="BD1138">
        <v>1.4256942275279999E-4</v>
      </c>
      <c r="BE1138">
        <v>2.6164562227527998E-3</v>
      </c>
      <c r="BF1138">
        <f>IF(AK1138&lt;BE1138,1,0)</f>
        <v>0</v>
      </c>
      <c r="BG1138">
        <f>IF(AK1138&lt;BC1138,1,0)</f>
        <v>0</v>
      </c>
      <c r="BH1138">
        <f>VLOOKUP($B1138,[1]Data_Peer_with_peerVars!$B$2:$Z$1050,20,FALSE)</f>
        <v>7</v>
      </c>
      <c r="BI1138">
        <f>VLOOKUP($B1138,[1]Data_Peer_with_peerVars!$B$2:$Z$1050,21,FALSE)</f>
        <v>2</v>
      </c>
      <c r="BJ1138">
        <f>VLOOKUP($B1138,[1]Data_Peer_with_peerVars!$B$2:$Z$1050,22,FALSE)</f>
        <v>0.28571428599999998</v>
      </c>
      <c r="BK1138">
        <f>VLOOKUP($B1138,[1]Data_Peer_with_peerVars!$B$2:$Z$1050,23,FALSE)</f>
        <v>55</v>
      </c>
      <c r="BL1138">
        <f>VLOOKUP($B1138,[1]Data_Peer_with_peerVars!$B$2:$Z$1050,24,FALSE)</f>
        <v>25</v>
      </c>
      <c r="BM1138">
        <f>VLOOKUP($B1138,[1]Data_Peer_with_peerVars!$B$2:$Z$1050,25,FALSE)</f>
        <v>0.45454545499999999</v>
      </c>
    </row>
    <row r="1139" spans="1:65" x14ac:dyDescent="0.2">
      <c r="A1139">
        <v>1</v>
      </c>
      <c r="B1139" t="s">
        <v>1721</v>
      </c>
      <c r="C1139">
        <v>704</v>
      </c>
      <c r="D1139" t="s">
        <v>155</v>
      </c>
      <c r="E1139">
        <v>0</v>
      </c>
      <c r="F1139" s="14" t="s">
        <v>82</v>
      </c>
      <c r="G1139" s="14" t="s">
        <v>82</v>
      </c>
      <c r="H1139" s="1">
        <v>7</v>
      </c>
      <c r="I1139" t="s">
        <v>87</v>
      </c>
      <c r="J1139" t="s">
        <v>111</v>
      </c>
      <c r="K1139" t="s">
        <v>109</v>
      </c>
      <c r="L1139">
        <v>1</v>
      </c>
      <c r="M1139">
        <v>1</v>
      </c>
      <c r="N1139">
        <v>0</v>
      </c>
      <c r="O1139">
        <v>0</v>
      </c>
      <c r="P1139">
        <v>1</v>
      </c>
      <c r="Q1139">
        <v>9</v>
      </c>
      <c r="R1139">
        <v>0</v>
      </c>
      <c r="S1139">
        <v>0</v>
      </c>
      <c r="T1139">
        <v>0</v>
      </c>
      <c r="U1139">
        <v>0</v>
      </c>
      <c r="V1139">
        <f t="shared" si="495"/>
        <v>0</v>
      </c>
      <c r="W1139">
        <f t="shared" si="496"/>
        <v>0</v>
      </c>
      <c r="X1139">
        <f t="shared" si="500"/>
        <v>0</v>
      </c>
      <c r="Y1139">
        <f t="shared" si="497"/>
        <v>0</v>
      </c>
      <c r="Z1139" t="s">
        <v>76</v>
      </c>
      <c r="AA1139" s="5" t="s">
        <v>76</v>
      </c>
      <c r="AB1139" s="5" t="s">
        <v>76</v>
      </c>
      <c r="AC1139" t="s">
        <v>99</v>
      </c>
      <c r="AD1139" t="s">
        <v>101</v>
      </c>
      <c r="AE1139" s="5" t="s">
        <v>502</v>
      </c>
      <c r="AF1139" t="s">
        <v>103</v>
      </c>
      <c r="AG1139" t="s">
        <v>102</v>
      </c>
      <c r="AH1139">
        <f t="shared" si="517"/>
        <v>6.5673289999999995E-2</v>
      </c>
      <c r="AI1139">
        <f t="shared" si="518"/>
        <v>6.5673289999999995E-2</v>
      </c>
      <c r="AJ1139">
        <f t="shared" si="498"/>
        <v>6.5673289999999995E-2</v>
      </c>
      <c r="AK1139">
        <v>6.5673289999999995E-2</v>
      </c>
      <c r="AL1139">
        <v>6.5934069999999997E-2</v>
      </c>
      <c r="AM1139">
        <v>0.10347682</v>
      </c>
      <c r="AN1139">
        <v>0.11775956</v>
      </c>
      <c r="AO1139">
        <v>93.432670999999999</v>
      </c>
      <c r="AP1139">
        <v>93.406593000000001</v>
      </c>
      <c r="AQ1139">
        <v>89.652317999999994</v>
      </c>
      <c r="AR1139">
        <v>88.224044000000006</v>
      </c>
      <c r="AS1139" t="b">
        <v>0</v>
      </c>
      <c r="AT1139" t="b">
        <v>0</v>
      </c>
      <c r="AU1139" t="s">
        <v>108</v>
      </c>
      <c r="AV1139" t="s">
        <v>108</v>
      </c>
      <c r="AW1139" t="s">
        <v>783</v>
      </c>
      <c r="AX1139" t="s">
        <v>1277</v>
      </c>
      <c r="AY1139" t="s">
        <v>1419</v>
      </c>
      <c r="AZ1139" t="s">
        <v>109</v>
      </c>
      <c r="BA1139">
        <v>6</v>
      </c>
      <c r="BB1139">
        <v>3.15</v>
      </c>
      <c r="BC1139">
        <v>2.4711695999999998E-2</v>
      </c>
      <c r="BD1139">
        <v>1.72884756304863E-3</v>
      </c>
      <c r="BE1139">
        <v>2.6440543563048601E-2</v>
      </c>
      <c r="BF1139">
        <f>IF(AK1139&lt;BE1139,1,0)</f>
        <v>0</v>
      </c>
      <c r="BG1139">
        <f>IF(AK1139&lt;BC1139,1,0)</f>
        <v>0</v>
      </c>
      <c r="BH1139">
        <f>VLOOKUP($B1139,[1]Data_Peer_with_peerVars!$B$2:$Z$1050,20,FALSE)</f>
        <v>8</v>
      </c>
      <c r="BI1139">
        <f>VLOOKUP($B1139,[1]Data_Peer_with_peerVars!$B$2:$Z$1050,21,FALSE)</f>
        <v>6</v>
      </c>
      <c r="BJ1139">
        <f>VLOOKUP($B1139,[1]Data_Peer_with_peerVars!$B$2:$Z$1050,22,FALSE)</f>
        <v>0.75</v>
      </c>
      <c r="BK1139">
        <f>VLOOKUP($B1139,[1]Data_Peer_with_peerVars!$B$2:$Z$1050,23,FALSE)</f>
        <v>82</v>
      </c>
      <c r="BL1139">
        <f>VLOOKUP($B1139,[1]Data_Peer_with_peerVars!$B$2:$Z$1050,24,FALSE)</f>
        <v>38</v>
      </c>
      <c r="BM1139">
        <f>VLOOKUP($B1139,[1]Data_Peer_with_peerVars!$B$2:$Z$1050,25,FALSE)</f>
        <v>0.46341463399999999</v>
      </c>
    </row>
    <row r="1140" spans="1:65" x14ac:dyDescent="0.2">
      <c r="A1140">
        <v>1</v>
      </c>
      <c r="B1140" t="s">
        <v>1722</v>
      </c>
      <c r="C1140">
        <v>704</v>
      </c>
      <c r="D1140" t="s">
        <v>155</v>
      </c>
      <c r="E1140">
        <v>0</v>
      </c>
      <c r="F1140" s="14" t="s">
        <v>82</v>
      </c>
      <c r="G1140" s="14" t="s">
        <v>82</v>
      </c>
      <c r="H1140" s="1">
        <v>7</v>
      </c>
      <c r="I1140" t="s">
        <v>87</v>
      </c>
      <c r="J1140" t="s">
        <v>111</v>
      </c>
      <c r="K1140" t="s">
        <v>109</v>
      </c>
      <c r="L1140">
        <v>1</v>
      </c>
      <c r="M1140">
        <v>1</v>
      </c>
      <c r="N1140">
        <v>0</v>
      </c>
      <c r="O1140">
        <v>0</v>
      </c>
      <c r="P1140">
        <v>1</v>
      </c>
      <c r="Q1140">
        <v>9</v>
      </c>
      <c r="R1140">
        <v>0</v>
      </c>
      <c r="S1140">
        <v>0</v>
      </c>
      <c r="T1140">
        <v>0</v>
      </c>
      <c r="U1140">
        <v>0</v>
      </c>
      <c r="V1140">
        <f t="shared" si="495"/>
        <v>0</v>
      </c>
      <c r="W1140">
        <f t="shared" si="496"/>
        <v>0</v>
      </c>
      <c r="X1140">
        <f t="shared" si="500"/>
        <v>1</v>
      </c>
      <c r="Y1140">
        <v>1</v>
      </c>
      <c r="Z1140" t="s">
        <v>75</v>
      </c>
      <c r="AA1140" s="5" t="s">
        <v>75</v>
      </c>
      <c r="AB1140" s="5" t="s">
        <v>75</v>
      </c>
      <c r="AC1140" t="s">
        <v>73</v>
      </c>
      <c r="AD1140" t="s">
        <v>94</v>
      </c>
      <c r="AE1140" s="5" t="s">
        <v>94</v>
      </c>
      <c r="AF1140" t="s">
        <v>75</v>
      </c>
      <c r="AG1140" t="s">
        <v>95</v>
      </c>
      <c r="AH1140">
        <f>AI1140</f>
        <v>0.12951808000000001</v>
      </c>
      <c r="AI1140">
        <f>AM1140</f>
        <v>0.12951808000000001</v>
      </c>
      <c r="AJ1140">
        <f t="shared" si="498"/>
        <v>6.4137555999999998E-2</v>
      </c>
      <c r="AK1140">
        <v>6.4137555999999998E-2</v>
      </c>
      <c r="AL1140">
        <v>0.11803278</v>
      </c>
      <c r="AM1140">
        <v>0.12951808000000001</v>
      </c>
      <c r="AN1140">
        <v>0.13840263</v>
      </c>
      <c r="AO1140">
        <v>93.586244399999998</v>
      </c>
      <c r="AP1140">
        <v>88.196721999999994</v>
      </c>
      <c r="AQ1140">
        <v>87.048192</v>
      </c>
      <c r="AR1140">
        <v>86.159737000000007</v>
      </c>
      <c r="AS1140" t="b">
        <v>0</v>
      </c>
      <c r="AT1140" t="b">
        <v>0</v>
      </c>
      <c r="AU1140" t="s">
        <v>77</v>
      </c>
      <c r="AV1140" t="s">
        <v>78</v>
      </c>
      <c r="AW1140" t="s">
        <v>783</v>
      </c>
      <c r="AX1140" t="s">
        <v>1277</v>
      </c>
      <c r="AY1140" t="s">
        <v>1419</v>
      </c>
      <c r="AZ1140" t="s">
        <v>109</v>
      </c>
      <c r="BA1140">
        <v>5</v>
      </c>
      <c r="BB1140">
        <v>1.75</v>
      </c>
      <c r="BC1140">
        <v>4.1163553999999996E-3</v>
      </c>
      <c r="BD1140">
        <v>1.4279989108178799E-4</v>
      </c>
      <c r="BE1140">
        <v>4.2591552910817903E-3</v>
      </c>
      <c r="BF1140">
        <f>IF(AK1140&lt;BE1140,1,0)</f>
        <v>0</v>
      </c>
      <c r="BG1140">
        <f>IF(AK1140&lt;BC1140,1,0)</f>
        <v>0</v>
      </c>
      <c r="BH1140">
        <f>VLOOKUP($B1140,[1]Data_Peer_with_peerVars!$B$2:$Z$1050,20,FALSE)</f>
        <v>8</v>
      </c>
      <c r="BI1140">
        <f>VLOOKUP($B1140,[1]Data_Peer_with_peerVars!$B$2:$Z$1050,21,FALSE)</f>
        <v>6</v>
      </c>
      <c r="BJ1140">
        <f>VLOOKUP($B1140,[1]Data_Peer_with_peerVars!$B$2:$Z$1050,22,FALSE)</f>
        <v>0.75</v>
      </c>
      <c r="BK1140">
        <f>VLOOKUP($B1140,[1]Data_Peer_with_peerVars!$B$2:$Z$1050,23,FALSE)</f>
        <v>82</v>
      </c>
      <c r="BL1140">
        <f>VLOOKUP($B1140,[1]Data_Peer_with_peerVars!$B$2:$Z$1050,24,FALSE)</f>
        <v>38</v>
      </c>
      <c r="BM1140">
        <f>VLOOKUP($B1140,[1]Data_Peer_with_peerVars!$B$2:$Z$1050,25,FALSE)</f>
        <v>0.46341463399999999</v>
      </c>
    </row>
    <row r="1141" spans="1:65" x14ac:dyDescent="0.2">
      <c r="A1141">
        <v>1</v>
      </c>
      <c r="B1141" t="s">
        <v>1723</v>
      </c>
      <c r="C1141">
        <v>705</v>
      </c>
      <c r="D1141" t="s">
        <v>155</v>
      </c>
      <c r="E1141">
        <v>0</v>
      </c>
      <c r="F1141" s="14" t="s">
        <v>82</v>
      </c>
      <c r="G1141" s="14" t="s">
        <v>82</v>
      </c>
      <c r="H1141" s="1">
        <v>6</v>
      </c>
      <c r="I1141" t="s">
        <v>87</v>
      </c>
      <c r="J1141" t="s">
        <v>111</v>
      </c>
      <c r="K1141" t="s">
        <v>109</v>
      </c>
      <c r="L1141">
        <v>1</v>
      </c>
      <c r="M1141">
        <v>1</v>
      </c>
      <c r="N1141">
        <v>0</v>
      </c>
      <c r="O1141">
        <v>0</v>
      </c>
      <c r="P1141">
        <v>0</v>
      </c>
      <c r="Q1141">
        <v>6</v>
      </c>
      <c r="R1141">
        <v>0</v>
      </c>
      <c r="S1141">
        <v>0</v>
      </c>
      <c r="T1141">
        <v>0</v>
      </c>
      <c r="U1141">
        <v>0</v>
      </c>
      <c r="V1141">
        <f t="shared" si="495"/>
        <v>0</v>
      </c>
      <c r="W1141">
        <f t="shared" si="496"/>
        <v>0</v>
      </c>
      <c r="X1141">
        <f t="shared" si="500"/>
        <v>0</v>
      </c>
      <c r="Y1141">
        <f t="shared" si="497"/>
        <v>0</v>
      </c>
      <c r="Z1141" t="s">
        <v>120</v>
      </c>
      <c r="AA1141" s="5" t="s">
        <v>120</v>
      </c>
      <c r="AB1141" s="5" t="s">
        <v>934</v>
      </c>
      <c r="AC1141" t="s">
        <v>287</v>
      </c>
      <c r="AD1141" t="s">
        <v>137</v>
      </c>
      <c r="AE1141" s="5" t="s">
        <v>305</v>
      </c>
      <c r="AF1141" t="s">
        <v>91</v>
      </c>
      <c r="AG1141" t="s">
        <v>113</v>
      </c>
      <c r="AH1141">
        <f>AI1141</f>
        <v>5.7072640000000001E-2</v>
      </c>
      <c r="AI1141">
        <f>AJ1141</f>
        <v>5.7072640000000001E-2</v>
      </c>
      <c r="AJ1141">
        <f t="shared" si="498"/>
        <v>5.7072640000000001E-2</v>
      </c>
      <c r="AK1141">
        <v>5.7072640000000001E-2</v>
      </c>
      <c r="AL1141">
        <v>0.11032222999999999</v>
      </c>
      <c r="AM1141">
        <v>0.12253828999999999</v>
      </c>
      <c r="AN1141">
        <v>0.1239011</v>
      </c>
      <c r="AO1141">
        <v>94.292736000000005</v>
      </c>
      <c r="AP1141">
        <v>88.967776999999998</v>
      </c>
      <c r="AQ1141">
        <v>87.746171000000004</v>
      </c>
      <c r="AR1141">
        <v>87.609889999999993</v>
      </c>
      <c r="AS1141" t="b">
        <v>0</v>
      </c>
      <c r="AT1141" t="b">
        <v>0</v>
      </c>
      <c r="AU1141" t="s">
        <v>77</v>
      </c>
      <c r="AV1141" t="s">
        <v>108</v>
      </c>
      <c r="AW1141" t="s">
        <v>783</v>
      </c>
      <c r="AX1141" t="s">
        <v>1277</v>
      </c>
      <c r="AY1141" t="s">
        <v>1445</v>
      </c>
      <c r="AZ1141" t="s">
        <v>109</v>
      </c>
      <c r="BA1141">
        <v>2</v>
      </c>
      <c r="BB1141">
        <v>0.28000000000000003</v>
      </c>
      <c r="BC1141">
        <v>5.5106750000000003E-2</v>
      </c>
      <c r="BD1141">
        <v>2.4361461616194298E-3</v>
      </c>
      <c r="BE1141">
        <v>5.7542896161619402E-2</v>
      </c>
      <c r="BF1141">
        <f>IF(AK1141&lt;BE1141,1,0)</f>
        <v>1</v>
      </c>
      <c r="BG1141">
        <f>IF(AK1141&lt;BC1141,1,0)</f>
        <v>0</v>
      </c>
      <c r="BH1141">
        <f>VLOOKUP($B1141,[1]Data_Peer_with_peerVars!$B$2:$Z$1050,20,FALSE)</f>
        <v>7</v>
      </c>
      <c r="BI1141">
        <f>VLOOKUP($B1141,[1]Data_Peer_with_peerVars!$B$2:$Z$1050,21,FALSE)</f>
        <v>2</v>
      </c>
      <c r="BJ1141">
        <f>VLOOKUP($B1141,[1]Data_Peer_with_peerVars!$B$2:$Z$1050,22,FALSE)</f>
        <v>0.28571428599999998</v>
      </c>
      <c r="BK1141">
        <f>VLOOKUP($B1141,[1]Data_Peer_with_peerVars!$B$2:$Z$1050,23,FALSE)</f>
        <v>57</v>
      </c>
      <c r="BL1141">
        <f>VLOOKUP($B1141,[1]Data_Peer_with_peerVars!$B$2:$Z$1050,24,FALSE)</f>
        <v>26</v>
      </c>
      <c r="BM1141">
        <f>VLOOKUP($B1141,[1]Data_Peer_with_peerVars!$B$2:$Z$1050,25,FALSE)</f>
        <v>0.456140351</v>
      </c>
    </row>
    <row r="1142" spans="1:65" x14ac:dyDescent="0.2">
      <c r="A1142">
        <v>1</v>
      </c>
      <c r="B1142" t="s">
        <v>1724</v>
      </c>
      <c r="C1142">
        <v>705</v>
      </c>
      <c r="D1142" t="s">
        <v>155</v>
      </c>
      <c r="E1142">
        <v>0</v>
      </c>
      <c r="F1142" s="14" t="s">
        <v>82</v>
      </c>
      <c r="G1142" s="14" t="s">
        <v>82</v>
      </c>
      <c r="H1142" s="1">
        <v>6</v>
      </c>
      <c r="I1142" t="s">
        <v>87</v>
      </c>
      <c r="J1142" t="s">
        <v>111</v>
      </c>
      <c r="K1142" t="s">
        <v>109</v>
      </c>
      <c r="L1142">
        <v>1</v>
      </c>
      <c r="M1142">
        <v>1</v>
      </c>
      <c r="N1142">
        <v>0</v>
      </c>
      <c r="O1142">
        <v>0</v>
      </c>
      <c r="P1142">
        <v>0</v>
      </c>
      <c r="Q1142">
        <v>6</v>
      </c>
      <c r="R1142">
        <v>0</v>
      </c>
      <c r="S1142">
        <v>0</v>
      </c>
      <c r="T1142">
        <v>0</v>
      </c>
      <c r="U1142">
        <v>0</v>
      </c>
      <c r="V1142">
        <f t="shared" si="495"/>
        <v>0</v>
      </c>
      <c r="W1142">
        <f t="shared" si="496"/>
        <v>0</v>
      </c>
      <c r="X1142">
        <f t="shared" si="500"/>
        <v>1</v>
      </c>
      <c r="Y1142">
        <v>1</v>
      </c>
      <c r="Z1142" t="s">
        <v>76</v>
      </c>
      <c r="AA1142" s="5" t="s">
        <v>76</v>
      </c>
      <c r="AB1142" s="5" t="s">
        <v>76</v>
      </c>
      <c r="AC1142" t="s">
        <v>74</v>
      </c>
      <c r="AD1142" t="s">
        <v>120</v>
      </c>
      <c r="AE1142" s="5" t="s">
        <v>1725</v>
      </c>
      <c r="AF1142" t="s">
        <v>76</v>
      </c>
      <c r="AG1142" t="s">
        <v>75</v>
      </c>
      <c r="AH1142">
        <f>AI1142</f>
        <v>0.10606889</v>
      </c>
      <c r="AI1142">
        <f>AM1142</f>
        <v>0.10606889</v>
      </c>
      <c r="AJ1142">
        <f t="shared" si="498"/>
        <v>6.7434214000000006E-2</v>
      </c>
      <c r="AK1142">
        <v>6.7434214000000006E-2</v>
      </c>
      <c r="AL1142">
        <v>0.10519125</v>
      </c>
      <c r="AM1142">
        <v>0.10606889</v>
      </c>
      <c r="AN1142">
        <v>0.10645868</v>
      </c>
      <c r="AO1142">
        <v>93.256578599999997</v>
      </c>
      <c r="AP1142">
        <v>89.480874999999997</v>
      </c>
      <c r="AQ1142">
        <v>89.393111000000005</v>
      </c>
      <c r="AR1142">
        <v>89.354132000000007</v>
      </c>
      <c r="AS1142" t="b">
        <v>0</v>
      </c>
      <c r="AT1142" t="b">
        <v>0</v>
      </c>
      <c r="AU1142" t="s">
        <v>77</v>
      </c>
      <c r="AV1142" t="s">
        <v>108</v>
      </c>
      <c r="AW1142" t="s">
        <v>783</v>
      </c>
      <c r="AX1142" t="s">
        <v>1277</v>
      </c>
      <c r="AY1142" t="s">
        <v>1445</v>
      </c>
      <c r="AZ1142" t="s">
        <v>109</v>
      </c>
      <c r="BA1142">
        <v>3</v>
      </c>
      <c r="BB1142">
        <v>7.0000000000000007E-2</v>
      </c>
      <c r="BC1142">
        <v>2.4738868000000001E-3</v>
      </c>
      <c r="BD1142">
        <v>1.4256942275279999E-4</v>
      </c>
      <c r="BE1142">
        <v>2.6164562227527998E-3</v>
      </c>
      <c r="BF1142">
        <f>IF(AK1142&lt;BE1142,1,0)</f>
        <v>0</v>
      </c>
      <c r="BG1142">
        <f>IF(AK1142&lt;BC1142,1,0)</f>
        <v>0</v>
      </c>
      <c r="BH1142">
        <f>VLOOKUP($B1142,[1]Data_Peer_with_peerVars!$B$2:$Z$1050,20,FALSE)</f>
        <v>7</v>
      </c>
      <c r="BI1142">
        <f>VLOOKUP($B1142,[1]Data_Peer_with_peerVars!$B$2:$Z$1050,21,FALSE)</f>
        <v>2</v>
      </c>
      <c r="BJ1142">
        <f>VLOOKUP($B1142,[1]Data_Peer_with_peerVars!$B$2:$Z$1050,22,FALSE)</f>
        <v>0.28571428599999998</v>
      </c>
      <c r="BK1142">
        <f>VLOOKUP($B1142,[1]Data_Peer_with_peerVars!$B$2:$Z$1050,23,FALSE)</f>
        <v>57</v>
      </c>
      <c r="BL1142">
        <f>VLOOKUP($B1142,[1]Data_Peer_with_peerVars!$B$2:$Z$1050,24,FALSE)</f>
        <v>26</v>
      </c>
      <c r="BM1142">
        <f>VLOOKUP($B1142,[1]Data_Peer_with_peerVars!$B$2:$Z$1050,25,FALSE)</f>
        <v>0.456140351</v>
      </c>
    </row>
    <row r="1143" spans="1:65" x14ac:dyDescent="0.2">
      <c r="A1143">
        <v>1</v>
      </c>
      <c r="B1143" t="s">
        <v>1726</v>
      </c>
      <c r="C1143">
        <v>706</v>
      </c>
      <c r="D1143" t="s">
        <v>155</v>
      </c>
      <c r="E1143">
        <v>0</v>
      </c>
      <c r="F1143" s="14" t="s">
        <v>82</v>
      </c>
      <c r="G1143" s="14" t="s">
        <v>82</v>
      </c>
      <c r="H1143" s="1">
        <v>7</v>
      </c>
      <c r="I1143" t="s">
        <v>87</v>
      </c>
      <c r="J1143" t="s">
        <v>111</v>
      </c>
      <c r="K1143" t="s">
        <v>109</v>
      </c>
      <c r="L1143">
        <v>2</v>
      </c>
      <c r="M1143">
        <v>1</v>
      </c>
      <c r="N1143">
        <v>0</v>
      </c>
      <c r="O1143">
        <v>0</v>
      </c>
      <c r="P1143">
        <v>0</v>
      </c>
      <c r="Q1143">
        <v>11</v>
      </c>
      <c r="R1143">
        <v>0</v>
      </c>
      <c r="S1143">
        <v>0</v>
      </c>
      <c r="T1143">
        <v>0</v>
      </c>
      <c r="U1143">
        <v>0</v>
      </c>
      <c r="V1143">
        <f t="shared" si="495"/>
        <v>0</v>
      </c>
      <c r="W1143">
        <f t="shared" si="496"/>
        <v>0</v>
      </c>
      <c r="X1143">
        <f t="shared" si="500"/>
        <v>0</v>
      </c>
      <c r="Y1143">
        <f t="shared" si="497"/>
        <v>0</v>
      </c>
      <c r="Z1143" t="s">
        <v>89</v>
      </c>
      <c r="AA1143" s="5" t="s">
        <v>89</v>
      </c>
      <c r="AB1143" s="5" t="s">
        <v>577</v>
      </c>
      <c r="AC1143" t="s">
        <v>103</v>
      </c>
      <c r="AD1143" t="s">
        <v>99</v>
      </c>
      <c r="AE1143" s="5" t="s">
        <v>99</v>
      </c>
      <c r="AF1143" t="s">
        <v>101</v>
      </c>
      <c r="AG1143" t="s">
        <v>113</v>
      </c>
      <c r="AH1143">
        <f t="shared" ref="AH1143:AH1149" si="519">AI1143</f>
        <v>0.10539351</v>
      </c>
      <c r="AI1143">
        <f t="shared" ref="AI1143:AI1149" si="520">AJ1143</f>
        <v>0.10539351</v>
      </c>
      <c r="AJ1143">
        <f t="shared" si="498"/>
        <v>0.10539351</v>
      </c>
      <c r="AK1143">
        <v>0.10539351</v>
      </c>
      <c r="AL1143">
        <v>0.11438809</v>
      </c>
      <c r="AM1143">
        <v>0.12019759000000001</v>
      </c>
      <c r="AN1143">
        <v>0.12445054999999999</v>
      </c>
      <c r="AO1143">
        <v>89.460649000000004</v>
      </c>
      <c r="AP1143">
        <v>88.561190999999994</v>
      </c>
      <c r="AQ1143">
        <v>87.980241000000007</v>
      </c>
      <c r="AR1143">
        <v>87.554945000000004</v>
      </c>
      <c r="AS1143" t="b">
        <v>0</v>
      </c>
      <c r="AT1143" t="b">
        <v>0</v>
      </c>
      <c r="AU1143" t="s">
        <v>92</v>
      </c>
      <c r="AV1143" t="s">
        <v>92</v>
      </c>
      <c r="AW1143" t="s">
        <v>783</v>
      </c>
      <c r="AX1143" t="s">
        <v>1039</v>
      </c>
      <c r="AY1143" t="s">
        <v>1727</v>
      </c>
      <c r="AZ1143" t="s">
        <v>109</v>
      </c>
      <c r="BA1143">
        <v>2</v>
      </c>
      <c r="BB1143">
        <v>7.0000000000000007E-2</v>
      </c>
      <c r="BC1143">
        <v>1.8406593999999998E-2</v>
      </c>
      <c r="BD1143">
        <v>3.30705390234067E-4</v>
      </c>
      <c r="BE1143">
        <v>1.8737299390234101E-2</v>
      </c>
      <c r="BF1143">
        <f>IF(AK1143&lt;BE1143,1,0)</f>
        <v>0</v>
      </c>
      <c r="BG1143">
        <f>IF(AK1143&lt;BC1143,1,0)</f>
        <v>0</v>
      </c>
      <c r="BH1143">
        <f>VLOOKUP($B1143,[1]Data_Peer_with_peerVars!$B$2:$Z$1050,20,FALSE)</f>
        <v>3</v>
      </c>
      <c r="BI1143">
        <f>VLOOKUP($B1143,[1]Data_Peer_with_peerVars!$B$2:$Z$1050,21,FALSE)</f>
        <v>0</v>
      </c>
      <c r="BJ1143">
        <f>VLOOKUP($B1143,[1]Data_Peer_with_peerVars!$B$2:$Z$1050,22,FALSE)</f>
        <v>0</v>
      </c>
      <c r="BK1143">
        <f>VLOOKUP($B1143,[1]Data_Peer_with_peerVars!$B$2:$Z$1050,23,FALSE)</f>
        <v>5</v>
      </c>
      <c r="BL1143">
        <f>VLOOKUP($B1143,[1]Data_Peer_with_peerVars!$B$2:$Z$1050,24,FALSE)</f>
        <v>2</v>
      </c>
      <c r="BM1143">
        <f>VLOOKUP($B1143,[1]Data_Peer_with_peerVars!$B$2:$Z$1050,25,FALSE)</f>
        <v>0.4</v>
      </c>
    </row>
    <row r="1144" spans="1:65" x14ac:dyDescent="0.2">
      <c r="A1144">
        <v>1</v>
      </c>
      <c r="B1144" t="s">
        <v>1728</v>
      </c>
      <c r="C1144">
        <v>706</v>
      </c>
      <c r="D1144" t="s">
        <v>155</v>
      </c>
      <c r="E1144">
        <v>0</v>
      </c>
      <c r="F1144" s="14" t="s">
        <v>82</v>
      </c>
      <c r="G1144" s="14" t="s">
        <v>82</v>
      </c>
      <c r="H1144" s="1">
        <v>7</v>
      </c>
      <c r="I1144" t="s">
        <v>87</v>
      </c>
      <c r="J1144" t="s">
        <v>111</v>
      </c>
      <c r="K1144" t="s">
        <v>109</v>
      </c>
      <c r="L1144">
        <v>2</v>
      </c>
      <c r="M1144">
        <v>1</v>
      </c>
      <c r="N1144">
        <v>0</v>
      </c>
      <c r="O1144">
        <v>0</v>
      </c>
      <c r="P1144">
        <v>0</v>
      </c>
      <c r="Q1144">
        <v>11</v>
      </c>
      <c r="R1144">
        <v>0</v>
      </c>
      <c r="S1144">
        <v>0</v>
      </c>
      <c r="T1144">
        <v>0</v>
      </c>
      <c r="U1144">
        <v>0</v>
      </c>
      <c r="V1144">
        <f t="shared" si="495"/>
        <v>0</v>
      </c>
      <c r="W1144">
        <f t="shared" si="496"/>
        <v>0</v>
      </c>
      <c r="X1144">
        <f t="shared" si="500"/>
        <v>0</v>
      </c>
      <c r="Y1144">
        <f t="shared" si="497"/>
        <v>0</v>
      </c>
      <c r="Z1144" t="s">
        <v>91</v>
      </c>
      <c r="AA1144" s="5" t="s">
        <v>91</v>
      </c>
      <c r="AB1144" s="5" t="s">
        <v>1395</v>
      </c>
      <c r="AC1144" t="s">
        <v>120</v>
      </c>
      <c r="AD1144" t="s">
        <v>74</v>
      </c>
      <c r="AE1144" s="5" t="s">
        <v>74</v>
      </c>
      <c r="AF1144" t="s">
        <v>75</v>
      </c>
      <c r="AG1144" t="s">
        <v>167</v>
      </c>
      <c r="AH1144">
        <f t="shared" si="519"/>
        <v>6.1168760000000003E-2</v>
      </c>
      <c r="AI1144">
        <f t="shared" si="520"/>
        <v>6.1168760000000003E-2</v>
      </c>
      <c r="AJ1144">
        <f t="shared" si="498"/>
        <v>6.1168760000000003E-2</v>
      </c>
      <c r="AK1144">
        <v>6.1168760000000003E-2</v>
      </c>
      <c r="AL1144">
        <v>8.8493150000000007E-2</v>
      </c>
      <c r="AM1144">
        <v>0.10366520999999999</v>
      </c>
      <c r="AN1144">
        <v>0.11808219</v>
      </c>
      <c r="AO1144">
        <v>93.883123999999995</v>
      </c>
      <c r="AP1144">
        <v>91.150684999999996</v>
      </c>
      <c r="AQ1144">
        <v>89.633478999999994</v>
      </c>
      <c r="AR1144">
        <v>88.191781000000006</v>
      </c>
      <c r="AS1144" t="b">
        <v>0</v>
      </c>
      <c r="AT1144" t="b">
        <v>0</v>
      </c>
      <c r="AU1144" t="s">
        <v>77</v>
      </c>
      <c r="AV1144" t="s">
        <v>77</v>
      </c>
      <c r="AW1144" t="s">
        <v>783</v>
      </c>
      <c r="AX1144" t="s">
        <v>1039</v>
      </c>
      <c r="AY1144" t="s">
        <v>1727</v>
      </c>
      <c r="AZ1144" t="s">
        <v>109</v>
      </c>
      <c r="BA1144">
        <v>8</v>
      </c>
      <c r="BB1144">
        <v>7.0000000000000007E-2</v>
      </c>
      <c r="BC1144">
        <v>4.6849314000000003E-2</v>
      </c>
      <c r="BD1144">
        <v>4.5250577219970098E-3</v>
      </c>
      <c r="BE1144">
        <v>5.1374371721996999E-2</v>
      </c>
      <c r="BF1144">
        <f>IF(AK1144&lt;BE1144,1,0)</f>
        <v>0</v>
      </c>
      <c r="BG1144">
        <f>IF(AK1144&lt;BC1144,1,0)</f>
        <v>0</v>
      </c>
      <c r="BH1144">
        <f>VLOOKUP($B1144,[1]Data_Peer_with_peerVars!$B$2:$Z$1050,20,FALSE)</f>
        <v>3</v>
      </c>
      <c r="BI1144">
        <f>VLOOKUP($B1144,[1]Data_Peer_with_peerVars!$B$2:$Z$1050,21,FALSE)</f>
        <v>0</v>
      </c>
      <c r="BJ1144">
        <f>VLOOKUP($B1144,[1]Data_Peer_with_peerVars!$B$2:$Z$1050,22,FALSE)</f>
        <v>0</v>
      </c>
      <c r="BK1144">
        <f>VLOOKUP($B1144,[1]Data_Peer_with_peerVars!$B$2:$Z$1050,23,FALSE)</f>
        <v>5</v>
      </c>
      <c r="BL1144">
        <f>VLOOKUP($B1144,[1]Data_Peer_with_peerVars!$B$2:$Z$1050,24,FALSE)</f>
        <v>2</v>
      </c>
      <c r="BM1144">
        <f>VLOOKUP($B1144,[1]Data_Peer_with_peerVars!$B$2:$Z$1050,25,FALSE)</f>
        <v>0.4</v>
      </c>
    </row>
    <row r="1145" spans="1:65" x14ac:dyDescent="0.2">
      <c r="A1145">
        <v>1</v>
      </c>
      <c r="B1145" t="s">
        <v>1729</v>
      </c>
      <c r="C1145">
        <v>707</v>
      </c>
      <c r="D1145" t="s">
        <v>155</v>
      </c>
      <c r="E1145">
        <v>0</v>
      </c>
      <c r="F1145" s="14" t="s">
        <v>82</v>
      </c>
      <c r="G1145" s="14" t="s">
        <v>82</v>
      </c>
      <c r="H1145" s="1">
        <v>7</v>
      </c>
      <c r="I1145" t="s">
        <v>87</v>
      </c>
      <c r="J1145" t="s">
        <v>111</v>
      </c>
      <c r="K1145" t="s">
        <v>109</v>
      </c>
      <c r="L1145">
        <v>1</v>
      </c>
      <c r="M1145">
        <v>1</v>
      </c>
      <c r="N1145">
        <v>0</v>
      </c>
      <c r="O1145">
        <v>0</v>
      </c>
      <c r="P1145">
        <v>0</v>
      </c>
      <c r="Q1145">
        <v>6</v>
      </c>
      <c r="R1145">
        <v>0</v>
      </c>
      <c r="S1145">
        <v>0</v>
      </c>
      <c r="T1145">
        <v>0</v>
      </c>
      <c r="U1145">
        <v>0</v>
      </c>
      <c r="V1145">
        <f t="shared" si="495"/>
        <v>0</v>
      </c>
      <c r="W1145">
        <f t="shared" si="496"/>
        <v>0</v>
      </c>
      <c r="X1145">
        <f t="shared" si="500"/>
        <v>0</v>
      </c>
      <c r="Y1145">
        <f t="shared" si="497"/>
        <v>0</v>
      </c>
      <c r="Z1145" t="s">
        <v>75</v>
      </c>
      <c r="AA1145" s="5" t="s">
        <v>75</v>
      </c>
      <c r="AB1145" s="5" t="s">
        <v>75</v>
      </c>
      <c r="AC1145" t="s">
        <v>91</v>
      </c>
      <c r="AD1145" t="s">
        <v>287</v>
      </c>
      <c r="AE1145" s="5" t="s">
        <v>287</v>
      </c>
      <c r="AF1145" t="s">
        <v>137</v>
      </c>
      <c r="AG1145" t="s">
        <v>113</v>
      </c>
      <c r="AH1145">
        <f t="shared" si="519"/>
        <v>7.8458175000000005E-2</v>
      </c>
      <c r="AI1145">
        <f t="shared" si="520"/>
        <v>7.8458175000000005E-2</v>
      </c>
      <c r="AJ1145">
        <f t="shared" si="498"/>
        <v>7.8458175000000005E-2</v>
      </c>
      <c r="AK1145">
        <v>7.8458175000000005E-2</v>
      </c>
      <c r="AL1145">
        <v>9.803386E-2</v>
      </c>
      <c r="AM1145">
        <v>0.10043668</v>
      </c>
      <c r="AN1145">
        <v>0.1293956</v>
      </c>
      <c r="AO1145">
        <v>92.154182500000005</v>
      </c>
      <c r="AP1145">
        <v>90.196613999999997</v>
      </c>
      <c r="AQ1145">
        <v>89.956332000000003</v>
      </c>
      <c r="AR1145">
        <v>87.06044</v>
      </c>
      <c r="AS1145" t="b">
        <v>0</v>
      </c>
      <c r="AT1145" t="b">
        <v>0</v>
      </c>
      <c r="AU1145" t="s">
        <v>77</v>
      </c>
      <c r="AV1145" t="s">
        <v>77</v>
      </c>
      <c r="AW1145" t="s">
        <v>783</v>
      </c>
      <c r="AX1145" t="s">
        <v>1039</v>
      </c>
      <c r="AY1145" t="s">
        <v>1727</v>
      </c>
      <c r="AZ1145" t="s">
        <v>109</v>
      </c>
      <c r="BA1145">
        <v>2</v>
      </c>
      <c r="BB1145">
        <v>0.7</v>
      </c>
      <c r="BC1145">
        <v>9.0659339999999995E-3</v>
      </c>
      <c r="BD1145">
        <v>2.76583658862385E-3</v>
      </c>
      <c r="BE1145">
        <v>1.1831770588623799E-2</v>
      </c>
      <c r="BF1145">
        <f>IF(AK1145&lt;BE1145,1,0)</f>
        <v>0</v>
      </c>
      <c r="BG1145">
        <f>IF(AK1145&lt;BC1145,1,0)</f>
        <v>0</v>
      </c>
      <c r="BH1145">
        <f>VLOOKUP($B1145,[1]Data_Peer_with_peerVars!$B$2:$Z$1050,20,FALSE)</f>
        <v>3</v>
      </c>
      <c r="BI1145">
        <f>VLOOKUP($B1145,[1]Data_Peer_with_peerVars!$B$2:$Z$1050,21,FALSE)</f>
        <v>0</v>
      </c>
      <c r="BJ1145">
        <f>VLOOKUP($B1145,[1]Data_Peer_with_peerVars!$B$2:$Z$1050,22,FALSE)</f>
        <v>0</v>
      </c>
      <c r="BK1145">
        <f>VLOOKUP($B1145,[1]Data_Peer_with_peerVars!$B$2:$Z$1050,23,FALSE)</f>
        <v>5</v>
      </c>
      <c r="BL1145">
        <f>VLOOKUP($B1145,[1]Data_Peer_with_peerVars!$B$2:$Z$1050,24,FALSE)</f>
        <v>2</v>
      </c>
      <c r="BM1145">
        <f>VLOOKUP($B1145,[1]Data_Peer_with_peerVars!$B$2:$Z$1050,25,FALSE)</f>
        <v>0.4</v>
      </c>
    </row>
    <row r="1146" spans="1:65" x14ac:dyDescent="0.2">
      <c r="A1146">
        <v>1</v>
      </c>
      <c r="B1146" t="s">
        <v>1730</v>
      </c>
      <c r="C1146">
        <v>707</v>
      </c>
      <c r="D1146" t="s">
        <v>155</v>
      </c>
      <c r="E1146">
        <v>0</v>
      </c>
      <c r="F1146" s="14" t="s">
        <v>82</v>
      </c>
      <c r="G1146" s="14" t="s">
        <v>82</v>
      </c>
      <c r="H1146" s="1">
        <v>7</v>
      </c>
      <c r="I1146" t="s">
        <v>87</v>
      </c>
      <c r="J1146" t="s">
        <v>111</v>
      </c>
      <c r="K1146" t="s">
        <v>109</v>
      </c>
      <c r="L1146">
        <v>1</v>
      </c>
      <c r="M1146">
        <v>1</v>
      </c>
      <c r="N1146">
        <v>0</v>
      </c>
      <c r="O1146">
        <v>0</v>
      </c>
      <c r="P1146">
        <v>0</v>
      </c>
      <c r="Q1146">
        <v>6</v>
      </c>
      <c r="R1146">
        <v>0</v>
      </c>
      <c r="S1146">
        <v>0</v>
      </c>
      <c r="T1146">
        <v>0</v>
      </c>
      <c r="U1146">
        <v>0</v>
      </c>
      <c r="V1146">
        <f t="shared" si="495"/>
        <v>0</v>
      </c>
      <c r="W1146">
        <f t="shared" si="496"/>
        <v>0</v>
      </c>
      <c r="X1146">
        <f t="shared" si="500"/>
        <v>0</v>
      </c>
      <c r="Y1146">
        <f t="shared" si="497"/>
        <v>0</v>
      </c>
      <c r="Z1146" t="s">
        <v>76</v>
      </c>
      <c r="AA1146" s="5" t="s">
        <v>76</v>
      </c>
      <c r="AB1146" s="5" t="s">
        <v>76</v>
      </c>
      <c r="AC1146" t="s">
        <v>120</v>
      </c>
      <c r="AD1146" t="s">
        <v>75</v>
      </c>
      <c r="AE1146" s="5" t="s">
        <v>1247</v>
      </c>
      <c r="AF1146" t="s">
        <v>74</v>
      </c>
      <c r="AG1146" t="s">
        <v>167</v>
      </c>
      <c r="AH1146">
        <f t="shared" si="519"/>
        <v>2.949208E-2</v>
      </c>
      <c r="AI1146">
        <f t="shared" si="520"/>
        <v>2.949208E-2</v>
      </c>
      <c r="AJ1146">
        <f t="shared" si="498"/>
        <v>2.949208E-2</v>
      </c>
      <c r="AK1146">
        <v>2.949208E-2</v>
      </c>
      <c r="AL1146">
        <v>8.6159736000000001E-2</v>
      </c>
      <c r="AM1146">
        <v>8.7945209999999996E-2</v>
      </c>
      <c r="AN1146">
        <v>0.10054795</v>
      </c>
      <c r="AO1146">
        <v>97.050792000000001</v>
      </c>
      <c r="AP1146">
        <v>91.384026399999996</v>
      </c>
      <c r="AQ1146">
        <v>91.205478999999997</v>
      </c>
      <c r="AR1146">
        <v>89.945205000000001</v>
      </c>
      <c r="AS1146" t="b">
        <v>0</v>
      </c>
      <c r="AT1146" t="b">
        <v>0</v>
      </c>
      <c r="AU1146" t="s">
        <v>77</v>
      </c>
      <c r="AV1146" t="s">
        <v>108</v>
      </c>
      <c r="AW1146" t="s">
        <v>783</v>
      </c>
      <c r="AX1146" t="s">
        <v>1039</v>
      </c>
      <c r="AY1146" t="s">
        <v>1727</v>
      </c>
      <c r="AZ1146" t="s">
        <v>109</v>
      </c>
      <c r="BA1146">
        <v>2</v>
      </c>
      <c r="BB1146">
        <v>0.7</v>
      </c>
      <c r="BC1146">
        <v>4.6849314000000003E-2</v>
      </c>
      <c r="BD1146">
        <v>4.5250577219970098E-3</v>
      </c>
      <c r="BE1146">
        <v>5.1374371721996999E-2</v>
      </c>
      <c r="BF1146">
        <f>IF(AK1146&lt;BE1146,1,0)</f>
        <v>1</v>
      </c>
      <c r="BG1146">
        <f>IF(AK1146&lt;BC1146,1,0)</f>
        <v>1</v>
      </c>
      <c r="BH1146">
        <f>VLOOKUP($B1146,[1]Data_Peer_with_peerVars!$B$2:$Z$1050,20,FALSE)</f>
        <v>3</v>
      </c>
      <c r="BI1146">
        <f>VLOOKUP($B1146,[1]Data_Peer_with_peerVars!$B$2:$Z$1050,21,FALSE)</f>
        <v>0</v>
      </c>
      <c r="BJ1146">
        <f>VLOOKUP($B1146,[1]Data_Peer_with_peerVars!$B$2:$Z$1050,22,FALSE)</f>
        <v>0</v>
      </c>
      <c r="BK1146">
        <f>VLOOKUP($B1146,[1]Data_Peer_with_peerVars!$B$2:$Z$1050,23,FALSE)</f>
        <v>5</v>
      </c>
      <c r="BL1146">
        <f>VLOOKUP($B1146,[1]Data_Peer_with_peerVars!$B$2:$Z$1050,24,FALSE)</f>
        <v>2</v>
      </c>
      <c r="BM1146">
        <f>VLOOKUP($B1146,[1]Data_Peer_with_peerVars!$B$2:$Z$1050,25,FALSE)</f>
        <v>0.4</v>
      </c>
    </row>
    <row r="1147" spans="1:65" x14ac:dyDescent="0.2">
      <c r="A1147">
        <v>1</v>
      </c>
      <c r="B1147" t="s">
        <v>1731</v>
      </c>
      <c r="C1147">
        <v>708</v>
      </c>
      <c r="D1147" t="s">
        <v>155</v>
      </c>
      <c r="E1147">
        <v>0</v>
      </c>
      <c r="F1147" s="14" t="s">
        <v>82</v>
      </c>
      <c r="G1147" s="14" t="s">
        <v>82</v>
      </c>
      <c r="H1147" s="1">
        <v>6</v>
      </c>
      <c r="I1147" t="s">
        <v>87</v>
      </c>
      <c r="J1147" t="s">
        <v>111</v>
      </c>
      <c r="K1147" t="s">
        <v>109</v>
      </c>
      <c r="L1147">
        <v>1</v>
      </c>
      <c r="M1147">
        <v>1</v>
      </c>
      <c r="N1147">
        <v>0</v>
      </c>
      <c r="O1147">
        <v>0</v>
      </c>
      <c r="P1147">
        <v>0</v>
      </c>
      <c r="Q1147">
        <v>4</v>
      </c>
      <c r="R1147">
        <v>0</v>
      </c>
      <c r="S1147">
        <v>0</v>
      </c>
      <c r="T1147">
        <v>0</v>
      </c>
      <c r="U1147">
        <v>0</v>
      </c>
      <c r="V1147">
        <f t="shared" si="495"/>
        <v>0</v>
      </c>
      <c r="W1147">
        <f t="shared" si="496"/>
        <v>0</v>
      </c>
      <c r="X1147">
        <f t="shared" si="500"/>
        <v>0</v>
      </c>
      <c r="Y1147">
        <f t="shared" si="497"/>
        <v>0</v>
      </c>
      <c r="Z1147" t="s">
        <v>89</v>
      </c>
      <c r="AA1147" s="5" t="s">
        <v>89</v>
      </c>
      <c r="AB1147" s="5" t="s">
        <v>577</v>
      </c>
      <c r="AC1147" t="s">
        <v>91</v>
      </c>
      <c r="AD1147" t="s">
        <v>137</v>
      </c>
      <c r="AE1147" s="5" t="s">
        <v>497</v>
      </c>
      <c r="AF1147" t="s">
        <v>103</v>
      </c>
      <c r="AG1147" t="s">
        <v>113</v>
      </c>
      <c r="AH1147">
        <f t="shared" si="519"/>
        <v>5.3366173000000003E-2</v>
      </c>
      <c r="AI1147">
        <f t="shared" si="520"/>
        <v>5.3366173000000003E-2</v>
      </c>
      <c r="AJ1147">
        <f t="shared" si="498"/>
        <v>5.3366173000000003E-2</v>
      </c>
      <c r="AK1147">
        <v>5.3366173000000003E-2</v>
      </c>
      <c r="AL1147">
        <v>0.10765027000000001</v>
      </c>
      <c r="AM1147">
        <v>0.12506887</v>
      </c>
      <c r="AN1147">
        <v>0.12534359</v>
      </c>
      <c r="AO1147">
        <v>94.6633827</v>
      </c>
      <c r="AP1147">
        <v>89.234972999999997</v>
      </c>
      <c r="AQ1147">
        <v>87.493112999999994</v>
      </c>
      <c r="AR1147">
        <v>87.465641000000005</v>
      </c>
      <c r="AS1147" t="b">
        <v>0</v>
      </c>
      <c r="AT1147" t="b">
        <v>0</v>
      </c>
      <c r="AU1147" t="s">
        <v>92</v>
      </c>
      <c r="AV1147" t="s">
        <v>92</v>
      </c>
      <c r="AW1147" t="s">
        <v>783</v>
      </c>
      <c r="AX1147" t="s">
        <v>1039</v>
      </c>
      <c r="AY1147" t="s">
        <v>1727</v>
      </c>
      <c r="AZ1147" t="s">
        <v>109</v>
      </c>
      <c r="BA1147">
        <v>8</v>
      </c>
      <c r="BB1147">
        <v>0.35</v>
      </c>
      <c r="BC1147">
        <v>9.0659339999999995E-3</v>
      </c>
      <c r="BD1147">
        <v>2.76583658862385E-3</v>
      </c>
      <c r="BE1147">
        <v>1.1831770588623799E-2</v>
      </c>
      <c r="BF1147">
        <f>IF(AK1147&lt;BE1147,1,0)</f>
        <v>0</v>
      </c>
      <c r="BG1147">
        <f>IF(AK1147&lt;BC1147,1,0)</f>
        <v>0</v>
      </c>
      <c r="BH1147">
        <f>VLOOKUP($B1147,[1]Data_Peer_with_peerVars!$B$2:$Z$1050,20,FALSE)</f>
        <v>4</v>
      </c>
      <c r="BI1147">
        <f>VLOOKUP($B1147,[1]Data_Peer_with_peerVars!$B$2:$Z$1050,21,FALSE)</f>
        <v>0</v>
      </c>
      <c r="BJ1147">
        <f>VLOOKUP($B1147,[1]Data_Peer_with_peerVars!$B$2:$Z$1050,22,FALSE)</f>
        <v>0</v>
      </c>
      <c r="BK1147">
        <f>VLOOKUP($B1147,[1]Data_Peer_with_peerVars!$B$2:$Z$1050,23,FALSE)</f>
        <v>6</v>
      </c>
      <c r="BL1147">
        <f>VLOOKUP($B1147,[1]Data_Peer_with_peerVars!$B$2:$Z$1050,24,FALSE)</f>
        <v>2</v>
      </c>
      <c r="BM1147">
        <f>VLOOKUP($B1147,[1]Data_Peer_with_peerVars!$B$2:$Z$1050,25,FALSE)</f>
        <v>0.33333333300000001</v>
      </c>
    </row>
    <row r="1148" spans="1:65" x14ac:dyDescent="0.2">
      <c r="A1148">
        <v>1</v>
      </c>
      <c r="B1148" t="s">
        <v>1732</v>
      </c>
      <c r="C1148">
        <v>709</v>
      </c>
      <c r="D1148" t="s">
        <v>155</v>
      </c>
      <c r="E1148">
        <v>0</v>
      </c>
      <c r="F1148" s="14" t="s">
        <v>82</v>
      </c>
      <c r="G1148" s="14" t="s">
        <v>82</v>
      </c>
      <c r="H1148" s="1">
        <v>7</v>
      </c>
      <c r="I1148" t="s">
        <v>87</v>
      </c>
      <c r="J1148" t="s">
        <v>111</v>
      </c>
      <c r="K1148" t="s">
        <v>109</v>
      </c>
      <c r="L1148">
        <v>1</v>
      </c>
      <c r="M1148">
        <v>1</v>
      </c>
      <c r="N1148">
        <v>0</v>
      </c>
      <c r="O1148">
        <v>0</v>
      </c>
      <c r="P1148">
        <v>0</v>
      </c>
      <c r="Q1148">
        <v>10</v>
      </c>
      <c r="R1148">
        <v>0</v>
      </c>
      <c r="S1148">
        <v>0</v>
      </c>
      <c r="T1148">
        <v>0</v>
      </c>
      <c r="U1148">
        <v>0</v>
      </c>
      <c r="V1148">
        <f t="shared" si="495"/>
        <v>0</v>
      </c>
      <c r="W1148">
        <f t="shared" si="496"/>
        <v>0</v>
      </c>
      <c r="X1148">
        <f t="shared" si="500"/>
        <v>0</v>
      </c>
      <c r="Y1148">
        <f t="shared" si="497"/>
        <v>0</v>
      </c>
      <c r="Z1148" t="s">
        <v>89</v>
      </c>
      <c r="AA1148" s="5" t="s">
        <v>89</v>
      </c>
      <c r="AB1148" s="5" t="s">
        <v>577</v>
      </c>
      <c r="AC1148" t="s">
        <v>91</v>
      </c>
      <c r="AD1148" t="s">
        <v>287</v>
      </c>
      <c r="AE1148" s="5" t="s">
        <v>287</v>
      </c>
      <c r="AF1148" t="s">
        <v>137</v>
      </c>
      <c r="AG1148" t="s">
        <v>84</v>
      </c>
      <c r="AH1148">
        <f t="shared" si="519"/>
        <v>3.280481E-3</v>
      </c>
      <c r="AI1148">
        <f t="shared" si="520"/>
        <v>3.280481E-3</v>
      </c>
      <c r="AJ1148">
        <f t="shared" si="498"/>
        <v>3.280481E-3</v>
      </c>
      <c r="AK1148">
        <v>3.280481E-3</v>
      </c>
      <c r="AL1148">
        <v>0.12131148</v>
      </c>
      <c r="AM1148">
        <v>0.12971054000000001</v>
      </c>
      <c r="AN1148">
        <v>0.13296704000000001</v>
      </c>
      <c r="AO1148">
        <v>99.671951899999996</v>
      </c>
      <c r="AP1148">
        <v>87.868852000000004</v>
      </c>
      <c r="AQ1148">
        <v>87.028946000000005</v>
      </c>
      <c r="AR1148">
        <v>86.703295999999995</v>
      </c>
      <c r="AS1148" t="b">
        <v>0</v>
      </c>
      <c r="AT1148" t="b">
        <v>0</v>
      </c>
      <c r="AU1148" t="s">
        <v>92</v>
      </c>
      <c r="AV1148" t="s">
        <v>92</v>
      </c>
      <c r="AW1148" t="s">
        <v>783</v>
      </c>
      <c r="AX1148" t="s">
        <v>1277</v>
      </c>
      <c r="AY1148" t="s">
        <v>1281</v>
      </c>
      <c r="AZ1148" t="s">
        <v>109</v>
      </c>
      <c r="BA1148">
        <v>10</v>
      </c>
      <c r="BB1148">
        <v>4</v>
      </c>
      <c r="BC1148">
        <v>9.0659339999999995E-3</v>
      </c>
      <c r="BD1148">
        <v>2.76583658862385E-3</v>
      </c>
      <c r="BE1148">
        <v>1.1831770588623799E-2</v>
      </c>
      <c r="BF1148">
        <f>IF(AK1148&lt;BE1148,1,0)</f>
        <v>1</v>
      </c>
      <c r="BG1148">
        <f>IF(AK1148&lt;BC1148,1,0)</f>
        <v>1</v>
      </c>
      <c r="BH1148">
        <f>VLOOKUP($B1148,[1]Data_Peer_with_peerVars!$B$2:$Z$1050,20,FALSE)</f>
        <v>2</v>
      </c>
      <c r="BI1148">
        <f>VLOOKUP($B1148,[1]Data_Peer_with_peerVars!$B$2:$Z$1050,21,FALSE)</f>
        <v>2</v>
      </c>
      <c r="BJ1148">
        <f>VLOOKUP($B1148,[1]Data_Peer_with_peerVars!$B$2:$Z$1050,22,FALSE)</f>
        <v>1</v>
      </c>
      <c r="BK1148">
        <f>VLOOKUP($B1148,[1]Data_Peer_with_peerVars!$B$2:$Z$1050,23,FALSE)</f>
        <v>9</v>
      </c>
      <c r="BL1148">
        <f>VLOOKUP($B1148,[1]Data_Peer_with_peerVars!$B$2:$Z$1050,24,FALSE)</f>
        <v>5</v>
      </c>
      <c r="BM1148">
        <f>VLOOKUP($B1148,[1]Data_Peer_with_peerVars!$B$2:$Z$1050,25,FALSE)</f>
        <v>0.55555555599999995</v>
      </c>
    </row>
    <row r="1149" spans="1:65" x14ac:dyDescent="0.2">
      <c r="A1149">
        <v>1</v>
      </c>
      <c r="B1149" t="s">
        <v>1733</v>
      </c>
      <c r="C1149">
        <v>709</v>
      </c>
      <c r="D1149" t="s">
        <v>155</v>
      </c>
      <c r="E1149">
        <v>0</v>
      </c>
      <c r="F1149" s="14" t="s">
        <v>82</v>
      </c>
      <c r="G1149" s="14" t="s">
        <v>82</v>
      </c>
      <c r="H1149" s="1">
        <v>7</v>
      </c>
      <c r="I1149" t="s">
        <v>87</v>
      </c>
      <c r="J1149" t="s">
        <v>111</v>
      </c>
      <c r="K1149" t="s">
        <v>109</v>
      </c>
      <c r="L1149">
        <v>1</v>
      </c>
      <c r="M1149">
        <v>1</v>
      </c>
      <c r="N1149">
        <v>0</v>
      </c>
      <c r="O1149">
        <v>0</v>
      </c>
      <c r="P1149">
        <v>0</v>
      </c>
      <c r="Q1149">
        <v>10</v>
      </c>
      <c r="R1149">
        <v>0</v>
      </c>
      <c r="S1149">
        <v>0</v>
      </c>
      <c r="T1149">
        <v>0</v>
      </c>
      <c r="U1149">
        <v>0</v>
      </c>
      <c r="V1149">
        <f t="shared" si="495"/>
        <v>0</v>
      </c>
      <c r="W1149">
        <f t="shared" si="496"/>
        <v>0</v>
      </c>
      <c r="X1149">
        <f t="shared" si="500"/>
        <v>0</v>
      </c>
      <c r="Y1149">
        <f t="shared" si="497"/>
        <v>0</v>
      </c>
      <c r="Z1149" t="s">
        <v>89</v>
      </c>
      <c r="AA1149" s="5" t="s">
        <v>89</v>
      </c>
      <c r="AB1149" s="5" t="s">
        <v>577</v>
      </c>
      <c r="AC1149" t="s">
        <v>74</v>
      </c>
      <c r="AD1149" t="s">
        <v>76</v>
      </c>
      <c r="AE1149" s="5" t="s">
        <v>76</v>
      </c>
      <c r="AF1149" t="s">
        <v>75</v>
      </c>
      <c r="AG1149" t="s">
        <v>120</v>
      </c>
      <c r="AH1149">
        <f t="shared" si="519"/>
        <v>7.4748040000000002E-2</v>
      </c>
      <c r="AI1149">
        <f t="shared" si="520"/>
        <v>7.4748040000000002E-2</v>
      </c>
      <c r="AJ1149">
        <f t="shared" si="498"/>
        <v>7.4748040000000002E-2</v>
      </c>
      <c r="AK1149">
        <v>7.4748040000000002E-2</v>
      </c>
      <c r="AL1149">
        <v>8.3193749999999997E-2</v>
      </c>
      <c r="AM1149">
        <v>0.111514814</v>
      </c>
      <c r="AN1149">
        <v>0.11160713999999999</v>
      </c>
      <c r="AO1149">
        <v>92.525195999999994</v>
      </c>
      <c r="AP1149">
        <v>91.680625000000006</v>
      </c>
      <c r="AQ1149">
        <v>88.848518600000006</v>
      </c>
      <c r="AR1149">
        <v>88.839286000000001</v>
      </c>
      <c r="AS1149" t="b">
        <v>0</v>
      </c>
      <c r="AT1149" t="b">
        <v>0</v>
      </c>
      <c r="AU1149" t="s">
        <v>92</v>
      </c>
      <c r="AV1149" t="s">
        <v>92</v>
      </c>
      <c r="AW1149" t="s">
        <v>783</v>
      </c>
      <c r="AX1149" t="s">
        <v>1277</v>
      </c>
      <c r="AY1149" t="s">
        <v>1281</v>
      </c>
      <c r="AZ1149" t="s">
        <v>109</v>
      </c>
      <c r="BA1149">
        <v>10</v>
      </c>
      <c r="BB1149">
        <v>1.5</v>
      </c>
      <c r="BC1149">
        <v>2.4738868000000001E-3</v>
      </c>
      <c r="BD1149">
        <v>1.4256942275279999E-4</v>
      </c>
      <c r="BE1149">
        <v>2.6164562227527998E-3</v>
      </c>
      <c r="BF1149">
        <f>IF(AK1149&lt;BE1149,1,0)</f>
        <v>0</v>
      </c>
      <c r="BG1149">
        <f>IF(AK1149&lt;BC1149,1,0)</f>
        <v>0</v>
      </c>
      <c r="BH1149">
        <f>VLOOKUP($B1149,[1]Data_Peer_with_peerVars!$B$2:$Z$1050,20,FALSE)</f>
        <v>2</v>
      </c>
      <c r="BI1149">
        <f>VLOOKUP($B1149,[1]Data_Peer_with_peerVars!$B$2:$Z$1050,21,FALSE)</f>
        <v>2</v>
      </c>
      <c r="BJ1149">
        <f>VLOOKUP($B1149,[1]Data_Peer_with_peerVars!$B$2:$Z$1050,22,FALSE)</f>
        <v>1</v>
      </c>
      <c r="BK1149">
        <f>VLOOKUP($B1149,[1]Data_Peer_with_peerVars!$B$2:$Z$1050,23,FALSE)</f>
        <v>9</v>
      </c>
      <c r="BL1149">
        <f>VLOOKUP($B1149,[1]Data_Peer_with_peerVars!$B$2:$Z$1050,24,FALSE)</f>
        <v>5</v>
      </c>
      <c r="BM1149">
        <f>VLOOKUP($B1149,[1]Data_Peer_with_peerVars!$B$2:$Z$1050,25,FALSE)</f>
        <v>0.55555555599999995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60BD-6AA7-E349-B8CC-E04665BB6C16}">
  <dimension ref="A1:B55"/>
  <sheetViews>
    <sheetView topLeftCell="A33" zoomScale="160" zoomScaleNormal="160" workbookViewId="0">
      <selection activeCell="A28" sqref="A28"/>
    </sheetView>
  </sheetViews>
  <sheetFormatPr baseColWidth="10" defaultRowHeight="16" x14ac:dyDescent="0.2"/>
  <cols>
    <col min="1" max="1" width="28.5" style="11" bestFit="1" customWidth="1"/>
    <col min="2" max="2" width="87.6640625" style="11" customWidth="1"/>
  </cols>
  <sheetData>
    <row r="1" spans="1:2" s="16" customFormat="1" x14ac:dyDescent="0.2">
      <c r="A1" s="15" t="s">
        <v>1734</v>
      </c>
      <c r="B1" s="15" t="s">
        <v>1735</v>
      </c>
    </row>
    <row r="2" spans="1:2" ht="56" customHeight="1" x14ac:dyDescent="0.2">
      <c r="A2" s="6" t="s">
        <v>0</v>
      </c>
      <c r="B2" s="7" t="s">
        <v>1736</v>
      </c>
    </row>
    <row r="3" spans="1:2" x14ac:dyDescent="0.2">
      <c r="A3" s="6" t="s">
        <v>1</v>
      </c>
      <c r="B3" s="8" t="s">
        <v>1737</v>
      </c>
    </row>
    <row r="4" spans="1:2" x14ac:dyDescent="0.2">
      <c r="A4" s="6" t="s">
        <v>2</v>
      </c>
      <c r="B4" s="8" t="s">
        <v>1738</v>
      </c>
    </row>
    <row r="5" spans="1:2" x14ac:dyDescent="0.2">
      <c r="A5" s="6" t="s">
        <v>3</v>
      </c>
      <c r="B5" s="8" t="s">
        <v>1780</v>
      </c>
    </row>
    <row r="6" spans="1:2" x14ac:dyDescent="0.2">
      <c r="A6" s="6" t="s">
        <v>4</v>
      </c>
      <c r="B6" s="8" t="s">
        <v>1781</v>
      </c>
    </row>
    <row r="7" spans="1:2" x14ac:dyDescent="0.2">
      <c r="A7" s="6" t="s">
        <v>1782</v>
      </c>
      <c r="B7" s="8" t="s">
        <v>1783</v>
      </c>
    </row>
    <row r="8" spans="1:2" x14ac:dyDescent="0.2">
      <c r="A8" s="6" t="s">
        <v>6</v>
      </c>
      <c r="B8" s="8" t="s">
        <v>1784</v>
      </c>
    </row>
    <row r="9" spans="1:2" x14ac:dyDescent="0.2">
      <c r="A9" s="6" t="s">
        <v>1785</v>
      </c>
      <c r="B9" s="8" t="s">
        <v>1786</v>
      </c>
    </row>
    <row r="10" spans="1:2" ht="34" x14ac:dyDescent="0.2">
      <c r="A10" s="6" t="s">
        <v>8</v>
      </c>
      <c r="B10" s="7" t="s">
        <v>1769</v>
      </c>
    </row>
    <row r="11" spans="1:2" ht="34" x14ac:dyDescent="0.2">
      <c r="A11" s="6" t="s">
        <v>9</v>
      </c>
      <c r="B11" s="7" t="s">
        <v>1768</v>
      </c>
    </row>
    <row r="12" spans="1:2" ht="51" x14ac:dyDescent="0.2">
      <c r="A12" s="6" t="s">
        <v>10</v>
      </c>
      <c r="B12" s="9" t="s">
        <v>1770</v>
      </c>
    </row>
    <row r="13" spans="1:2" x14ac:dyDescent="0.2">
      <c r="A13" s="6" t="s">
        <v>11</v>
      </c>
      <c r="B13" s="8" t="s">
        <v>1787</v>
      </c>
    </row>
    <row r="14" spans="1:2" ht="34" x14ac:dyDescent="0.2">
      <c r="A14" s="6" t="s">
        <v>13</v>
      </c>
      <c r="B14" s="7" t="s">
        <v>1788</v>
      </c>
    </row>
    <row r="15" spans="1:2" x14ac:dyDescent="0.2">
      <c r="A15" s="6" t="s">
        <v>14</v>
      </c>
      <c r="B15" s="8" t="s">
        <v>1792</v>
      </c>
    </row>
    <row r="16" spans="1:2" x14ac:dyDescent="0.2">
      <c r="A16" s="6" t="s">
        <v>1789</v>
      </c>
      <c r="B16" s="8" t="s">
        <v>1791</v>
      </c>
    </row>
    <row r="17" spans="1:2" x14ac:dyDescent="0.2">
      <c r="A17" s="6" t="s">
        <v>16</v>
      </c>
      <c r="B17" s="8" t="s">
        <v>1790</v>
      </c>
    </row>
    <row r="18" spans="1:2" ht="34" x14ac:dyDescent="0.2">
      <c r="A18" s="6" t="s">
        <v>1793</v>
      </c>
      <c r="B18" s="7" t="s">
        <v>1794</v>
      </c>
    </row>
    <row r="19" spans="1:2" ht="34" x14ac:dyDescent="0.2">
      <c r="A19" s="6" t="s">
        <v>1795</v>
      </c>
      <c r="B19" s="7" t="s">
        <v>1796</v>
      </c>
    </row>
    <row r="20" spans="1:2" ht="34" x14ac:dyDescent="0.2">
      <c r="A20" s="6" t="s">
        <v>25</v>
      </c>
      <c r="B20" s="7" t="s">
        <v>1797</v>
      </c>
    </row>
    <row r="21" spans="1:2" ht="34" x14ac:dyDescent="0.2">
      <c r="A21" s="6" t="s">
        <v>26</v>
      </c>
      <c r="B21" s="7" t="s">
        <v>1739</v>
      </c>
    </row>
    <row r="22" spans="1:2" ht="34" x14ac:dyDescent="0.2">
      <c r="A22" s="6" t="s">
        <v>27</v>
      </c>
      <c r="B22" s="7" t="s">
        <v>1740</v>
      </c>
    </row>
    <row r="23" spans="1:2" x14ac:dyDescent="0.2">
      <c r="A23" s="6" t="s">
        <v>1741</v>
      </c>
      <c r="B23" s="8" t="s">
        <v>1742</v>
      </c>
    </row>
    <row r="24" spans="1:2" ht="68" x14ac:dyDescent="0.2">
      <c r="A24" s="6" t="s">
        <v>1743</v>
      </c>
      <c r="B24" s="7" t="s">
        <v>1744</v>
      </c>
    </row>
    <row r="25" spans="1:2" x14ac:dyDescent="0.2">
      <c r="A25" s="6" t="s">
        <v>1745</v>
      </c>
      <c r="B25" s="8" t="s">
        <v>1746</v>
      </c>
    </row>
    <row r="26" spans="1:2" x14ac:dyDescent="0.2">
      <c r="A26" s="6" t="s">
        <v>1747</v>
      </c>
      <c r="B26" s="8" t="s">
        <v>1748</v>
      </c>
    </row>
    <row r="27" spans="1:2" x14ac:dyDescent="0.2">
      <c r="A27" s="6" t="s">
        <v>1749</v>
      </c>
      <c r="B27" s="8" t="s">
        <v>1750</v>
      </c>
    </row>
    <row r="28" spans="1:2" x14ac:dyDescent="0.2">
      <c r="A28" s="6" t="s">
        <v>36</v>
      </c>
      <c r="B28" s="8" t="s">
        <v>1751</v>
      </c>
    </row>
    <row r="29" spans="1:2" x14ac:dyDescent="0.2">
      <c r="A29" s="6" t="s">
        <v>37</v>
      </c>
      <c r="B29" s="8" t="s">
        <v>1752</v>
      </c>
    </row>
    <row r="30" spans="1:2" x14ac:dyDescent="0.2">
      <c r="A30" s="6" t="s">
        <v>38</v>
      </c>
      <c r="B30" s="8" t="s">
        <v>1753</v>
      </c>
    </row>
    <row r="31" spans="1:2" x14ac:dyDescent="0.2">
      <c r="A31" s="6" t="s">
        <v>39</v>
      </c>
      <c r="B31" s="8" t="s">
        <v>1754</v>
      </c>
    </row>
    <row r="32" spans="1:2" x14ac:dyDescent="0.2">
      <c r="A32" s="6" t="s">
        <v>40</v>
      </c>
      <c r="B32" s="8" t="s">
        <v>1755</v>
      </c>
    </row>
    <row r="33" spans="1:2" x14ac:dyDescent="0.2">
      <c r="A33" s="6" t="s">
        <v>41</v>
      </c>
      <c r="B33" s="8" t="s">
        <v>1756</v>
      </c>
    </row>
    <row r="34" spans="1:2" x14ac:dyDescent="0.2">
      <c r="A34" s="6" t="s">
        <v>42</v>
      </c>
      <c r="B34" s="8" t="s">
        <v>1757</v>
      </c>
    </row>
    <row r="35" spans="1:2" x14ac:dyDescent="0.2">
      <c r="A35" s="6" t="s">
        <v>43</v>
      </c>
      <c r="B35" s="8" t="s">
        <v>1758</v>
      </c>
    </row>
    <row r="36" spans="1:2" ht="34" x14ac:dyDescent="0.2">
      <c r="A36" s="6" t="s">
        <v>44</v>
      </c>
      <c r="B36" s="7" t="s">
        <v>1759</v>
      </c>
    </row>
    <row r="37" spans="1:2" ht="34" x14ac:dyDescent="0.2">
      <c r="A37" s="6" t="s">
        <v>45</v>
      </c>
      <c r="B37" s="7" t="s">
        <v>1760</v>
      </c>
    </row>
    <row r="38" spans="1:2" ht="34" x14ac:dyDescent="0.2">
      <c r="A38" s="6" t="s">
        <v>1761</v>
      </c>
      <c r="B38" s="7" t="s">
        <v>1762</v>
      </c>
    </row>
    <row r="39" spans="1:2" ht="34" x14ac:dyDescent="0.2">
      <c r="A39" s="6" t="s">
        <v>1763</v>
      </c>
      <c r="B39" s="7" t="s">
        <v>1764</v>
      </c>
    </row>
    <row r="40" spans="1:2" x14ac:dyDescent="0.2">
      <c r="A40" s="6" t="s">
        <v>48</v>
      </c>
      <c r="B40" s="8" t="s">
        <v>1765</v>
      </c>
    </row>
    <row r="41" spans="1:2" x14ac:dyDescent="0.2">
      <c r="A41" s="6" t="s">
        <v>49</v>
      </c>
      <c r="B41" s="8" t="s">
        <v>1766</v>
      </c>
    </row>
    <row r="42" spans="1:2" x14ac:dyDescent="0.2">
      <c r="A42" s="6" t="s">
        <v>50</v>
      </c>
      <c r="B42" s="8" t="s">
        <v>1767</v>
      </c>
    </row>
    <row r="46" spans="1:2" ht="51" x14ac:dyDescent="0.2">
      <c r="A46" s="6" t="s">
        <v>52</v>
      </c>
      <c r="B46" s="9" t="s">
        <v>1771</v>
      </c>
    </row>
    <row r="47" spans="1:2" ht="51" x14ac:dyDescent="0.2">
      <c r="A47" s="6" t="s">
        <v>53</v>
      </c>
      <c r="B47" s="9" t="s">
        <v>1772</v>
      </c>
    </row>
    <row r="48" spans="1:2" ht="17" x14ac:dyDescent="0.2">
      <c r="A48" s="6" t="s">
        <v>57</v>
      </c>
      <c r="B48" s="9" t="s">
        <v>1773</v>
      </c>
    </row>
    <row r="49" spans="1:2" ht="51" x14ac:dyDescent="0.2">
      <c r="A49" s="6" t="s">
        <v>58</v>
      </c>
      <c r="B49" s="9" t="s">
        <v>1774</v>
      </c>
    </row>
    <row r="50" spans="1:2" x14ac:dyDescent="0.2">
      <c r="A50" s="10"/>
      <c r="B50" s="10"/>
    </row>
    <row r="51" spans="1:2" x14ac:dyDescent="0.2">
      <c r="A51" s="6" t="s">
        <v>1775</v>
      </c>
    </row>
    <row r="52" spans="1:2" x14ac:dyDescent="0.2">
      <c r="A52" s="12" t="s">
        <v>77</v>
      </c>
      <c r="B52" s="11" t="s">
        <v>1776</v>
      </c>
    </row>
    <row r="53" spans="1:2" x14ac:dyDescent="0.2">
      <c r="A53" s="12" t="s">
        <v>78</v>
      </c>
      <c r="B53" s="11" t="s">
        <v>1777</v>
      </c>
    </row>
    <row r="54" spans="1:2" ht="51" x14ac:dyDescent="0.2">
      <c r="A54" s="12" t="s">
        <v>108</v>
      </c>
      <c r="B54" s="13" t="s">
        <v>1778</v>
      </c>
    </row>
    <row r="55" spans="1:2" ht="34" x14ac:dyDescent="0.2">
      <c r="A55" s="12" t="s">
        <v>92</v>
      </c>
      <c r="B55" s="13" t="s">
        <v>1779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Sergio Puerto</dc:creator>
  <cp:keywords/>
  <dc:description/>
  <cp:lastModifiedBy>martina occelli</cp:lastModifiedBy>
  <cp:revision/>
  <dcterms:created xsi:type="dcterms:W3CDTF">2025-08-21T22:31:03Z</dcterms:created>
  <dcterms:modified xsi:type="dcterms:W3CDTF">2025-11-28T14:49:47Z</dcterms:modified>
  <cp:category/>
  <cp:contentStatus/>
</cp:coreProperties>
</file>